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양식" sheetId="1" state="hidden" r:id="rId3"/>
    <sheet name="전체 (변경)" sheetId="2" state="visible" r:id="rId4"/>
    <sheet name="개거(신규)" sheetId="3" state="visible" r:id="rId5"/>
    <sheet name="하천도로포장21-12" sheetId="4" state="visible" r:id="rId6"/>
    <sheet name="경계석 타설 현황" sheetId="5" state="visible" r:id="rId7"/>
    <sheet name="Sheet1" sheetId="6" state="visible" r:id="rId8"/>
    <sheet name="송장 변경 요청 청구" sheetId="7" state="hidden" r:id="rId9"/>
  </sheets>
  <definedNames>
    <definedName function="false" hidden="false" localSheetId="2" name="_xlnm.Print_Area" vbProcedure="false">'개거(신규)'!$A$1:$J$32</definedName>
    <definedName function="false" hidden="false" localSheetId="2" name="_xlnm.Print_Titles" vbProcedure="false">'개거(신규)'!$1:$5</definedName>
    <definedName function="false" hidden="true" localSheetId="2" name="_xlnm._FilterDatabase" vbProcedure="false">'개거(신규)'!$B$5:$T$202</definedName>
    <definedName function="false" hidden="false" localSheetId="4" name="_xlnm.Print_Area" vbProcedure="false">'경계석 타설 현황'!$A$1:$O$32</definedName>
    <definedName function="false" hidden="false" localSheetId="4" name="_xlnm.Print_Titles" vbProcedure="false">'경계석 타설 현황'!$1:$5</definedName>
    <definedName function="false" hidden="true" localSheetId="4" name="_xlnm._FilterDatabase" vbProcedure="false">'경계석 타설 현황'!$B$5:$T$202</definedName>
    <definedName function="false" hidden="false" localSheetId="6" name="_xlnm.Print_Area" vbProcedure="false">'송장 변경 요청 청구'!$A$1:$T$187</definedName>
    <definedName function="false" hidden="false" localSheetId="6" name="_xlnm.Print_Titles" vbProcedure="false">'송장 변경 요청 청구'!$1:$5</definedName>
    <definedName function="false" hidden="true" localSheetId="6" name="_xlnm._FilterDatabase" vbProcedure="false">'송장 변경 요청 청구'!$B$5:$T$187</definedName>
    <definedName function="false" hidden="false" localSheetId="0" name="_xlnm.Print_Titles" vbProcedure="false">양식!$1:$5</definedName>
    <definedName function="false" hidden="true" localSheetId="0" name="_xlnm._FilterDatabase" vbProcedure="false">양식!$A$5:$T$25</definedName>
    <definedName function="false" hidden="false" localSheetId="1" name="_xlnm.Print_Area" vbProcedure="false">'전체 (변경)'!$A$1:$J$45</definedName>
    <definedName function="false" hidden="false" localSheetId="1" name="_xlnm.Print_Titles" vbProcedure="false">'전체 (변경)'!$1:$5</definedName>
    <definedName function="false" hidden="true" localSheetId="1" name="_xlnm._FilterDatabase" vbProcedure="false">'전체 (변경)'!$B$5:$T$215</definedName>
    <definedName function="false" hidden="false" localSheetId="3" name="_xlnm.Print_Area" vbProcedure="false">'하천도로포장21-12'!$A$1:$J$32</definedName>
    <definedName function="false" hidden="false" localSheetId="3" name="_xlnm.Print_Titles" vbProcedure="false">'하천도로포장21-12'!$1:$5</definedName>
    <definedName function="false" hidden="true" localSheetId="3" name="_xlnm._FilterDatabase" vbProcedure="false">'하천도로포장21-12'!$B$5:$T$202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62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11"/>
            <color rgb="FF000000"/>
            <rFont val="Tahoma"/>
            <family val="2"/>
          </rPr>
          <t xml:space="preserve">0+360~400(39.6m)
</t>
        </r>
        <r>
          <rPr>
            <sz val="11"/>
            <color rgb="FF000000"/>
            <rFont val="돋움"/>
            <family val="3"/>
            <charset val="129"/>
          </rPr>
          <t xml:space="preserve">철길에서</t>
        </r>
        <r>
          <rPr>
            <sz val="11"/>
            <color rgb="FF000000"/>
            <rFont val="Noto Sans CJK SC"/>
            <family val="2"/>
          </rPr>
          <t xml:space="preserve"> </t>
        </r>
        <r>
          <rPr>
            <sz val="11"/>
            <color rgb="FF000000"/>
            <rFont val="돋움"/>
            <family val="3"/>
            <charset val="129"/>
          </rPr>
          <t xml:space="preserve">끔음
</t>
        </r>
        <r>
          <rPr>
            <sz val="11"/>
            <color rgb="FF000000"/>
            <rFont val="Tahoma"/>
            <family val="2"/>
          </rPr>
          <t xml:space="preserve">0+420~500(60m)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70</xdr:row>
                <xdr:rowOff>16</xdr:rowOff>
              </xdr:from>
              <xdr:to>
                <xdr:col>6</xdr:col>
                <xdr:colOff>22</xdr:colOff>
                <xdr:row>72</xdr:row>
                <xdr:rowOff>16</xdr:rowOff>
              </xdr:to>
            </anchor>
          </commentPr>
        </mc:Choice>
        <mc:Fallback/>
      </mc:AlternateContent>
    </comment>
    <comment ref="D64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80M
20M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72</xdr:row>
                <xdr:rowOff>16</xdr:rowOff>
              </xdr:from>
              <xdr:to>
                <xdr:col>6</xdr:col>
                <xdr:colOff>22</xdr:colOff>
                <xdr:row>74</xdr:row>
                <xdr:rowOff>16</xdr:rowOff>
              </xdr:to>
            </anchor>
          </commentPr>
        </mc:Choice>
        <mc:Fallback/>
      </mc:AlternateContent>
    </comment>
    <comment ref="D65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777:
0+360~400(39.6m)
</t>
        </r>
        <r>
          <rPr>
            <sz val="9"/>
            <color rgb="FF000000"/>
            <rFont val="돋움"/>
            <family val="3"/>
            <charset val="129"/>
          </rPr>
          <t xml:space="preserve">철길에서</t>
        </r>
        <r>
          <rPr>
            <sz val="9"/>
            <color rgb="FF000000"/>
            <rFont val="Noto Sans CJK SC"/>
            <family val="2"/>
          </rPr>
          <t xml:space="preserve"> </t>
        </r>
        <r>
          <rPr>
            <sz val="9"/>
            <color rgb="FF000000"/>
            <rFont val="돋움"/>
            <family val="3"/>
            <charset val="129"/>
          </rPr>
          <t xml:space="preserve">끔음
</t>
        </r>
        <r>
          <rPr>
            <sz val="9"/>
            <color rgb="FF000000"/>
            <rFont val="Tahoma"/>
            <family val="2"/>
          </rPr>
          <t xml:space="preserve">0+420~500(24m)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73</xdr:row>
                <xdr:rowOff>16</xdr:rowOff>
              </xdr:from>
              <xdr:to>
                <xdr:col>6</xdr:col>
                <xdr:colOff>22</xdr:colOff>
                <xdr:row>75</xdr:row>
                <xdr:rowOff>16</xdr:rowOff>
              </xdr:to>
            </anchor>
          </commentPr>
        </mc:Choice>
        <mc:Fallback/>
      </mc:AlternateContent>
    </comment>
    <comment ref="D66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72m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74</xdr:row>
                <xdr:rowOff>16</xdr:rowOff>
              </xdr:from>
              <xdr:to>
                <xdr:col>6</xdr:col>
                <xdr:colOff>22</xdr:colOff>
                <xdr:row>76</xdr:row>
                <xdr:rowOff>16</xdr:rowOff>
              </xdr:to>
            </anchor>
          </commentPr>
        </mc:Choice>
        <mc:Fallback/>
      </mc:AlternateContent>
    </comment>
    <comment ref="D69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36.5m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77</xdr:row>
                <xdr:rowOff>16</xdr:rowOff>
              </xdr:from>
              <xdr:to>
                <xdr:col>6</xdr:col>
                <xdr:colOff>22</xdr:colOff>
                <xdr:row>79</xdr:row>
                <xdr:rowOff>16</xdr:rowOff>
              </xdr:to>
            </anchor>
          </commentPr>
        </mc:Choice>
        <mc:Fallback/>
      </mc:AlternateContent>
    </comment>
    <comment ref="M2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전년도 오바물량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20</xdr:col>
                <xdr:colOff>32</xdr:colOff>
                <xdr:row>0</xdr:row>
                <xdr:rowOff>64</xdr:rowOff>
              </xdr:from>
              <xdr:to>
                <xdr:col>21</xdr:col>
                <xdr:colOff>38</xdr:colOff>
                <xdr:row>2</xdr:row>
                <xdr:rowOff>29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49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11"/>
            <color rgb="FF000000"/>
            <rFont val="Tahoma"/>
            <family val="2"/>
          </rPr>
          <t xml:space="preserve">0+360~400(39.6m)
</t>
        </r>
        <r>
          <rPr>
            <sz val="11"/>
            <color rgb="FF000000"/>
            <rFont val="돋움"/>
            <family val="3"/>
            <charset val="129"/>
          </rPr>
          <t xml:space="preserve">철길에서</t>
        </r>
        <r>
          <rPr>
            <sz val="11"/>
            <color rgb="FF000000"/>
            <rFont val="Noto Sans CJK SC"/>
            <family val="2"/>
          </rPr>
          <t xml:space="preserve"> </t>
        </r>
        <r>
          <rPr>
            <sz val="11"/>
            <color rgb="FF000000"/>
            <rFont val="돋움"/>
            <family val="3"/>
            <charset val="129"/>
          </rPr>
          <t xml:space="preserve">끔음
</t>
        </r>
        <r>
          <rPr>
            <sz val="11"/>
            <color rgb="FF000000"/>
            <rFont val="Tahoma"/>
            <family val="2"/>
          </rPr>
          <t xml:space="preserve">0+420~500(60m)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44</xdr:row>
                <xdr:rowOff>16</xdr:rowOff>
              </xdr:from>
              <xdr:to>
                <xdr:col>6</xdr:col>
                <xdr:colOff>20</xdr:colOff>
                <xdr:row>46</xdr:row>
                <xdr:rowOff>16</xdr:rowOff>
              </xdr:to>
            </anchor>
          </commentPr>
        </mc:Choice>
        <mc:Fallback/>
      </mc:AlternateContent>
    </comment>
    <comment ref="D51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80M
20M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46</xdr:row>
                <xdr:rowOff>16</xdr:rowOff>
              </xdr:from>
              <xdr:to>
                <xdr:col>6</xdr:col>
                <xdr:colOff>20</xdr:colOff>
                <xdr:row>48</xdr:row>
                <xdr:rowOff>16</xdr:rowOff>
              </xdr:to>
            </anchor>
          </commentPr>
        </mc:Choice>
        <mc:Fallback/>
      </mc:AlternateContent>
    </comment>
    <comment ref="D52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777:
0+360~400(39.6m)
</t>
        </r>
        <r>
          <rPr>
            <sz val="9"/>
            <color rgb="FF000000"/>
            <rFont val="돋움"/>
            <family val="3"/>
            <charset val="129"/>
          </rPr>
          <t xml:space="preserve">철길에서</t>
        </r>
        <r>
          <rPr>
            <sz val="9"/>
            <color rgb="FF000000"/>
            <rFont val="Noto Sans CJK SC"/>
            <family val="2"/>
          </rPr>
          <t xml:space="preserve"> </t>
        </r>
        <r>
          <rPr>
            <sz val="9"/>
            <color rgb="FF000000"/>
            <rFont val="돋움"/>
            <family val="3"/>
            <charset val="129"/>
          </rPr>
          <t xml:space="preserve">끔음
</t>
        </r>
        <r>
          <rPr>
            <sz val="9"/>
            <color rgb="FF000000"/>
            <rFont val="Tahoma"/>
            <family val="2"/>
          </rPr>
          <t xml:space="preserve">0+420~500(24m)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47</xdr:row>
                <xdr:rowOff>16</xdr:rowOff>
              </xdr:from>
              <xdr:to>
                <xdr:col>6</xdr:col>
                <xdr:colOff>20</xdr:colOff>
                <xdr:row>49</xdr:row>
                <xdr:rowOff>16</xdr:rowOff>
              </xdr:to>
            </anchor>
          </commentPr>
        </mc:Choice>
        <mc:Fallback/>
      </mc:AlternateContent>
    </comment>
    <comment ref="D53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72m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48</xdr:row>
                <xdr:rowOff>16</xdr:rowOff>
              </xdr:from>
              <xdr:to>
                <xdr:col>6</xdr:col>
                <xdr:colOff>20</xdr:colOff>
                <xdr:row>50</xdr:row>
                <xdr:rowOff>16</xdr:rowOff>
              </xdr:to>
            </anchor>
          </commentPr>
        </mc:Choice>
        <mc:Fallback/>
      </mc:AlternateContent>
    </comment>
    <comment ref="D56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36.5m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51</xdr:row>
                <xdr:rowOff>16</xdr:rowOff>
              </xdr:from>
              <xdr:to>
                <xdr:col>6</xdr:col>
                <xdr:colOff>20</xdr:colOff>
                <xdr:row>53</xdr:row>
                <xdr:rowOff>16</xdr:rowOff>
              </xdr:to>
            </anchor>
          </commentPr>
        </mc:Choice>
        <mc:Fallback/>
      </mc:AlternateContent>
    </comment>
    <comment ref="M2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전년도 오바물량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20</xdr:col>
                <xdr:colOff>30</xdr:colOff>
                <xdr:row>0</xdr:row>
                <xdr:rowOff>64</xdr:rowOff>
              </xdr:from>
              <xdr:to>
                <xdr:col>21</xdr:col>
                <xdr:colOff>36</xdr:colOff>
                <xdr:row>2</xdr:row>
                <xdr:rowOff>29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49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11"/>
            <color rgb="FF000000"/>
            <rFont val="Tahoma"/>
            <family val="2"/>
          </rPr>
          <t xml:space="preserve">0+360~400(39.6m)
</t>
        </r>
        <r>
          <rPr>
            <sz val="11"/>
            <color rgb="FF000000"/>
            <rFont val="돋움"/>
            <family val="3"/>
            <charset val="129"/>
          </rPr>
          <t xml:space="preserve">철길에서</t>
        </r>
        <r>
          <rPr>
            <sz val="11"/>
            <color rgb="FF000000"/>
            <rFont val="Noto Sans CJK SC"/>
            <family val="2"/>
          </rPr>
          <t xml:space="preserve"> </t>
        </r>
        <r>
          <rPr>
            <sz val="11"/>
            <color rgb="FF000000"/>
            <rFont val="돋움"/>
            <family val="3"/>
            <charset val="129"/>
          </rPr>
          <t xml:space="preserve">끔음
</t>
        </r>
        <r>
          <rPr>
            <sz val="11"/>
            <color rgb="FF000000"/>
            <rFont val="Tahoma"/>
            <family val="2"/>
          </rPr>
          <t xml:space="preserve">0+420~500(60m)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44</xdr:row>
                <xdr:rowOff>16</xdr:rowOff>
              </xdr:from>
              <xdr:to>
                <xdr:col>6</xdr:col>
                <xdr:colOff>20</xdr:colOff>
                <xdr:row>46</xdr:row>
                <xdr:rowOff>16</xdr:rowOff>
              </xdr:to>
            </anchor>
          </commentPr>
        </mc:Choice>
        <mc:Fallback/>
      </mc:AlternateContent>
    </comment>
    <comment ref="D51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80M
20M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46</xdr:row>
                <xdr:rowOff>16</xdr:rowOff>
              </xdr:from>
              <xdr:to>
                <xdr:col>6</xdr:col>
                <xdr:colOff>20</xdr:colOff>
                <xdr:row>48</xdr:row>
                <xdr:rowOff>16</xdr:rowOff>
              </xdr:to>
            </anchor>
          </commentPr>
        </mc:Choice>
        <mc:Fallback/>
      </mc:AlternateContent>
    </comment>
    <comment ref="D52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777:
0+360~400(39.6m)
</t>
        </r>
        <r>
          <rPr>
            <sz val="9"/>
            <color rgb="FF000000"/>
            <rFont val="돋움"/>
            <family val="3"/>
            <charset val="129"/>
          </rPr>
          <t xml:space="preserve">철길에서</t>
        </r>
        <r>
          <rPr>
            <sz val="9"/>
            <color rgb="FF000000"/>
            <rFont val="Noto Sans CJK SC"/>
            <family val="2"/>
          </rPr>
          <t xml:space="preserve"> </t>
        </r>
        <r>
          <rPr>
            <sz val="9"/>
            <color rgb="FF000000"/>
            <rFont val="돋움"/>
            <family val="3"/>
            <charset val="129"/>
          </rPr>
          <t xml:space="preserve">끔음
</t>
        </r>
        <r>
          <rPr>
            <sz val="9"/>
            <color rgb="FF000000"/>
            <rFont val="Tahoma"/>
            <family val="2"/>
          </rPr>
          <t xml:space="preserve">0+420~500(24m)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47</xdr:row>
                <xdr:rowOff>16</xdr:rowOff>
              </xdr:from>
              <xdr:to>
                <xdr:col>6</xdr:col>
                <xdr:colOff>20</xdr:colOff>
                <xdr:row>49</xdr:row>
                <xdr:rowOff>16</xdr:rowOff>
              </xdr:to>
            </anchor>
          </commentPr>
        </mc:Choice>
        <mc:Fallback/>
      </mc:AlternateContent>
    </comment>
    <comment ref="D53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72m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48</xdr:row>
                <xdr:rowOff>16</xdr:rowOff>
              </xdr:from>
              <xdr:to>
                <xdr:col>6</xdr:col>
                <xdr:colOff>20</xdr:colOff>
                <xdr:row>50</xdr:row>
                <xdr:rowOff>16</xdr:rowOff>
              </xdr:to>
            </anchor>
          </commentPr>
        </mc:Choice>
        <mc:Fallback/>
      </mc:AlternateContent>
    </comment>
    <comment ref="D56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36.5m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51</xdr:row>
                <xdr:rowOff>16</xdr:rowOff>
              </xdr:from>
              <xdr:to>
                <xdr:col>6</xdr:col>
                <xdr:colOff>20</xdr:colOff>
                <xdr:row>53</xdr:row>
                <xdr:rowOff>16</xdr:rowOff>
              </xdr:to>
            </anchor>
          </commentPr>
        </mc:Choice>
        <mc:Fallback/>
      </mc:AlternateContent>
    </comment>
    <comment ref="M2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전년도 오바물량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20</xdr:col>
                <xdr:colOff>30</xdr:colOff>
                <xdr:row>0</xdr:row>
                <xdr:rowOff>64</xdr:rowOff>
              </xdr:from>
              <xdr:to>
                <xdr:col>21</xdr:col>
                <xdr:colOff>36</xdr:colOff>
                <xdr:row>2</xdr:row>
                <xdr:rowOff>29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49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11"/>
            <color rgb="FF000000"/>
            <rFont val="Tahoma"/>
            <family val="2"/>
          </rPr>
          <t xml:space="preserve">0+360~400(39.6m)
</t>
        </r>
        <r>
          <rPr>
            <sz val="11"/>
            <color rgb="FF000000"/>
            <rFont val="돋움"/>
            <family val="3"/>
            <charset val="129"/>
          </rPr>
          <t xml:space="preserve">철길에서</t>
        </r>
        <r>
          <rPr>
            <sz val="11"/>
            <color rgb="FF000000"/>
            <rFont val="Noto Sans CJK SC"/>
            <family val="2"/>
          </rPr>
          <t xml:space="preserve"> </t>
        </r>
        <r>
          <rPr>
            <sz val="11"/>
            <color rgb="FF000000"/>
            <rFont val="돋움"/>
            <family val="3"/>
            <charset val="129"/>
          </rPr>
          <t xml:space="preserve">끔음
</t>
        </r>
        <r>
          <rPr>
            <sz val="11"/>
            <color rgb="FF000000"/>
            <rFont val="Tahoma"/>
            <family val="2"/>
          </rPr>
          <t xml:space="preserve">0+420~500(60m)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44</xdr:row>
                <xdr:rowOff>16</xdr:rowOff>
              </xdr:from>
              <xdr:to>
                <xdr:col>6</xdr:col>
                <xdr:colOff>20</xdr:colOff>
                <xdr:row>46</xdr:row>
                <xdr:rowOff>16</xdr:rowOff>
              </xdr:to>
            </anchor>
          </commentPr>
        </mc:Choice>
        <mc:Fallback/>
      </mc:AlternateContent>
    </comment>
    <comment ref="D51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80M
20M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46</xdr:row>
                <xdr:rowOff>16</xdr:rowOff>
              </xdr:from>
              <xdr:to>
                <xdr:col>6</xdr:col>
                <xdr:colOff>20</xdr:colOff>
                <xdr:row>48</xdr:row>
                <xdr:rowOff>16</xdr:rowOff>
              </xdr:to>
            </anchor>
          </commentPr>
        </mc:Choice>
        <mc:Fallback/>
      </mc:AlternateContent>
    </comment>
    <comment ref="D52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777:
0+360~400(39.6m)
</t>
        </r>
        <r>
          <rPr>
            <sz val="9"/>
            <color rgb="FF000000"/>
            <rFont val="돋움"/>
            <family val="3"/>
            <charset val="129"/>
          </rPr>
          <t xml:space="preserve">철길에서</t>
        </r>
        <r>
          <rPr>
            <sz val="9"/>
            <color rgb="FF000000"/>
            <rFont val="Noto Sans CJK SC"/>
            <family val="2"/>
          </rPr>
          <t xml:space="preserve"> </t>
        </r>
        <r>
          <rPr>
            <sz val="9"/>
            <color rgb="FF000000"/>
            <rFont val="돋움"/>
            <family val="3"/>
            <charset val="129"/>
          </rPr>
          <t xml:space="preserve">끔음
</t>
        </r>
        <r>
          <rPr>
            <sz val="9"/>
            <color rgb="FF000000"/>
            <rFont val="Tahoma"/>
            <family val="2"/>
          </rPr>
          <t xml:space="preserve">0+420~500(24m)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47</xdr:row>
                <xdr:rowOff>16</xdr:rowOff>
              </xdr:from>
              <xdr:to>
                <xdr:col>6</xdr:col>
                <xdr:colOff>20</xdr:colOff>
                <xdr:row>49</xdr:row>
                <xdr:rowOff>16</xdr:rowOff>
              </xdr:to>
            </anchor>
          </commentPr>
        </mc:Choice>
        <mc:Fallback/>
      </mc:AlternateContent>
    </comment>
    <comment ref="D53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72m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48</xdr:row>
                <xdr:rowOff>16</xdr:rowOff>
              </xdr:from>
              <xdr:to>
                <xdr:col>6</xdr:col>
                <xdr:colOff>20</xdr:colOff>
                <xdr:row>50</xdr:row>
                <xdr:rowOff>16</xdr:rowOff>
              </xdr:to>
            </anchor>
          </commentPr>
        </mc:Choice>
        <mc:Fallback/>
      </mc:AlternateContent>
    </comment>
    <comment ref="D56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36.5m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51</xdr:row>
                <xdr:rowOff>16</xdr:rowOff>
              </xdr:from>
              <xdr:to>
                <xdr:col>6</xdr:col>
                <xdr:colOff>20</xdr:colOff>
                <xdr:row>53</xdr:row>
                <xdr:rowOff>16</xdr:rowOff>
              </xdr:to>
            </anchor>
          </commentPr>
        </mc:Choice>
        <mc:Fallback/>
      </mc:AlternateContent>
    </comment>
    <comment ref="M2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전년도 오바물량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20</xdr:col>
                <xdr:colOff>30</xdr:colOff>
                <xdr:row>0</xdr:row>
                <xdr:rowOff>64</xdr:rowOff>
              </xdr:from>
              <xdr:to>
                <xdr:col>21</xdr:col>
                <xdr:colOff>36</xdr:colOff>
                <xdr:row>2</xdr:row>
                <xdr:rowOff>29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34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11"/>
            <color rgb="FF000000"/>
            <rFont val="Tahoma"/>
            <family val="2"/>
          </rPr>
          <t xml:space="preserve">0+360~400(39.6m)
</t>
        </r>
        <r>
          <rPr>
            <sz val="11"/>
            <color rgb="FF000000"/>
            <rFont val="돋움"/>
            <family val="3"/>
            <charset val="129"/>
          </rPr>
          <t xml:space="preserve">철길에서</t>
        </r>
        <r>
          <rPr>
            <sz val="11"/>
            <color rgb="FF000000"/>
            <rFont val="Noto Sans CJK SC"/>
            <family val="2"/>
          </rPr>
          <t xml:space="preserve"> </t>
        </r>
        <r>
          <rPr>
            <sz val="11"/>
            <color rgb="FF000000"/>
            <rFont val="돋움"/>
            <family val="3"/>
            <charset val="129"/>
          </rPr>
          <t xml:space="preserve">끔음
</t>
        </r>
        <r>
          <rPr>
            <sz val="11"/>
            <color rgb="FF000000"/>
            <rFont val="Tahoma"/>
            <family val="2"/>
          </rPr>
          <t xml:space="preserve">0+420~500(60m)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29</xdr:row>
                <xdr:rowOff>16</xdr:rowOff>
              </xdr:from>
              <xdr:to>
                <xdr:col>6</xdr:col>
                <xdr:colOff>20</xdr:colOff>
                <xdr:row>31</xdr:row>
                <xdr:rowOff>16</xdr:rowOff>
              </xdr:to>
            </anchor>
          </commentPr>
        </mc:Choice>
        <mc:Fallback/>
      </mc:AlternateContent>
    </comment>
    <comment ref="D36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80M
20M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31</xdr:row>
                <xdr:rowOff>16</xdr:rowOff>
              </xdr:from>
              <xdr:to>
                <xdr:col>6</xdr:col>
                <xdr:colOff>20</xdr:colOff>
                <xdr:row>33</xdr:row>
                <xdr:rowOff>16</xdr:rowOff>
              </xdr:to>
            </anchor>
          </commentPr>
        </mc:Choice>
        <mc:Fallback/>
      </mc:AlternateContent>
    </comment>
    <comment ref="D37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777:
0+360~400(39.6m)
</t>
        </r>
        <r>
          <rPr>
            <sz val="9"/>
            <color rgb="FF000000"/>
            <rFont val="돋움"/>
            <family val="3"/>
            <charset val="129"/>
          </rPr>
          <t xml:space="preserve">철길에서</t>
        </r>
        <r>
          <rPr>
            <sz val="9"/>
            <color rgb="FF000000"/>
            <rFont val="Noto Sans CJK SC"/>
            <family val="2"/>
          </rPr>
          <t xml:space="preserve"> </t>
        </r>
        <r>
          <rPr>
            <sz val="9"/>
            <color rgb="FF000000"/>
            <rFont val="돋움"/>
            <family val="3"/>
            <charset val="129"/>
          </rPr>
          <t xml:space="preserve">끔음
</t>
        </r>
        <r>
          <rPr>
            <sz val="9"/>
            <color rgb="FF000000"/>
            <rFont val="Tahoma"/>
            <family val="2"/>
          </rPr>
          <t xml:space="preserve">0+420~500(24m)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32</xdr:row>
                <xdr:rowOff>16</xdr:rowOff>
              </xdr:from>
              <xdr:to>
                <xdr:col>6</xdr:col>
                <xdr:colOff>20</xdr:colOff>
                <xdr:row>34</xdr:row>
                <xdr:rowOff>16</xdr:rowOff>
              </xdr:to>
            </anchor>
          </commentPr>
        </mc:Choice>
        <mc:Fallback/>
      </mc:AlternateContent>
    </comment>
    <comment ref="D38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72m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33</xdr:row>
                <xdr:rowOff>16</xdr:rowOff>
              </xdr:from>
              <xdr:to>
                <xdr:col>6</xdr:col>
                <xdr:colOff>20</xdr:colOff>
                <xdr:row>35</xdr:row>
                <xdr:rowOff>16</xdr:rowOff>
              </xdr:to>
            </anchor>
          </commentPr>
        </mc:Choice>
        <mc:Fallback/>
      </mc:AlternateContent>
    </comment>
    <comment ref="D41" authorId="0">
      <text>
        <r>
          <rPr>
            <b val="true"/>
            <sz val="9"/>
            <color rgb="FF000000"/>
            <rFont val="Tahoma"/>
            <family val="2"/>
          </rPr>
          <t xml:space="preserve">777:
</t>
        </r>
        <r>
          <rPr>
            <sz val="9"/>
            <color rgb="FF000000"/>
            <rFont val="Tahoma"/>
            <family val="2"/>
          </rPr>
          <t xml:space="preserve">36.5m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</xdr:colOff>
                <xdr:row>36</xdr:row>
                <xdr:rowOff>16</xdr:rowOff>
              </xdr:from>
              <xdr:to>
                <xdr:col>6</xdr:col>
                <xdr:colOff>20</xdr:colOff>
                <xdr:row>38</xdr:row>
                <xdr:rowOff>16</xdr:rowOff>
              </xdr:to>
            </anchor>
          </commentPr>
        </mc:Choice>
        <mc:Fallback/>
      </mc:AlternateContent>
    </comment>
    <comment ref="M2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전년도 오바물량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30</xdr:colOff>
                <xdr:row>0</xdr:row>
                <xdr:rowOff>64</xdr:rowOff>
              </xdr:from>
              <xdr:to>
                <xdr:col>13</xdr:col>
                <xdr:colOff>45</xdr:colOff>
                <xdr:row>2</xdr:row>
                <xdr:rowOff>29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<sst xmlns="http://schemas.openxmlformats.org/spreadsheetml/2006/main" count="818" uniqueCount="173">
  <si>
    <t xml:space="preserve">구조물별 콘크리트 타설 현황</t>
  </si>
  <si>
    <t xml:space="preserve">   현 장 명 : ○○○</t>
  </si>
  <si>
    <t xml:space="preserve">구 조
물 명</t>
  </si>
  <si>
    <t xml:space="preserve">타설 일자</t>
  </si>
  <si>
    <t xml:space="preserve">타  설</t>
  </si>
  <si>
    <t xml:space="preserve">부  위</t>
  </si>
  <si>
    <t xml:space="preserve">설계량
(㎥)</t>
  </si>
  <si>
    <t xml:space="preserve">타설량
(㎥)</t>
  </si>
  <si>
    <t xml:space="preserve">누계
(㎥)</t>
  </si>
  <si>
    <t xml:space="preserve">콘크리트
배합종류</t>
  </si>
  <si>
    <t xml:space="preserve">납품
회사</t>
  </si>
  <si>
    <t xml:space="preserve">타 설
방 법 </t>
  </si>
  <si>
    <t xml:space="preserve">타 설
시 간</t>
  </si>
  <si>
    <t xml:space="preserve">타설시
온   도
(℃)</t>
  </si>
  <si>
    <t xml:space="preserve">시   험   결   과</t>
  </si>
  <si>
    <t xml:space="preserve">시    험    자</t>
  </si>
  <si>
    <t xml:space="preserve">슬럼프
(mm)</t>
  </si>
  <si>
    <t xml:space="preserve">공기량
(%)</t>
  </si>
  <si>
    <t xml:space="preserve">염분량
(kg/㎥)</t>
  </si>
  <si>
    <t xml:space="preserve">28일
압축강도
(N/㎟)</t>
  </si>
  <si>
    <t xml:space="preserve">품질관리자</t>
  </si>
  <si>
    <t xml:space="preserve">감리원</t>
  </si>
  <si>
    <t xml:space="preserve">성명</t>
  </si>
  <si>
    <t xml:space="preserve">서명</t>
  </si>
  <si>
    <t xml:space="preserve">○○○</t>
  </si>
  <si>
    <t xml:space="preserve">○○○</t>
  </si>
  <si>
    <t xml:space="preserve">하천 콘크리트 타설 현황</t>
  </si>
  <si>
    <t xml:space="preserve">설계
할증포함임</t>
  </si>
  <si>
    <t xml:space="preserve">기존타설</t>
  </si>
  <si>
    <t xml:space="preserve">   현 장 명 : ○○○</t>
  </si>
  <si>
    <t xml:space="preserve">[별지 제35호 서식]</t>
  </si>
  <si>
    <t xml:space="preserve">호안공</t>
  </si>
  <si>
    <t xml:space="preserve">포장공</t>
  </si>
  <si>
    <t xml:space="preserve">구조물공</t>
  </si>
  <si>
    <t xml:space="preserve">필터매트</t>
  </si>
  <si>
    <t xml:space="preserve">타설 부위</t>
  </si>
  <si>
    <t xml:space="preserve">증감
(㎥)</t>
  </si>
  <si>
    <t xml:space="preserve">타설시
온도
(℃)</t>
  </si>
  <si>
    <t xml:space="preserve">25-18-8</t>
  </si>
  <si>
    <t xml:space="preserve">25-21-12</t>
  </si>
  <si>
    <t xml:space="preserve">감독</t>
  </si>
  <si>
    <t xml:space="preserve">설계량</t>
  </si>
  <si>
    <t xml:space="preserve">타설량</t>
  </si>
  <si>
    <t xml:space="preserve">설계</t>
  </si>
  <si>
    <t xml:space="preserve">반입량</t>
  </si>
  <si>
    <t xml:space="preserve">하천기초</t>
  </si>
  <si>
    <t xml:space="preserve">우no13+10~no15 좌no36~no34+20</t>
  </si>
  <si>
    <t xml:space="preserve">○○○</t>
  </si>
  <si>
    <t xml:space="preserve">펌프카</t>
  </si>
  <si>
    <t xml:space="preserve">○○○</t>
  </si>
  <si>
    <t xml:space="preserve">○○○</t>
  </si>
  <si>
    <t xml:space="preserve">잔량</t>
  </si>
  <si>
    <t xml:space="preserve">좌no34+20~no30+30</t>
  </si>
  <si>
    <t xml:space="preserve">백호</t>
  </si>
  <si>
    <t xml:space="preserve">설계오바</t>
  </si>
  <si>
    <t xml:space="preserve">좌no30+30~no30</t>
  </si>
  <si>
    <t xml:space="preserve">우no39+30~no42</t>
  </si>
  <si>
    <t xml:space="preserve">우no43+30~no42  no35+30~no37</t>
  </si>
  <si>
    <t xml:space="preserve">우NO35+30~NO33+30 좌NO40+10~NO42</t>
  </si>
  <si>
    <t xml:space="preserve">좌NO40+10~NO42 , 우NO35+30~NO33+30</t>
  </si>
  <si>
    <t xml:space="preserve">좌NO43+20~NO42 , 우NO31+20~NO33+30</t>
  </si>
  <si>
    <t xml:space="preserve">우NO31+20~NO30+10</t>
  </si>
  <si>
    <t xml:space="preserve">좌 NO38+20~NO40+10</t>
  </si>
  <si>
    <t xml:space="preserve">○○○</t>
  </si>
  <si>
    <t xml:space="preserve">9-6일기준</t>
  </si>
  <si>
    <t xml:space="preserve">예상</t>
  </si>
  <si>
    <t xml:space="preserve">수량</t>
  </si>
  <si>
    <t xml:space="preserve">no22~no24</t>
  </si>
  <si>
    <t xml:space="preserve">기초 미타설 구간</t>
  </si>
  <si>
    <t xml:space="preserve">16</t>
  </si>
  <si>
    <t xml:space="preserve">○○○</t>
  </si>
  <si>
    <t xml:space="preserve">천단미타설 구간</t>
  </si>
  <si>
    <t xml:space="preserve">우NO38~39+30</t>
  </si>
  <si>
    <t xml:space="preserve">14</t>
  </si>
  <si>
    <t xml:space="preserve">돌뒤채움</t>
  </si>
  <si>
    <t xml:space="preserve">찰쌓기 no22~no24</t>
  </si>
  <si>
    <t xml:space="preserve">찰쌓기 no22~no25</t>
  </si>
  <si>
    <t xml:space="preserve">(좌) NO37+25~NO36 , (우) NO37+25~NO37 (90M)</t>
  </si>
  <si>
    <t xml:space="preserve">낙차공</t>
  </si>
  <si>
    <t xml:space="preserve">6낙차공기초</t>
  </si>
  <si>
    <t xml:space="preserve">6낙차공벽체</t>
  </si>
  <si>
    <t xml:space="preserve">(좌)no18~no22+30 </t>
  </si>
  <si>
    <t xml:space="preserve">19</t>
  </si>
  <si>
    <t xml:space="preserve">천단</t>
  </si>
  <si>
    <t xml:space="preserve">no12~no16+30</t>
  </si>
  <si>
    <t xml:space="preserve">20</t>
  </si>
  <si>
    <t xml:space="preserve">(우)no12~no16+30</t>
  </si>
  <si>
    <t xml:space="preserve">22</t>
  </si>
  <si>
    <t xml:space="preserve">(우)no18~no22+30 </t>
  </si>
  <si>
    <t xml:space="preserve">21</t>
  </si>
  <si>
    <t xml:space="preserve">5낙차공기초</t>
  </si>
  <si>
    <t xml:space="preserve">(우)천단 no31~no37+27</t>
  </si>
  <si>
    <t xml:space="preserve">5낙차공벽체</t>
  </si>
  <si>
    <t xml:space="preserve">(좌)천단 no31~no37+27</t>
  </si>
  <si>
    <t xml:space="preserve">(좌) no16+30~no18+10</t>
  </si>
  <si>
    <t xml:space="preserve">(우) no16+30~no18+10</t>
  </si>
  <si>
    <t xml:space="preserve">(우)no22+20~no25</t>
  </si>
  <si>
    <t xml:space="preserve">(좌) no22+20~no25</t>
  </si>
  <si>
    <t xml:space="preserve">(좌) no22+20~no25 ,(우)no22+20~no25</t>
  </si>
  <si>
    <t xml:space="preserve">2낙차공 기초</t>
  </si>
  <si>
    <t xml:space="preserve">2낙차공 벽체</t>
  </si>
  <si>
    <t xml:space="preserve">좌 no27~28+20 / no30~31</t>
  </si>
  <si>
    <t xml:space="preserve">○○○</t>
  </si>
  <si>
    <t xml:space="preserve">no45~no48 좌 우</t>
  </si>
  <si>
    <t xml:space="preserve">천단다이크</t>
  </si>
  <si>
    <t xml:space="preserve">no12~no17</t>
  </si>
  <si>
    <t xml:space="preserve">NO26~NO28</t>
  </si>
  <si>
    <t xml:space="preserve">저류지</t>
  </si>
  <si>
    <t xml:space="preserve"> </t>
  </si>
  <si>
    <t xml:space="preserve">개거버림</t>
  </si>
  <si>
    <t xml:space="preserve">우no17+14~no19+18</t>
  </si>
  <si>
    <t xml:space="preserve">직접타설</t>
  </si>
  <si>
    <t xml:space="preserve">우no19+18~no24+10</t>
  </si>
  <si>
    <t xml:space="preserve">실사용</t>
  </si>
  <si>
    <t xml:space="preserve">도로포장</t>
  </si>
  <si>
    <t xml:space="preserve">no12+10~no17</t>
  </si>
  <si>
    <t xml:space="preserve">잔여</t>
  </si>
  <si>
    <t xml:space="preserve">no12~no18</t>
  </si>
  <si>
    <t xml:space="preserve">경계석  콘크리트 타설 현황</t>
  </si>
  <si>
    <t xml:space="preserve">경계석</t>
  </si>
  <si>
    <t xml:space="preserve">L형측구</t>
  </si>
  <si>
    <t xml:space="preserve">경계석기초</t>
  </si>
  <si>
    <t xml:space="preserve">중로2-1</t>
  </si>
  <si>
    <t xml:space="preserve">25-18-12</t>
  </si>
  <si>
    <t xml:space="preserve">하천잔여수량</t>
  </si>
  <si>
    <t xml:space="preserve">기초설계</t>
  </si>
  <si>
    <t xml:space="preserve">자연석 반입</t>
  </si>
  <si>
    <t xml:space="preserve">중로2-1,2-2</t>
  </si>
  <si>
    <t xml:space="preserve">중로2-2</t>
  </si>
  <si>
    <t xml:space="preserve">중로2-1,중로2-2</t>
  </si>
  <si>
    <t xml:space="preserve">경계석 설치 수량</t>
  </si>
  <si>
    <t xml:space="preserve">200*250</t>
  </si>
  <si>
    <t xml:space="preserve">180*200</t>
  </si>
  <si>
    <t xml:space="preserve">150*150</t>
  </si>
  <si>
    <t xml:space="preserve">보도블럭</t>
  </si>
  <si>
    <t xml:space="preserve">7㎥ 저장</t>
  </si>
  <si>
    <t xml:space="preserve">V-1 벽체설계(0.1956㎥)</t>
  </si>
  <si>
    <t xml:space="preserve">.2-15</t>
  </si>
  <si>
    <t xml:space="preserve">.2-18</t>
  </si>
  <si>
    <t xml:space="preserve">200*250재시공2-18.</t>
  </si>
  <si>
    <t xml:space="preserve">중로2-4</t>
  </si>
  <si>
    <t xml:space="preserve">l형측구</t>
  </si>
  <si>
    <t xml:space="preserve">중로2-18</t>
  </si>
  <si>
    <t xml:space="preserve">2-18원형교차로수정</t>
  </si>
  <si>
    <t xml:space="preserve">중로2-5보도</t>
  </si>
  <si>
    <t xml:space="preserve">2-2보도</t>
  </si>
  <si>
    <t xml:space="preserve">중로2-3종점</t>
  </si>
  <si>
    <t xml:space="preserve">단독부지/중로3-3</t>
  </si>
  <si>
    <t xml:space="preserve">단독부지</t>
  </si>
  <si>
    <t xml:space="preserve">단독부지/중로2-8</t>
  </si>
  <si>
    <t xml:space="preserve">   현 장 명 : ○○○</t>
  </si>
  <si>
    <t xml:space="preserve">25-18-15</t>
  </si>
  <si>
    <t xml:space="preserve">25-21-8</t>
  </si>
  <si>
    <t xml:space="preserve">25-35-15</t>
  </si>
  <si>
    <t xml:space="preserve">우수맨홀</t>
  </si>
  <si>
    <t xml:space="preserve">기초버림</t>
  </si>
  <si>
    <t xml:space="preserve">○○○</t>
  </si>
  <si>
    <t xml:space="preserve">16:00~16:10</t>
  </si>
  <si>
    <t xml:space="preserve">산마루측구</t>
  </si>
  <si>
    <t xml:space="preserve">기초 </t>
  </si>
  <si>
    <t xml:space="preserve">13:02~16:00</t>
  </si>
  <si>
    <t xml:space="preserve">오수맨홀</t>
  </si>
  <si>
    <t xml:space="preserve">16:10~16:20</t>
  </si>
  <si>
    <t xml:space="preserve">벽체</t>
  </si>
  <si>
    <t xml:space="preserve">09:10~11:59</t>
  </si>
  <si>
    <t xml:space="preserve">15:58~16:08</t>
  </si>
  <si>
    <t xml:space="preserve">세륜기    관보호공</t>
  </si>
  <si>
    <t xml:space="preserve">세륜기 기초,오수관보호공</t>
  </si>
  <si>
    <t xml:space="preserve">15:58~16:40</t>
  </si>
  <si>
    <t xml:space="preserve">교량공</t>
  </si>
  <si>
    <t xml:space="preserve">교량1 교량2 슬라브</t>
  </si>
  <si>
    <t xml:space="preserve">09:20~16:00</t>
  </si>
  <si>
    <t xml:space="preserve">24</t>
  </si>
</sst>
</file>

<file path=xl/styles.xml><?xml version="1.0" encoding="utf-8"?>
<styleSheet xmlns="http://schemas.openxmlformats.org/spreadsheetml/2006/main">
  <numFmts count="83">
    <numFmt numFmtId="164" formatCode="General"/>
    <numFmt numFmtId="165" formatCode="_ * #,##0.00_ ;_ * \-#,##0.00_ ;_ * \-??_ ;_ @_ "/>
    <numFmt numFmtId="166" formatCode="\$#,##0_);[RED]&quot;($&quot;#,##0\)"/>
    <numFmt numFmtId="167" formatCode="[$-409]#,##0.00_);[RED]\(#,##0.00\)"/>
    <numFmt numFmtId="168" formatCode="0.0"/>
    <numFmt numFmtId="169" formatCode="mm&quot;월 &quot;dd\일"/>
    <numFmt numFmtId="170" formatCode="#,##0"/>
    <numFmt numFmtId="171" formatCode="0.00"/>
    <numFmt numFmtId="172" formatCode="_ \₩* #,##0_ ;_ \₩* \-#,##0_ ;_ \₩* \-_ ;_ @_ "/>
    <numFmt numFmtId="173" formatCode="_ \₩* #,##0.00_ ;_ \₩* \-#,##0.00_ ;_ \₩* \-??_ ;_ @_ "/>
    <numFmt numFmtId="174" formatCode="#,##0.00"/>
    <numFmt numFmtId="175" formatCode="&quot;RM&quot;#,##0_);&quot;(RM&quot;#,##0\)"/>
    <numFmt numFmtId="176" formatCode="#,###&quot;(원/일,*&quot;"/>
    <numFmt numFmtId="177" formatCode="\$#.00"/>
    <numFmt numFmtId="178" formatCode="\₩#&quot;!,&quot;##0;&quot;₩!-₩&quot;#&quot;!,&quot;##0"/>
    <numFmt numFmtId="179" formatCode="_-* #,##0.0_-;\-* #,##0.0_-;_-* \-_-;_-@_-"/>
    <numFmt numFmtId="180" formatCode="_ * #,##0.00_ ;_ * &quot;₩₩₩-&quot;#,##0.00_ ;_ * \-??_ ;_ @_ "/>
    <numFmt numFmtId="181" formatCode="m&quot;ont&quot;h\ d&quot;, &quot;yyyy"/>
    <numFmt numFmtId="182" formatCode="#,##0.0\ "/>
    <numFmt numFmtId="183" formatCode="\ #,##0\%"/>
    <numFmt numFmtId="184" formatCode="_-* #,##0.000_-;\-* #,##0.000_-;_-* \-??_-;_-@_-"/>
    <numFmt numFmtId="185" formatCode="0&quot; EA&quot;"/>
    <numFmt numFmtId="186" formatCode=";;;"/>
    <numFmt numFmtId="187" formatCode="#.00"/>
    <numFmt numFmtId="188" formatCode="#."/>
    <numFmt numFmtId="189" formatCode="General_)"/>
    <numFmt numFmtId="190" formatCode="[$-409]#,##0_);[RED]\(#,##0\)"/>
    <numFmt numFmtId="191" formatCode="&quot;Fr. &quot;#,##0;[RED]&quot;Fr. -&quot;#,##0"/>
    <numFmt numFmtId="192" formatCode="&quot;Fr. &quot;#,##0.00;[RED]&quot;Fr. -&quot;#,##0.00"/>
    <numFmt numFmtId="193" formatCode="[$-409]#,##0_);\(#,##0\)"/>
    <numFmt numFmtId="194" formatCode="%#.00"/>
    <numFmt numFmtId="195" formatCode="0.00%"/>
    <numFmt numFmtId="196" formatCode="\₩#,##0;&quot;₩₩-&quot;#,##0"/>
    <numFmt numFmtId="197" formatCode="_*\ ??_-"/>
    <numFmt numFmtId="198" formatCode="0.0_)"/>
    <numFmt numFmtId="199" formatCode="@"/>
    <numFmt numFmtId="200" formatCode="0&quot; t&quot;"/>
    <numFmt numFmtId="201" formatCode="#,##0\ "/>
    <numFmt numFmtId="202" formatCode="\ #,##0.0"/>
    <numFmt numFmtId="203" formatCode="_-* #,##0_-;\-* #,##0_-;_-* \-??_-;_-@_-"/>
    <numFmt numFmtId="204" formatCode="_-* #,##0.0_-;\-* #,##0.0_-;_-* \-??_-;_-@_-"/>
    <numFmt numFmtId="205" formatCode="0.0000_);[RED]\(0.0000\)"/>
    <numFmt numFmtId="206" formatCode="0%"/>
    <numFmt numFmtId="207" formatCode="m\/d"/>
    <numFmt numFmtId="208" formatCode="m&quot;월 &quot;d\일"/>
    <numFmt numFmtId="209" formatCode="0_);\(0\)"/>
    <numFmt numFmtId="210" formatCode="0.0%"/>
    <numFmt numFmtId="211" formatCode="0_ "/>
    <numFmt numFmtId="212" formatCode="0.000_ "/>
    <numFmt numFmtId="213" formatCode="0.00000"/>
    <numFmt numFmtId="214" formatCode="0"/>
    <numFmt numFmtId="215" formatCode="0.000"/>
    <numFmt numFmtId="216" formatCode="0.000\ "/>
    <numFmt numFmtId="217" formatCode="_-* #,##0_-;\-* #,##0_-;_-* \-_-;_-@_-"/>
    <numFmt numFmtId="218" formatCode="0.00&quot; )&quot;"/>
    <numFmt numFmtId="219" formatCode="0.00&quot; )]&quot;"/>
    <numFmt numFmtId="220" formatCode="#,##0;\-#,##0"/>
    <numFmt numFmtId="221" formatCode="_ * #,##0_ ;_ * &quot;₩₩!!-&quot;#,##0_ ;_ * \-??_ ;_ @_ "/>
    <numFmt numFmtId="222" formatCode="\₩#,##0.00;&quot;!-₩&quot;#,##0.00"/>
    <numFmt numFmtId="223" formatCode="\₩#,##0.00;[RED]&quot;₩!!-₩&quot;#,##0.00"/>
    <numFmt numFmtId="224" formatCode="_-\₩* #,##0.00_-;&quot;!-₩&quot;* #,##0.00_-;_-\₩* \-??_-;_-@_-"/>
    <numFmt numFmtId="225" formatCode="\₩#,##0;[RED]&quot;₩₩!!-₩&quot;#,##0"/>
    <numFmt numFmtId="226" formatCode="0.00_);[RED]\(0.00\)"/>
    <numFmt numFmtId="227" formatCode="_-* #,##0.00_-;&quot;₩₩₩!!!-&quot;* #,##0.00_-;_-* \-??_-;_-@_-"/>
    <numFmt numFmtId="228" formatCode="_-* #,##0_-;&quot;₩!!-&quot;* #,##0_-;_-* \-_-;_-@_-"/>
    <numFmt numFmtId="229" formatCode="\₩#,##0;&quot;₩!-₩&quot;#,##0"/>
    <numFmt numFmtId="230" formatCode="\₩#,##0.00;[RED]&quot;₩₩!!-₩&quot;#,##0.00"/>
    <numFmt numFmtId="231" formatCode="0.00000_);[RED]\(0.00000\)"/>
    <numFmt numFmtId="232" formatCode="0.000&quot; ²&quot;"/>
    <numFmt numFmtId="233" formatCode="&quot;( &quot;0.00"/>
    <numFmt numFmtId="234" formatCode="&quot;[( &quot;0.00"/>
    <numFmt numFmtId="235" formatCode="#,##0.00_ "/>
    <numFmt numFmtId="236" formatCode="_ * #,##0_ ;_ * \-#,##0_ ;_ * \-_ ;_ @_ "/>
    <numFmt numFmtId="237" formatCode="_ * #,##0_ ;_ * &quot;₩₩₩₩-&quot;#,##0_ ;_ * \-_ ;_ @_ "/>
    <numFmt numFmtId="238" formatCode="#,##0.0"/>
    <numFmt numFmtId="239" formatCode="#,##0_ "/>
    <numFmt numFmtId="240" formatCode="_-* #,##0.000_-;\-* #,##0.000_-;_-* \-_-;_-@_-"/>
    <numFmt numFmtId="241" formatCode="0.000000_);[RED]\(0.000000\)"/>
    <numFmt numFmtId="242" formatCode="0.0_);[RED]\(0.0\)"/>
    <numFmt numFmtId="243" formatCode="0_);[RED]\(0\)"/>
    <numFmt numFmtId="244" formatCode="0.000_);[RED]\(0.000\)"/>
    <numFmt numFmtId="245" formatCode="[$-409]m/d/yyyy"/>
    <numFmt numFmtId="246" formatCode="#,##0.0_ "/>
  </numFmts>
  <fonts count="85">
    <font>
      <sz val="11"/>
      <name val="돋움"/>
      <charset val="129"/>
      <family val="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ourier New"/>
      <family val="3"/>
    </font>
    <font>
      <sz val="12"/>
      <name val="바탕체"/>
      <family val="1"/>
      <charset val="129"/>
    </font>
    <font>
      <sz val="11"/>
      <color rgb="FF00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sz val="10"/>
      <name val="Arial"/>
      <family val="2"/>
    </font>
    <font>
      <sz val="10"/>
      <name val="MS Sans Serif"/>
      <family val="2"/>
    </font>
    <font>
      <b val="true"/>
      <sz val="11"/>
      <name val="돋움"/>
      <family val="3"/>
      <charset val="129"/>
    </font>
    <font>
      <b val="true"/>
      <sz val="10"/>
      <name val="Arial"/>
      <family val="2"/>
    </font>
    <font>
      <sz val="10"/>
      <color rgb="FF000000"/>
      <name val="Impact"/>
      <family val="2"/>
    </font>
    <font>
      <sz val="10"/>
      <color rgb="FFFFFFFF"/>
      <name val="Arial"/>
      <family val="2"/>
    </font>
    <font>
      <sz val="1"/>
      <color rgb="FF000000"/>
      <name val="Courier New"/>
      <family val="3"/>
    </font>
    <font>
      <sz val="12"/>
      <name val="¹UAAA¼"/>
      <family val="1"/>
      <charset val="129"/>
    </font>
    <font>
      <sz val="10"/>
      <name val="±¼¸²A¼"/>
      <family val="3"/>
      <charset val="129"/>
    </font>
    <font>
      <sz val="9"/>
      <name val="Arial"/>
      <family val="2"/>
    </font>
    <font>
      <u val="single"/>
      <sz val="8.5"/>
      <color rgb="FF800080"/>
      <name val="바탕체"/>
      <family val="1"/>
      <charset val="129"/>
    </font>
    <font>
      <sz val="8"/>
      <name val="Arial"/>
      <family val="2"/>
    </font>
    <font>
      <sz val="10"/>
      <name val="바탕체"/>
      <family val="1"/>
      <charset val="129"/>
    </font>
    <font>
      <b val="true"/>
      <sz val="12"/>
      <name val="Arial"/>
      <family val="2"/>
    </font>
    <font>
      <b val="true"/>
      <sz val="18"/>
      <name val="Arial"/>
      <family val="2"/>
    </font>
    <font>
      <b val="true"/>
      <sz val="1"/>
      <color rgb="FF000000"/>
      <name val="Courier New"/>
      <family val="3"/>
    </font>
    <font>
      <u val="single"/>
      <sz val="8.5"/>
      <color rgb="FF0000FF"/>
      <name val="바탕체"/>
      <family val="1"/>
      <charset val="129"/>
    </font>
    <font>
      <b val="true"/>
      <i val="true"/>
      <sz val="12"/>
      <name val="Times New Roman"/>
      <family val="1"/>
    </font>
    <font>
      <b val="true"/>
      <sz val="11"/>
      <name val="Arial"/>
      <family val="2"/>
    </font>
    <font>
      <sz val="7"/>
      <name val="Small Fonts"/>
      <family val="2"/>
    </font>
    <font>
      <sz val="12"/>
      <name val="Arial"/>
      <family val="2"/>
    </font>
    <font>
      <b val="true"/>
      <i val="true"/>
      <sz val="9"/>
      <name val="Times New Roman"/>
      <family val="1"/>
    </font>
    <font>
      <b val="true"/>
      <i val="true"/>
      <sz val="18"/>
      <color rgb="FF0000FF"/>
      <name val="돋움체"/>
      <family val="3"/>
      <charset val="129"/>
    </font>
    <font>
      <b val="true"/>
      <u val="single"/>
      <sz val="13"/>
      <name val="굴림체"/>
      <family val="3"/>
      <charset val="129"/>
    </font>
    <font>
      <sz val="12"/>
      <name val="굴림체"/>
      <family val="3"/>
      <charset val="129"/>
    </font>
    <font>
      <sz val="8"/>
      <name val="바탕체"/>
      <family val="1"/>
      <charset val="129"/>
    </font>
    <font>
      <sz val="12"/>
      <name val="¹ÙÅÁÃ¼"/>
      <family val="3"/>
      <charset val="129"/>
    </font>
    <font>
      <sz val="11"/>
      <color rgb="FFFF0000"/>
      <name val="맑은 고딕"/>
      <family val="3"/>
      <charset val="129"/>
    </font>
    <font>
      <b val="true"/>
      <sz val="11"/>
      <color rgb="FFFF9900"/>
      <name val="맑은 고딕"/>
      <family val="3"/>
      <charset val="129"/>
    </font>
    <font>
      <sz val="12"/>
      <name val="명조"/>
      <family val="3"/>
      <charset val="129"/>
    </font>
    <font>
      <sz val="8"/>
      <name val="굴림체"/>
      <family val="3"/>
      <charset val="129"/>
    </font>
    <font>
      <sz val="11"/>
      <color rgb="FF800080"/>
      <name val="맑은 고딕"/>
      <family val="3"/>
      <charset val="129"/>
    </font>
    <font>
      <u val="single"/>
      <sz val="12"/>
      <color rgb="FF800080"/>
      <name val="바탕체"/>
      <family val="1"/>
      <charset val="129"/>
    </font>
    <font>
      <sz val="11"/>
      <name val="굴림체"/>
      <family val="3"/>
      <charset val="129"/>
    </font>
    <font>
      <sz val="11"/>
      <color rgb="FF993300"/>
      <name val="맑은 고딕"/>
      <family val="3"/>
      <charset val="129"/>
    </font>
    <font>
      <sz val="12"/>
      <name val="뼻뮝"/>
      <family val="1"/>
      <charset val="129"/>
    </font>
    <font>
      <i val="true"/>
      <sz val="11"/>
      <color rgb="FF808080"/>
      <name val="맑은 고딕"/>
      <family val="3"/>
      <charset val="129"/>
    </font>
    <font>
      <b val="true"/>
      <sz val="11"/>
      <color rgb="FFFFFFFF"/>
      <name val="맑은 고딕"/>
      <family val="3"/>
      <charset val="129"/>
    </font>
    <font>
      <sz val="9"/>
      <name val="돋움체"/>
      <family val="3"/>
      <charset val="129"/>
    </font>
    <font>
      <sz val="10"/>
      <name val="돋움"/>
      <family val="3"/>
      <charset val="129"/>
    </font>
    <font>
      <sz val="10"/>
      <name val="명조"/>
      <family val="3"/>
      <charset val="129"/>
    </font>
    <font>
      <sz val="11"/>
      <color rgb="FFFF99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sz val="9"/>
      <name val="돋움"/>
      <family val="3"/>
      <charset val="129"/>
    </font>
    <font>
      <sz val="10"/>
      <color rgb="FF0000FF"/>
      <name val="굴림체"/>
      <family val="3"/>
      <charset val="129"/>
    </font>
    <font>
      <sz val="11"/>
      <color rgb="FF333399"/>
      <name val="맑은 고딕"/>
      <family val="3"/>
      <charset val="129"/>
    </font>
    <font>
      <b val="true"/>
      <sz val="15"/>
      <color rgb="FF003366"/>
      <name val="맑은 고딕"/>
      <family val="3"/>
      <charset val="129"/>
    </font>
    <font>
      <b val="true"/>
      <sz val="13"/>
      <color rgb="FF003366"/>
      <name val="맑은 고딕"/>
      <family val="3"/>
      <charset val="129"/>
    </font>
    <font>
      <b val="true"/>
      <sz val="11"/>
      <color rgb="FF003366"/>
      <name val="맑은 고딕"/>
      <family val="3"/>
      <charset val="129"/>
    </font>
    <font>
      <b val="true"/>
      <sz val="18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 val="true"/>
      <sz val="11"/>
      <color rgb="FF333333"/>
      <name val="맑은 고딕"/>
      <family val="3"/>
      <charset val="129"/>
    </font>
    <font>
      <sz val="10"/>
      <name val="굴림체"/>
      <family val="3"/>
      <charset val="129"/>
    </font>
    <font>
      <sz val="12"/>
      <name val="휴먼옛체"/>
      <family val="1"/>
      <charset val="129"/>
    </font>
    <font>
      <sz val="10"/>
      <name val="돋움체"/>
      <family val="3"/>
      <charset val="129"/>
    </font>
    <font>
      <sz val="11"/>
      <name val="돋움체"/>
      <family val="3"/>
      <charset val="129"/>
    </font>
    <font>
      <b val="true"/>
      <u val="single"/>
      <sz val="16"/>
      <name val="굴림체"/>
      <family val="3"/>
      <charset val="129"/>
    </font>
    <font>
      <sz val="11"/>
      <color rgb="FFFFFFFF"/>
      <name val="돋움"/>
      <family val="3"/>
      <charset val="129"/>
    </font>
    <font>
      <sz val="10"/>
      <name val="Century Gothic"/>
      <family val="2"/>
    </font>
    <font>
      <b val="true"/>
      <sz val="11"/>
      <name val="굴림체"/>
      <family val="3"/>
      <charset val="129"/>
    </font>
    <font>
      <b val="true"/>
      <sz val="24"/>
      <name val="굴림체"/>
      <family val="3"/>
      <charset val="129"/>
    </font>
    <font>
      <b val="true"/>
      <sz val="14"/>
      <name val="굴림체"/>
      <family val="3"/>
      <charset val="129"/>
    </font>
    <font>
      <b val="true"/>
      <sz val="11"/>
      <color rgb="FFFF0000"/>
      <name val="굴림체"/>
      <family val="3"/>
      <charset val="129"/>
    </font>
    <font>
      <sz val="20"/>
      <color rgb="FFFF0000"/>
      <name val="굴림체"/>
      <family val="3"/>
      <charset val="129"/>
    </font>
    <font>
      <sz val="11"/>
      <color rgb="FFFFFFFF"/>
      <name val="굴림체"/>
      <family val="3"/>
      <charset val="129"/>
    </font>
    <font>
      <sz val="11"/>
      <color rgb="FF000000"/>
      <name val="굴림체"/>
      <family val="3"/>
      <charset val="129"/>
    </font>
    <font>
      <sz val="11"/>
      <color rgb="FFFF0000"/>
      <name val="굴림체"/>
      <family val="3"/>
      <charset val="129"/>
    </font>
    <font>
      <sz val="9"/>
      <name val="굴림체"/>
      <family val="3"/>
      <charset val="129"/>
    </font>
    <font>
      <sz val="11"/>
      <color rgb="FF0000FF"/>
      <name val="굴림체"/>
      <family val="3"/>
      <charset val="129"/>
    </font>
    <font>
      <b val="true"/>
      <sz val="9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돋움"/>
      <family val="3"/>
      <charset val="129"/>
    </font>
    <font>
      <sz val="11"/>
      <color rgb="FF000000"/>
      <name val="Noto Sans CJK SC"/>
      <family val="2"/>
    </font>
    <font>
      <sz val="9"/>
      <color rgb="FF000000"/>
      <name val="Tahoma"/>
      <family val="2"/>
    </font>
    <font>
      <sz val="9"/>
      <color rgb="FF000000"/>
      <name val="돋움"/>
      <family val="3"/>
      <charset val="129"/>
    </font>
    <font>
      <sz val="9"/>
      <color rgb="FF000000"/>
      <name val="Noto Sans CJK SC"/>
      <family val="2"/>
    </font>
    <font>
      <b val="true"/>
      <sz val="9"/>
      <color rgb="FF000000"/>
      <name val="굴림"/>
      <family val="3"/>
      <charset val="129"/>
    </font>
  </fonts>
  <fills count="19">
    <fill>
      <patternFill patternType="none"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217" fontId="0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center" textRotation="0" wrapText="false" indent="0" shrinkToFit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5" fillId="0" borderId="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applyFont="true" applyBorder="false" applyAlignment="false" applyProtection="false"/>
    <xf numFmtId="164" fontId="6" fillId="3" borderId="0" applyFont="true" applyBorder="false" applyAlignment="false" applyProtection="false"/>
    <xf numFmtId="164" fontId="6" fillId="4" borderId="0" applyFont="true" applyBorder="false" applyAlignment="false" applyProtection="false"/>
    <xf numFmtId="164" fontId="6" fillId="5" borderId="0" applyFont="true" applyBorder="false" applyAlignment="false" applyProtection="false"/>
    <xf numFmtId="164" fontId="6" fillId="6" borderId="0" applyFont="true" applyBorder="false" applyAlignment="false" applyProtection="false"/>
    <xf numFmtId="164" fontId="6" fillId="7" borderId="0" applyFont="true" applyBorder="false" applyAlignment="false" applyProtection="false"/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6" fillId="8" borderId="0" applyFont="true" applyBorder="false" applyAlignment="false" applyProtection="false"/>
    <xf numFmtId="164" fontId="6" fillId="9" borderId="0" applyFont="true" applyBorder="false" applyAlignment="false" applyProtection="false"/>
    <xf numFmtId="164" fontId="6" fillId="10" borderId="0" applyFont="true" applyBorder="false" applyAlignment="false" applyProtection="false"/>
    <xf numFmtId="164" fontId="6" fillId="5" borderId="0" applyFont="true" applyBorder="false" applyAlignment="false" applyProtection="false"/>
    <xf numFmtId="164" fontId="6" fillId="8" borderId="0" applyFont="true" applyBorder="false" applyAlignment="false" applyProtection="false"/>
    <xf numFmtId="164" fontId="6" fillId="11" borderId="0" applyFont="true" applyBorder="false" applyAlignment="false" applyProtection="false"/>
    <xf numFmtId="167" fontId="0" fillId="0" borderId="0" applyFont="true" applyBorder="false" applyAlignment="false" applyProtection="false"/>
    <xf numFmtId="164" fontId="7" fillId="12" borderId="0" applyFont="true" applyBorder="false" applyAlignment="false" applyProtection="false"/>
    <xf numFmtId="164" fontId="7" fillId="9" borderId="0" applyFont="true" applyBorder="false" applyAlignment="false" applyProtection="false"/>
    <xf numFmtId="164" fontId="7" fillId="10" borderId="0" applyFont="true" applyBorder="false" applyAlignment="false" applyProtection="false"/>
    <xf numFmtId="164" fontId="7" fillId="13" borderId="0" applyFont="true" applyBorder="false" applyAlignment="false" applyProtection="false"/>
    <xf numFmtId="164" fontId="7" fillId="14" borderId="0" applyFont="true" applyBorder="false" applyAlignment="false" applyProtection="false"/>
    <xf numFmtId="164" fontId="7" fillId="15" borderId="0" applyFont="true" applyBorder="false" applyAlignment="false" applyProtection="false"/>
    <xf numFmtId="165" fontId="0" fillId="0" borderId="0" applyFont="true" applyBorder="false" applyAlignment="false" applyProtection="false"/>
    <xf numFmtId="164" fontId="0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2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3" fontId="6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2" fontId="4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3" fontId="6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6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3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1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2" fontId="41" fillId="1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3" fontId="67" fillId="1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3" fontId="41" fillId="1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4" fontId="41" fillId="1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2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6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6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7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5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3" fontId="4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3" fontId="7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2" fontId="7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4" fontId="7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3" fontId="7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5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2" fontId="7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7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6" fontId="73" fillId="0" borderId="3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7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7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3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17" fontId="7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5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5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2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2" fontId="41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4" fontId="41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6" fontId="41" fillId="17" borderId="3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1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2" fontId="41" fillId="1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4" fontId="41" fillId="1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9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9" fontId="41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41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2" fontId="41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4" fontId="41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5" fontId="4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245" fontId="7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2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243" fontId="7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6" fontId="70" fillId="0" borderId="3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243" fontId="4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2" fontId="4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4" fontId="4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26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7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3" fontId="7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5" fontId="74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5" fontId="41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246" fontId="73" fillId="18" borderId="3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243" fontId="41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2" fontId="41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4" fontId="41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32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스타일 1" xfId="20"/>
    <cellStyle name="스타일 2" xfId="21"/>
    <cellStyle name="스타일 3" xfId="22"/>
    <cellStyle name="스타일 4" xfId="23"/>
    <cellStyle name="스타일 5" xfId="24"/>
    <cellStyle name="스타일 6" xfId="25"/>
    <cellStyle name="스타일 7" xfId="26"/>
    <cellStyle name="스타일 8" xfId="27"/>
    <cellStyle name="스타일 9" xfId="28"/>
    <cellStyle name="스타일 10" xfId="29"/>
    <cellStyle name="스타일 11" xfId="30"/>
    <cellStyle name="스타일 12" xfId="31"/>
    <cellStyle name="스타일 13" xfId="32"/>
    <cellStyle name="스타일 14" xfId="33"/>
    <cellStyle name="스타일 15" xfId="34"/>
    <cellStyle name="스타일 16" xfId="35"/>
    <cellStyle name="스타일 17" xfId="36"/>
    <cellStyle name="스타일 18" xfId="37"/>
    <cellStyle name="스타일 19" xfId="38"/>
    <cellStyle name="스타일 20" xfId="39"/>
    <cellStyle name="스타일 21" xfId="40"/>
    <cellStyle name="스타일 22" xfId="41"/>
    <cellStyle name="스타일 23" xfId="42"/>
    <cellStyle name="스타일 24" xfId="43"/>
    <cellStyle name="스타일 25" xfId="44"/>
    <cellStyle name="스타일 26" xfId="45"/>
    <cellStyle name="스타일 27" xfId="46"/>
    <cellStyle name="스타일 28" xfId="47"/>
    <cellStyle name="스타일 29" xfId="48"/>
    <cellStyle name="스타일 30" xfId="49"/>
    <cellStyle name="스타일 31" xfId="50"/>
    <cellStyle name="스타일 32" xfId="51"/>
    <cellStyle name="스타일 33" xfId="52"/>
    <cellStyle name="스타일 34" xfId="53"/>
    <cellStyle name="스타일 35" xfId="54"/>
    <cellStyle name="스타일 36" xfId="55"/>
    <cellStyle name="스타일 37" xfId="56"/>
    <cellStyle name="스타일 38" xfId="57"/>
    <cellStyle name="스타일 39" xfId="58"/>
    <cellStyle name="스타일 40" xfId="59"/>
    <cellStyle name="스타일 41" xfId="60"/>
    <cellStyle name="스타일 42" xfId="61"/>
    <cellStyle name="스타일 43" xfId="62"/>
    <cellStyle name="스타일 44" xfId="63"/>
    <cellStyle name="스타일 45" xfId="64"/>
    <cellStyle name="스타일 46" xfId="65"/>
    <cellStyle name="스타일 47" xfId="66"/>
    <cellStyle name="스타일 48" xfId="67"/>
    <cellStyle name="스타일 49" xfId="68"/>
    <cellStyle name="스타일 50" xfId="69"/>
    <cellStyle name="스타일 51" xfId="70"/>
    <cellStyle name="스타일 52" xfId="71"/>
    <cellStyle name="스타일 53" xfId="72"/>
    <cellStyle name="스타일 54" xfId="73"/>
    <cellStyle name="스타일 55" xfId="74"/>
    <cellStyle name="스타일 56" xfId="75"/>
    <cellStyle name="스타일 57" xfId="76"/>
    <cellStyle name="스타일 58" xfId="77"/>
    <cellStyle name="스타일 59" xfId="78"/>
    <cellStyle name="스타일 60" xfId="79"/>
    <cellStyle name="스타일 61" xfId="80"/>
    <cellStyle name="스타일 62" xfId="81"/>
    <cellStyle name="스타일 63" xfId="82"/>
    <cellStyle name="스타일 64" xfId="83"/>
    <cellStyle name="스타일 65" xfId="84"/>
    <cellStyle name="스타일 66" xfId="85"/>
    <cellStyle name="스타일 67" xfId="86"/>
    <cellStyle name="스타일 68" xfId="87"/>
    <cellStyle name="스타일 69" xfId="88"/>
    <cellStyle name="스타일 70" xfId="89"/>
    <cellStyle name="스타일 71" xfId="90"/>
    <cellStyle name="스타일 72" xfId="91"/>
    <cellStyle name="스타일 73" xfId="92"/>
    <cellStyle name="스타일 74" xfId="93"/>
    <cellStyle name="스타일 75" xfId="94"/>
    <cellStyle name="스타일 76" xfId="95"/>
    <cellStyle name="스타일 77" xfId="96"/>
    <cellStyle name="스타일 78" xfId="97"/>
    <cellStyle name="스타일 79" xfId="98"/>
    <cellStyle name="스타일 80" xfId="99"/>
    <cellStyle name="스타일 81" xfId="100"/>
    <cellStyle name="스타일 82" xfId="101"/>
    <cellStyle name="스타일 83" xfId="102"/>
    <cellStyle name="스타일 84" xfId="103"/>
    <cellStyle name="스타일 85" xfId="104"/>
    <cellStyle name="스타일 86" xfId="105"/>
    <cellStyle name="스타일 87" xfId="106"/>
    <cellStyle name="스타일 88" xfId="107"/>
    <cellStyle name="스타일 89" xfId="108"/>
    <cellStyle name="스타일 90" xfId="109"/>
    <cellStyle name="스타일 91" xfId="110"/>
    <cellStyle name="스타일 92" xfId="111"/>
    <cellStyle name="스타일 93" xfId="112"/>
    <cellStyle name="스타일 94" xfId="113"/>
    <cellStyle name="스타일 95" xfId="114"/>
    <cellStyle name="스타일 96" xfId="115"/>
    <cellStyle name="스타일 97" xfId="116"/>
    <cellStyle name="스타일 98" xfId="117"/>
    <cellStyle name="스타일 99" xfId="118"/>
    <cellStyle name="스타일 100" xfId="119"/>
    <cellStyle name="스타일 101" xfId="120"/>
    <cellStyle name="스타일 102" xfId="121"/>
    <cellStyle name="스타일 103" xfId="122"/>
    <cellStyle name="스타일 104" xfId="123"/>
    <cellStyle name="스타일 105" xfId="124"/>
    <cellStyle name="스타일 106" xfId="125"/>
    <cellStyle name="스타일 107" xfId="126"/>
    <cellStyle name="스타일 108" xfId="127"/>
    <cellStyle name="스타일 109" xfId="128"/>
    <cellStyle name="스타일 110" xfId="129"/>
    <cellStyle name="스타일 111" xfId="130"/>
    <cellStyle name="스타일 112" xfId="131"/>
    <cellStyle name="스타일 113" xfId="132"/>
    <cellStyle name="스타일 114" xfId="133"/>
    <cellStyle name="스타일 115" xfId="134"/>
    <cellStyle name="스타일 116" xfId="135"/>
    <cellStyle name="스타일 117" xfId="136"/>
    <cellStyle name="스타일 118" xfId="137"/>
    <cellStyle name="스타일 119" xfId="138"/>
    <cellStyle name="스타일 120" xfId="139"/>
    <cellStyle name="스타일 121" xfId="140"/>
    <cellStyle name="스타일 122" xfId="141"/>
    <cellStyle name="스타일 123" xfId="142"/>
    <cellStyle name="스타일 124" xfId="143"/>
    <cellStyle name="스타일 125" xfId="144"/>
    <cellStyle name="스타일 126" xfId="145"/>
    <cellStyle name="스타일 127" xfId="146"/>
    <cellStyle name="스타일 128" xfId="147"/>
    <cellStyle name="스타일 129" xfId="148"/>
    <cellStyle name="스타일 130" xfId="149"/>
    <cellStyle name="스타일 131" xfId="150"/>
    <cellStyle name="스타일 132" xfId="151"/>
    <cellStyle name="스타일 133" xfId="152"/>
    <cellStyle name="스타일 134" xfId="153"/>
    <cellStyle name="스타일 135" xfId="154"/>
    <cellStyle name="스타일 136" xfId="155"/>
    <cellStyle name="스타일 137" xfId="156"/>
    <cellStyle name="스타일 138" xfId="157"/>
    <cellStyle name="스타일 139" xfId="158"/>
    <cellStyle name="스타일 140" xfId="159"/>
    <cellStyle name="스타일 141" xfId="160"/>
    <cellStyle name="스타일 142" xfId="161"/>
    <cellStyle name="스타일 143" xfId="162"/>
    <cellStyle name="스타일 144" xfId="163"/>
    <cellStyle name="스타일 145" xfId="164"/>
    <cellStyle name="스타일 146" xfId="165"/>
    <cellStyle name="스타일 147" xfId="166"/>
    <cellStyle name="스타일 148" xfId="167"/>
    <cellStyle name="스타일 149" xfId="168"/>
    <cellStyle name="스타일 150" xfId="169"/>
    <cellStyle name="스타일 151" xfId="170"/>
    <cellStyle name="스타일 152" xfId="171"/>
    <cellStyle name="스타일 153" xfId="172"/>
    <cellStyle name="스타일 154" xfId="173"/>
    <cellStyle name="스타일 155" xfId="174"/>
    <cellStyle name="스타일 156" xfId="175"/>
    <cellStyle name="스타일 157" xfId="176"/>
    <cellStyle name="스타일 158" xfId="177"/>
    <cellStyle name="스타일 159" xfId="178"/>
    <cellStyle name="스타일 160" xfId="179"/>
    <cellStyle name="스타일 161" xfId="180"/>
    <cellStyle name="스타일 162" xfId="181"/>
    <cellStyle name="스타일 163" xfId="182"/>
    <cellStyle name="스타일 164" xfId="183"/>
    <cellStyle name="스타일 165" xfId="184"/>
    <cellStyle name="스타일 166" xfId="185"/>
    <cellStyle name="스타일 167" xfId="186"/>
    <cellStyle name="스타일 168" xfId="187"/>
    <cellStyle name="스타일 169" xfId="188"/>
    <cellStyle name="스타일 170" xfId="189"/>
    <cellStyle name="스타일 171" xfId="190"/>
    <cellStyle name="스타일 172" xfId="191"/>
    <cellStyle name="스타일 173" xfId="192"/>
    <cellStyle name="스타일 174" xfId="193"/>
    <cellStyle name="스타일 175" xfId="194"/>
    <cellStyle name="스타일 176" xfId="195"/>
    <cellStyle name="스타일 177" xfId="196"/>
    <cellStyle name="스타일 178" xfId="197"/>
    <cellStyle name="스타일 179" xfId="198"/>
    <cellStyle name="스타일 180" xfId="199"/>
    <cellStyle name="스타일 181" xfId="200"/>
    <cellStyle name="스타일 182" xfId="201"/>
    <cellStyle name="스타일 183" xfId="202"/>
    <cellStyle name="스타일 184" xfId="203"/>
    <cellStyle name="스타일 185" xfId="204"/>
    <cellStyle name="스타일 186" xfId="205"/>
    <cellStyle name="스타일 187" xfId="206"/>
    <cellStyle name="스타일 188" xfId="207"/>
    <cellStyle name="스타일 189" xfId="208"/>
    <cellStyle name="스타일 190" xfId="209"/>
    <cellStyle name="스타일 191" xfId="210"/>
    <cellStyle name="스타일 192" xfId="211"/>
    <cellStyle name="스타일 193" xfId="212"/>
    <cellStyle name="스타일 194" xfId="213"/>
    <cellStyle name="스타일 195" xfId="214"/>
    <cellStyle name="스타일 196" xfId="215"/>
    <cellStyle name="스타일 197" xfId="216"/>
    <cellStyle name="스타일 198" xfId="217"/>
    <cellStyle name="스타일 199" xfId="218"/>
    <cellStyle name="스타일 200" xfId="219"/>
    <cellStyle name="스타일 201" xfId="220"/>
    <cellStyle name="스타일 202" xfId="221"/>
    <cellStyle name="스타일 203" xfId="222"/>
    <cellStyle name="스타일 204" xfId="223"/>
    <cellStyle name="스타일 205" xfId="224"/>
    <cellStyle name="스타일 206" xfId="225"/>
    <cellStyle name="스타일 207" xfId="226"/>
    <cellStyle name="스타일 208" xfId="227"/>
    <cellStyle name="스타일 209" xfId="228"/>
    <cellStyle name="스타일 210" xfId="229"/>
    <cellStyle name="스타일 211" xfId="230"/>
    <cellStyle name="스타일 212" xfId="231"/>
    <cellStyle name="스타일 213" xfId="232"/>
    <cellStyle name="스타일 214" xfId="233"/>
    <cellStyle name="스타일 215" xfId="234"/>
    <cellStyle name="스타일 216" xfId="235"/>
    <cellStyle name="스타일 217" xfId="236"/>
    <cellStyle name="스타일 218" xfId="237"/>
    <cellStyle name="스타일 219" xfId="238"/>
    <cellStyle name="스타일 220" xfId="239"/>
    <cellStyle name="스타일 221" xfId="240"/>
    <cellStyle name="스타일 222" xfId="241"/>
    <cellStyle name="스타일 223" xfId="242"/>
    <cellStyle name="스타일 224" xfId="243"/>
    <cellStyle name="스타일 225" xfId="244"/>
    <cellStyle name="스타일 226" xfId="245"/>
    <cellStyle name="스타일 227" xfId="246"/>
    <cellStyle name="스타일 228" xfId="247"/>
    <cellStyle name="스타일 229" xfId="248"/>
    <cellStyle name="스타일 230" xfId="249"/>
    <cellStyle name="스타일 231" xfId="250"/>
    <cellStyle name="스타일 232" xfId="251"/>
    <cellStyle name="스타일 233" xfId="252"/>
    <cellStyle name="스타일 234" xfId="253"/>
    <cellStyle name="스타일 235" xfId="254"/>
    <cellStyle name="스타일 236" xfId="255"/>
    <cellStyle name="스타일 237" xfId="256"/>
    <cellStyle name="스타일 238" xfId="257"/>
    <cellStyle name="스타일 239" xfId="258"/>
    <cellStyle name="스타일 240" xfId="259"/>
    <cellStyle name="스타일 241" xfId="260"/>
    <cellStyle name="스타일 242" xfId="261"/>
    <cellStyle name="스타일 243" xfId="262"/>
    <cellStyle name="스타일 244" xfId="263"/>
    <cellStyle name="스타일 245" xfId="264"/>
    <cellStyle name="스타일 246" xfId="265"/>
    <cellStyle name="스타일 247" xfId="266"/>
    <cellStyle name="스타일 248" xfId="267"/>
    <cellStyle name="스타일 249" xfId="268"/>
    <cellStyle name="스타일 250" xfId="269"/>
    <cellStyle name="스타일 251" xfId="270"/>
    <cellStyle name="스타일 252" xfId="271"/>
    <cellStyle name="스타일 253" xfId="272"/>
    <cellStyle name="스타일 254" xfId="273"/>
    <cellStyle name="스타일 255" xfId="274"/>
    <cellStyle name="스타일 256" xfId="275"/>
    <cellStyle name="스타일 257" xfId="276"/>
    <cellStyle name="스타일 258" xfId="277"/>
    <cellStyle name="스타일 259" xfId="278"/>
    <cellStyle name="스타일 260" xfId="279"/>
    <cellStyle name="스타일 261" xfId="280"/>
    <cellStyle name="스타일 262" xfId="281"/>
    <cellStyle name="스타일 263" xfId="282"/>
    <cellStyle name="스타일 264" xfId="283"/>
    <cellStyle name="스타일 265" xfId="284"/>
    <cellStyle name="스타일 266" xfId="285"/>
    <cellStyle name="스타일 267" xfId="286"/>
    <cellStyle name="스타일 268" xfId="287"/>
    <cellStyle name="스타일 269" xfId="288"/>
    <cellStyle name="스타일 270" xfId="289"/>
    <cellStyle name="스타일 271" xfId="290"/>
    <cellStyle name="스타일 272" xfId="291"/>
    <cellStyle name="스타일 273" xfId="292"/>
    <cellStyle name="스타일 274" xfId="293"/>
    <cellStyle name="스타일 275" xfId="294"/>
    <cellStyle name="스타일 276" xfId="295"/>
    <cellStyle name="스타일 277" xfId="296"/>
    <cellStyle name="스타일 278" xfId="297"/>
    <cellStyle name="스타일 279" xfId="298"/>
    <cellStyle name="스타일 280" xfId="299"/>
    <cellStyle name="스타일 281" xfId="300"/>
    <cellStyle name="스타일 282" xfId="301"/>
    <cellStyle name="스타일 283" xfId="302"/>
    <cellStyle name="스타일 284" xfId="303"/>
    <cellStyle name="스타일 285" xfId="304"/>
    <cellStyle name="스타일 286" xfId="305"/>
    <cellStyle name="스타일 287" xfId="306"/>
    <cellStyle name="스타일 288" xfId="307"/>
    <cellStyle name="스타일 289" xfId="308"/>
    <cellStyle name="스타일 290" xfId="309"/>
    <cellStyle name="스타일 291" xfId="310"/>
    <cellStyle name="스타일 292" xfId="311"/>
    <cellStyle name="스타일 293" xfId="312"/>
    <cellStyle name="스타일 294" xfId="313"/>
    <cellStyle name="스타일 295" xfId="314"/>
    <cellStyle name="스타일 296" xfId="315"/>
    <cellStyle name="스타일 297" xfId="316"/>
    <cellStyle name="스타일 298" xfId="317"/>
    <cellStyle name="스타일 299" xfId="318"/>
    <cellStyle name="스타일 300" xfId="319"/>
    <cellStyle name="스타일 301" xfId="320"/>
    <cellStyle name="스타일 302" xfId="321"/>
    <cellStyle name="스타일 303" xfId="322"/>
    <cellStyle name="스타일 304" xfId="323"/>
    <cellStyle name="스타일 305" xfId="324"/>
    <cellStyle name="스타일 306" xfId="325"/>
    <cellStyle name="스타일 307" xfId="326"/>
    <cellStyle name="스타일 308" xfId="327"/>
    <cellStyle name="스타일 309" xfId="328"/>
    <cellStyle name="스타일 310" xfId="329"/>
    <cellStyle name="스타일 311" xfId="330"/>
    <cellStyle name="스타일 312" xfId="331"/>
    <cellStyle name="스타일 313" xfId="332"/>
    <cellStyle name="스타일 314" xfId="333"/>
    <cellStyle name="스타일 315" xfId="334"/>
    <cellStyle name="스타일 316" xfId="335"/>
    <cellStyle name="스타일 317" xfId="336"/>
    <cellStyle name="스타일 318" xfId="337"/>
    <cellStyle name="스타일 319" xfId="338"/>
    <cellStyle name="스타일 320" xfId="339"/>
    <cellStyle name="스타일 321" xfId="340"/>
    <cellStyle name="스타일 322" xfId="341"/>
    <cellStyle name="스타일 323" xfId="342"/>
    <cellStyle name="스타일 324" xfId="343"/>
    <cellStyle name="스타일 325" xfId="344"/>
    <cellStyle name="스타일 326" xfId="345"/>
    <cellStyle name="스타일 327" xfId="346"/>
    <cellStyle name="스타일 328" xfId="347"/>
    <cellStyle name="스타일 329" xfId="348"/>
    <cellStyle name="스타일 330" xfId="349"/>
    <cellStyle name="스타일 331" xfId="350"/>
    <cellStyle name="스타일 332" xfId="351"/>
    <cellStyle name="스타일 333" xfId="352"/>
    <cellStyle name="스타일 334" xfId="353"/>
    <cellStyle name="스타일 335" xfId="354"/>
    <cellStyle name="스타일 336" xfId="355"/>
    <cellStyle name="스타일 337" xfId="356"/>
    <cellStyle name="스타일 338" xfId="357"/>
    <cellStyle name="스타일 339" xfId="358"/>
    <cellStyle name="스타일 340" xfId="359"/>
    <cellStyle name="스타일 341" xfId="360"/>
    <cellStyle name="스타일 342" xfId="361"/>
    <cellStyle name="스타일 343" xfId="362"/>
    <cellStyle name="스타일 344" xfId="363"/>
    <cellStyle name="스타일 345" xfId="364"/>
    <cellStyle name="스타일 346" xfId="365"/>
    <cellStyle name="스타일 347" xfId="366"/>
    <cellStyle name="스타일 348" xfId="367"/>
    <cellStyle name="스타일 349" xfId="368"/>
    <cellStyle name="스타일 350" xfId="369"/>
    <cellStyle name="스타일 351" xfId="370"/>
    <cellStyle name="스타일 352" xfId="371"/>
    <cellStyle name="스타일 353" xfId="372"/>
    <cellStyle name="스타일 354" xfId="373"/>
    <cellStyle name="스타일 355" xfId="374"/>
    <cellStyle name="스타일 356" xfId="375"/>
    <cellStyle name="스타일 357" xfId="376"/>
    <cellStyle name="스타일 358" xfId="377"/>
    <cellStyle name="스타일 359" xfId="378"/>
    <cellStyle name="스타일 360" xfId="379"/>
    <cellStyle name="스타일 361" xfId="380"/>
    <cellStyle name="스타일 362" xfId="381"/>
    <cellStyle name="스타일 363" xfId="382"/>
    <cellStyle name="스타일 364" xfId="383"/>
    <cellStyle name="스타일 365" xfId="384"/>
    <cellStyle name="스타일 366" xfId="385"/>
    <cellStyle name="스타일 367" xfId="386"/>
    <cellStyle name="스타일 368" xfId="387"/>
    <cellStyle name="스타일 369" xfId="388"/>
    <cellStyle name="스타일 370" xfId="389"/>
    <cellStyle name="스타일 371" xfId="390"/>
    <cellStyle name="스타일 372" xfId="391"/>
    <cellStyle name="스타일 373" xfId="392"/>
    <cellStyle name="스타일 374" xfId="393"/>
    <cellStyle name="스타일 375" xfId="394"/>
    <cellStyle name="스타일 376" xfId="395"/>
    <cellStyle name="스타일 377" xfId="396"/>
    <cellStyle name="스타일 378" xfId="397"/>
    <cellStyle name="스타일 379" xfId="398"/>
    <cellStyle name="스타일 380" xfId="399"/>
    <cellStyle name="스타일 381" xfId="400"/>
    <cellStyle name="스타일 382" xfId="401"/>
    <cellStyle name="스타일 383" xfId="402"/>
    <cellStyle name="스타일 384" xfId="403"/>
    <cellStyle name="스타일 385" xfId="404"/>
    <cellStyle name="스타일 386" xfId="405"/>
    <cellStyle name="스타일 387" xfId="406"/>
    <cellStyle name="스타일 388" xfId="407"/>
    <cellStyle name="스타일 389" xfId="408"/>
    <cellStyle name="스타일 390" xfId="409"/>
    <cellStyle name="스타일 391" xfId="410"/>
    <cellStyle name="스타일 392" xfId="411"/>
    <cellStyle name="스타일 393" xfId="412"/>
    <cellStyle name="스타일 394" xfId="413"/>
    <cellStyle name="스타일 395" xfId="414"/>
    <cellStyle name="스타일 396" xfId="415"/>
    <cellStyle name="스타일 397" xfId="416"/>
    <cellStyle name="스타일 398" xfId="417"/>
    <cellStyle name="스타일 399" xfId="418"/>
    <cellStyle name="스타일 400" xfId="419"/>
    <cellStyle name="스타일 401" xfId="420"/>
    <cellStyle name="스타일 402" xfId="421"/>
    <cellStyle name="스타일 403" xfId="422"/>
    <cellStyle name="스타일 404" xfId="423"/>
    <cellStyle name="스타일 405" xfId="424"/>
    <cellStyle name="스타일 406" xfId="425"/>
    <cellStyle name="스타일 407" xfId="426"/>
    <cellStyle name="스타일 408" xfId="427"/>
    <cellStyle name="스타일 409" xfId="428"/>
    <cellStyle name="스타일 410" xfId="429"/>
    <cellStyle name="스타일 411" xfId="430"/>
    <cellStyle name="스타일 412" xfId="431"/>
    <cellStyle name="스타일 413" xfId="432"/>
    <cellStyle name="스타일 414" xfId="433"/>
    <cellStyle name="스타일 415" xfId="434"/>
    <cellStyle name="스타일 416" xfId="435"/>
    <cellStyle name="스타일 417" xfId="436"/>
    <cellStyle name="스타일 418" xfId="437"/>
    <cellStyle name="스타일 419" xfId="438"/>
    <cellStyle name="스타일 420" xfId="439"/>
    <cellStyle name="스타일 421" xfId="440"/>
    <cellStyle name="스타일 422" xfId="441"/>
    <cellStyle name="스타일 423" xfId="442"/>
    <cellStyle name="스타일 424" xfId="443"/>
    <cellStyle name="스타일 425" xfId="444"/>
    <cellStyle name="스타일 426" xfId="445"/>
    <cellStyle name="스타일 427" xfId="446"/>
    <cellStyle name="스타일 428" xfId="447"/>
    <cellStyle name="스타일 429" xfId="448"/>
    <cellStyle name="스타일 430" xfId="449"/>
    <cellStyle name="스타일 431" xfId="450"/>
    <cellStyle name="스타일 432" xfId="451"/>
    <cellStyle name="스타일 433" xfId="452"/>
    <cellStyle name="스타일 434" xfId="453"/>
    <cellStyle name="스타일 435" xfId="454"/>
    <cellStyle name="스타일 436" xfId="455"/>
    <cellStyle name="스타일 437" xfId="456"/>
    <cellStyle name="스타일 438" xfId="457"/>
    <cellStyle name="스타일 439" xfId="458"/>
    <cellStyle name="스타일 440" xfId="459"/>
    <cellStyle name="스타일 441" xfId="460"/>
    <cellStyle name="스타일 442" xfId="461"/>
    <cellStyle name="스타일 443" xfId="462"/>
    <cellStyle name="스타일 444" xfId="463"/>
    <cellStyle name="스타일 445" xfId="464"/>
    <cellStyle name="스타일 446" xfId="465"/>
    <cellStyle name="스타일 447" xfId="466"/>
    <cellStyle name="스타일 448" xfId="467"/>
    <cellStyle name="스타일 449" xfId="468"/>
    <cellStyle name="스타일 450" xfId="469"/>
    <cellStyle name="스타일 451" xfId="470"/>
    <cellStyle name="스타일 452" xfId="471"/>
    <cellStyle name="스타일 453" xfId="472"/>
    <cellStyle name="스타일 454" xfId="473"/>
    <cellStyle name="스타일 455" xfId="474"/>
    <cellStyle name="스타일 456" xfId="475"/>
    <cellStyle name="스타일 457" xfId="476"/>
    <cellStyle name="스타일 458" xfId="477"/>
    <cellStyle name="스타일 459" xfId="478"/>
    <cellStyle name="스타일 460" xfId="479"/>
    <cellStyle name="스타일 461" xfId="480"/>
    <cellStyle name="스타일 462" xfId="481"/>
    <cellStyle name="스타일 463" xfId="482"/>
    <cellStyle name="스타일 464" xfId="483"/>
    <cellStyle name="스타일 465" xfId="484"/>
    <cellStyle name="스타일 466" xfId="485"/>
    <cellStyle name="스타일 467" xfId="486"/>
    <cellStyle name="스타일 468" xfId="487"/>
    <cellStyle name="스타일 469" xfId="488"/>
    <cellStyle name="스타일 470" xfId="489"/>
    <cellStyle name="스타일 471" xfId="490"/>
    <cellStyle name="스타일 472" xfId="491"/>
    <cellStyle name="스타일 473" xfId="492"/>
    <cellStyle name="스타일 474" xfId="493"/>
    <cellStyle name="스타일 475" xfId="494"/>
    <cellStyle name="스타일 476" xfId="495"/>
    <cellStyle name="스타일 477" xfId="496"/>
    <cellStyle name="스타일 478" xfId="497"/>
    <cellStyle name="스타일 479" xfId="498"/>
    <cellStyle name="스타일 480" xfId="499"/>
    <cellStyle name="스타일 481" xfId="500"/>
    <cellStyle name="스타일 482" xfId="501"/>
    <cellStyle name="스타일 483" xfId="502"/>
    <cellStyle name="스타일 484" xfId="503"/>
    <cellStyle name="스타일 485" xfId="504"/>
    <cellStyle name="스타일 486" xfId="505"/>
    <cellStyle name="스타일 487" xfId="506"/>
    <cellStyle name="스타일 488" xfId="507"/>
    <cellStyle name="스타일 489" xfId="508"/>
    <cellStyle name="스타일 490" xfId="509"/>
    <cellStyle name="스타일 491" xfId="510"/>
    <cellStyle name="스타일 492" xfId="511"/>
    <cellStyle name="스타일 493" xfId="512"/>
    <cellStyle name="스타일 494" xfId="513"/>
    <cellStyle name="스타일 495" xfId="514"/>
    <cellStyle name="스타일 496" xfId="515"/>
    <cellStyle name="스타일 497" xfId="516"/>
    <cellStyle name="스타일 498" xfId="517"/>
    <cellStyle name="스타일 499" xfId="518"/>
    <cellStyle name="스타일 500" xfId="519"/>
    <cellStyle name="스타일 501" xfId="520"/>
    <cellStyle name="스타일 502" xfId="521"/>
    <cellStyle name="스타일 503" xfId="522"/>
    <cellStyle name="스타일 504" xfId="523"/>
    <cellStyle name="스타일 505" xfId="524"/>
    <cellStyle name="스타일 506" xfId="525"/>
    <cellStyle name="스타일 507" xfId="526"/>
    <cellStyle name="스타일 508" xfId="527"/>
    <cellStyle name="스타일 509" xfId="528"/>
    <cellStyle name="스타일 510" xfId="529"/>
    <cellStyle name="스타일 511" xfId="530"/>
    <cellStyle name="스타일 512" xfId="531"/>
    <cellStyle name="스타일 513" xfId="532"/>
    <cellStyle name="스타일 514" xfId="533"/>
    <cellStyle name="스타일 515" xfId="534"/>
    <cellStyle name="스타일 516" xfId="535"/>
    <cellStyle name="스타일 517" xfId="536"/>
    <cellStyle name="스타일 518" xfId="537"/>
    <cellStyle name="스타일 519" xfId="538"/>
    <cellStyle name="스타일 520" xfId="539"/>
    <cellStyle name="스타일 521" xfId="540"/>
    <cellStyle name="스타일 522" xfId="541"/>
    <cellStyle name="스타일 523" xfId="542"/>
    <cellStyle name="스타일 524" xfId="543"/>
    <cellStyle name="스타일 525" xfId="544"/>
    <cellStyle name="스타일 526" xfId="545"/>
    <cellStyle name="스타일 527" xfId="546"/>
    <cellStyle name="스타일 528" xfId="547"/>
    <cellStyle name="스타일 529" xfId="548"/>
    <cellStyle name="스타일 530" xfId="549"/>
    <cellStyle name="스타일 531" xfId="550"/>
    <cellStyle name="스타일 532" xfId="551"/>
    <cellStyle name="스타일 533" xfId="552"/>
    <cellStyle name="스타일 534" xfId="553"/>
    <cellStyle name="스타일 535" xfId="554"/>
    <cellStyle name="스타일 536" xfId="555"/>
    <cellStyle name="스타일 537" xfId="556"/>
    <cellStyle name="스타일 538" xfId="557"/>
    <cellStyle name="스타일 539" xfId="558"/>
    <cellStyle name="스타일 540" xfId="559"/>
    <cellStyle name="스타일 541" xfId="560"/>
    <cellStyle name="스타일 542" xfId="561"/>
    <cellStyle name="스타일 543" xfId="562"/>
    <cellStyle name="스타일 544" xfId="563"/>
    <cellStyle name="스타일 545" xfId="564"/>
    <cellStyle name="스타일 546" xfId="565"/>
    <cellStyle name="스타일 547" xfId="566"/>
    <cellStyle name="스타일 548" xfId="567"/>
    <cellStyle name="스타일 549" xfId="568"/>
    <cellStyle name="스타일 550" xfId="569"/>
    <cellStyle name="스타일 551" xfId="570"/>
    <cellStyle name="스타일 552" xfId="571"/>
    <cellStyle name="스타일 553" xfId="572"/>
    <cellStyle name="스타일 554" xfId="573"/>
    <cellStyle name="스타일 555" xfId="574"/>
    <cellStyle name="스타일 556" xfId="575"/>
    <cellStyle name="스타일 557" xfId="576"/>
    <cellStyle name="스타일 558" xfId="577"/>
    <cellStyle name="스타일 559" xfId="578"/>
    <cellStyle name="스타일 560" xfId="579"/>
    <cellStyle name="스타일 561" xfId="580"/>
    <cellStyle name="스타일 562" xfId="581"/>
    <cellStyle name="스타일 563" xfId="582"/>
    <cellStyle name="스타일 564" xfId="583"/>
    <cellStyle name="스타일 565" xfId="584"/>
    <cellStyle name="스타일 566" xfId="585"/>
    <cellStyle name="스타일 567" xfId="586"/>
    <cellStyle name="스타일 568" xfId="587"/>
    <cellStyle name="스타일 569" xfId="588"/>
    <cellStyle name="스타일 570" xfId="589"/>
    <cellStyle name="스타일 571" xfId="590"/>
    <cellStyle name="스타일 572" xfId="591"/>
    <cellStyle name="스타일 573" xfId="592"/>
    <cellStyle name="스타일 574" xfId="593"/>
    <cellStyle name="스타일 575" xfId="594"/>
    <cellStyle name="스타일 576" xfId="595"/>
    <cellStyle name="스타일 577" xfId="596"/>
    <cellStyle name="스타일 578" xfId="597"/>
    <cellStyle name="스타일 579" xfId="598"/>
    <cellStyle name="스타일 580" xfId="599"/>
    <cellStyle name="스타일 581" xfId="600"/>
    <cellStyle name="스타일 582" xfId="601"/>
    <cellStyle name="스타일 583" xfId="602"/>
    <cellStyle name="스타일 584" xfId="603"/>
    <cellStyle name="스타일 585" xfId="604"/>
    <cellStyle name="스타일 586" xfId="605"/>
    <cellStyle name="스타일 587" xfId="606"/>
    <cellStyle name="스타일 588" xfId="607"/>
    <cellStyle name="스타일 589" xfId="608"/>
    <cellStyle name="스타일 590" xfId="609"/>
    <cellStyle name="스타일 591" xfId="610"/>
    <cellStyle name="스타일 592" xfId="611"/>
    <cellStyle name="스타일 593" xfId="612"/>
    <cellStyle name="스타일 594" xfId="613"/>
    <cellStyle name="스타일 595" xfId="614"/>
    <cellStyle name="스타일 596" xfId="615"/>
    <cellStyle name="스타일 597" xfId="616"/>
    <cellStyle name="스타일 598" xfId="617"/>
    <cellStyle name="스타일 599" xfId="618"/>
    <cellStyle name="스타일 600" xfId="619"/>
    <cellStyle name="스타일 601" xfId="620"/>
    <cellStyle name="스타일 602" xfId="621"/>
    <cellStyle name="스타일 603" xfId="622"/>
    <cellStyle name="스타일 604" xfId="623"/>
    <cellStyle name="스타일 605" xfId="624"/>
    <cellStyle name="스타일 606" xfId="625"/>
    <cellStyle name="스타일 607" xfId="626"/>
    <cellStyle name="스타일 608" xfId="627"/>
    <cellStyle name="스타일 609" xfId="628"/>
    <cellStyle name="스타일 610" xfId="629"/>
    <cellStyle name="스타일 611" xfId="630"/>
    <cellStyle name="스타일 612" xfId="631"/>
    <cellStyle name="스타일 613" xfId="632"/>
    <cellStyle name="스타일 614" xfId="633"/>
    <cellStyle name="스타일 615" xfId="634"/>
    <cellStyle name="스타일 616" xfId="635"/>
    <cellStyle name="스타일 617" xfId="636"/>
    <cellStyle name="스타일 618" xfId="637"/>
    <cellStyle name="스타일 619" xfId="638"/>
    <cellStyle name="스타일 620" xfId="639"/>
    <cellStyle name="스타일 621" xfId="640"/>
    <cellStyle name="스타일 622" xfId="641"/>
    <cellStyle name="스타일 623" xfId="642"/>
    <cellStyle name="스타일 624" xfId="643"/>
    <cellStyle name="스타일 625" xfId="644"/>
    <cellStyle name="스타일 626" xfId="645"/>
    <cellStyle name="스타일 627" xfId="646"/>
    <cellStyle name="스타일 628" xfId="647"/>
    <cellStyle name="스타일 629" xfId="648"/>
    <cellStyle name="스타일 630" xfId="649"/>
    <cellStyle name="스타일 631" xfId="650"/>
    <cellStyle name="스타일 632" xfId="651"/>
    <cellStyle name="스타일 633" xfId="652"/>
    <cellStyle name="스타일 634" xfId="653"/>
    <cellStyle name="스타일 635" xfId="654"/>
    <cellStyle name="스타일 636" xfId="655"/>
    <cellStyle name="스타일 637" xfId="656"/>
    <cellStyle name="스타일 638" xfId="657"/>
    <cellStyle name="스타일 639" xfId="658"/>
    <cellStyle name="스타일 640" xfId="659"/>
    <cellStyle name="스타일 641" xfId="660"/>
    <cellStyle name="스타일 642" xfId="661"/>
    <cellStyle name="스타일 643" xfId="662"/>
    <cellStyle name="스타일 644" xfId="663"/>
    <cellStyle name="스타일 645" xfId="664"/>
    <cellStyle name="스타일 646" xfId="665"/>
    <cellStyle name="스타일 647" xfId="666"/>
    <cellStyle name="스타일 648" xfId="667"/>
    <cellStyle name="스타일 649" xfId="668"/>
    <cellStyle name="스타일 650" xfId="669"/>
    <cellStyle name="스타일 651" xfId="670"/>
    <cellStyle name="스타일 652" xfId="671"/>
    <cellStyle name="스타일 653" xfId="672"/>
    <cellStyle name="스타일 654" xfId="673"/>
    <cellStyle name="스타일 655" xfId="674"/>
    <cellStyle name="스타일 656" xfId="675"/>
    <cellStyle name="스타일 657" xfId="676"/>
    <cellStyle name="스타일 658" xfId="677"/>
    <cellStyle name="스타일 659" xfId="678"/>
    <cellStyle name="스타일 660" xfId="679"/>
    <cellStyle name="스타일 661" xfId="680"/>
    <cellStyle name="스타일 662" xfId="681"/>
    <cellStyle name="스타일 663" xfId="682"/>
    <cellStyle name="스타일 664" xfId="683"/>
    <cellStyle name="스타일 665" xfId="684"/>
    <cellStyle name="스타일 666" xfId="685"/>
    <cellStyle name="스타일 667" xfId="686"/>
    <cellStyle name="스타일 668" xfId="687"/>
    <cellStyle name="스타일 669" xfId="688"/>
    <cellStyle name="스타일 670" xfId="689"/>
    <cellStyle name="스타일 671" xfId="690"/>
    <cellStyle name="스타일 672" xfId="691"/>
    <cellStyle name="스타일 673" xfId="692"/>
    <cellStyle name="스타일 674" xfId="693"/>
    <cellStyle name="스타일 675" xfId="694"/>
    <cellStyle name="스타일 676" xfId="695"/>
    <cellStyle name="스타일 677" xfId="696"/>
    <cellStyle name="스타일 678" xfId="697"/>
    <cellStyle name="스타일 679" xfId="698"/>
    <cellStyle name="스타일 680" xfId="699"/>
    <cellStyle name="스타일 681" xfId="700"/>
    <cellStyle name="스타일 682" xfId="701"/>
    <cellStyle name="스타일 683" xfId="702"/>
    <cellStyle name="스타일 684" xfId="703"/>
    <cellStyle name="스타일 685" xfId="704"/>
    <cellStyle name="스타일 686" xfId="705"/>
    <cellStyle name="스타일 687" xfId="706"/>
    <cellStyle name="스타일 688" xfId="707"/>
    <cellStyle name="스타일 689" xfId="708"/>
    <cellStyle name="스타일 690" xfId="709"/>
    <cellStyle name="스타일 691" xfId="710"/>
    <cellStyle name="스타일 692" xfId="711"/>
    <cellStyle name="스타일 693" xfId="712"/>
    <cellStyle name="스타일 694" xfId="713"/>
    <cellStyle name="스타일 695" xfId="714"/>
    <cellStyle name="스타일 696" xfId="715"/>
    <cellStyle name="스타일 697" xfId="716"/>
    <cellStyle name="스타일 698" xfId="717"/>
    <cellStyle name="스타일 699" xfId="718"/>
    <cellStyle name="스타일 700" xfId="719"/>
    <cellStyle name="스타일 701" xfId="720"/>
    <cellStyle name="스타일 702" xfId="721"/>
    <cellStyle name="스타일 703" xfId="722"/>
    <cellStyle name="스타일 704" xfId="723"/>
    <cellStyle name="스타일 705" xfId="724"/>
    <cellStyle name="스타일 706" xfId="725"/>
    <cellStyle name="스타일 707" xfId="726"/>
    <cellStyle name="스타일 708" xfId="727"/>
    <cellStyle name="스타일 709" xfId="728"/>
    <cellStyle name="스타일 710" xfId="729"/>
    <cellStyle name="스타일 711" xfId="730"/>
    <cellStyle name="스타일 712" xfId="731"/>
    <cellStyle name="스타일 713" xfId="732"/>
    <cellStyle name="스타일 714" xfId="733"/>
    <cellStyle name="스타일 715" xfId="734"/>
    <cellStyle name="스타일 716" xfId="735"/>
    <cellStyle name="스타일 717" xfId="736"/>
    <cellStyle name="스타일 718" xfId="737"/>
    <cellStyle name="스타일 719" xfId="738"/>
    <cellStyle name="스타일 720" xfId="739"/>
    <cellStyle name="스타일 721" xfId="740"/>
    <cellStyle name="스타일 722" xfId="741"/>
    <cellStyle name="스타일 723" xfId="742"/>
    <cellStyle name="스타일 724" xfId="743"/>
    <cellStyle name="스타일 725" xfId="744"/>
    <cellStyle name="스타일 726" xfId="745"/>
    <cellStyle name="스타일 727" xfId="746"/>
    <cellStyle name="스타일 728" xfId="747"/>
    <cellStyle name="스타일 729" xfId="748"/>
    <cellStyle name="스타일 730" xfId="749"/>
    <cellStyle name="스타일 731" xfId="750"/>
    <cellStyle name="스타일 732" xfId="751"/>
    <cellStyle name="스타일 733" xfId="752"/>
    <cellStyle name="스타일 734" xfId="753"/>
    <cellStyle name="스타일 735" xfId="754"/>
    <cellStyle name="스타일 736" xfId="755"/>
    <cellStyle name="스타일 737" xfId="756"/>
    <cellStyle name="스타일 738" xfId="757"/>
    <cellStyle name="스타일 739" xfId="758"/>
    <cellStyle name="스타일 740" xfId="759"/>
    <cellStyle name="스타일 741" xfId="760"/>
    <cellStyle name="스타일 742" xfId="761"/>
    <cellStyle name="스타일 743" xfId="762"/>
    <cellStyle name="스타일 744" xfId="763"/>
    <cellStyle name="스타일 745" xfId="764"/>
    <cellStyle name="스타일 746" xfId="765"/>
    <cellStyle name="스타일 747" xfId="766"/>
    <cellStyle name="스타일 748" xfId="767"/>
    <cellStyle name="스타일 749" xfId="768"/>
    <cellStyle name="스타일 750" xfId="769"/>
    <cellStyle name="스타일 751" xfId="770"/>
    <cellStyle name="스타일 752" xfId="771"/>
    <cellStyle name="스타일 753" xfId="772"/>
    <cellStyle name="스타일 754" xfId="773"/>
    <cellStyle name="스타일 755" xfId="774"/>
    <cellStyle name="스타일 756" xfId="775"/>
    <cellStyle name="스타일 757" xfId="776"/>
    <cellStyle name="스타일 758" xfId="777"/>
    <cellStyle name="스타일 759" xfId="778"/>
    <cellStyle name="스타일 760" xfId="779"/>
    <cellStyle name="스타일 761" xfId="780"/>
    <cellStyle name="스타일 762" xfId="781"/>
    <cellStyle name="스타일 763" xfId="782"/>
    <cellStyle name="스타일 764" xfId="783"/>
    <cellStyle name="스타일 765" xfId="784"/>
    <cellStyle name="스타일 766" xfId="785"/>
    <cellStyle name="스타일 767" xfId="786"/>
    <cellStyle name="스타일 768" xfId="787"/>
    <cellStyle name="스타일 769" xfId="788"/>
    <cellStyle name="스타일 770" xfId="789"/>
    <cellStyle name="스타일 771" xfId="790"/>
    <cellStyle name="스타일 772" xfId="791"/>
    <cellStyle name="스타일 773" xfId="792"/>
    <cellStyle name="스타일 774" xfId="793"/>
    <cellStyle name="스타일 775" xfId="794"/>
    <cellStyle name="스타일 776" xfId="795"/>
    <cellStyle name="스타일 777" xfId="796"/>
    <cellStyle name="스타일 778" xfId="797"/>
    <cellStyle name="스타일 779" xfId="798"/>
    <cellStyle name="스타일 780" xfId="799"/>
    <cellStyle name="스타일 781" xfId="800"/>
    <cellStyle name="스타일 782" xfId="801"/>
    <cellStyle name="스타일 783" xfId="802"/>
    <cellStyle name="스타일 784" xfId="803"/>
    <cellStyle name="스타일 785" xfId="804"/>
    <cellStyle name="스타일 786" xfId="805"/>
    <cellStyle name="스타일 787" xfId="806"/>
    <cellStyle name="스타일 788" xfId="807"/>
    <cellStyle name="스타일 789" xfId="808"/>
    <cellStyle name="스타일 790" xfId="809"/>
    <cellStyle name="스타일 791" xfId="810"/>
    <cellStyle name="스타일 792" xfId="811"/>
    <cellStyle name="스타일 793" xfId="812"/>
    <cellStyle name="스타일 794" xfId="813"/>
    <cellStyle name="스타일 795" xfId="814"/>
    <cellStyle name="스타일 796" xfId="815"/>
    <cellStyle name="스타일 797" xfId="816"/>
    <cellStyle name="스타일 798" xfId="817"/>
    <cellStyle name="스타일 799" xfId="818"/>
    <cellStyle name="스타일 800" xfId="819"/>
    <cellStyle name="스타일 801" xfId="820"/>
    <cellStyle name="스타일 802" xfId="821"/>
    <cellStyle name="스타일 803" xfId="822"/>
    <cellStyle name="스타일 804" xfId="823"/>
    <cellStyle name="스타일 805" xfId="824"/>
    <cellStyle name="스타일 806" xfId="825"/>
    <cellStyle name="스타일 807" xfId="826"/>
    <cellStyle name="스타일 808" xfId="827"/>
    <cellStyle name="스타일 809" xfId="828"/>
    <cellStyle name="스타일 810" xfId="829"/>
    <cellStyle name="스타일 811" xfId="830"/>
    <cellStyle name="스타일 812" xfId="831"/>
    <cellStyle name="스타일 813" xfId="832"/>
    <cellStyle name="스타일 814" xfId="833"/>
    <cellStyle name="스타일 815" xfId="834"/>
    <cellStyle name="스타일 816" xfId="835"/>
    <cellStyle name="스타일 817" xfId="836"/>
    <cellStyle name="스타일 818" xfId="837"/>
    <cellStyle name="스타일 819" xfId="838"/>
    <cellStyle name="스타일 820" xfId="839"/>
    <cellStyle name="스타일 821" xfId="840"/>
    <cellStyle name="스타일 822" xfId="841"/>
    <cellStyle name="스타일 823" xfId="842"/>
    <cellStyle name="스타일 824" xfId="843"/>
    <cellStyle name="스타일 825" xfId="844"/>
    <cellStyle name="스타일 826" xfId="845"/>
    <cellStyle name="스타일 827" xfId="846"/>
    <cellStyle name="스타일 828" xfId="847"/>
    <cellStyle name="스타일 829" xfId="848"/>
    <cellStyle name="스타일 830" xfId="849"/>
    <cellStyle name="스타일 831" xfId="850"/>
    <cellStyle name="스타일 832" xfId="851"/>
    <cellStyle name="스타일 833" xfId="852"/>
    <cellStyle name="스타일 834" xfId="853"/>
    <cellStyle name="스타일 835" xfId="854"/>
    <cellStyle name="스타일 836" xfId="855"/>
    <cellStyle name="스타일 837" xfId="856"/>
    <cellStyle name="스타일 838" xfId="857"/>
    <cellStyle name="스타일 839" xfId="858"/>
    <cellStyle name="스타일 840" xfId="859"/>
    <cellStyle name="스타일 841" xfId="860"/>
    <cellStyle name="스타일 842" xfId="861"/>
    <cellStyle name="스타일 843" xfId="862"/>
    <cellStyle name="스타일 844" xfId="863"/>
    <cellStyle name="스타일 845" xfId="864"/>
    <cellStyle name="스타일 846" xfId="865"/>
    <cellStyle name="스타일 847" xfId="866"/>
    <cellStyle name="스타일 848" xfId="867"/>
    <cellStyle name="스타일 849" xfId="868"/>
    <cellStyle name="스타일 850" xfId="869"/>
    <cellStyle name="스타일 851" xfId="870"/>
    <cellStyle name="스타일 852" xfId="871"/>
    <cellStyle name="스타일 853" xfId="872"/>
    <cellStyle name="스타일 854" xfId="873"/>
    <cellStyle name="스타일 855" xfId="874"/>
    <cellStyle name="스타일 856" xfId="875"/>
    <cellStyle name="스타일 857" xfId="876"/>
    <cellStyle name="스타일 858" xfId="877"/>
    <cellStyle name="스타일 859" xfId="878"/>
    <cellStyle name="스타일 860" xfId="879"/>
    <cellStyle name="스타일 861" xfId="880"/>
    <cellStyle name="스타일 862" xfId="881"/>
    <cellStyle name="스타일 863" xfId="882"/>
    <cellStyle name="스타일 864" xfId="883"/>
    <cellStyle name="스타일 865" xfId="884"/>
    <cellStyle name="스타일 866" xfId="885"/>
    <cellStyle name="스타일 867" xfId="886"/>
    <cellStyle name="스타일 868" xfId="887"/>
    <cellStyle name="스타일 869" xfId="888"/>
    <cellStyle name="스타일 870" xfId="889"/>
    <cellStyle name="스타일 871" xfId="890"/>
    <cellStyle name="스타일 872" xfId="891"/>
    <cellStyle name="스타일 873" xfId="892"/>
    <cellStyle name="스타일 874" xfId="893"/>
    <cellStyle name="스타일 875" xfId="894"/>
    <cellStyle name="스타일 876" xfId="895"/>
    <cellStyle name="스타일 877" xfId="896"/>
    <cellStyle name="스타일 878" xfId="897"/>
    <cellStyle name="스타일 879" xfId="898"/>
    <cellStyle name="스타일 880" xfId="899"/>
    <cellStyle name="스타일 881" xfId="900"/>
    <cellStyle name="스타일 882" xfId="901"/>
    <cellStyle name="스타일 883" xfId="902"/>
    <cellStyle name="스타일 884" xfId="903"/>
    <cellStyle name="스타일 885" xfId="904"/>
    <cellStyle name="스타일 886" xfId="905"/>
    <cellStyle name="스타일 887" xfId="906"/>
    <cellStyle name="스타일 888" xfId="907"/>
    <cellStyle name="스타일 889" xfId="908"/>
    <cellStyle name="스타일 890" xfId="909"/>
    <cellStyle name="스타일 891" xfId="910"/>
    <cellStyle name="스타일 892" xfId="911"/>
    <cellStyle name="스타일 893" xfId="912"/>
    <cellStyle name="스타일 894" xfId="913"/>
    <cellStyle name="스타일 895" xfId="914"/>
    <cellStyle name="스타일 896" xfId="915"/>
    <cellStyle name="스타일 897" xfId="916"/>
    <cellStyle name="스타일 898" xfId="917"/>
    <cellStyle name="스타일 899" xfId="918"/>
    <cellStyle name="스타일 900" xfId="919"/>
    <cellStyle name="스타일 901" xfId="920"/>
    <cellStyle name="스타일 902" xfId="921"/>
    <cellStyle name="스타일 903" xfId="922"/>
    <cellStyle name="스타일 904" xfId="923"/>
    <cellStyle name="스타일 905" xfId="924"/>
    <cellStyle name="스타일 906" xfId="925"/>
    <cellStyle name="스타일 907" xfId="926"/>
    <cellStyle name="스타일 908" xfId="927"/>
    <cellStyle name="스타일 909" xfId="928"/>
    <cellStyle name="스타일 910" xfId="929"/>
    <cellStyle name="스타일 911" xfId="930"/>
    <cellStyle name="스타일 912" xfId="931"/>
    <cellStyle name="스타일 913" xfId="932"/>
    <cellStyle name="스타일 914" xfId="933"/>
    <cellStyle name="스타일 915" xfId="934"/>
    <cellStyle name="스타일 916" xfId="935"/>
    <cellStyle name="스타일 917" xfId="936"/>
    <cellStyle name="스타일 918" xfId="937"/>
    <cellStyle name="스타일 919" xfId="938"/>
    <cellStyle name="스타일 920" xfId="939"/>
    <cellStyle name="스타일 921" xfId="940"/>
    <cellStyle name="스타일 922" xfId="941"/>
    <cellStyle name="스타일 923" xfId="942"/>
    <cellStyle name="스타일 924" xfId="943"/>
    <cellStyle name="스타일 925" xfId="944"/>
    <cellStyle name="스타일 926" xfId="945"/>
    <cellStyle name="스타일 927" xfId="946"/>
    <cellStyle name="스타일 928" xfId="947"/>
    <cellStyle name="스타일 929" xfId="948"/>
    <cellStyle name="스타일 930" xfId="949"/>
    <cellStyle name="스타일 931" xfId="950"/>
    <cellStyle name="스타일 932" xfId="951"/>
    <cellStyle name="스타일 933" xfId="952"/>
    <cellStyle name="스타일 934" xfId="953"/>
    <cellStyle name="스타일 935" xfId="954"/>
    <cellStyle name="스타일 936" xfId="955"/>
    <cellStyle name="스타일 937" xfId="956"/>
    <cellStyle name="스타일 938" xfId="957"/>
    <cellStyle name="스타일 939" xfId="958"/>
    <cellStyle name="스타일 940" xfId="959"/>
    <cellStyle name="스타일 941" xfId="960"/>
    <cellStyle name="스타일 942" xfId="961"/>
    <cellStyle name="스타일 943" xfId="962"/>
    <cellStyle name="스타일 944" xfId="963"/>
    <cellStyle name="스타일 945" xfId="964"/>
    <cellStyle name="스타일 946" xfId="965"/>
    <cellStyle name="스타일 947" xfId="966"/>
    <cellStyle name="스타일 948" xfId="967"/>
    <cellStyle name="스타일 949" xfId="968"/>
    <cellStyle name="스타일 950" xfId="969"/>
    <cellStyle name="스타일 951" xfId="970"/>
    <cellStyle name="스타일 952" xfId="971"/>
    <cellStyle name="스타일 953" xfId="972"/>
    <cellStyle name="스타일 954" xfId="973"/>
    <cellStyle name="스타일 955" xfId="974"/>
    <cellStyle name="스타일 956" xfId="975"/>
    <cellStyle name="스타일 957" xfId="976"/>
    <cellStyle name="스타일 958" xfId="977"/>
    <cellStyle name="스타일 959" xfId="978"/>
    <cellStyle name="스타일 960" xfId="979"/>
    <cellStyle name="스타일 961" xfId="980"/>
    <cellStyle name="스타일 962" xfId="981"/>
    <cellStyle name="스타일 963" xfId="982"/>
    <cellStyle name="스타일 964" xfId="983"/>
    <cellStyle name="스타일 965" xfId="984"/>
    <cellStyle name="스타일 966" xfId="985"/>
    <cellStyle name="스타일 967" xfId="986"/>
    <cellStyle name="스타일 968" xfId="987"/>
    <cellStyle name="스타일 969" xfId="988"/>
    <cellStyle name="스타일 970" xfId="989"/>
    <cellStyle name="스타일 971" xfId="990"/>
    <cellStyle name="스타일 972" xfId="991"/>
    <cellStyle name="스타일 973" xfId="992"/>
    <cellStyle name="스타일 974" xfId="993"/>
    <cellStyle name="스타일 975" xfId="994"/>
    <cellStyle name="스타일 976" xfId="995"/>
    <cellStyle name="스타일 977" xfId="996"/>
    <cellStyle name="스타일 978" xfId="997"/>
    <cellStyle name="스타일 979" xfId="998"/>
    <cellStyle name="스타일 980" xfId="999"/>
    <cellStyle name="스타일 981" xfId="1000"/>
    <cellStyle name="스타일 982" xfId="1001"/>
    <cellStyle name="스타일 983" xfId="1002"/>
    <cellStyle name="스타일 984" xfId="1003"/>
    <cellStyle name="스타일 985" xfId="1004"/>
    <cellStyle name="스타일 986" xfId="1005"/>
    <cellStyle name="스타일 987" xfId="1006"/>
    <cellStyle name="스타일 988" xfId="1007"/>
    <cellStyle name="스타일 989" xfId="1008"/>
    <cellStyle name="스타일 990" xfId="1009"/>
    <cellStyle name="스타일 991" xfId="1010"/>
    <cellStyle name="스타일 992" xfId="1011"/>
    <cellStyle name="스타일 993" xfId="1012"/>
    <cellStyle name="스타일 994" xfId="1013"/>
    <cellStyle name="스타일 995" xfId="1014"/>
    <cellStyle name="스타일 996" xfId="1015"/>
    <cellStyle name="스타일 997" xfId="1016"/>
    <cellStyle name="스타일 998" xfId="1017"/>
    <cellStyle name="스타일 999" xfId="1018"/>
    <cellStyle name="스타일 1000" xfId="1019"/>
    <cellStyle name="스타일 1001" xfId="1020"/>
    <cellStyle name="스타일 1002" xfId="1021"/>
    <cellStyle name="스타일 1003" xfId="1022"/>
    <cellStyle name="스타일 1004" xfId="1023"/>
    <cellStyle name="스타일 1005" xfId="1024"/>
    <cellStyle name="스타일 1006" xfId="1025"/>
    <cellStyle name="스타일 1007" xfId="1026"/>
    <cellStyle name="스타일 1008" xfId="1027"/>
    <cellStyle name="스타일 1009" xfId="1028"/>
    <cellStyle name="스타일 1010" xfId="1029"/>
    <cellStyle name="스타일 1011" xfId="1030"/>
    <cellStyle name="스타일 1012" xfId="1031"/>
    <cellStyle name="스타일 1013" xfId="1032"/>
    <cellStyle name="스타일 1014" xfId="1033"/>
    <cellStyle name="스타일 1015" xfId="1034"/>
    <cellStyle name="스타일 1016" xfId="1035"/>
    <cellStyle name="스타일 1017" xfId="1036"/>
    <cellStyle name="스타일 1018" xfId="1037"/>
    <cellStyle name="스타일 1019" xfId="1038"/>
    <cellStyle name="스타일 1020" xfId="1039"/>
    <cellStyle name="스타일 1021" xfId="1040"/>
    <cellStyle name="스타일 1022" xfId="1041"/>
    <cellStyle name="스타일 1023" xfId="1042"/>
    <cellStyle name="스타일 1024" xfId="1043"/>
    <cellStyle name="스타일 1025" xfId="1044"/>
    <cellStyle name="스타일 1026" xfId="1045"/>
    <cellStyle name="스타일 1027" xfId="1046"/>
    <cellStyle name="스타일 1028" xfId="1047"/>
    <cellStyle name="스타일 1029" xfId="1048"/>
    <cellStyle name="스타일 1030" xfId="1049"/>
    <cellStyle name="스타일 1031" xfId="1050"/>
    <cellStyle name="스타일 1032" xfId="1051"/>
    <cellStyle name="스타일 1033" xfId="1052"/>
    <cellStyle name="스타일 1034" xfId="1053"/>
    <cellStyle name="스타일 1035" xfId="1054"/>
    <cellStyle name="스타일 1036" xfId="1055"/>
    <cellStyle name="스타일 1037" xfId="1056"/>
    <cellStyle name="스타일 1038" xfId="1057"/>
    <cellStyle name="스타일 1039" xfId="1058"/>
    <cellStyle name="스타일 1040" xfId="1059"/>
    <cellStyle name="스타일 1041" xfId="1060"/>
    <cellStyle name="스타일 1042" xfId="1061"/>
    <cellStyle name="스타일 1043" xfId="1062"/>
    <cellStyle name="스타일 1044" xfId="1063"/>
    <cellStyle name="스타일 1045" xfId="1064"/>
    <cellStyle name="스타일 1046" xfId="1065"/>
    <cellStyle name="스타일 1047" xfId="1066"/>
    <cellStyle name="스타일 1048" xfId="1067"/>
    <cellStyle name="스타일 1049" xfId="1068"/>
    <cellStyle name="스타일 1050" xfId="1069"/>
    <cellStyle name="스타일 1051" xfId="1070"/>
    <cellStyle name="스타일 1052" xfId="1071"/>
    <cellStyle name="스타일 1053" xfId="1072"/>
    <cellStyle name="스타일 1054" xfId="1073"/>
    <cellStyle name="스타일 1055" xfId="1074"/>
    <cellStyle name="스타일 1056" xfId="1075"/>
    <cellStyle name="스타일 1057" xfId="1076"/>
    <cellStyle name="스타일 1058" xfId="1077"/>
    <cellStyle name="스타일 1059" xfId="1078"/>
    <cellStyle name="스타일 1060" xfId="1079"/>
    <cellStyle name="스타일 1061" xfId="1080"/>
    <cellStyle name="스타일 1062" xfId="1081"/>
    <cellStyle name="스타일 1063" xfId="1082"/>
    <cellStyle name="스타일 1064" xfId="1083"/>
    <cellStyle name="스타일 1065" xfId="1084"/>
    <cellStyle name="스타일 1066" xfId="1085"/>
    <cellStyle name="스타일 1067" xfId="1086"/>
    <cellStyle name="스타일 1068" xfId="1087"/>
    <cellStyle name="스타일 1069" xfId="1088"/>
    <cellStyle name="스타일 1070" xfId="1089"/>
    <cellStyle name="스타일 1071" xfId="1090"/>
    <cellStyle name="스타일 1072" xfId="1091"/>
    <cellStyle name="스타일 1073" xfId="1092"/>
    <cellStyle name="스타일 1074" xfId="1093"/>
    <cellStyle name="스타일 1075" xfId="1094"/>
    <cellStyle name="스타일 1076" xfId="1095"/>
    <cellStyle name="스타일 1077" xfId="1096"/>
    <cellStyle name="스타일 1078" xfId="1097"/>
    <cellStyle name="스타일 1079" xfId="1098"/>
    <cellStyle name="스타일 1080" xfId="1099"/>
    <cellStyle name="스타일 1081" xfId="1100"/>
    <cellStyle name="스타일 1082" xfId="1101"/>
    <cellStyle name="스타일 1083" xfId="1102"/>
    <cellStyle name="스타일 1084" xfId="1103"/>
    <cellStyle name="스타일 1085" xfId="1104"/>
    <cellStyle name="스타일 1086" xfId="1105"/>
    <cellStyle name="스타일 1087" xfId="1106"/>
    <cellStyle name="스타일 1088" xfId="1107"/>
    <cellStyle name="스타일 1089" xfId="1108"/>
    <cellStyle name="스타일 1090" xfId="1109"/>
    <cellStyle name="스타일 1091" xfId="1110"/>
    <cellStyle name="스타일 1092" xfId="1111"/>
    <cellStyle name="스타일 1093" xfId="1112"/>
    <cellStyle name="스타일 1094" xfId="1113"/>
    <cellStyle name="스타일 1095" xfId="1114"/>
    <cellStyle name="스타일 1096" xfId="1115"/>
    <cellStyle name="스타일 1097" xfId="1116"/>
    <cellStyle name="스타일 1098" xfId="1117"/>
    <cellStyle name="스타일 1099" xfId="1118"/>
    <cellStyle name="스타일 1100" xfId="1119"/>
    <cellStyle name="스타일 1101" xfId="1120"/>
    <cellStyle name="스타일 1102" xfId="1121"/>
    <cellStyle name="스타일 1103" xfId="1122"/>
    <cellStyle name="스타일 1104" xfId="1123"/>
    <cellStyle name="스타일 1105" xfId="1124"/>
    <cellStyle name="스타일 1106" xfId="1125"/>
    <cellStyle name="스타일 1107" xfId="1126"/>
    <cellStyle name="스타일 1108" xfId="1127"/>
    <cellStyle name="스타일 1109" xfId="1128"/>
    <cellStyle name="스타일 1110" xfId="1129"/>
    <cellStyle name="스타일 1111" xfId="1130"/>
    <cellStyle name="스타일 1112" xfId="1131"/>
    <cellStyle name="스타일 1113" xfId="1132"/>
    <cellStyle name="스타일 1114" xfId="1133"/>
    <cellStyle name="스타일 1115" xfId="1134"/>
    <cellStyle name="스타일 1116" xfId="1135"/>
    <cellStyle name="스타일 1117" xfId="1136"/>
    <cellStyle name="스타일 1118" xfId="1137"/>
    <cellStyle name="스타일 1119" xfId="1138"/>
    <cellStyle name="스타일 1120" xfId="1139"/>
    <cellStyle name="스타일 1121" xfId="1140"/>
    <cellStyle name="스타일 1122" xfId="1141"/>
    <cellStyle name="스타일 1123" xfId="1142"/>
    <cellStyle name="스타일 1124" xfId="1143"/>
    <cellStyle name="스타일 1125" xfId="1144"/>
    <cellStyle name="스타일 1126" xfId="1145"/>
    <cellStyle name="스타일 1127" xfId="1146"/>
    <cellStyle name="스타일 1128" xfId="1147"/>
    <cellStyle name="스타일 1129" xfId="1148"/>
    <cellStyle name="스타일 1130" xfId="1149"/>
    <cellStyle name="스타일 1131" xfId="1150"/>
    <cellStyle name="스타일 1132" xfId="1151"/>
    <cellStyle name="스타일 1133" xfId="1152"/>
    <cellStyle name="스타일 1134" xfId="1153"/>
    <cellStyle name="스타일 1135" xfId="1154"/>
    <cellStyle name="스타일 1136" xfId="1155"/>
    <cellStyle name="스타일 1137" xfId="1156"/>
    <cellStyle name="스타일 1138" xfId="1157"/>
    <cellStyle name="스타일 1139" xfId="1158"/>
    <cellStyle name="스타일 1140" xfId="1159"/>
    <cellStyle name="스타일 1141" xfId="1160"/>
    <cellStyle name="스타일 1142" xfId="1161"/>
    <cellStyle name="스타일 1143" xfId="1162"/>
    <cellStyle name="스타일 1144" xfId="1163"/>
    <cellStyle name="스타일 1145" xfId="1164"/>
    <cellStyle name="스타일 1146" xfId="1165"/>
    <cellStyle name="스타일 1147" xfId="1166"/>
    <cellStyle name="스타일 1148" xfId="1167"/>
    <cellStyle name="스타일 1149" xfId="1168"/>
    <cellStyle name="스타일 1150" xfId="1169"/>
    <cellStyle name="스타일 1151" xfId="1170"/>
    <cellStyle name="스타일 1152" xfId="1171"/>
    <cellStyle name="스타일 1153" xfId="1172"/>
    <cellStyle name="스타일 1154" xfId="1173"/>
    <cellStyle name="스타일 1155" xfId="1174"/>
    <cellStyle name="스타일 1156" xfId="1175"/>
    <cellStyle name="스타일 1157" xfId="1176"/>
    <cellStyle name="스타일 1158" xfId="1177"/>
    <cellStyle name="스타일 1159" xfId="1178"/>
    <cellStyle name="스타일 1160" xfId="1179"/>
    <cellStyle name="스타일 1161" xfId="1180"/>
    <cellStyle name="스타일 1162" xfId="1181"/>
    <cellStyle name="스타일 1163" xfId="1182"/>
    <cellStyle name="스타일 1164" xfId="1183"/>
    <cellStyle name="스타일 1165" xfId="1184"/>
    <cellStyle name="스타일 1166" xfId="1185"/>
    <cellStyle name="스타일 1167" xfId="1186"/>
    <cellStyle name="스타일 1168" xfId="1187"/>
    <cellStyle name="스타일 1169" xfId="1188"/>
    <cellStyle name="스타일 1170" xfId="1189"/>
    <cellStyle name="스타일 1171" xfId="1190"/>
    <cellStyle name="스타일 1172" xfId="1191"/>
    <cellStyle name="스타일 1173" xfId="1192"/>
    <cellStyle name="스타일 1174" xfId="1193"/>
    <cellStyle name="스타일 1175" xfId="1194"/>
    <cellStyle name="스타일 1176" xfId="1195"/>
    <cellStyle name="스타일 1177" xfId="1196"/>
    <cellStyle name="스타일 1178" xfId="1197"/>
    <cellStyle name="스타일 1179" xfId="1198"/>
    <cellStyle name="스타일 1180" xfId="1199"/>
    <cellStyle name="스타일 1181" xfId="1200"/>
    <cellStyle name="스타일 1182" xfId="1201"/>
    <cellStyle name="스타일 1183" xfId="1202"/>
    <cellStyle name="스타일 1184" xfId="1203"/>
    <cellStyle name="스타일 1185" xfId="1204"/>
    <cellStyle name="스타일 1186" xfId="1205"/>
    <cellStyle name="스타일 1187" xfId="1206"/>
    <cellStyle name="스타일 1188" xfId="1207"/>
    <cellStyle name="스타일 1189" xfId="1208"/>
    <cellStyle name="스타일 1190" xfId="1209"/>
    <cellStyle name="스타일 1191" xfId="1210"/>
    <cellStyle name="스타일 1192" xfId="1211"/>
    <cellStyle name="스타일 1193" xfId="1212"/>
    <cellStyle name="스타일 1194" xfId="1213"/>
    <cellStyle name="스타일 1195" xfId="1214"/>
    <cellStyle name="스타일 1196" xfId="1215"/>
    <cellStyle name="스타일 1197" xfId="1216"/>
    <cellStyle name="스타일 1198" xfId="1217"/>
    <cellStyle name="스타일 1199" xfId="1218"/>
    <cellStyle name="스타일 1200" xfId="1219"/>
    <cellStyle name="스타일 1201" xfId="1220"/>
    <cellStyle name="스타일 1202" xfId="1221"/>
    <cellStyle name="스타일 1203" xfId="1222"/>
    <cellStyle name="스타일 1204" xfId="1223"/>
    <cellStyle name="스타일 1205" xfId="1224"/>
    <cellStyle name="스타일 1206" xfId="1225"/>
    <cellStyle name="스타일 1207" xfId="1226"/>
    <cellStyle name="스타일 1208" xfId="1227"/>
    <cellStyle name="스타일 1209" xfId="1228"/>
    <cellStyle name="스타일 1210" xfId="1229"/>
    <cellStyle name="스타일 1211" xfId="1230"/>
    <cellStyle name="스타일 1212" xfId="1231"/>
    <cellStyle name="스타일 1213" xfId="1232"/>
    <cellStyle name="스타일 1214" xfId="1233"/>
    <cellStyle name="스타일 1215" xfId="1234"/>
    <cellStyle name="스타일 1216" xfId="1235"/>
    <cellStyle name="스타일 1217" xfId="1236"/>
    <cellStyle name="스타일 1218" xfId="1237"/>
    <cellStyle name="스타일 1219" xfId="1238"/>
    <cellStyle name="스타일 1220" xfId="1239"/>
    <cellStyle name="스타일 1221" xfId="1240"/>
    <cellStyle name="스타일 1222" xfId="1241"/>
    <cellStyle name="스타일 1223" xfId="1242"/>
    <cellStyle name="스타일 1224" xfId="1243"/>
    <cellStyle name="스타일 1225" xfId="1244"/>
    <cellStyle name="스타일 1226" xfId="1245"/>
    <cellStyle name="스타일 1227" xfId="1246"/>
    <cellStyle name="스타일 1228" xfId="1247"/>
    <cellStyle name="스타일 1229" xfId="1248"/>
    <cellStyle name="스타일 1230" xfId="1249"/>
    <cellStyle name="스타일 1231" xfId="1250"/>
    <cellStyle name="스타일 1232" xfId="1251"/>
    <cellStyle name="스타일 1233" xfId="1252"/>
    <cellStyle name="스타일 1234" xfId="1253"/>
    <cellStyle name="스타일 1235" xfId="1254"/>
    <cellStyle name="스타일 1236" xfId="1255"/>
    <cellStyle name="스타일 1237" xfId="1256"/>
    <cellStyle name="스타일 1238" xfId="1257"/>
    <cellStyle name="스타일 1239" xfId="1258"/>
    <cellStyle name="스타일 1240" xfId="1259"/>
    <cellStyle name="스타일 1241" xfId="1260"/>
    <cellStyle name="스타일 1242" xfId="1261"/>
    <cellStyle name="스타일 1243" xfId="1262"/>
    <cellStyle name="스타일 1244" xfId="1263"/>
    <cellStyle name="스타일 1245" xfId="1264"/>
    <cellStyle name="스타일 1246" xfId="1265"/>
    <cellStyle name="스타일 1247" xfId="1266"/>
    <cellStyle name="스타일 1248" xfId="1267"/>
    <cellStyle name="스타일 1249" xfId="1268"/>
    <cellStyle name="스타일 1250" xfId="1269"/>
    <cellStyle name="스타일 1251" xfId="1270"/>
    <cellStyle name="스타일 1252" xfId="1271"/>
    <cellStyle name="스타일 1253" xfId="1272"/>
    <cellStyle name="스타일 1254" xfId="1273"/>
    <cellStyle name="스타일 1255" xfId="1274"/>
    <cellStyle name="스타일 1256" xfId="1275"/>
    <cellStyle name="스타일 1257" xfId="1276"/>
    <cellStyle name="스타일 1258" xfId="1277"/>
    <cellStyle name="스타일 1259" xfId="1278"/>
    <cellStyle name="스타일 1260" xfId="1279"/>
    <cellStyle name="스타일 1261" xfId="1280"/>
    <cellStyle name="스타일 1262" xfId="1281"/>
    <cellStyle name="스타일 1263" xfId="1282"/>
    <cellStyle name="스타일 1264" xfId="1283"/>
    <cellStyle name="스타일 1265" xfId="1284"/>
    <cellStyle name="스타일 1266" xfId="1285"/>
    <cellStyle name="스타일 1267" xfId="1286"/>
    <cellStyle name="스타일 1268" xfId="1287"/>
    <cellStyle name="스타일 1269" xfId="1288"/>
    <cellStyle name="스타일 1270" xfId="1289"/>
    <cellStyle name="스타일 1271" xfId="1290"/>
    <cellStyle name="스타일 1272" xfId="1291"/>
    <cellStyle name="스타일 1273" xfId="1292"/>
    <cellStyle name="스타일 1274" xfId="1293"/>
    <cellStyle name="스타일 1275" xfId="1294"/>
    <cellStyle name="스타일 1276" xfId="1295"/>
    <cellStyle name="스타일 1277" xfId="1296"/>
    <cellStyle name="스타일 1278" xfId="1297"/>
    <cellStyle name="스타일 1279" xfId="1298"/>
    <cellStyle name="스타일 1280" xfId="1299"/>
    <cellStyle name="스타일 1281" xfId="1300"/>
    <cellStyle name="스타일 1282" xfId="1301"/>
    <cellStyle name="스타일 1283" xfId="1302"/>
    <cellStyle name="스타일 1284" xfId="1303"/>
    <cellStyle name="스타일 1285" xfId="1304"/>
    <cellStyle name="스타일 1286" xfId="1305"/>
    <cellStyle name="스타일 1287" xfId="1306"/>
    <cellStyle name="스타일 1288" xfId="1307"/>
    <cellStyle name="스타일 1289" xfId="1308"/>
    <cellStyle name="스타일 1290" xfId="1309"/>
    <cellStyle name="스타일 1291" xfId="1310"/>
    <cellStyle name="스타일 1292" xfId="1311"/>
    <cellStyle name="스타일 1293" xfId="1312"/>
    <cellStyle name="스타일 1294" xfId="1313"/>
    <cellStyle name="스타일 1295" xfId="1314"/>
    <cellStyle name="스타일 1296" xfId="1315"/>
    <cellStyle name="스타일 1297" xfId="1316"/>
    <cellStyle name="스타일 1298" xfId="1317"/>
    <cellStyle name="스타일 1299" xfId="1318"/>
    <cellStyle name="스타일 1300" xfId="1319"/>
    <cellStyle name="스타일 1301" xfId="1320"/>
    <cellStyle name="스타일 1302" xfId="1321"/>
    <cellStyle name="스타일 1303" xfId="1322"/>
    <cellStyle name="스타일 1304" xfId="1323"/>
    <cellStyle name="스타일 1305" xfId="1324"/>
    <cellStyle name="스타일 1306" xfId="1325"/>
    <cellStyle name="스타일 1307" xfId="1326"/>
    <cellStyle name="스타일 1308" xfId="1327"/>
    <cellStyle name="스타일 1309" xfId="1328"/>
    <cellStyle name="스타일 1310" xfId="1329"/>
    <cellStyle name="스타일 1311" xfId="1330"/>
    <cellStyle name="스타일 1312" xfId="1331"/>
    <cellStyle name="스타일 1313" xfId="1332"/>
    <cellStyle name="스타일 1314" xfId="1333"/>
    <cellStyle name="스타일 1315" xfId="1334"/>
    <cellStyle name="스타일 1316" xfId="1335"/>
    <cellStyle name="스타일 1317" xfId="1336"/>
    <cellStyle name="스타일 1318" xfId="1337"/>
    <cellStyle name="스타일 1319" xfId="1338"/>
    <cellStyle name="스타일 1320" xfId="1339"/>
    <cellStyle name="스타일 1321" xfId="1340"/>
    <cellStyle name="스타일 1322" xfId="1341"/>
    <cellStyle name="스타일 1323" xfId="1342"/>
    <cellStyle name="스타일 1324" xfId="1343"/>
    <cellStyle name="스타일 1325" xfId="1344"/>
    <cellStyle name="스타일 1326" xfId="1345"/>
    <cellStyle name="스타일 1327" xfId="1346"/>
    <cellStyle name="스타일 1328" xfId="1347"/>
    <cellStyle name="스타일 1329" xfId="1348"/>
    <cellStyle name="스타일 1330" xfId="1349"/>
    <cellStyle name="스타일 1331" xfId="1350"/>
    <cellStyle name="스타일 1332" xfId="1351"/>
    <cellStyle name="스타일 1333" xfId="1352"/>
    <cellStyle name="스타일 1334" xfId="1353"/>
    <cellStyle name="스타일 1335" xfId="1354"/>
    <cellStyle name="스타일 1336" xfId="1355"/>
    <cellStyle name="스타일 1337" xfId="1356"/>
    <cellStyle name="스타일 1338" xfId="1357"/>
    <cellStyle name="스타일 1339" xfId="1358"/>
    <cellStyle name="스타일 1340" xfId="1359"/>
    <cellStyle name="스타일 1341" xfId="1360"/>
    <cellStyle name="스타일 1342" xfId="1361"/>
    <cellStyle name="스타일 1343" xfId="1362"/>
    <cellStyle name="스타일 1344" xfId="1363"/>
    <cellStyle name="스타일 1345" xfId="1364"/>
    <cellStyle name="스타일 1346" xfId="1365"/>
    <cellStyle name="스타일 1347" xfId="1366"/>
    <cellStyle name="스타일 1348" xfId="1367"/>
    <cellStyle name="스타일 1349" xfId="1368"/>
    <cellStyle name="스타일 1350" xfId="1369"/>
    <cellStyle name="스타일 1351" xfId="1370"/>
    <cellStyle name="스타일 1352" xfId="1371"/>
    <cellStyle name="스타일 1353" xfId="1372"/>
    <cellStyle name="스타일 1354" xfId="1373"/>
    <cellStyle name="스타일 1355" xfId="1374"/>
    <cellStyle name="스타일 1356" xfId="1375"/>
    <cellStyle name="스타일 1357" xfId="1376"/>
    <cellStyle name="스타일 1358" xfId="1377"/>
    <cellStyle name="스타일 1359" xfId="1378"/>
    <cellStyle name="스타일 1360" xfId="1379"/>
    <cellStyle name="스타일 1361" xfId="1380"/>
    <cellStyle name="스타일 1362" xfId="1381"/>
    <cellStyle name="스타일 1363" xfId="1382"/>
    <cellStyle name="스타일 1364" xfId="1383"/>
    <cellStyle name="스타일 1365" xfId="1384"/>
    <cellStyle name="스타일 1366" xfId="1385"/>
    <cellStyle name="스타일 1367" xfId="1386"/>
    <cellStyle name="스타일 1368" xfId="1387"/>
    <cellStyle name="스타일 1369" xfId="1388"/>
    <cellStyle name="스타일 1370" xfId="1389"/>
    <cellStyle name="스타일 1371" xfId="1390"/>
    <cellStyle name="스타일 1372" xfId="1391"/>
    <cellStyle name="스타일 1373" xfId="1392"/>
    <cellStyle name="스타일 1374" xfId="1393"/>
    <cellStyle name="스타일 1375" xfId="1394"/>
    <cellStyle name="스타일 1376" xfId="1395"/>
    <cellStyle name="스타일 1377" xfId="1396"/>
    <cellStyle name="스타일 1378" xfId="1397"/>
    <cellStyle name="스타일 1379" xfId="1398"/>
    <cellStyle name="스타일 1380" xfId="1399"/>
    <cellStyle name="스타일 1381" xfId="1400"/>
    <cellStyle name="스타일 1382" xfId="1401"/>
    <cellStyle name="스타일 1383" xfId="1402"/>
    <cellStyle name="스타일 1384" xfId="1403"/>
    <cellStyle name="스타일 1385" xfId="1404"/>
    <cellStyle name="스타일 1386" xfId="1405"/>
    <cellStyle name="스타일 1387" xfId="1406"/>
    <cellStyle name="스타일 1388" xfId="1407"/>
    <cellStyle name="스타일 1389" xfId="1408"/>
    <cellStyle name="스타일 1390" xfId="1409"/>
    <cellStyle name="스타일 1391" xfId="1410"/>
    <cellStyle name="스타일 1392" xfId="1411"/>
    <cellStyle name="스타일 1393" xfId="1412"/>
    <cellStyle name="스타일 1394" xfId="1413"/>
    <cellStyle name="스타일 1395" xfId="1414"/>
    <cellStyle name="스타일 1396" xfId="1415"/>
    <cellStyle name="스타일 1397" xfId="1416"/>
    <cellStyle name="스타일 1398" xfId="1417"/>
    <cellStyle name="스타일 1399" xfId="1418"/>
    <cellStyle name="스타일 1400" xfId="1419"/>
    <cellStyle name="스타일 1401" xfId="1420"/>
    <cellStyle name="스타일 1402" xfId="1421"/>
    <cellStyle name="스타일 1403" xfId="1422"/>
    <cellStyle name="스타일 1404" xfId="1423"/>
    <cellStyle name="스타일 1405" xfId="1424"/>
    <cellStyle name="스타일 1406" xfId="1425"/>
    <cellStyle name="스타일 1407" xfId="1426"/>
    <cellStyle name="스타일 1408" xfId="1427"/>
    <cellStyle name="스타일 1409" xfId="1428"/>
    <cellStyle name="스타일 1410" xfId="1429"/>
    <cellStyle name="스타일 1411" xfId="1430"/>
    <cellStyle name="스타일 1412" xfId="1431"/>
    <cellStyle name="스타일 1413" xfId="1432"/>
    <cellStyle name="스타일 1414" xfId="1433"/>
    <cellStyle name="스타일 1415" xfId="1434"/>
    <cellStyle name="스타일 1416" xfId="1435"/>
    <cellStyle name="스타일 1417" xfId="1436"/>
    <cellStyle name="스타일 1418" xfId="1437"/>
    <cellStyle name="스타일 1419" xfId="1438"/>
    <cellStyle name="스타일 1420" xfId="1439"/>
    <cellStyle name="스타일 1421" xfId="1440"/>
    <cellStyle name="스타일 1422" xfId="1441"/>
    <cellStyle name="스타일 1423" xfId="1442"/>
    <cellStyle name="스타일 1424" xfId="1443"/>
    <cellStyle name="스타일 1425" xfId="1444"/>
    <cellStyle name="스타일 1426" xfId="1445"/>
    <cellStyle name="스타일 1427" xfId="1446"/>
    <cellStyle name="스타일 1428" xfId="1447"/>
    <cellStyle name="스타일 1429" xfId="1448"/>
    <cellStyle name="스타일 1430" xfId="1449"/>
    <cellStyle name="스타일 1431" xfId="1450"/>
    <cellStyle name="스타일 1432" xfId="1451"/>
    <cellStyle name="스타일 1433" xfId="1452"/>
    <cellStyle name="스타일 1434" xfId="1453"/>
    <cellStyle name="스타일 1435" xfId="1454"/>
    <cellStyle name="스타일 1436" xfId="1455"/>
    <cellStyle name="스타일 1437" xfId="1456"/>
    <cellStyle name="스타일 1438" xfId="1457"/>
    <cellStyle name="스타일 1439" xfId="1458"/>
    <cellStyle name="스타일 1440" xfId="1459"/>
    <cellStyle name="스타일 1441" xfId="1460"/>
    <cellStyle name="스타일 1442" xfId="1461"/>
    <cellStyle name="스타일 1443" xfId="1462"/>
    <cellStyle name="스타일 1444" xfId="1463"/>
    <cellStyle name="스타일 1445" xfId="1464"/>
    <cellStyle name="스타일 1446" xfId="1465"/>
    <cellStyle name="스타일 1447" xfId="1466"/>
    <cellStyle name="스타일 1448" xfId="1467"/>
    <cellStyle name="스타일 1449" xfId="1468"/>
    <cellStyle name="스타일 1450" xfId="1469"/>
    <cellStyle name="스타일 1451" xfId="1470"/>
    <cellStyle name="스타일 1452" xfId="1471"/>
    <cellStyle name="스타일 1453" xfId="1472"/>
    <cellStyle name="스타일 1454" xfId="1473"/>
    <cellStyle name="스타일 1455" xfId="1474"/>
    <cellStyle name="스타일 1456" xfId="1475"/>
    <cellStyle name="스타일 1457" xfId="1476"/>
    <cellStyle name="스타일 1458" xfId="1477"/>
    <cellStyle name="스타일 1459" xfId="1478"/>
    <cellStyle name="스타일 1460" xfId="1479"/>
    <cellStyle name="스타일 1461" xfId="1480"/>
    <cellStyle name="스타일 1462" xfId="1481"/>
    <cellStyle name="스타일 1463" xfId="1482"/>
    <cellStyle name="스타일 1464" xfId="1483"/>
    <cellStyle name="스타일 1465" xfId="1484"/>
    <cellStyle name="스타일 1466" xfId="1485"/>
    <cellStyle name="스타일 1467" xfId="1486"/>
    <cellStyle name="스타일 1468" xfId="1487"/>
    <cellStyle name="스타일 1469" xfId="1488"/>
    <cellStyle name="스타일 1470" xfId="1489"/>
    <cellStyle name="스타일 1471" xfId="1490"/>
    <cellStyle name="스타일 1472" xfId="1491"/>
    <cellStyle name="스타일 1473" xfId="1492"/>
    <cellStyle name="스타일 1474" xfId="1493"/>
    <cellStyle name="스타일 1475" xfId="1494"/>
    <cellStyle name="스타일 1476" xfId="1495"/>
    <cellStyle name="스타일 1477" xfId="1496"/>
    <cellStyle name="스타일 1478" xfId="1497"/>
    <cellStyle name="스타일 1479" xfId="1498"/>
    <cellStyle name="스타일 1480" xfId="1499"/>
    <cellStyle name="스타일 1481" xfId="1500"/>
    <cellStyle name="스타일 1482" xfId="1501"/>
    <cellStyle name="스타일 1483" xfId="1502"/>
    <cellStyle name="스타일 1484" xfId="1503"/>
    <cellStyle name="스타일 1485" xfId="1504"/>
    <cellStyle name="스타일 1486" xfId="1505"/>
    <cellStyle name="스타일 1487" xfId="1506"/>
    <cellStyle name="스타일 1488" xfId="1507"/>
    <cellStyle name="스타일 1489" xfId="1508"/>
    <cellStyle name="스타일 1490" xfId="1509"/>
    <cellStyle name="스타일 1491" xfId="1510"/>
    <cellStyle name="스타일 1492" xfId="1511"/>
    <cellStyle name="스타일 1493" xfId="1512"/>
    <cellStyle name="스타일 1494" xfId="1513"/>
    <cellStyle name="스타일 1495" xfId="1514"/>
    <cellStyle name="스타일 1496" xfId="1515"/>
    <cellStyle name="스타일 1497" xfId="1516"/>
    <cellStyle name="스타일 1498" xfId="1517"/>
    <cellStyle name="스타일 1499" xfId="1518"/>
    <cellStyle name="스타일 1500" xfId="1519"/>
    <cellStyle name="스타일 1501" xfId="1520"/>
    <cellStyle name="스타일 1502" xfId="1521"/>
    <cellStyle name="스타일 1503" xfId="1522"/>
    <cellStyle name="스타일 1504" xfId="1523"/>
    <cellStyle name="스타일 1505" xfId="1524"/>
    <cellStyle name="스타일 1506" xfId="1525"/>
    <cellStyle name="스타일 1507" xfId="1526"/>
    <cellStyle name="스타일 1508" xfId="1527"/>
    <cellStyle name="스타일 1509" xfId="1528"/>
    <cellStyle name="스타일 1510" xfId="1529"/>
    <cellStyle name="스타일 1511" xfId="1530"/>
    <cellStyle name="스타일 1512" xfId="1531"/>
    <cellStyle name="스타일 1513" xfId="1532"/>
    <cellStyle name="스타일 1514" xfId="1533"/>
    <cellStyle name="스타일 1515" xfId="1534"/>
    <cellStyle name="스타일 1516" xfId="1535"/>
    <cellStyle name="스타일 1517" xfId="1536"/>
    <cellStyle name="스타일 1518" xfId="1537"/>
    <cellStyle name="스타일 1519" xfId="1538"/>
    <cellStyle name="스타일 1520" xfId="1539"/>
    <cellStyle name="스타일 1521" xfId="1540"/>
    <cellStyle name="스타일 1522" xfId="1541"/>
    <cellStyle name="스타일 1523" xfId="1542"/>
    <cellStyle name="스타일 1524" xfId="1543"/>
    <cellStyle name="스타일 1525" xfId="1544"/>
    <cellStyle name="스타일 1526" xfId="1545"/>
    <cellStyle name="스타일 1527" xfId="1546"/>
    <cellStyle name="스타일 1528" xfId="1547"/>
    <cellStyle name="스타일 1529" xfId="1548"/>
    <cellStyle name="스타일 1530" xfId="1549"/>
    <cellStyle name="스타일 1531" xfId="1550"/>
    <cellStyle name="스타일 1532" xfId="1551"/>
    <cellStyle name="스타일 1533" xfId="1552"/>
    <cellStyle name="스타일 1534" xfId="1553"/>
    <cellStyle name="스타일 1535" xfId="1554"/>
    <cellStyle name="스타일 1536" xfId="1555"/>
    <cellStyle name="스타일 1537" xfId="0"/>
    <cellStyle name="스타일 1538" xfId="0"/>
    <cellStyle name="스타일 1539" xfId="0"/>
    <cellStyle name="스타일 1540" xfId="0"/>
    <cellStyle name="스타일 1541" xfId="0"/>
    <cellStyle name="스타일 1542" xfId="0"/>
    <cellStyle name="스타일 1543" xfId="0"/>
    <cellStyle name="스타일 1544" xfId="0"/>
    <cellStyle name="스타일 1545" xfId="0"/>
    <cellStyle name="스타일 1546" xfId="0"/>
    <cellStyle name="스타일 1547" xfId="0"/>
    <cellStyle name="스타일 1548" xfId="0"/>
    <cellStyle name="스타일 1549" xfId="0"/>
    <cellStyle name="스타일 1550" xfId="0"/>
    <cellStyle name="스타일 1551" xfId="0"/>
    <cellStyle name="스타일 1552" xfId="0"/>
    <cellStyle name="스타일 1553" xfId="0"/>
    <cellStyle name="스타일 1554" xfId="0"/>
    <cellStyle name="스타일 1555" xfId="0"/>
    <cellStyle name="스타일 1556" xfId="0"/>
    <cellStyle name="스타일 1557" xfId="0"/>
    <cellStyle name="스타일 1558" xfId="0"/>
    <cellStyle name="스타일 1559" xfId="0"/>
    <cellStyle name="스타일 1560" xfId="0"/>
    <cellStyle name="스타일 1561" xfId="0"/>
    <cellStyle name="스타일 1562" xfId="0"/>
    <cellStyle name="스타일 1563" xfId="0"/>
    <cellStyle name="스타일 1564" xfId="0"/>
    <cellStyle name="스타일 1565" xfId="0"/>
    <cellStyle name="스타일 1566" xfId="0"/>
    <cellStyle name="스타일 1567" xfId="0"/>
    <cellStyle name="스타일 1568" xfId="0"/>
    <cellStyle name="스타일 1569" xfId="0"/>
    <cellStyle name="스타일 1570" xfId="0"/>
    <cellStyle name="스타일 1571" xfId="0"/>
    <cellStyle name="스타일 1572" xfId="0"/>
    <cellStyle name="스타일 1573" xfId="0"/>
    <cellStyle name="스타일 1574" xfId="0"/>
    <cellStyle name="스타일 1575" xfId="0"/>
    <cellStyle name="스타일 1576" xfId="0"/>
    <cellStyle name="스타일 1577" xfId="0"/>
    <cellStyle name="스타일 1578" xfId="0"/>
    <cellStyle name="스타일 1579" xfId="0"/>
    <cellStyle name="스타일 1580" xfId="0"/>
    <cellStyle name="스타일 1581" xfId="0"/>
    <cellStyle name="스타일 1582" xfId="0"/>
    <cellStyle name="스타일 1583" xfId="0"/>
    <cellStyle name="스타일 1584" xfId="0"/>
    <cellStyle name="스타일 1585" xfId="0"/>
    <cellStyle name="스타일 1586" xfId="0"/>
    <cellStyle name="스타일 1587" xfId="0"/>
    <cellStyle name="스타일 1588" xfId="0"/>
    <cellStyle name="스타일 1589" xfId="0"/>
    <cellStyle name="스타일 1590" xfId="0"/>
    <cellStyle name="스타일 1591" xfId="0"/>
    <cellStyle name="스타일 1592" xfId="0"/>
    <cellStyle name="스타일 1593" xfId="0"/>
    <cellStyle name="스타일 1594" xfId="0"/>
    <cellStyle name="스타일 1595" xfId="0"/>
    <cellStyle name="스타일 1596" xfId="0"/>
    <cellStyle name="스타일 1597" xfId="0"/>
    <cellStyle name="스타일 1598" xfId="0"/>
    <cellStyle name="스타일 1599" xfId="0"/>
    <cellStyle name="스타일 1600" xfId="0"/>
    <cellStyle name="스타일 1601" xfId="0"/>
    <cellStyle name="스타일 1602" xfId="0"/>
    <cellStyle name="스타일 1603" xfId="0"/>
    <cellStyle name="스타일 1604" xfId="0"/>
    <cellStyle name="스타일 1605" xfId="0"/>
    <cellStyle name="스타일 1606" xfId="0"/>
    <cellStyle name="스타일 1607" xfId="0"/>
    <cellStyle name="스타일 1608" xfId="0"/>
    <cellStyle name="스타일 1609" xfId="0"/>
    <cellStyle name="스타일 1610" xfId="0"/>
    <cellStyle name="스타일 1611" xfId="0"/>
    <cellStyle name="스타일 1612" xfId="0"/>
    <cellStyle name="스타일 1613" xfId="0"/>
    <cellStyle name="스타일 1614" xfId="0"/>
    <cellStyle name="스타일 1615" xfId="0"/>
    <cellStyle name="스타일 1616" xfId="0"/>
    <cellStyle name="스타일 1617" xfId="0"/>
    <cellStyle name="스타일 1618" xfId="0"/>
    <cellStyle name="스타일 1619" xfId="0"/>
    <cellStyle name="스타일 1620" xfId="0"/>
    <cellStyle name="스타일 1621" xfId="0"/>
    <cellStyle name="스타일 1622" xfId="0"/>
    <cellStyle name="스타일 1623" xfId="0"/>
    <cellStyle name="스타일 1624" xfId="0"/>
    <cellStyle name="스타일 1625" xfId="0"/>
    <cellStyle name="스타일 1626" xfId="0"/>
    <cellStyle name="스타일 1627" xfId="0"/>
    <cellStyle name="스타일 1628" xfId="0"/>
    <cellStyle name="스타일 1629" xfId="0"/>
    <cellStyle name="스타일 1630" xfId="0"/>
    <cellStyle name="스타일 1631" xfId="0"/>
    <cellStyle name="스타일 1632" xfId="0"/>
    <cellStyle name="스타일 1633" xfId="0"/>
    <cellStyle name="스타일 1634" xfId="0"/>
    <cellStyle name="스타일 1635" xfId="0"/>
    <cellStyle name="스타일 1636" xfId="0"/>
    <cellStyle name="스타일 1637" xfId="0"/>
    <cellStyle name="스타일 1638" xfId="0"/>
    <cellStyle name="스타일 1639" xfId="0"/>
    <cellStyle name="스타일 1640" xfId="0"/>
    <cellStyle name="스타일 1641" xfId="0"/>
    <cellStyle name="스타일 1642" xfId="0"/>
    <cellStyle name="스타일 1643" xfId="0"/>
    <cellStyle name="스타일 1644" xfId="0"/>
    <cellStyle name="스타일 1645" xfId="0"/>
    <cellStyle name="스타일 1646" xfId="0"/>
    <cellStyle name="스타일 1647" xfId="0"/>
    <cellStyle name="스타일 1648" xfId="0"/>
    <cellStyle name="스타일 1649" xfId="0"/>
    <cellStyle name="스타일 1650" xfId="0"/>
    <cellStyle name="스타일 1651" xfId="0"/>
    <cellStyle name="스타일 1652" xfId="0"/>
    <cellStyle name="스타일 1653" xfId="0"/>
    <cellStyle name="스타일 1654" xfId="0"/>
    <cellStyle name="스타일 1655" xfId="0"/>
    <cellStyle name="스타일 1656" xfId="0"/>
    <cellStyle name="스타일 1657" xfId="0"/>
    <cellStyle name="스타일 1658" xfId="0"/>
    <cellStyle name="스타일 1659" xfId="0"/>
    <cellStyle name="스타일 1660" xfId="0"/>
    <cellStyle name="스타일 1661" xfId="0"/>
    <cellStyle name="스타일 1662" xfId="0"/>
    <cellStyle name="스타일 1663" xfId="0"/>
    <cellStyle name="스타일 1664" xfId="0"/>
    <cellStyle name="스타일 1665" xfId="0"/>
    <cellStyle name="스타일 1666" xfId="0"/>
    <cellStyle name="스타일 1667" xfId="0"/>
    <cellStyle name="스타일 1668" xfId="0"/>
    <cellStyle name="스타일 1669" xfId="0"/>
    <cellStyle name="스타일 1670" xfId="0"/>
    <cellStyle name="스타일 1671" xfId="0"/>
    <cellStyle name="스타일 1672" xfId="0"/>
    <cellStyle name="스타일 1673" xfId="0"/>
    <cellStyle name="스타일 1674" xfId="0"/>
    <cellStyle name="스타일 1675" xfId="0"/>
    <cellStyle name="스타일 1676" xfId="0"/>
    <cellStyle name="스타일 1677" xfId="0"/>
    <cellStyle name="스타일 1678" xfId="0"/>
    <cellStyle name="스타일 1679" xfId="0"/>
    <cellStyle name="스타일 1680" xfId="0"/>
    <cellStyle name="스타일 1681" xfId="0"/>
    <cellStyle name="스타일 1682" xfId="0"/>
    <cellStyle name="스타일 1683" xfId="0"/>
    <cellStyle name="스타일 1684" xfId="0"/>
    <cellStyle name="스타일 1685" xfId="0"/>
    <cellStyle name="스타일 1686" xfId="0"/>
    <cellStyle name="스타일 1687" xfId="0"/>
    <cellStyle name="스타일 1688" xfId="0"/>
    <cellStyle name="스타일 1689" xfId="0"/>
    <cellStyle name="스타일 1690" xfId="0"/>
    <cellStyle name="스타일 1691" xfId="0"/>
    <cellStyle name="스타일 1692" xfId="0"/>
    <cellStyle name="스타일 1693" xfId="0"/>
    <cellStyle name="스타일 1694" xfId="0"/>
    <cellStyle name="스타일 1695" xfId="0"/>
    <cellStyle name="스타일 1696" xfId="0"/>
    <cellStyle name="스타일 1697" xfId="0"/>
    <cellStyle name="스타일 1698" xfId="0"/>
    <cellStyle name="스타일 1699" xfId="0"/>
    <cellStyle name="스타일 1700" xfId="0"/>
    <cellStyle name="스타일 1701" xfId="0"/>
    <cellStyle name="스타일 1702" xfId="0"/>
    <cellStyle name="스타일 1703" xfId="0"/>
    <cellStyle name="스타일 1704" xfId="0"/>
    <cellStyle name="스타일 1705" xfId="0"/>
    <cellStyle name="스타일 1706" xfId="0"/>
    <cellStyle name="스타일 1707" xfId="0"/>
    <cellStyle name="스타일 1708" xfId="0"/>
    <cellStyle name="스타일 1709" xfId="0"/>
    <cellStyle name="스타일 1710" xfId="0"/>
    <cellStyle name="스타일 1711" xfId="0"/>
    <cellStyle name="스타일 1712" xfId="0"/>
    <cellStyle name="스타일 1713" xfId="0"/>
    <cellStyle name="스타일 1714" xfId="0"/>
    <cellStyle name="스타일 1715" xfId="0"/>
    <cellStyle name="스타일 1716" xfId="0"/>
    <cellStyle name="스타일 1717" xfId="0"/>
    <cellStyle name="스타일 1718" xfId="0"/>
    <cellStyle name="스타일 1719" xfId="0"/>
    <cellStyle name="스타일 1720" xfId="0"/>
    <cellStyle name="스타일 1721" xfId="0"/>
    <cellStyle name="스타일 1722" xfId="0"/>
    <cellStyle name="스타일 1723" xfId="0"/>
    <cellStyle name="스타일 1724" xfId="0"/>
    <cellStyle name="스타일 1725" xfId="0"/>
    <cellStyle name="스타일 1726" xfId="0"/>
    <cellStyle name="스타일 1727" xfId="0"/>
    <cellStyle name="스타일 1728" xfId="0"/>
    <cellStyle name="스타일 1729" xfId="0"/>
    <cellStyle name="스타일 1730" xfId="0"/>
    <cellStyle name="스타일 1731" xfId="0"/>
    <cellStyle name="스타일 1732" xfId="0"/>
    <cellStyle name="스타일 1733" xfId="0"/>
    <cellStyle name="스타일 1734" xfId="0"/>
    <cellStyle name="스타일 1735" xfId="0"/>
    <cellStyle name="스타일 1736" xfId="0"/>
    <cellStyle name="스타일 1737" xfId="0"/>
    <cellStyle name="스타일 1738" xfId="0"/>
    <cellStyle name="스타일 1739" xfId="0"/>
    <cellStyle name="스타일 1740" xfId="0"/>
    <cellStyle name="스타일 1741" xfId="0"/>
    <cellStyle name="스타일 1742" xfId="0"/>
    <cellStyle name="스타일 1743" xfId="0"/>
    <cellStyle name="스타일 1744" xfId="0"/>
    <cellStyle name="스타일 1745" xfId="0"/>
    <cellStyle name="스타일 1746" xfId="0"/>
    <cellStyle name="스타일 1747" xfId="0"/>
    <cellStyle name="스타일 1748" xfId="0"/>
    <cellStyle name="스타일 1749" xfId="0"/>
    <cellStyle name="스타일 1750" xfId="0"/>
    <cellStyle name="스타일 1751" xfId="0"/>
    <cellStyle name="스타일 1752" xfId="0"/>
    <cellStyle name="스타일 1753" xfId="0"/>
    <cellStyle name="스타일 1754" xfId="0"/>
    <cellStyle name="스타일 1755" xfId="0"/>
    <cellStyle name="스타일 1756" xfId="0"/>
    <cellStyle name="스타일 1757" xfId="0"/>
    <cellStyle name="스타일 1758" xfId="0"/>
    <cellStyle name="스타일 1759" xfId="0"/>
    <cellStyle name="스타일 1760" xfId="0"/>
    <cellStyle name="스타일 1761" xfId="0"/>
    <cellStyle name="스타일 1762" xfId="0"/>
    <cellStyle name="스타일 1763" xfId="0"/>
    <cellStyle name="스타일 1764" xfId="0"/>
    <cellStyle name="스타일 1765" xfId="0"/>
    <cellStyle name="스타일 1766" xfId="0"/>
    <cellStyle name="스타일 1767" xfId="0"/>
    <cellStyle name="스타일 1768" xfId="0"/>
    <cellStyle name="스타일 1769" xfId="0"/>
    <cellStyle name="스타일 1770" xfId="0"/>
    <cellStyle name="스타일 1771" xfId="0"/>
    <cellStyle name="스타일 1772" xfId="0"/>
    <cellStyle name="스타일 1773" xfId="0"/>
    <cellStyle name="스타일 1774" xfId="0"/>
    <cellStyle name="스타일 1775" xfId="0"/>
    <cellStyle name="스타일 1776" xfId="0"/>
    <cellStyle name="스타일 1777" xfId="0"/>
    <cellStyle name="스타일 1778" xfId="0"/>
    <cellStyle name="스타일 1779" xfId="0"/>
    <cellStyle name="스타일 1780" xfId="0"/>
    <cellStyle name="스타일 1781" xfId="0"/>
    <cellStyle name="스타일 1782" xfId="0"/>
    <cellStyle name="스타일 1783" xfId="0"/>
    <cellStyle name="스타일 1784" xfId="0"/>
    <cellStyle name="스타일 1785" xfId="0"/>
    <cellStyle name="스타일 1786" xfId="0"/>
    <cellStyle name="스타일 1787" xfId="0"/>
    <cellStyle name="스타일 1788" xfId="0"/>
    <cellStyle name="스타일 1789" xfId="0"/>
    <cellStyle name="스타일 1790" xfId="0"/>
    <cellStyle name="스타일 1791" xfId="0"/>
    <cellStyle name="스타일 1792" xfId="0"/>
    <cellStyle name="스타일 1793" xfId="0"/>
    <cellStyle name="스타일 1794" xfId="0"/>
    <cellStyle name="스타일 1795" xfId="0"/>
    <cellStyle name="스타일 1796" xfId="0"/>
    <cellStyle name="스타일 1797" xfId="0"/>
    <cellStyle name="스타일 1798" xfId="0"/>
    <cellStyle name="스타일 1799" xfId="0"/>
    <cellStyle name="스타일 1800" xfId="0"/>
    <cellStyle name="스타일 1801" xfId="0"/>
    <cellStyle name="스타일 1802" xfId="0"/>
    <cellStyle name="스타일 1803" xfId="0"/>
    <cellStyle name="스타일 1804" xfId="0"/>
    <cellStyle name="스타일 1805" xfId="0"/>
    <cellStyle name="스타일 1806" xfId="0"/>
    <cellStyle name="스타일 1807" xfId="0"/>
    <cellStyle name="스타일 1808" xfId="0"/>
    <cellStyle name="스타일 1809" xfId="0"/>
    <cellStyle name="스타일 1810" xfId="0"/>
    <cellStyle name="스타일 1811" xfId="0"/>
    <cellStyle name="스타일 1812" xfId="0"/>
    <cellStyle name="스타일 1813" xfId="0"/>
    <cellStyle name="스타일 1814" xfId="0"/>
    <cellStyle name="스타일 1815" xfId="0"/>
    <cellStyle name="스타일 1816" xfId="0"/>
    <cellStyle name="스타일 1817" xfId="0"/>
    <cellStyle name="스타일 1818" xfId="0"/>
    <cellStyle name="스타일 1819" xfId="0"/>
    <cellStyle name="스타일 1820" xfId="0"/>
    <cellStyle name="스타일 1821" xfId="0"/>
    <cellStyle name="스타일 1822" xfId="0"/>
    <cellStyle name="스타일 1823" xfId="0"/>
    <cellStyle name="스타일 1824" xfId="0"/>
    <cellStyle name="스타일 1825" xfId="0"/>
    <cellStyle name="스타일 1826" xfId="0"/>
    <cellStyle name="스타일 1827" xfId="0"/>
    <cellStyle name="스타일 1828" xfId="0"/>
    <cellStyle name="스타일 1829" xfId="0"/>
    <cellStyle name="스타일 1830" xfId="0"/>
    <cellStyle name="스타일 1831" xfId="0"/>
    <cellStyle name="스타일 1832" xfId="0"/>
    <cellStyle name="스타일 1833" xfId="0"/>
    <cellStyle name="스타일 1834" xfId="0"/>
    <cellStyle name="스타일 1835" xfId="0"/>
    <cellStyle name="스타일 1836" xfId="0"/>
    <cellStyle name="스타일 1837" xfId="0"/>
    <cellStyle name="스타일 1838" xfId="0"/>
    <cellStyle name="스타일 1839" xfId="0"/>
    <cellStyle name="스타일 1840" xfId="0"/>
    <cellStyle name="스타일 1841" xfId="0"/>
    <cellStyle name="스타일 1842" xfId="0"/>
    <cellStyle name="스타일 1843" xfId="0"/>
    <cellStyle name="스타일 1844" xfId="0"/>
    <cellStyle name="스타일 1845" xfId="0"/>
    <cellStyle name="스타일 1846" xfId="0"/>
    <cellStyle name="스타일 1847" xfId="0"/>
    <cellStyle name="스타일 1848" xfId="0"/>
    <cellStyle name="스타일 1849" xfId="0"/>
    <cellStyle name="스타일 1850" xfId="0"/>
    <cellStyle name="스타일 1851" xfId="0"/>
    <cellStyle name="스타일 1852" xfId="0"/>
    <cellStyle name="스타일 1853" xfId="0"/>
    <cellStyle name="스타일 1854" xfId="0"/>
    <cellStyle name="스타일 1855" xfId="0"/>
    <cellStyle name="스타일 1856" xfId="0"/>
    <cellStyle name="스타일 1857" xfId="0"/>
    <cellStyle name="스타일 1858" xfId="0"/>
    <cellStyle name="스타일 1859" xfId="0"/>
    <cellStyle name="스타일 1860" xfId="0"/>
    <cellStyle name="스타일 1861" xfId="0"/>
    <cellStyle name="스타일 1862" xfId="0"/>
    <cellStyle name="스타일 1863" xfId="0"/>
    <cellStyle name="스타일 1864" xfId="0"/>
    <cellStyle name="스타일 1865" xfId="0"/>
    <cellStyle name="스타일 1866" xfId="0"/>
    <cellStyle name="스타일 1867" xfId="0"/>
    <cellStyle name="스타일 1868" xfId="0"/>
    <cellStyle name="스타일 1869" xfId="0"/>
    <cellStyle name="스타일 1870" xfId="0"/>
    <cellStyle name="스타일 1871" xfId="0"/>
    <cellStyle name="스타일 1872" xfId="0"/>
    <cellStyle name="스타일 1873" xfId="0"/>
    <cellStyle name="스타일 1874" xfId="0"/>
    <cellStyle name="스타일 1875" xfId="0"/>
    <cellStyle name="스타일 1876" xfId="0"/>
    <cellStyle name="스타일 1877" xfId="0"/>
    <cellStyle name="스타일 1878" xfId="0"/>
    <cellStyle name="스타일 1879" xfId="0"/>
    <cellStyle name="스타일 1880" xfId="0"/>
    <cellStyle name="스타일 1881" xfId="0"/>
    <cellStyle name="스타일 1882" xfId="0"/>
    <cellStyle name="스타일 1883" xfId="0"/>
    <cellStyle name="스타일 1884" xfId="0"/>
    <cellStyle name="스타일 1885" xfId="0"/>
    <cellStyle name="스타일 1886" xfId="0"/>
    <cellStyle name="스타일 1887" xfId="0"/>
    <cellStyle name="스타일 1888" xfId="0"/>
    <cellStyle name="스타일 1889" xfId="0"/>
    <cellStyle name="스타일 1890" xfId="0"/>
    <cellStyle name="스타일 1891" xfId="0"/>
    <cellStyle name="스타일 1892" xfId="0"/>
    <cellStyle name="스타일 1893" xfId="0"/>
    <cellStyle name="스타일 1894" xfId="0"/>
    <cellStyle name="스타일 1895" xfId="0"/>
    <cellStyle name="스타일 1896" xfId="0"/>
    <cellStyle name="스타일 1897" xfId="0"/>
    <cellStyle name="스타일 1898" xfId="0"/>
    <cellStyle name="스타일 1899" xfId="0"/>
    <cellStyle name="스타일 1900" xfId="0"/>
    <cellStyle name="스타일 1901" xfId="0"/>
    <cellStyle name="스타일 1902" xfId="0"/>
    <cellStyle name="스타일 1903" xfId="0"/>
    <cellStyle name="스타일 1904" xfId="0"/>
    <cellStyle name="스타일 1905" xfId="0"/>
    <cellStyle name="스타일 1906" xfId="0"/>
    <cellStyle name="스타일 1907" xfId="0"/>
    <cellStyle name="스타일 1908" xfId="0"/>
    <cellStyle name="스타일 1909" xfId="0"/>
    <cellStyle name="스타일 1910" xfId="0"/>
    <cellStyle name="스타일 1911" xfId="0"/>
    <cellStyle name="스타일 1912" xfId="0"/>
    <cellStyle name="스타일 1913" xfId="0"/>
    <cellStyle name="스타일 1914" xfId="0"/>
    <cellStyle name="스타일 1915" xfId="0"/>
    <cellStyle name="스타일 1916" xfId="0"/>
    <cellStyle name="스타일 1917" xfId="0"/>
    <cellStyle name="스타일 1918" xfId="0"/>
    <cellStyle name="스타일 1919" xfId="0"/>
    <cellStyle name="스타일 1920" xfId="0"/>
    <cellStyle name="스타일 1921" xfId="0"/>
    <cellStyle name="스타일 1922" xfId="0"/>
    <cellStyle name="스타일 1923" xfId="0"/>
    <cellStyle name="스타일 1924" xfId="0"/>
    <cellStyle name="스타일 1925" xfId="0"/>
    <cellStyle name="스타일 1926" xfId="0"/>
    <cellStyle name="스타일 1927" xfId="0"/>
    <cellStyle name="스타일 1928" xfId="0"/>
    <cellStyle name="스타일 1929" xfId="0"/>
    <cellStyle name="스타일 1930" xfId="0"/>
    <cellStyle name="스타일 1931" xfId="0"/>
    <cellStyle name="스타일 1932" xfId="0"/>
    <cellStyle name="스타일 1933" xfId="0"/>
    <cellStyle name="스타일 1934" xfId="0"/>
    <cellStyle name="스타일 1935" xfId="0"/>
    <cellStyle name="스타일 1936" xfId="0"/>
    <cellStyle name="스타일 1937" xfId="0"/>
    <cellStyle name="스타일 1938" xfId="0"/>
    <cellStyle name="스타일 1939" xfId="0"/>
    <cellStyle name="스타일 1940" xfId="0"/>
    <cellStyle name="스타일 1941" xfId="0"/>
    <cellStyle name="스타일 1942" xfId="0"/>
    <cellStyle name="스타일 1943" xfId="0"/>
    <cellStyle name="스타일 1944" xfId="0"/>
    <cellStyle name="스타일 1945" xfId="0"/>
    <cellStyle name="스타일 1946" xfId="0"/>
    <cellStyle name="스타일 1947" xfId="0"/>
    <cellStyle name="스타일 1948" xfId="0"/>
    <cellStyle name="스타일 1949" xfId="0"/>
    <cellStyle name="스타일 1950" xfId="0"/>
    <cellStyle name="스타일 1951" xfId="0"/>
    <cellStyle name="스타일 1952" xfId="0"/>
    <cellStyle name="스타일 1953" xfId="0"/>
    <cellStyle name="스타일 1954" xfId="0"/>
    <cellStyle name="스타일 1955" xfId="0"/>
    <cellStyle name="스타일 1956" xfId="0"/>
    <cellStyle name="스타일 1957" xfId="0"/>
    <cellStyle name="스타일 1958" xfId="0"/>
    <cellStyle name="스타일 1959" xfId="0"/>
    <cellStyle name="스타일 1960" xfId="0"/>
    <cellStyle name="스타일 1961" xfId="0"/>
    <cellStyle name="스타일 1962" xfId="0"/>
    <cellStyle name="스타일 1963" xfId="0"/>
    <cellStyle name="스타일 1964" xfId="0"/>
    <cellStyle name="스타일 1965" xfId="0"/>
    <cellStyle name="스타일 1966" xfId="0"/>
    <cellStyle name="스타일 1967" xfId="0"/>
    <cellStyle name="스타일 1968" xfId="0"/>
    <cellStyle name="스타일 1969" xfId="0"/>
    <cellStyle name="스타일 1970" xfId="0"/>
    <cellStyle name="스타일 1971" xfId="0"/>
    <cellStyle name="스타일 1972" xfId="0"/>
    <cellStyle name="스타일 1973" xfId="0"/>
    <cellStyle name="스타일 1974" xfId="0"/>
    <cellStyle name="스타일 1975" xfId="0"/>
    <cellStyle name="스타일 1976" xfId="0"/>
    <cellStyle name="스타일 1977" xfId="0"/>
    <cellStyle name="스타일 1978" xfId="0"/>
    <cellStyle name="스타일 1979" xfId="0"/>
    <cellStyle name="스타일 1980" xfId="0"/>
    <cellStyle name="스타일 1981" xfId="0"/>
    <cellStyle name="스타일 1982" xfId="0"/>
    <cellStyle name="스타일 1983" xfId="0"/>
    <cellStyle name="스타일 1984" xfId="0"/>
    <cellStyle name="스타일 1985" xfId="0"/>
    <cellStyle name="스타일 1986" xfId="0"/>
    <cellStyle name="스타일 1987" xfId="0"/>
    <cellStyle name="스타일 1988" xfId="0"/>
    <cellStyle name="스타일 1989" xfId="0"/>
    <cellStyle name="스타일 1990" xfId="0"/>
    <cellStyle name="스타일 1991" xfId="0"/>
    <cellStyle name="스타일 1992" xfId="0"/>
    <cellStyle name="스타일 1993" xfId="0"/>
    <cellStyle name="스타일 1994" xfId="0"/>
    <cellStyle name="스타일 1995" xfId="0"/>
    <cellStyle name="스타일 1996" xfId="0"/>
    <cellStyle name="스타일 1997" xfId="0"/>
    <cellStyle name="스타일 1998" xfId="0"/>
    <cellStyle name="스타일 1999" xfId="0"/>
    <cellStyle name="스타일 2000" xfId="0"/>
    <cellStyle name="스타일 2001" xfId="0"/>
    <cellStyle name="스타일 2002" xfId="0"/>
    <cellStyle name="스타일 2003" xfId="0"/>
    <cellStyle name="스타일 2004" xfId="0"/>
    <cellStyle name="스타일 2005" xfId="0"/>
    <cellStyle name="스타일 2006" xfId="0"/>
    <cellStyle name="스타일 2007" xfId="0"/>
    <cellStyle name="스타일 2008" xfId="0"/>
    <cellStyle name="스타일 2009" xfId="0"/>
    <cellStyle name="스타일 2010" xfId="0"/>
    <cellStyle name="스타일 2011" xfId="0"/>
    <cellStyle name="스타일 2012" xfId="0"/>
    <cellStyle name="스타일 2013" xfId="0"/>
    <cellStyle name="스타일 2014" xfId="0"/>
    <cellStyle name="스타일 2015" xfId="0"/>
    <cellStyle name="스타일 2016" xfId="0"/>
    <cellStyle name="스타일 2017" xfId="0"/>
    <cellStyle name="스타일 2018" xfId="0"/>
    <cellStyle name="스타일 2019" xfId="0"/>
    <cellStyle name="스타일 2020" xfId="0"/>
    <cellStyle name="스타일 2021" xfId="0"/>
    <cellStyle name="스타일 2022" xfId="0"/>
    <cellStyle name="스타일 2023" xfId="0"/>
    <cellStyle name="스타일 2024" xfId="0"/>
    <cellStyle name="스타일 2025" xfId="0"/>
    <cellStyle name="스타일 2026" xfId="0"/>
    <cellStyle name="스타일 2027" xfId="0"/>
    <cellStyle name="스타일 2028" xfId="0"/>
    <cellStyle name="스타일 2029" xfId="0"/>
    <cellStyle name="스타일 2030" xfId="0"/>
    <cellStyle name="스타일 2031" xfId="0"/>
    <cellStyle name="스타일 2032" xfId="0"/>
    <cellStyle name="스타일 2033" xfId="0"/>
    <cellStyle name="스타일 2034" xfId="0"/>
    <cellStyle name="스타일 2035" xfId="0"/>
    <cellStyle name="스타일 2036" xfId="0"/>
    <cellStyle name="스타일 2037" xfId="0"/>
    <cellStyle name="스타일 2038" xfId="0"/>
    <cellStyle name="스타일 2039" xfId="0"/>
    <cellStyle name="스타일 2040" xfId="0"/>
    <cellStyle name="스타일 2041" xfId="0"/>
    <cellStyle name="스타일 2042" xfId="0"/>
    <cellStyle name="스타일 2043" xfId="0"/>
    <cellStyle name="스타일 2044" xfId="0"/>
    <cellStyle name="스타일 2045" xfId="0"/>
    <cellStyle name="스타일 2046" xfId="0"/>
    <cellStyle name="스타일 2047" xfId="0"/>
    <cellStyle name="스타일 2048" xfId="0"/>
    <cellStyle name="스타일 2049" xfId="0"/>
    <cellStyle name="스타일 2050" xfId="0"/>
    <cellStyle name="스타일 2051" xfId="0"/>
    <cellStyle name="스타일 2052" xfId="0"/>
    <cellStyle name="스타일 2053" xfId="0"/>
    <cellStyle name="스타일 2054" xfId="0"/>
    <cellStyle name="스타일 2055" xfId="0"/>
    <cellStyle name="스타일 2056" xfId="0"/>
    <cellStyle name="스타일 2057" xfId="0"/>
    <cellStyle name="스타일 2058" xfId="0"/>
    <cellStyle name="스타일 2059" xfId="0"/>
    <cellStyle name="스타일 2060" xfId="0"/>
    <cellStyle name="스타일 2061" xfId="0"/>
    <cellStyle name="스타일 2062" xfId="0"/>
    <cellStyle name="스타일 2063" xfId="0"/>
    <cellStyle name="스타일 2064" xfId="0"/>
    <cellStyle name="스타일 2065" xfId="0"/>
    <cellStyle name="스타일 2066" xfId="0"/>
    <cellStyle name="스타일 2067" xfId="0"/>
    <cellStyle name="스타일 2068" xfId="0"/>
    <cellStyle name="스타일 2069" xfId="0"/>
    <cellStyle name="스타일 2070" xfId="0"/>
    <cellStyle name="스타일 2071" xfId="0"/>
    <cellStyle name="스타일 2072" xfId="0"/>
    <cellStyle name="스타일 2073" xfId="0"/>
    <cellStyle name="스타일 2074" xfId="0"/>
    <cellStyle name="스타일 2075" xfId="0"/>
    <cellStyle name="스타일 2076" xfId="0"/>
    <cellStyle name="스타일 2077" xfId="0"/>
    <cellStyle name="스타일 2078" xfId="0"/>
    <cellStyle name="스타일 2079" xfId="0"/>
    <cellStyle name="스타일 2080" xfId="0"/>
    <cellStyle name="스타일 2081" xfId="0"/>
    <cellStyle name="스타일 2082" xfId="0"/>
    <cellStyle name="스타일 2083" xfId="0"/>
    <cellStyle name="스타일 2084" xfId="0"/>
    <cellStyle name="스타일 2085" xfId="0"/>
    <cellStyle name="스타일 2086" xfId="0"/>
    <cellStyle name="스타일 2087" xfId="0"/>
    <cellStyle name="스타일 2088" xfId="0"/>
    <cellStyle name="스타일 2089" xfId="0"/>
    <cellStyle name="스타일 2090" xfId="0"/>
    <cellStyle name="스타일 2091" xfId="0"/>
    <cellStyle name="스타일 2092" xfId="0"/>
    <cellStyle name="스타일 2093" xfId="0"/>
    <cellStyle name="스타일 2094" xfId="0"/>
    <cellStyle name="스타일 2095" xfId="0"/>
    <cellStyle name="스타일 2096" xfId="0"/>
    <cellStyle name="스타일 2097" xfId="0"/>
    <cellStyle name="스타일 2098" xfId="0"/>
    <cellStyle name="스타일 2099" xfId="0"/>
    <cellStyle name="스타일 2100" xfId="0"/>
    <cellStyle name="스타일 2101" xfId="0"/>
    <cellStyle name="스타일 2102" xfId="0"/>
    <cellStyle name="스타일 2103" xfId="0"/>
    <cellStyle name="스타일 2104" xfId="0"/>
    <cellStyle name="스타일 2105" xfId="0"/>
    <cellStyle name="스타일 2106" xfId="0"/>
    <cellStyle name="스타일 2107" xfId="0"/>
    <cellStyle name="스타일 2108" xfId="0"/>
    <cellStyle name="스타일 2109" xfId="0"/>
    <cellStyle name="스타일 2110" xfId="0"/>
    <cellStyle name="스타일 2111" xfId="0"/>
    <cellStyle name="스타일 2112" xfId="0"/>
    <cellStyle name="스타일 2113" xfId="0"/>
    <cellStyle name="스타일 2114" xfId="0"/>
    <cellStyle name="스타일 2115" xfId="0"/>
    <cellStyle name="스타일 2116" xfId="0"/>
    <cellStyle name="스타일 2117" xfId="0"/>
    <cellStyle name="스타일 2118" xfId="0"/>
    <cellStyle name="스타일 2119" xfId="0"/>
    <cellStyle name="스타일 2120" xfId="0"/>
    <cellStyle name="스타일 2121" xfId="0"/>
    <cellStyle name="스타일 2122" xfId="0"/>
    <cellStyle name="스타일 2123" xfId="0"/>
    <cellStyle name="스타일 2124" xfId="0"/>
    <cellStyle name="스타일 2125" xfId="0"/>
    <cellStyle name="스타일 2126" xfId="0"/>
    <cellStyle name="스타일 2127" xfId="0"/>
    <cellStyle name="스타일 2128" xfId="0"/>
    <cellStyle name="스타일 2129" xfId="0"/>
    <cellStyle name="스타일 2130" xfId="0"/>
    <cellStyle name="스타일 2131" xfId="0"/>
    <cellStyle name="스타일 2132" xfId="0"/>
    <cellStyle name="스타일 2133" xfId="0"/>
    <cellStyle name="스타일 2134" xfId="0"/>
    <cellStyle name="스타일 2135" xfId="0"/>
    <cellStyle name="스타일 2136" xfId="0"/>
    <cellStyle name="스타일 2137" xfId="0"/>
    <cellStyle name="스타일 2138" xfId="0"/>
    <cellStyle name="스타일 2139" xfId="0"/>
    <cellStyle name="스타일 2140" xfId="0"/>
    <cellStyle name="스타일 2141" xfId="0"/>
    <cellStyle name="스타일 2142" xfId="0"/>
    <cellStyle name="스타일 2143" xfId="0"/>
    <cellStyle name="스타일 2144" xfId="0"/>
    <cellStyle name="스타일 2145" xfId="0"/>
    <cellStyle name="스타일 2146" xfId="0"/>
    <cellStyle name="스타일 2147" xfId="0"/>
    <cellStyle name="스타일 2148" xfId="0"/>
    <cellStyle name="스타일 2149" xfId="0"/>
    <cellStyle name="스타일 2150" xfId="0"/>
    <cellStyle name="스타일 2151" xfId="0"/>
    <cellStyle name="스타일 2152" xfId="0"/>
    <cellStyle name="스타일 2153" xfId="0"/>
    <cellStyle name="스타일 2154" xfId="0"/>
    <cellStyle name="스타일 2155" xfId="0"/>
    <cellStyle name="스타일 2156" xfId="0"/>
    <cellStyle name="스타일 2157" xfId="0"/>
    <cellStyle name="스타일 2158" xfId="0"/>
    <cellStyle name="스타일 2159" xfId="0"/>
    <cellStyle name="스타일 2160" xfId="0"/>
    <cellStyle name="스타일 2161" xfId="0"/>
    <cellStyle name="스타일 2162" xfId="0"/>
    <cellStyle name="스타일 2163" xfId="0"/>
    <cellStyle name="스타일 2164" xfId="0"/>
    <cellStyle name="스타일 2165" xfId="0"/>
    <cellStyle name="스타일 2166" xfId="0"/>
    <cellStyle name="스타일 2167" xfId="0"/>
    <cellStyle name="스타일 2168" xfId="0"/>
    <cellStyle name="스타일 2169" xfId="0"/>
    <cellStyle name="스타일 2170" xfId="0"/>
    <cellStyle name="스타일 2171" xfId="0"/>
    <cellStyle name="스타일 2172" xfId="0"/>
    <cellStyle name="스타일 2173" xfId="0"/>
    <cellStyle name="스타일 2174" xfId="0"/>
    <cellStyle name="스타일 2175" xfId="0"/>
    <cellStyle name="스타일 2176" xfId="0"/>
    <cellStyle name="스타일 2177" xfId="0"/>
    <cellStyle name="스타일 2178" xfId="0"/>
    <cellStyle name="스타일 2179" xfId="0"/>
    <cellStyle name="스타일 2180" xfId="0"/>
    <cellStyle name="스타일 2181" xfId="0"/>
    <cellStyle name="스타일 2182" xfId="0"/>
    <cellStyle name="스타일 2183" xfId="0"/>
    <cellStyle name="스타일 2184" xfId="0"/>
    <cellStyle name="스타일 2185" xfId="0"/>
    <cellStyle name="스타일 2186" xfId="0"/>
    <cellStyle name="스타일 2187" xfId="0"/>
    <cellStyle name="스타일 2188" xfId="0"/>
    <cellStyle name="스타일 2189" xfId="0"/>
    <cellStyle name="스타일 2190" xfId="0"/>
    <cellStyle name="스타일 2191" xfId="0"/>
    <cellStyle name="스타일 2192" xfId="0"/>
    <cellStyle name="스타일 2193" xfId="0"/>
    <cellStyle name="스타일 2194" xfId="0"/>
    <cellStyle name="스타일 2195" xfId="0"/>
    <cellStyle name="스타일 2196" xfId="0"/>
    <cellStyle name="스타일 2197" xfId="0"/>
    <cellStyle name="스타일 2198" xfId="0"/>
    <cellStyle name="스타일 2199" xfId="0"/>
    <cellStyle name="스타일 2200" xfId="0"/>
    <cellStyle name="스타일 2201" xfId="0"/>
    <cellStyle name="스타일 2202" xfId="0"/>
    <cellStyle name="스타일 2203" xfId="0"/>
    <cellStyle name="스타일 2204" xfId="0"/>
    <cellStyle name="스타일 2205" xfId="0"/>
    <cellStyle name="스타일 2206" xfId="0"/>
    <cellStyle name="스타일 2207" xfId="0"/>
    <cellStyle name="스타일 2208" xfId="0"/>
    <cellStyle name="스타일 2209" xfId="0"/>
    <cellStyle name="스타일 2210" xfId="0"/>
    <cellStyle name="스타일 2211" xfId="0"/>
    <cellStyle name="스타일 2212" xfId="0"/>
    <cellStyle name="스타일 2213" xfId="0"/>
    <cellStyle name="스타일 2214" xfId="0"/>
    <cellStyle name="스타일 2215" xfId="0"/>
    <cellStyle name="스타일 2216" xfId="0"/>
    <cellStyle name="스타일 2217" xfId="0"/>
    <cellStyle name="스타일 2218" xfId="0"/>
    <cellStyle name="스타일 2219" xfId="0"/>
    <cellStyle name="스타일 2220" xfId="0"/>
    <cellStyle name="스타일 2221" xfId="0"/>
    <cellStyle name="스타일 2222" xfId="0"/>
    <cellStyle name="스타일 2223" xfId="0"/>
    <cellStyle name="스타일 2224" xfId="0"/>
    <cellStyle name="스타일 2225" xfId="0"/>
    <cellStyle name="스타일 2226" xfId="0"/>
    <cellStyle name="스타일 2227" xfId="0"/>
    <cellStyle name="스타일 2228" xfId="0"/>
    <cellStyle name="스타일 2229" xfId="0"/>
    <cellStyle name="스타일 2230" xfId="0"/>
    <cellStyle name="스타일 2231" xfId="0"/>
    <cellStyle name="스타일 2232" xfId="0"/>
    <cellStyle name="스타일 2233" xfId="0"/>
    <cellStyle name="스타일 2234" xfId="0"/>
    <cellStyle name="스타일 2235" xfId="0"/>
    <cellStyle name="스타일 2236" xfId="0"/>
    <cellStyle name="스타일 2237" xfId="0"/>
    <cellStyle name="스타일 2238" xfId="0"/>
    <cellStyle name="스타일 2239" xfId="0"/>
    <cellStyle name="스타일 2240" xfId="0"/>
    <cellStyle name="스타일 2241" xfId="0"/>
    <cellStyle name="스타일 2242" xfId="0"/>
    <cellStyle name="스타일 2243" xfId="0"/>
    <cellStyle name="스타일 2244" xfId="0"/>
    <cellStyle name="스타일 2245" xfId="0"/>
    <cellStyle name="스타일 2246" xfId="0"/>
    <cellStyle name="스타일 2247" xfId="0"/>
    <cellStyle name="스타일 2248" xfId="0"/>
    <cellStyle name="스타일 2249" xfId="0"/>
    <cellStyle name="스타일 2250" xfId="0"/>
    <cellStyle name="스타일 2251" xfId="0"/>
    <cellStyle name="스타일 2252" xfId="0"/>
    <cellStyle name="스타일 2253" xfId="0"/>
    <cellStyle name="스타일 2254" xfId="0"/>
    <cellStyle name="스타일 2255" xfId="0"/>
    <cellStyle name="스타일 2256" xfId="0"/>
    <cellStyle name="스타일 2257" xfId="0"/>
    <cellStyle name="스타일 2258" xfId="0"/>
    <cellStyle name="스타일 2259" xfId="0"/>
    <cellStyle name="스타일 2260" xfId="0"/>
    <cellStyle name="스타일 2261" xfId="0"/>
    <cellStyle name="스타일 2262" xfId="0"/>
    <cellStyle name="스타일 2263" xfId="0"/>
    <cellStyle name="스타일 2264" xfId="0"/>
    <cellStyle name="스타일 2265" xfId="0"/>
    <cellStyle name="스타일 2266" xfId="0"/>
    <cellStyle name="스타일 2267" xfId="0"/>
    <cellStyle name="스타일 2268" xfId="0"/>
    <cellStyle name="스타일 2269" xfId="0"/>
    <cellStyle name="스타일 2270" xfId="0"/>
    <cellStyle name="스타일 2271" xfId="0"/>
    <cellStyle name="스타일 2272" xfId="0"/>
    <cellStyle name="스타일 2273" xfId="0"/>
    <cellStyle name="스타일 2274" xfId="0"/>
    <cellStyle name="스타일 2275" xfId="0"/>
    <cellStyle name="스타일 2276" xfId="0"/>
    <cellStyle name="스타일 2277" xfId="0"/>
    <cellStyle name="스타일 2278" xfId="0"/>
    <cellStyle name="스타일 2279" xfId="0"/>
    <cellStyle name="스타일 2280" xfId="0"/>
    <cellStyle name="스타일 2281" xfId="0"/>
    <cellStyle name="스타일 2282" xfId="0"/>
    <cellStyle name="스타일 2283" xfId="0"/>
    <cellStyle name="스타일 2284" xfId="0"/>
    <cellStyle name="스타일 2285" xfId="0"/>
    <cellStyle name="스타일 2286" xfId="0"/>
    <cellStyle name="스타일 2287" xfId="0"/>
    <cellStyle name="스타일 2288" xfId="0"/>
    <cellStyle name="스타일 2289" xfId="0"/>
    <cellStyle name="스타일 2290" xfId="0"/>
    <cellStyle name="스타일 2291" xfId="0"/>
    <cellStyle name="스타일 2292" xfId="0"/>
    <cellStyle name="스타일 2293" xfId="0"/>
    <cellStyle name="스타일 2294" xfId="0"/>
    <cellStyle name="스타일 2295" xfId="0"/>
    <cellStyle name="스타일 2296" xfId="0"/>
    <cellStyle name="스타일 2297" xfId="0"/>
    <cellStyle name="스타일 2298" xfId="0"/>
    <cellStyle name="스타일 2299" xfId="0"/>
    <cellStyle name="스타일 2300" xfId="0"/>
    <cellStyle name="스타일 2301" xfId="0"/>
    <cellStyle name="스타일 2302" xfId="0"/>
    <cellStyle name="스타일 2303" xfId="0"/>
    <cellStyle name="스타일 2304" xfId="0"/>
    <cellStyle name="스타일 2305" xfId="0"/>
    <cellStyle name="스타일 2306" xfId="0"/>
    <cellStyle name="스타일 2307" xfId="0"/>
    <cellStyle name="스타일 2308" xfId="0"/>
    <cellStyle name="스타일 2309" xfId="0"/>
    <cellStyle name="스타일 2310" xfId="0"/>
    <cellStyle name="스타일 2311" xfId="0"/>
    <cellStyle name="스타일 2312" xfId="0"/>
    <cellStyle name="스타일 2313" xfId="0"/>
    <cellStyle name="스타일 2314" xfId="0"/>
    <cellStyle name="스타일 2315" xfId="0"/>
    <cellStyle name="스타일 2316" xfId="0"/>
    <cellStyle name="스타일 2317" xfId="0"/>
    <cellStyle name="스타일 2318" xfId="0"/>
    <cellStyle name="스타일 2319" xfId="0"/>
    <cellStyle name="스타일 2320" xfId="0"/>
    <cellStyle name="스타일 2321" xfId="0"/>
    <cellStyle name="스타일 2322" xfId="0"/>
    <cellStyle name="스타일 2323" xfId="0"/>
    <cellStyle name="스타일 2324" xfId="0"/>
    <cellStyle name="스타일 2325" xfId="0"/>
    <cellStyle name="스타일 2326" xfId="0"/>
    <cellStyle name="스타일 2327" xfId="0"/>
    <cellStyle name="스타일 2328" xfId="0"/>
    <cellStyle name="스타일 2329" xfId="0"/>
    <cellStyle name="스타일 2330" xfId="0"/>
    <cellStyle name="스타일 2331" xfId="0"/>
    <cellStyle name="스타일 2332" xfId="0"/>
    <cellStyle name="스타일 2333" xfId="0"/>
    <cellStyle name="스타일 2334" xfId="0"/>
    <cellStyle name="스타일 2335" xfId="0"/>
    <cellStyle name="스타일 2336" xfId="0"/>
    <cellStyle name="스타일 2337" xfId="0"/>
    <cellStyle name="스타일 2338" xfId="0"/>
    <cellStyle name="스타일 2339" xfId="0"/>
    <cellStyle name="스타일 2340" xfId="0"/>
    <cellStyle name="스타일 2341" xfId="0"/>
    <cellStyle name="스타일 2342" xfId="0"/>
    <cellStyle name="스타일 2343" xfId="0"/>
    <cellStyle name="스타일 2344" xfId="0"/>
    <cellStyle name="스타일 2345" xfId="0"/>
    <cellStyle name="스타일 2346" xfId="0"/>
    <cellStyle name="스타일 2347" xfId="0"/>
    <cellStyle name="스타일 2348" xfId="0"/>
    <cellStyle name="스타일 2349" xfId="0"/>
    <cellStyle name="스타일 2350" xfId="0"/>
    <cellStyle name="스타일 2351" xfId="0"/>
    <cellStyle name="스타일 2352" xfId="0"/>
    <cellStyle name="스타일 2353" xfId="0"/>
    <cellStyle name="스타일 2354" xfId="0"/>
    <cellStyle name="스타일 2355" xfId="0"/>
    <cellStyle name="스타일 2356" xfId="0"/>
    <cellStyle name="스타일 2357" xfId="0"/>
    <cellStyle name="스타일 2358" xfId="0"/>
    <cellStyle name="스타일 2359" xfId="0"/>
    <cellStyle name="스타일 2360" xfId="0"/>
    <cellStyle name="스타일 2361" xfId="0"/>
    <cellStyle name="스타일 2362" xfId="0"/>
    <cellStyle name="스타일 2363" xfId="0"/>
    <cellStyle name="스타일 2364" xfId="0"/>
    <cellStyle name="스타일 2365" xfId="0"/>
    <cellStyle name="스타일 2366" xfId="0"/>
    <cellStyle name="스타일 2367" xfId="0"/>
    <cellStyle name="스타일 2368" xfId="0"/>
    <cellStyle name="스타일 2369" xfId="0"/>
    <cellStyle name="스타일 2370" xfId="0"/>
    <cellStyle name="스타일 2371" xfId="0"/>
    <cellStyle name="스타일 2372" xfId="0"/>
    <cellStyle name="스타일 2373" xfId="0"/>
    <cellStyle name="스타일 2374" xfId="0"/>
    <cellStyle name="스타일 2375" xfId="0"/>
    <cellStyle name="스타일 2376" xfId="0"/>
    <cellStyle name="스타일 2377" xfId="0"/>
    <cellStyle name="스타일 2378" xfId="0"/>
    <cellStyle name="스타일 2379" xfId="0"/>
    <cellStyle name="스타일 2380" xfId="0"/>
    <cellStyle name="스타일 2381" xfId="0"/>
    <cellStyle name="스타일 2382" xfId="0"/>
    <cellStyle name="스타일 2383" xfId="0"/>
    <cellStyle name="스타일 2384" xfId="0"/>
    <cellStyle name="스타일 2385" xfId="0"/>
    <cellStyle name="스타일 2386" xfId="0"/>
    <cellStyle name="스타일 2387" xfId="0"/>
    <cellStyle name="스타일 2388" xfId="0"/>
    <cellStyle name="스타일 2389" xfId="0"/>
    <cellStyle name="스타일 2390" xfId="0"/>
    <cellStyle name="스타일 2391" xfId="0"/>
    <cellStyle name="스타일 2392" xfId="0"/>
    <cellStyle name="스타일 2393" xfId="0"/>
    <cellStyle name="스타일 2394" xfId="0"/>
    <cellStyle name="스타일 2395" xfId="0"/>
    <cellStyle name="스타일 2396" xfId="0"/>
    <cellStyle name="스타일 2397" xfId="0"/>
    <cellStyle name="스타일 2398" xfId="0"/>
    <cellStyle name="스타일 2399" xfId="0"/>
    <cellStyle name="스타일 2400" xfId="0"/>
    <cellStyle name="스타일 2401" xfId="0"/>
    <cellStyle name="스타일 2402" xfId="0"/>
    <cellStyle name="스타일 2403" xfId="0"/>
    <cellStyle name="스타일 2404" xfId="0"/>
    <cellStyle name="스타일 2405" xfId="0"/>
    <cellStyle name="스타일 2406" xfId="0"/>
    <cellStyle name="스타일 2407" xfId="0"/>
    <cellStyle name="스타일 2408" xfId="0"/>
    <cellStyle name="스타일 2409" xfId="0"/>
    <cellStyle name="스타일 2410" xfId="0"/>
    <cellStyle name="스타일 2411" xfId="0"/>
    <cellStyle name="스타일 2412" xfId="0"/>
    <cellStyle name="스타일 2413" xfId="0"/>
    <cellStyle name="스타일 2414" xfId="0"/>
    <cellStyle name="스타일 2415" xfId="0"/>
    <cellStyle name="스타일 2416" xfId="0"/>
    <cellStyle name="스타일 2417" xfId="0"/>
    <cellStyle name="스타일 2418" xfId="0"/>
    <cellStyle name="스타일 2419" xfId="0"/>
    <cellStyle name="스타일 2420" xfId="0"/>
    <cellStyle name="스타일 2421" xfId="0"/>
    <cellStyle name="스타일 2422" xfId="0"/>
    <cellStyle name="스타일 2423" xfId="0"/>
    <cellStyle name="스타일 2424" xfId="0"/>
    <cellStyle name="스타일 2425" xfId="0"/>
    <cellStyle name="스타일 2426" xfId="0"/>
    <cellStyle name="스타일 2427" xfId="0"/>
    <cellStyle name="스타일 2428" xfId="0"/>
    <cellStyle name="스타일 2429" xfId="0"/>
    <cellStyle name="스타일 2430" xfId="0"/>
    <cellStyle name="스타일 2431" xfId="0"/>
    <cellStyle name="스타일 2432" xfId="0"/>
    <cellStyle name="스타일 2433" xfId="0"/>
    <cellStyle name="스타일 2434" xfId="0"/>
    <cellStyle name="스타일 2435" xfId="0"/>
    <cellStyle name="스타일 2436" xfId="0"/>
    <cellStyle name="스타일 2437" xfId="0"/>
    <cellStyle name="스타일 2438" xfId="0"/>
    <cellStyle name="스타일 2439" xfId="0"/>
    <cellStyle name="스타일 2440" xfId="0"/>
    <cellStyle name="스타일 2441" xfId="0"/>
    <cellStyle name="스타일 2442" xfId="0"/>
    <cellStyle name="스타일 2443" xfId="0"/>
    <cellStyle name="스타일 2444" xfId="0"/>
    <cellStyle name="스타일 2445" xfId="0"/>
    <cellStyle name="스타일 2446" xfId="0"/>
    <cellStyle name="스타일 2447" xfId="0"/>
    <cellStyle name="스타일 2448" xfId="0"/>
    <cellStyle name="스타일 2449" xfId="0"/>
    <cellStyle name="스타일 2450" xfId="0"/>
    <cellStyle name="스타일 2451" xfId="0"/>
    <cellStyle name="스타일 2452" xfId="0"/>
    <cellStyle name="스타일 2453" xfId="0"/>
    <cellStyle name="스타일 2454" xfId="0"/>
    <cellStyle name="스타일 2455" xfId="0"/>
    <cellStyle name="스타일 2456" xfId="0"/>
    <cellStyle name="스타일 2457" xfId="0"/>
    <cellStyle name="스타일 2458" xfId="0"/>
    <cellStyle name="스타일 2459" xfId="0"/>
    <cellStyle name="스타일 2460" xfId="0"/>
    <cellStyle name="스타일 2461" xfId="0"/>
    <cellStyle name="스타일 2462" xfId="0"/>
    <cellStyle name="스타일 2463" xfId="0"/>
    <cellStyle name="스타일 2464" xfId="0"/>
    <cellStyle name="스타일 2465" xfId="0"/>
    <cellStyle name="스타일 2466" xfId="0"/>
    <cellStyle name="스타일 2467" xfId="0"/>
    <cellStyle name="스타일 2468" xfId="0"/>
    <cellStyle name="스타일 2469" xfId="0"/>
    <cellStyle name="스타일 2470" xfId="0"/>
    <cellStyle name="스타일 2471" xfId="0"/>
    <cellStyle name="스타일 2472" xfId="0"/>
    <cellStyle name="스타일 2473" xfId="0"/>
    <cellStyle name="스타일 2474" xfId="0"/>
    <cellStyle name="스타일 2475" xfId="0"/>
    <cellStyle name="스타일 2476" xfId="0"/>
    <cellStyle name="스타일 2477" xfId="0"/>
    <cellStyle name="스타일 2478" xfId="0"/>
    <cellStyle name="스타일 2479" xfId="0"/>
    <cellStyle name="스타일 2480" xfId="0"/>
    <cellStyle name="스타일 2481" xfId="0"/>
    <cellStyle name="스타일 2482" xfId="0"/>
    <cellStyle name="스타일 2483" xfId="0"/>
    <cellStyle name="스타일 2484" xfId="0"/>
    <cellStyle name="스타일 2485" xfId="0"/>
    <cellStyle name="스타일 2486" xfId="0"/>
    <cellStyle name="스타일 2487" xfId="0"/>
    <cellStyle name="스타일 2488" xfId="0"/>
    <cellStyle name="스타일 2489" xfId="0"/>
    <cellStyle name="스타일 2490" xfId="0"/>
    <cellStyle name="스타일 2491" xfId="0"/>
    <cellStyle name="스타일 2492" xfId="0"/>
    <cellStyle name="스타일 2493" xfId="0"/>
    <cellStyle name="스타일 2494" xfId="0"/>
    <cellStyle name="스타일 2495" xfId="0"/>
    <cellStyle name="스타일 2496" xfId="0"/>
    <cellStyle name="스타일 2497" xfId="0"/>
    <cellStyle name="스타일 2498" xfId="0"/>
    <cellStyle name="스타일 2499" xfId="0"/>
    <cellStyle name="스타일 2500" xfId="0"/>
    <cellStyle name="스타일 2501" xfId="0"/>
    <cellStyle name="스타일 2502" xfId="0"/>
    <cellStyle name="스타일 2503" xfId="0"/>
    <cellStyle name="스타일 2504" xfId="0"/>
    <cellStyle name="스타일 2505" xfId="0"/>
    <cellStyle name="스타일 2506" xfId="0"/>
    <cellStyle name="스타일 2507" xfId="0"/>
    <cellStyle name="스타일 2508" xfId="0"/>
    <cellStyle name="스타일 2509" xfId="0"/>
    <cellStyle name="스타일 2510" xfId="0"/>
    <cellStyle name="스타일 2511" xfId="0"/>
    <cellStyle name="스타일 2512" xfId="0"/>
    <cellStyle name="스타일 2513" xfId="0"/>
    <cellStyle name="스타일 2514" xfId="0"/>
    <cellStyle name="스타일 2515" xfId="0"/>
    <cellStyle name="스타일 2516" xfId="0"/>
    <cellStyle name="스타일 2517" xfId="0"/>
    <cellStyle name="스타일 2518" xfId="0"/>
    <cellStyle name="스타일 2519" xfId="0"/>
    <cellStyle name="스타일 2520" xfId="0"/>
    <cellStyle name="스타일 2521" xfId="0"/>
    <cellStyle name="스타일 2522" xfId="0"/>
    <cellStyle name="스타일 2523" xfId="0"/>
    <cellStyle name="스타일 2524" xfId="0"/>
    <cellStyle name="스타일 2525" xfId="0"/>
    <cellStyle name="스타일 2526" xfId="0"/>
    <cellStyle name="스타일 2527" xfId="0"/>
    <cellStyle name="스타일 2528" xfId="0"/>
    <cellStyle name="스타일 2529" xfId="0"/>
    <cellStyle name="스타일 2530" xfId="0"/>
    <cellStyle name="스타일 2531" xfId="0"/>
    <cellStyle name="스타일 2532" xfId="0"/>
    <cellStyle name="스타일 2533" xfId="0"/>
    <cellStyle name="스타일 2534" xfId="0"/>
    <cellStyle name="스타일 2535" xfId="0"/>
    <cellStyle name="스타일 2536" xfId="0"/>
    <cellStyle name="스타일 2537" xfId="0"/>
    <cellStyle name="스타일 2538" xfId="0"/>
    <cellStyle name="스타일 2539" xfId="0"/>
    <cellStyle name="스타일 2540" xfId="0"/>
    <cellStyle name="스타일 2541" xfId="0"/>
    <cellStyle name="스타일 2542" xfId="0"/>
    <cellStyle name="스타일 2543" xfId="0"/>
    <cellStyle name="스타일 2544" xfId="0"/>
    <cellStyle name="스타일 2545" xfId="0"/>
    <cellStyle name="스타일 2546" xfId="0"/>
    <cellStyle name="스타일 2547" xfId="0"/>
    <cellStyle name="스타일 2548" xfId="0"/>
    <cellStyle name="스타일 2549" xfId="0"/>
    <cellStyle name="스타일 2550" xfId="0"/>
    <cellStyle name="스타일 2551" xfId="0"/>
    <cellStyle name="스타일 2552" xfId="0"/>
    <cellStyle name="스타일 2553" xfId="0"/>
    <cellStyle name="스타일 2554" xfId="0"/>
    <cellStyle name="스타일 2555" xfId="0"/>
    <cellStyle name="스타일 2556" xfId="0"/>
    <cellStyle name="스타일 2557" xfId="0"/>
    <cellStyle name="스타일 2558" xfId="0"/>
    <cellStyle name="스타일 2559" xfId="0"/>
    <cellStyle name="스타일 2560" xfId="0"/>
    <cellStyle name="스타일 2561" xfId="0"/>
    <cellStyle name="스타일 2562" xfId="0"/>
    <cellStyle name="스타일 2563" xfId="0"/>
    <cellStyle name="스타일 2564" xfId="0"/>
    <cellStyle name="스타일 2565" xfId="0"/>
    <cellStyle name="스타일 2566" xfId="0"/>
    <cellStyle name="스타일 2567" xfId="0"/>
    <cellStyle name="스타일 2568" xfId="0"/>
    <cellStyle name="스타일 2569" xfId="0"/>
    <cellStyle name="스타일 2570" xfId="0"/>
    <cellStyle name="스타일 2571" xfId="0"/>
    <cellStyle name="스타일 2572" xfId="0"/>
    <cellStyle name="스타일 2573" xfId="0"/>
    <cellStyle name="스타일 2574" xfId="0"/>
    <cellStyle name="스타일 2575" xfId="0"/>
    <cellStyle name="스타일 2576" xfId="0"/>
    <cellStyle name="스타일 2577" xfId="0"/>
    <cellStyle name="스타일 2578" xfId="0"/>
    <cellStyle name="스타일 2579" xfId="0"/>
    <cellStyle name="스타일 2580" xfId="0"/>
    <cellStyle name="스타일 2581" xfId="0"/>
    <cellStyle name="스타일 2582" xfId="0"/>
    <cellStyle name="스타일 2583" xfId="0"/>
    <cellStyle name="스타일 2584" xfId="0"/>
    <cellStyle name="스타일 2585" xfId="0"/>
    <cellStyle name="스타일 2586" xfId="0"/>
    <cellStyle name="스타일 2587" xfId="0"/>
    <cellStyle name="스타일 2588" xfId="0"/>
    <cellStyle name="스타일 2589" xfId="0"/>
    <cellStyle name="스타일 2590" xfId="0"/>
    <cellStyle name="스타일 2591" xfId="0"/>
    <cellStyle name="스타일 2592" xfId="0"/>
    <cellStyle name="스타일 2593" xfId="0"/>
    <cellStyle name="스타일 2594" xfId="0"/>
    <cellStyle name="스타일 2595" xfId="0"/>
    <cellStyle name="스타일 2596" xfId="0"/>
    <cellStyle name="스타일 2597" xfId="0"/>
    <cellStyle name="스타일 2598" xfId="0"/>
    <cellStyle name="스타일 2599" xfId="0"/>
    <cellStyle name="스타일 2600" xfId="0"/>
    <cellStyle name="스타일 2601" xfId="0"/>
    <cellStyle name="스타일 2602" xfId="0"/>
    <cellStyle name="스타일 2603" xfId="0"/>
    <cellStyle name="스타일 2604" xfId="0"/>
    <cellStyle name="스타일 2605" xfId="0"/>
    <cellStyle name="스타일 2606" xfId="0"/>
    <cellStyle name="스타일 2607" xfId="0"/>
    <cellStyle name="스타일 2608" xfId="0"/>
    <cellStyle name="스타일 2609" xfId="0"/>
    <cellStyle name="스타일 2610" xfId="0"/>
    <cellStyle name="스타일 2611" xfId="0"/>
    <cellStyle name="스타일 2612" xfId="0"/>
    <cellStyle name="스타일 2613" xfId="0"/>
    <cellStyle name="스타일 2614" xfId="0"/>
    <cellStyle name="스타일 2615" xfId="0"/>
    <cellStyle name="스타일 2616" xfId="0"/>
    <cellStyle name="스타일 2617" xfId="0"/>
    <cellStyle name="스타일 2618" xfId="0"/>
    <cellStyle name="스타일 2619" xfId="0"/>
    <cellStyle name="스타일 2620" xfId="0"/>
    <cellStyle name="스타일 2621" xfId="0"/>
    <cellStyle name="스타일 2622" xfId="0"/>
    <cellStyle name="스타일 2623" xfId="0"/>
    <cellStyle name="스타일 2624" xfId="0"/>
    <cellStyle name="스타일 2625" xfId="0"/>
    <cellStyle name="스타일 2626" xfId="0"/>
    <cellStyle name="스타일 2627" xfId="0"/>
    <cellStyle name="스타일 2628" xfId="0"/>
    <cellStyle name="스타일 2629" xfId="0"/>
    <cellStyle name="스타일 2630" xfId="0"/>
    <cellStyle name="스타일 2631" xfId="0"/>
    <cellStyle name="스타일 2632" xfId="0"/>
    <cellStyle name="스타일 2633" xfId="0"/>
    <cellStyle name="스타일 2634" xfId="0"/>
    <cellStyle name="스타일 2635" xfId="0"/>
    <cellStyle name="스타일 2636" xfId="0"/>
    <cellStyle name="스타일 2637" xfId="0"/>
    <cellStyle name="스타일 2638" xfId="0"/>
    <cellStyle name="스타일 2639" xfId="0"/>
    <cellStyle name="스타일 2640" xfId="0"/>
    <cellStyle name="스타일 2641" xfId="0"/>
    <cellStyle name="스타일 2642" xfId="0"/>
    <cellStyle name="스타일 2643" xfId="0"/>
    <cellStyle name="스타일 2644" xfId="0"/>
    <cellStyle name="스타일 2645" xfId="0"/>
    <cellStyle name="스타일 2646" xfId="0"/>
    <cellStyle name="스타일 2647" xfId="0"/>
    <cellStyle name="스타일 2648" xfId="0"/>
    <cellStyle name="스타일 2649" xfId="0"/>
    <cellStyle name="스타일 2650" xfId="0"/>
    <cellStyle name="스타일 2651" xfId="0"/>
    <cellStyle name="스타일 2652" xfId="0"/>
    <cellStyle name="스타일 2653" xfId="0"/>
    <cellStyle name="스타일 2654" xfId="0"/>
    <cellStyle name="스타일 2655" xfId="0"/>
    <cellStyle name="스타일 2656" xfId="0"/>
    <cellStyle name="스타일 2657" xfId="0"/>
    <cellStyle name="스타일 2658" xfId="0"/>
    <cellStyle name="스타일 2659" xfId="0"/>
    <cellStyle name="스타일 2660" xfId="0"/>
    <cellStyle name="스타일 2661" xfId="0"/>
    <cellStyle name="스타일 2662" xfId="0"/>
    <cellStyle name="스타일 2663" xfId="0"/>
    <cellStyle name="스타일 2664" xfId="0"/>
    <cellStyle name="스타일 2665" xfId="0"/>
    <cellStyle name="스타일 2666" xfId="0"/>
    <cellStyle name="스타일 2667" xfId="0"/>
    <cellStyle name="스타일 2668" xfId="0"/>
    <cellStyle name="스타일 2669" xfId="0"/>
    <cellStyle name="스타일 2670" xfId="0"/>
    <cellStyle name="스타일 2671" xfId="0"/>
    <cellStyle name="스타일 2672" xfId="0"/>
    <cellStyle name="스타일 2673" xfId="0"/>
    <cellStyle name="스타일 2674" xfId="0"/>
    <cellStyle name="스타일 2675" xfId="0"/>
    <cellStyle name="스타일 2676" xfId="0"/>
    <cellStyle name="스타일 2677" xfId="0"/>
    <cellStyle name="스타일 2678" xfId="0"/>
    <cellStyle name="스타일 2679" xfId="0"/>
    <cellStyle name="스타일 2680" xfId="0"/>
    <cellStyle name="스타일 2681" xfId="0"/>
    <cellStyle name="스타일 2682" xfId="0"/>
    <cellStyle name="스타일 2683" xfId="0"/>
    <cellStyle name="스타일 2684" xfId="0"/>
    <cellStyle name="스타일 2685" xfId="0"/>
    <cellStyle name="스타일 2686" xfId="0"/>
    <cellStyle name="스타일 2687" xfId="0"/>
    <cellStyle name="스타일 2688" xfId="0"/>
    <cellStyle name="스타일 2689" xfId="0"/>
    <cellStyle name="스타일 2690" xfId="0"/>
    <cellStyle name="스타일 2691" xfId="0"/>
    <cellStyle name="스타일 2692" xfId="0"/>
    <cellStyle name="스타일 2693" xfId="0"/>
    <cellStyle name="스타일 2694" xfId="0"/>
    <cellStyle name="스타일 2695" xfId="0"/>
    <cellStyle name="스타일 2696" xfId="0"/>
    <cellStyle name="스타일 2697" xfId="0"/>
    <cellStyle name="스타일 2698" xfId="0"/>
    <cellStyle name="스타일 2699" xfId="0"/>
    <cellStyle name="스타일 2700" xfId="0"/>
    <cellStyle name="스타일 2701" xfId="0"/>
    <cellStyle name="스타일 2702" xfId="0"/>
    <cellStyle name="스타일 2703" xfId="0"/>
    <cellStyle name="스타일 2704" xfId="0"/>
    <cellStyle name="스타일 2705" xfId="0"/>
    <cellStyle name="스타일 2706" xfId="0"/>
    <cellStyle name="스타일 2707" xfId="0"/>
    <cellStyle name="스타일 2708" xfId="0"/>
    <cellStyle name="스타일 2709" xfId="0"/>
    <cellStyle name="스타일 2710" xfId="0"/>
    <cellStyle name="스타일 2711" xfId="0"/>
    <cellStyle name="스타일 2712" xfId="0"/>
    <cellStyle name="스타일 2713" xfId="0"/>
    <cellStyle name="스타일 2714" xfId="0"/>
    <cellStyle name="스타일 2715" xfId="0"/>
    <cellStyle name="스타일 2716" xfId="0"/>
    <cellStyle name="스타일 2717" xfId="0"/>
    <cellStyle name="스타일 2718" xfId="0"/>
    <cellStyle name="스타일 2719" xfId="0"/>
    <cellStyle name="스타일 2720" xfId="0"/>
    <cellStyle name="스타일 2721" xfId="0"/>
    <cellStyle name="스타일 2722" xfId="0"/>
    <cellStyle name="스타일 2723" xfId="0"/>
    <cellStyle name="스타일 2724" xfId="0"/>
    <cellStyle name="스타일 2725" xfId="0"/>
    <cellStyle name="스타일 2726" xfId="0"/>
    <cellStyle name="스타일 2727" xfId="0"/>
    <cellStyle name="스타일 2728" xfId="0"/>
    <cellStyle name="스타일 2729" xfId="0"/>
    <cellStyle name="스타일 2730" xfId="0"/>
    <cellStyle name="스타일 2731" xfId="0"/>
    <cellStyle name="스타일 2732" xfId="0"/>
    <cellStyle name="스타일 2733" xfId="0"/>
    <cellStyle name="스타일 2734" xfId="0"/>
    <cellStyle name="스타일 2735" xfId="0"/>
    <cellStyle name="스타일 2736" xfId="0"/>
    <cellStyle name="스타일 2737" xfId="0"/>
    <cellStyle name="스타일 2738" xfId="0"/>
    <cellStyle name="스타일 2739" xfId="0"/>
    <cellStyle name="스타일 2740" xfId="0"/>
    <cellStyle name="스타일 2741" xfId="0"/>
    <cellStyle name="스타일 2742" xfId="0"/>
    <cellStyle name="스타일 2743" xfId="0"/>
    <cellStyle name="스타일 2744" xfId="0"/>
    <cellStyle name="스타일 2745" xfId="0"/>
    <cellStyle name="스타일 2746" xfId="0"/>
    <cellStyle name="스타일 2747" xfId="0"/>
    <cellStyle name="스타일 2748" xfId="0"/>
    <cellStyle name="스타일 2749" xfId="0"/>
    <cellStyle name="스타일 2750" xfId="0"/>
    <cellStyle name="스타일 2751" xfId="0"/>
    <cellStyle name="스타일 2752" xfId="0"/>
    <cellStyle name="스타일 2753" xfId="0"/>
    <cellStyle name="스타일 2754" xfId="0"/>
    <cellStyle name="스타일 2755" xfId="0"/>
    <cellStyle name="스타일 2756" xfId="0"/>
    <cellStyle name="스타일 2757" xfId="0"/>
    <cellStyle name="스타일 2758" xfId="0"/>
    <cellStyle name="스타일 2759" xfId="0"/>
    <cellStyle name="스타일 2760" xfId="0"/>
    <cellStyle name="스타일 2761" xfId="0"/>
    <cellStyle name="스타일 2762" xfId="0"/>
    <cellStyle name="스타일 2763" xfId="0"/>
    <cellStyle name="스타일 2764" xfId="0"/>
    <cellStyle name="스타일 2765" xfId="0"/>
    <cellStyle name="스타일 2766" xfId="0"/>
    <cellStyle name="스타일 2767" xfId="0"/>
    <cellStyle name="스타일 2768" xfId="0"/>
    <cellStyle name="스타일 2769" xfId="0"/>
    <cellStyle name="스타일 2770" xfId="0"/>
    <cellStyle name="스타일 2771" xfId="0"/>
    <cellStyle name="스타일 2772" xfId="0"/>
    <cellStyle name="스타일 2773" xfId="0"/>
    <cellStyle name="스타일 2774" xfId="0"/>
    <cellStyle name="스타일 2775" xfId="0"/>
    <cellStyle name="스타일 2776" xfId="0"/>
    <cellStyle name="스타일 2777" xfId="0"/>
    <cellStyle name="스타일 2778" xfId="0"/>
    <cellStyle name="스타일 2779" xfId="0"/>
    <cellStyle name="스타일 2780" xfId="0"/>
    <cellStyle name="스타일 2781" xfId="0"/>
    <cellStyle name="스타일 2782" xfId="0"/>
    <cellStyle name="스타일 2783" xfId="0"/>
    <cellStyle name="스타일 2784" xfId="0"/>
    <cellStyle name="스타일 2785" xfId="0"/>
    <cellStyle name="스타일 2786" xfId="0"/>
    <cellStyle name="스타일 2787" xfId="0"/>
    <cellStyle name="스타일 2788" xfId="0"/>
    <cellStyle name="스타일 2789" xfId="0"/>
    <cellStyle name="스타일 2790" xfId="0"/>
    <cellStyle name="스타일 2791" xfId="0"/>
    <cellStyle name="스타일 2792" xfId="0"/>
    <cellStyle name="스타일 2793" xfId="0"/>
    <cellStyle name="스타일 2794" xfId="0"/>
    <cellStyle name="스타일 2795" xfId="0"/>
    <cellStyle name="스타일 2796" xfId="0"/>
    <cellStyle name="스타일 2797" xfId="0"/>
    <cellStyle name="스타일 2798" xfId="0"/>
    <cellStyle name="스타일 2799" xfId="0"/>
    <cellStyle name="스타일 2800" xfId="0"/>
    <cellStyle name="스타일 2801" xfId="0"/>
    <cellStyle name="스타일 2802" xfId="0"/>
    <cellStyle name="스타일 2803" xfId="0"/>
    <cellStyle name="스타일 2804" xfId="0"/>
    <cellStyle name="스타일 2805" xfId="0"/>
    <cellStyle name="스타일 2806" xfId="0"/>
    <cellStyle name="스타일 2807" xfId="0"/>
    <cellStyle name="스타일 2808" xfId="0"/>
    <cellStyle name="스타일 2809" xfId="0"/>
    <cellStyle name="스타일 2810" xfId="0"/>
    <cellStyle name="스타일 2811" xfId="0"/>
    <cellStyle name="스타일 2812" xfId="0"/>
    <cellStyle name="스타일 2813" xfId="0"/>
    <cellStyle name="스타일 2814" xfId="0"/>
    <cellStyle name="스타일 2815" xfId="0"/>
    <cellStyle name="스타일 2816" xfId="0"/>
    <cellStyle name="스타일 2817" xfId="0"/>
    <cellStyle name="스타일 2818" xfId="0"/>
    <cellStyle name="스타일 2819" xfId="0"/>
    <cellStyle name="스타일 2820" xfId="0"/>
    <cellStyle name="스타일 2821" xfId="0"/>
    <cellStyle name="스타일 2822" xfId="0"/>
    <cellStyle name="스타일 2823" xfId="0"/>
    <cellStyle name="스타일 2824" xfId="0"/>
    <cellStyle name="스타일 2825" xfId="0"/>
    <cellStyle name="스타일 2826" xfId="0"/>
    <cellStyle name="스타일 2827" xfId="0"/>
    <cellStyle name="스타일 2828" xfId="0"/>
    <cellStyle name="스타일 2829" xfId="0"/>
    <cellStyle name="스타일 2830" xfId="0"/>
    <cellStyle name="스타일 2831" xfId="0"/>
    <cellStyle name="스타일 2832" xfId="0"/>
    <cellStyle name="스타일 2833" xfId="0"/>
    <cellStyle name="스타일 2834" xfId="0"/>
    <cellStyle name="스타일 2835" xfId="0"/>
    <cellStyle name="스타일 2836" xfId="0"/>
    <cellStyle name="스타일 2837" xfId="0"/>
    <cellStyle name="스타일 2838" xfId="0"/>
    <cellStyle name="스타일 2839" xfId="0"/>
    <cellStyle name="스타일 2840" xfId="0"/>
    <cellStyle name="스타일 2841" xfId="0"/>
    <cellStyle name="스타일 2842" xfId="0"/>
    <cellStyle name="스타일 2843" xfId="0"/>
    <cellStyle name="스타일 2844" xfId="0"/>
    <cellStyle name="스타일 2845" xfId="0"/>
    <cellStyle name="스타일 2846" xfId="0"/>
    <cellStyle name="스타일 2847" xfId="0"/>
    <cellStyle name="스타일 2848" xfId="0"/>
    <cellStyle name="스타일 2849" xfId="0"/>
    <cellStyle name="스타일 2850" xfId="0"/>
    <cellStyle name="스타일 2851" xfId="0"/>
    <cellStyle name="스타일 2852" xfId="0"/>
    <cellStyle name="스타일 2853" xfId="0"/>
    <cellStyle name="스타일 2854" xfId="0"/>
    <cellStyle name="스타일 2855" xfId="0"/>
    <cellStyle name="스타일 2856" xfId="0"/>
    <cellStyle name="스타일 2857" xfId="0"/>
    <cellStyle name="스타일 2858" xfId="0"/>
    <cellStyle name="스타일 2859" xfId="0"/>
    <cellStyle name="스타일 2860" xfId="0"/>
    <cellStyle name="스타일 2861" xfId="0"/>
    <cellStyle name="스타일 2862" xfId="0"/>
    <cellStyle name="스타일 2863" xfId="0"/>
    <cellStyle name="스타일 2864" xfId="0"/>
    <cellStyle name="스타일 2865" xfId="0"/>
    <cellStyle name="스타일 2866" xfId="0"/>
    <cellStyle name="스타일 2867" xfId="0"/>
    <cellStyle name="스타일 2868" xfId="0"/>
    <cellStyle name="스타일 2869" xfId="0"/>
    <cellStyle name="스타일 2870" xfId="0"/>
    <cellStyle name="스타일 2871" xfId="0"/>
    <cellStyle name="스타일 2872" xfId="0"/>
    <cellStyle name="스타일 2873" xfId="0"/>
    <cellStyle name="스타일 2874" xfId="0"/>
    <cellStyle name="스타일 2875" xfId="0"/>
    <cellStyle name="스타일 2876" xfId="0"/>
    <cellStyle name="스타일 2877" xfId="0"/>
    <cellStyle name="스타일 2878" xfId="0"/>
    <cellStyle name="스타일 2879" xfId="0"/>
    <cellStyle name="스타일 2880" xfId="0"/>
    <cellStyle name="스타일 2881" xfId="0"/>
    <cellStyle name="스타일 2882" xfId="0"/>
    <cellStyle name="스타일 2883" xfId="0"/>
    <cellStyle name="스타일 2884" xfId="0"/>
    <cellStyle name="스타일 2885" xfId="0"/>
    <cellStyle name="스타일 2886" xfId="0"/>
    <cellStyle name="스타일 2887" xfId="0"/>
    <cellStyle name="스타일 2888" xfId="0"/>
    <cellStyle name="스타일 2889" xfId="0"/>
    <cellStyle name="스타일 2890" xfId="0"/>
    <cellStyle name="스타일 2891" xfId="0"/>
    <cellStyle name="스타일 2892" xfId="0"/>
    <cellStyle name="스타일 2893" xfId="0"/>
    <cellStyle name="스타일 2894" xfId="0"/>
    <cellStyle name="스타일 2895" xfId="0"/>
    <cellStyle name="스타일 2896" xfId="0"/>
    <cellStyle name="스타일 2897" xfId="0"/>
    <cellStyle name="스타일 2898" xfId="0"/>
    <cellStyle name="스타일 2899" xfId="0"/>
    <cellStyle name="스타일 2900" xfId="0"/>
    <cellStyle name="스타일 2901" xfId="0"/>
    <cellStyle name="스타일 2902" xfId="0"/>
    <cellStyle name="스타일 2903" xfId="0"/>
    <cellStyle name="스타일 2904" xfId="0"/>
    <cellStyle name="스타일 2905" xfId="0"/>
    <cellStyle name="스타일 2906" xfId="0"/>
    <cellStyle name="스타일 2907" xfId="0"/>
    <cellStyle name="스타일 2908" xfId="0"/>
    <cellStyle name="스타일 2909" xfId="0"/>
    <cellStyle name="스타일 2910" xfId="0"/>
    <cellStyle name="스타일 2911" xfId="0"/>
    <cellStyle name="스타일 2912" xfId="0"/>
    <cellStyle name="스타일 2913" xfId="0"/>
    <cellStyle name="스타일 2914" xfId="0"/>
    <cellStyle name="스타일 2915" xfId="0"/>
    <cellStyle name="스타일 2916" xfId="0"/>
    <cellStyle name="스타일 2917" xfId="0"/>
    <cellStyle name="스타일 2918" xfId="0"/>
    <cellStyle name="스타일 2919" xfId="0"/>
    <cellStyle name="스타일 2920" xfId="0"/>
    <cellStyle name="스타일 2921" xfId="0"/>
    <cellStyle name="스타일 2922" xfId="0"/>
    <cellStyle name="스타일 2923" xfId="0"/>
    <cellStyle name="스타일 2924" xfId="0"/>
    <cellStyle name="스타일 2925" xfId="0"/>
    <cellStyle name="스타일 2926" xfId="0"/>
    <cellStyle name="스타일 2927" xfId="0"/>
    <cellStyle name="스타일 2928" xfId="0"/>
    <cellStyle name="스타일 2929" xfId="0"/>
    <cellStyle name="스타일 2930" xfId="0"/>
    <cellStyle name="스타일 2931" xfId="0"/>
    <cellStyle name="스타일 2932" xfId="0"/>
    <cellStyle name="스타일 2933" xfId="0"/>
    <cellStyle name="스타일 2934" xfId="0"/>
    <cellStyle name="스타일 2935" xfId="0"/>
    <cellStyle name="스타일 2936" xfId="0"/>
    <cellStyle name="스타일 2937" xfId="0"/>
    <cellStyle name="스타일 2938" xfId="0"/>
    <cellStyle name="스타일 2939" xfId="0"/>
    <cellStyle name="스타일 2940" xfId="0"/>
    <cellStyle name="스타일 2941" xfId="0"/>
    <cellStyle name="스타일 2942" xfId="0"/>
    <cellStyle name="스타일 2943" xfId="0"/>
    <cellStyle name="스타일 2944" xfId="0"/>
    <cellStyle name="스타일 2945" xfId="0"/>
    <cellStyle name="스타일 2946" xfId="0"/>
    <cellStyle name="스타일 2947" xfId="0"/>
    <cellStyle name="스타일 2948" xfId="0"/>
    <cellStyle name="스타일 2949" xfId="0"/>
    <cellStyle name="스타일 2950" xfId="0"/>
    <cellStyle name="스타일 2951" xfId="0"/>
    <cellStyle name="스타일 2952" xfId="0"/>
    <cellStyle name="스타일 2953" xfId="0"/>
    <cellStyle name="스타일 2954" xfId="0"/>
    <cellStyle name="스타일 2955" xfId="0"/>
    <cellStyle name="스타일 2956" xfId="0"/>
    <cellStyle name="스타일 2957" xfId="0"/>
    <cellStyle name="스타일 2958" xfId="0"/>
    <cellStyle name="스타일 2959" xfId="0"/>
    <cellStyle name="스타일 2960" xfId="0"/>
    <cellStyle name="스타일 2961" xfId="0"/>
    <cellStyle name="스타일 2962" xfId="0"/>
    <cellStyle name="스타일 2963" xfId="0"/>
    <cellStyle name="스타일 2964" xfId="0"/>
    <cellStyle name="스타일 2965" xfId="0"/>
    <cellStyle name="스타일 2966" xfId="0"/>
    <cellStyle name="스타일 2967" xfId="0"/>
    <cellStyle name="스타일 2968" xfId="0"/>
    <cellStyle name="스타일 2969" xfId="0"/>
    <cellStyle name="스타일 2970" xfId="0"/>
    <cellStyle name="스타일 2971" xfId="0"/>
    <cellStyle name="스타일 2972" xfId="0"/>
    <cellStyle name="스타일 2973" xfId="0"/>
    <cellStyle name="스타일 2974" xfId="0"/>
    <cellStyle name="스타일 2975" xfId="0"/>
    <cellStyle name="스타일 2976" xfId="0"/>
    <cellStyle name="스타일 2977" xfId="0"/>
    <cellStyle name="스타일 2978" xfId="0"/>
    <cellStyle name="스타일 2979" xfId="0"/>
    <cellStyle name="스타일 2980" xfId="0"/>
    <cellStyle name="스타일 2981" xfId="0"/>
    <cellStyle name="스타일 2982" xfId="0"/>
    <cellStyle name="스타일 2983" xfId="0"/>
    <cellStyle name="스타일 2984" xfId="0"/>
    <cellStyle name="스타일 2985" xfId="0"/>
    <cellStyle name="스타일 2986" xfId="0"/>
    <cellStyle name="스타일 2987" xfId="0"/>
    <cellStyle name="스타일 2988" xfId="0"/>
    <cellStyle name="스타일 2989" xfId="0"/>
    <cellStyle name="스타일 2990" xfId="0"/>
    <cellStyle name="스타일 2991" xfId="0"/>
    <cellStyle name="스타일 2992" xfId="0"/>
    <cellStyle name="스타일 2993" xfId="0"/>
    <cellStyle name="스타일 2994" xfId="0"/>
    <cellStyle name="스타일 2995" xfId="0"/>
    <cellStyle name="스타일 2996" xfId="0"/>
    <cellStyle name="스타일 2997" xfId="0"/>
    <cellStyle name="스타일 2998" xfId="0"/>
    <cellStyle name="스타일 2999" xfId="0"/>
    <cellStyle name="스타일 3000" xfId="0"/>
    <cellStyle name="스타일 3001" xfId="0"/>
    <cellStyle name="스타일 3002" xfId="0"/>
    <cellStyle name="스타일 3003" xfId="0"/>
    <cellStyle name="스타일 3004" xfId="0"/>
    <cellStyle name="스타일 3005" xfId="0"/>
    <cellStyle name="스타일 3006" xfId="0"/>
    <cellStyle name="스타일 3007" xfId="0"/>
    <cellStyle name="스타일 3008" xfId="0"/>
    <cellStyle name="스타일 3009" xfId="0"/>
    <cellStyle name="스타일 3010" xfId="0"/>
    <cellStyle name="스타일 3011" xfId="0"/>
    <cellStyle name="스타일 3012" xfId="0"/>
    <cellStyle name="스타일 3013" xfId="0"/>
    <cellStyle name="스타일 3014" xfId="0"/>
    <cellStyle name="스타일 3015" xfId="0"/>
    <cellStyle name="스타일 3016" xfId="0"/>
    <cellStyle name="스타일 3017" xfId="0"/>
    <cellStyle name="스타일 3018" xfId="0"/>
    <cellStyle name="스타일 3019" xfId="0"/>
    <cellStyle name="스타일 3020" xfId="0"/>
    <cellStyle name="스타일 3021" xfId="0"/>
    <cellStyle name="스타일 3022" xfId="0"/>
    <cellStyle name="스타일 3023" xfId="0"/>
    <cellStyle name="스타일 3024" xfId="0"/>
    <cellStyle name="스타일 3025" xfId="0"/>
    <cellStyle name="스타일 3026" xfId="0"/>
    <cellStyle name="스타일 3027" xfId="0"/>
    <cellStyle name="스타일 3028" xfId="0"/>
    <cellStyle name="스타일 3029" xfId="0"/>
    <cellStyle name="스타일 3030" xfId="0"/>
    <cellStyle name="스타일 3031" xfId="0"/>
    <cellStyle name="스타일 3032" xfId="0"/>
    <cellStyle name="스타일 3033" xfId="0"/>
    <cellStyle name="스타일 3034" xfId="0"/>
    <cellStyle name="스타일 3035" xfId="0"/>
    <cellStyle name="스타일 3036" xfId="0"/>
    <cellStyle name="스타일 3037" xfId="0"/>
    <cellStyle name="스타일 3038" xfId="0"/>
    <cellStyle name="스타일 3039" xfId="0"/>
    <cellStyle name="스타일 3040" xfId="0"/>
    <cellStyle name="스타일 3041" xfId="0"/>
    <cellStyle name="스타일 3042" xfId="0"/>
    <cellStyle name="스타일 3043" xfId="0"/>
    <cellStyle name="스타일 3044" xfId="0"/>
    <cellStyle name="스타일 3045" xfId="0"/>
    <cellStyle name="스타일 3046" xfId="0"/>
    <cellStyle name="스타일 3047" xfId="0"/>
    <cellStyle name="스타일 3048" xfId="0"/>
    <cellStyle name="스타일 3049" xfId="0"/>
    <cellStyle name="스타일 3050" xfId="0"/>
    <cellStyle name="스타일 3051" xfId="0"/>
    <cellStyle name="스타일 3052" xfId="0"/>
    <cellStyle name="스타일 3053" xfId="0"/>
    <cellStyle name="스타일 3054" xfId="0"/>
    <cellStyle name="스타일 3055" xfId="0"/>
    <cellStyle name="스타일 3056" xfId="0"/>
    <cellStyle name="스타일 3057" xfId="0"/>
    <cellStyle name="스타일 3058" xfId="0"/>
    <cellStyle name="스타일 3059" xfId="0"/>
    <cellStyle name="스타일 3060" xfId="0"/>
    <cellStyle name="스타일 3061" xfId="0"/>
    <cellStyle name="스타일 3062" xfId="0"/>
    <cellStyle name="스타일 3063" xfId="0"/>
    <cellStyle name="스타일 3064" xfId="0"/>
    <cellStyle name="스타일 3065" xfId="0"/>
    <cellStyle name="스타일 3066" xfId="0"/>
    <cellStyle name="스타일 3067" xfId="0"/>
    <cellStyle name="스타일 3068" xfId="0"/>
    <cellStyle name="스타일 3069" xfId="0"/>
    <cellStyle name="스타일 3070" xfId="0"/>
    <cellStyle name="스타일 3071" xfId="0"/>
    <cellStyle name="스타일 3072" xfId="0"/>
    <cellStyle name="스타일 3073" xfId="0"/>
    <cellStyle name="스타일 3074" xfId="0"/>
    <cellStyle name="스타일 3075" xfId="0"/>
    <cellStyle name="스타일 3076" xfId="0"/>
    <cellStyle name="스타일 3077" xfId="0"/>
    <cellStyle name="스타일 3078" xfId="0"/>
    <cellStyle name="스타일 3079" xfId="0"/>
    <cellStyle name="스타일 3080" xfId="0"/>
    <cellStyle name="스타일 3081" xfId="0"/>
    <cellStyle name="스타일 3082" xfId="0"/>
    <cellStyle name="스타일 3083" xfId="0"/>
    <cellStyle name="스타일 3084" xfId="0"/>
    <cellStyle name="스타일 3085" xfId="0"/>
    <cellStyle name="스타일 3086" xfId="0"/>
    <cellStyle name="스타일 3087" xfId="0"/>
    <cellStyle name="스타일 3088" xfId="0"/>
    <cellStyle name="스타일 3089" xfId="0"/>
    <cellStyle name="스타일 3090" xfId="0"/>
    <cellStyle name="스타일 3091" xfId="0"/>
    <cellStyle name="스타일 3092" xfId="0"/>
    <cellStyle name="스타일 3093" xfId="0"/>
    <cellStyle name="스타일 3094" xfId="0"/>
    <cellStyle name="스타일 3095" xfId="0"/>
    <cellStyle name="스타일 3096" xfId="0"/>
    <cellStyle name="스타일 3097" xfId="0"/>
    <cellStyle name="스타일 3098" xfId="0"/>
    <cellStyle name="스타일 3099" xfId="0"/>
    <cellStyle name="스타일 3100" xfId="0"/>
    <cellStyle name="스타일 3101" xfId="0"/>
    <cellStyle name="스타일 3102" xfId="0"/>
    <cellStyle name="스타일 3103" xfId="0"/>
    <cellStyle name="스타일 3104" xfId="0"/>
    <cellStyle name="스타일 3105" xfId="0"/>
    <cellStyle name="스타일 3106" xfId="0"/>
    <cellStyle name="스타일 3107" xfId="0"/>
    <cellStyle name="스타일 3108" xfId="0"/>
    <cellStyle name="스타일 3109" xfId="0"/>
    <cellStyle name="스타일 3110" xfId="0"/>
    <cellStyle name="스타일 3111" xfId="0"/>
    <cellStyle name="스타일 3112" xfId="0"/>
    <cellStyle name="스타일 3113" xfId="0"/>
    <cellStyle name="스타일 3114" xfId="0"/>
    <cellStyle name="스타일 3115" xfId="0"/>
    <cellStyle name="스타일 3116" xfId="0"/>
    <cellStyle name="스타일 3117" xfId="0"/>
    <cellStyle name="스타일 3118" xfId="0"/>
    <cellStyle name="스타일 3119" xfId="0"/>
    <cellStyle name="스타일 3120" xfId="0"/>
    <cellStyle name="스타일 3121" xfId="0"/>
    <cellStyle name="스타일 3122" xfId="0"/>
    <cellStyle name="스타일 3123" xfId="0"/>
    <cellStyle name="스타일 3124" xfId="0"/>
    <cellStyle name="스타일 3125" xfId="0"/>
    <cellStyle name="스타일 3126" xfId="0"/>
    <cellStyle name="스타일 3127" xfId="0"/>
    <cellStyle name="스타일 3128" xfId="0"/>
    <cellStyle name="스타일 3129" xfId="0"/>
    <cellStyle name="스타일 3130" xfId="0"/>
    <cellStyle name="스타일 3131" xfId="0"/>
    <cellStyle name="스타일 3132" xfId="0"/>
    <cellStyle name="스타일 3133" xfId="0"/>
    <cellStyle name="스타일 3134" xfId="0"/>
    <cellStyle name="스타일 3135" xfId="0"/>
    <cellStyle name="스타일 3136" xfId="0"/>
    <cellStyle name="스타일 3137" xfId="0"/>
    <cellStyle name="스타일 3138" xfId="0"/>
    <cellStyle name="스타일 3139" xfId="0"/>
    <cellStyle name="스타일 3140" xfId="0"/>
    <cellStyle name="스타일 3141" xfId="0"/>
    <cellStyle name="스타일 3142" xfId="0"/>
    <cellStyle name="스타일 3143" xfId="0"/>
    <cellStyle name="스타일 3144" xfId="0"/>
    <cellStyle name="스타일 3145" xfId="0"/>
    <cellStyle name="스타일 3146" xfId="0"/>
    <cellStyle name="스타일 3147" xfId="0"/>
    <cellStyle name="스타일 3148" xfId="0"/>
    <cellStyle name="스타일 3149" xfId="0"/>
    <cellStyle name="스타일 3150" xfId="0"/>
    <cellStyle name="스타일 3151" xfId="0"/>
    <cellStyle name="스타일 3152" xfId="0"/>
    <cellStyle name="스타일 3153" xfId="0"/>
    <cellStyle name="스타일 3154" xfId="0"/>
    <cellStyle name="스타일 3155" xfId="0"/>
    <cellStyle name="스타일 3156" xfId="0"/>
    <cellStyle name="스타일 3157" xfId="0"/>
    <cellStyle name="스타일 3158" xfId="0"/>
    <cellStyle name="스타일 3159" xfId="0"/>
    <cellStyle name="스타일 3160" xfId="0"/>
    <cellStyle name="스타일 3161" xfId="0"/>
    <cellStyle name="스타일 3162" xfId="0"/>
    <cellStyle name="스타일 3163" xfId="0"/>
    <cellStyle name="스타일 3164" xfId="0"/>
    <cellStyle name="스타일 3165" xfId="0"/>
    <cellStyle name="스타일 3166" xfId="0"/>
    <cellStyle name="스타일 3167" xfId="0"/>
    <cellStyle name="스타일 3168" xfId="0"/>
    <cellStyle name="스타일 3169" xfId="0"/>
    <cellStyle name="스타일 3170" xfId="0"/>
    <cellStyle name="스타일 3171" xfId="0"/>
    <cellStyle name="스타일 3172" xfId="0"/>
    <cellStyle name="스타일 3173" xfId="0"/>
    <cellStyle name="스타일 3174" xfId="0"/>
    <cellStyle name="스타일 3175" xfId="0"/>
    <cellStyle name="스타일 3176" xfId="0"/>
    <cellStyle name="스타일 3177" xfId="0"/>
    <cellStyle name="스타일 3178" xfId="0"/>
    <cellStyle name="스타일 3179" xfId="0"/>
    <cellStyle name="스타일 3180" xfId="0"/>
    <cellStyle name="스타일 3181" xfId="0"/>
    <cellStyle name="스타일 3182" xfId="0"/>
    <cellStyle name="스타일 3183" xfId="0"/>
    <cellStyle name="스타일 3184" xfId="0"/>
    <cellStyle name="스타일 3185" xfId="0"/>
    <cellStyle name="스타일 3186" xfId="0"/>
    <cellStyle name="스타일 3187" xfId="0"/>
    <cellStyle name="스타일 3188" xfId="0"/>
    <cellStyle name="스타일 3189" xfId="0"/>
    <cellStyle name="스타일 3190" xfId="0"/>
    <cellStyle name="스타일 3191" xfId="0"/>
    <cellStyle name="스타일 3192" xfId="0"/>
    <cellStyle name="스타일 3193" xfId="0"/>
    <cellStyle name="스타일 3194" xfId="0"/>
    <cellStyle name="스타일 3195" xfId="0"/>
    <cellStyle name="스타일 3196" xfId="0"/>
    <cellStyle name="스타일 3197" xfId="0"/>
    <cellStyle name="스타일 3198" xfId="0"/>
    <cellStyle name="스타일 3199" xfId="0"/>
    <cellStyle name="스타일 3200" xfId="0"/>
    <cellStyle name="스타일 3201" xfId="0"/>
    <cellStyle name="스타일 3202" xfId="0"/>
    <cellStyle name="스타일 3203" xfId="0"/>
    <cellStyle name="스타일 3204" xfId="0"/>
    <cellStyle name="스타일 3205" xfId="0"/>
    <cellStyle name="스타일 3206" xfId="0"/>
    <cellStyle name="스타일 3207" xfId="0"/>
    <cellStyle name="스타일 3208" xfId="0"/>
    <cellStyle name="스타일 3209" xfId="0"/>
    <cellStyle name="스타일 3210" xfId="0"/>
    <cellStyle name="스타일 3211" xfId="0"/>
    <cellStyle name="스타일 3212" xfId="0"/>
    <cellStyle name="스타일 3213" xfId="0"/>
  </cellStyles>
  <dxfs count="6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00" defaultRowHeight="13.5" zeroHeight="false" outlineLevelRow="0" outlineLevelCol="0"/>
  <cols>
    <col min="1" max="1" width="8.0000" customWidth="1"/>
    <col min="2" max="2" width="10.7773" customWidth="1"/>
    <col min="3" max="3" width="5.7773" customWidth="1"/>
    <col min="4" max="4" width="13.7773" customWidth="1"/>
    <col min="5" max="5" width="7.5547" customWidth="1"/>
    <col min="6" max="6" width="7.5547" customWidth="1"/>
    <col min="7" max="7" width="7.5547" customWidth="1"/>
    <col min="8" max="8" width="10.7773" customWidth="1"/>
    <col min="9" max="9" width="8.6641" customWidth="1"/>
    <col min="10" max="10" width="7.7773" customWidth="1"/>
    <col min="11" max="11" width="10.8867" customWidth="1"/>
    <col min="12" max="12" width="8.4414" customWidth="1"/>
    <col min="13" max="13" width="8.4414" customWidth="1"/>
    <col min="14" max="14" width="8.4414" customWidth="1"/>
    <col min="15" max="15" width="8.4414" customWidth="1"/>
    <col min="16" max="16" width="8.4414" customWidth="1"/>
    <col min="17" max="17" width="7.8867" customWidth="1"/>
    <col min="18" max="18" width="7.8867" customWidth="1"/>
    <col min="19" max="19" width="7.8867" customWidth="1"/>
    <col min="20" max="20" width="7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54.75" hidden="false" customHeight="true" outlineLevel="0" collapsed="false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</row>
    <row r="2" customFormat="false" ht="29.25" hidden="false" customHeight="true" outlineLevel="0" collapsed="false">
      <c r="A2" s="10" t="s">
        <v>1</v>
      </c>
      <c r="B2" s="10"/>
      <c r="C2" s="10"/>
      <c r="D2" s="10"/>
      <c r="E2" s="10"/>
      <c r="F2" s="10"/>
      <c r="G2" s="10"/>
      <c r="H2" s="10"/>
      <c r="I2" s="7"/>
      <c r="J2" s="7"/>
      <c r="K2" s="7"/>
      <c r="Q2" s="7"/>
      <c r="R2" s="7"/>
      <c r="S2" s="7"/>
      <c r="T2" s="7"/>
    </row>
    <row r="3" customFormat="false" ht="26.25" hidden="false" customHeight="true" outlineLevel="0" collapsed="false">
      <c r="A3" s="11" t="s">
        <v>2</v>
      </c>
      <c r="B3" s="12" t="s">
        <v>3</v>
      </c>
      <c r="C3" s="13" t="s">
        <v>4</v>
      </c>
      <c r="D3" s="14" t="s">
        <v>5</v>
      </c>
      <c r="E3" s="15" t="s">
        <v>6</v>
      </c>
      <c r="F3" s="16" t="s">
        <v>7</v>
      </c>
      <c r="G3" s="16" t="s">
        <v>8</v>
      </c>
      <c r="H3" s="17" t="s">
        <v>9</v>
      </c>
      <c r="I3" s="17" t="s">
        <v>10</v>
      </c>
      <c r="J3" s="17" t="s">
        <v>11</v>
      </c>
      <c r="K3" s="17" t="s">
        <v>12</v>
      </c>
      <c r="L3" s="15" t="s">
        <v>13</v>
      </c>
      <c r="M3" s="12" t="s">
        <v>14</v>
      </c>
      <c r="N3" s="12"/>
      <c r="O3" s="12"/>
      <c r="P3" s="12"/>
      <c r="Q3" s="12" t="s">
        <v>15</v>
      </c>
      <c r="R3" s="12"/>
      <c r="S3" s="12"/>
      <c r="T3" s="12"/>
    </row>
    <row r="4" customFormat="false" ht="26.25" hidden="false" customHeight="true" outlineLevel="0" collapsed="false">
      <c r="A4" s="11"/>
      <c r="B4" s="12"/>
      <c r="C4" s="13"/>
      <c r="D4" s="14"/>
      <c r="E4" s="15"/>
      <c r="F4" s="16"/>
      <c r="G4" s="16"/>
      <c r="H4" s="17"/>
      <c r="I4" s="17"/>
      <c r="J4" s="17"/>
      <c r="K4" s="17"/>
      <c r="L4" s="15"/>
      <c r="M4" s="17" t="s">
        <v>16</v>
      </c>
      <c r="N4" s="15" t="s">
        <v>17</v>
      </c>
      <c r="O4" s="18" t="s">
        <v>18</v>
      </c>
      <c r="P4" s="15" t="s">
        <v>19</v>
      </c>
      <c r="Q4" s="12" t="s">
        <v>20</v>
      </c>
      <c r="R4" s="12"/>
      <c r="S4" s="12" t="s">
        <v>21</v>
      </c>
      <c r="T4" s="12"/>
    </row>
    <row r="5" customFormat="false" ht="26.25" hidden="false" customHeight="true" outlineLevel="0" collapsed="false">
      <c r="A5" s="11"/>
      <c r="B5" s="12"/>
      <c r="C5" s="13"/>
      <c r="D5" s="14"/>
      <c r="E5" s="15"/>
      <c r="F5" s="16"/>
      <c r="G5" s="16"/>
      <c r="H5" s="17"/>
      <c r="I5" s="17"/>
      <c r="J5" s="17"/>
      <c r="K5" s="17"/>
      <c r="L5" s="15"/>
      <c r="M5" s="17"/>
      <c r="N5" s="15"/>
      <c r="O5" s="18"/>
      <c r="P5" s="15"/>
      <c r="Q5" s="12" t="s">
        <v>22</v>
      </c>
      <c r="R5" s="12" t="s">
        <v>23</v>
      </c>
      <c r="S5" s="12" t="s">
        <v>22</v>
      </c>
      <c r="T5" s="12" t="s">
        <v>23</v>
      </c>
    </row>
    <row r="6" customFormat="false" ht="30" hidden="false" customHeight="true" outlineLevel="0" collapsed="false">
      <c r="A6" s="19"/>
      <c r="B6" s="20"/>
      <c r="C6" s="21"/>
      <c r="D6" s="22"/>
      <c r="E6" s="23"/>
      <c r="F6" s="24"/>
      <c r="G6" s="24"/>
      <c r="H6" s="20"/>
      <c r="I6" s="20"/>
      <c r="J6" s="20"/>
      <c r="K6" s="20"/>
      <c r="L6" s="23"/>
      <c r="M6" s="20"/>
      <c r="N6" s="23"/>
      <c r="O6" s="25"/>
      <c r="P6" s="23"/>
      <c r="Q6" s="20" t="s">
        <v>24</v>
      </c>
      <c r="R6" s="20"/>
      <c r="S6" s="20" t="s">
        <v>25</v>
      </c>
      <c r="T6" s="20"/>
    </row>
    <row r="7" customFormat="false" ht="30" hidden="false" customHeight="true" outlineLevel="0" collapsed="false">
      <c r="A7" s="19"/>
      <c r="B7" s="20"/>
      <c r="C7" s="21"/>
      <c r="D7" s="22"/>
      <c r="E7" s="23"/>
      <c r="F7" s="24"/>
      <c r="G7" s="24"/>
      <c r="H7" s="20"/>
      <c r="I7" s="20"/>
      <c r="J7" s="20"/>
      <c r="K7" s="20"/>
      <c r="L7" s="23"/>
      <c r="M7" s="20"/>
      <c r="N7" s="23"/>
      <c r="O7" s="25"/>
      <c r="P7" s="23"/>
      <c r="Q7" s="20" t="s">
        <v>24</v>
      </c>
      <c r="R7" s="20"/>
      <c r="S7" s="20" t="s">
        <v>25</v>
      </c>
      <c r="T7" s="20"/>
    </row>
    <row r="8" customFormat="false" ht="30" hidden="false" customHeight="true" outlineLevel="0" collapsed="false">
      <c r="A8" s="19"/>
      <c r="B8" s="20"/>
      <c r="C8" s="21"/>
      <c r="D8" s="22"/>
      <c r="E8" s="23"/>
      <c r="F8" s="24"/>
      <c r="G8" s="24"/>
      <c r="H8" s="20"/>
      <c r="I8" s="20"/>
      <c r="J8" s="20"/>
      <c r="K8" s="20"/>
      <c r="L8" s="23"/>
      <c r="M8" s="20"/>
      <c r="N8" s="23"/>
      <c r="O8" s="25"/>
      <c r="P8" s="23"/>
      <c r="Q8" s="20" t="s">
        <v>24</v>
      </c>
      <c r="R8" s="20"/>
      <c r="S8" s="20" t="s">
        <v>25</v>
      </c>
      <c r="T8" s="20"/>
    </row>
    <row r="9" customFormat="false" ht="30" hidden="false" customHeight="true" outlineLevel="0" collapsed="false">
      <c r="A9" s="19"/>
      <c r="B9" s="20"/>
      <c r="C9" s="21"/>
      <c r="D9" s="22"/>
      <c r="E9" s="23"/>
      <c r="F9" s="26"/>
      <c r="G9" s="26"/>
      <c r="H9" s="20"/>
      <c r="I9" s="20"/>
      <c r="J9" s="20"/>
      <c r="K9" s="20"/>
      <c r="L9" s="23"/>
      <c r="M9" s="20"/>
      <c r="N9" s="23"/>
      <c r="O9" s="25"/>
      <c r="P9" s="23"/>
      <c r="Q9" s="20" t="s">
        <v>24</v>
      </c>
      <c r="R9" s="20"/>
      <c r="S9" s="20" t="s">
        <v>25</v>
      </c>
      <c r="T9" s="20"/>
    </row>
    <row r="10" customFormat="false" ht="30" hidden="false" customHeight="true" outlineLevel="0" collapsed="false">
      <c r="A10" s="19"/>
      <c r="B10" s="20"/>
      <c r="C10" s="21"/>
      <c r="D10" s="22"/>
      <c r="E10" s="23"/>
      <c r="F10" s="26"/>
      <c r="G10" s="26"/>
      <c r="H10" s="20"/>
      <c r="I10" s="20"/>
      <c r="J10" s="20"/>
      <c r="K10" s="20"/>
      <c r="L10" s="23"/>
      <c r="M10" s="20"/>
      <c r="N10" s="23"/>
      <c r="O10" s="25"/>
      <c r="P10" s="23"/>
      <c r="Q10" s="20" t="s">
        <v>24</v>
      </c>
      <c r="R10" s="20"/>
      <c r="S10" s="20" t="s">
        <v>25</v>
      </c>
      <c r="T10" s="20"/>
    </row>
    <row r="11" customFormat="false" ht="30" hidden="false" customHeight="true" outlineLevel="0" collapsed="false">
      <c r="A11" s="19"/>
      <c r="B11" s="20"/>
      <c r="C11" s="21"/>
      <c r="D11" s="22"/>
      <c r="E11" s="23"/>
      <c r="F11" s="24"/>
      <c r="G11" s="24"/>
      <c r="H11" s="20"/>
      <c r="I11" s="20"/>
      <c r="J11" s="20"/>
      <c r="K11" s="20"/>
      <c r="L11" s="23"/>
      <c r="M11" s="20"/>
      <c r="N11" s="23"/>
      <c r="O11" s="25"/>
      <c r="P11" s="23"/>
      <c r="Q11" s="20" t="s">
        <v>24</v>
      </c>
      <c r="R11" s="20"/>
      <c r="S11" s="20" t="s">
        <v>25</v>
      </c>
      <c r="T11" s="20"/>
    </row>
    <row r="12" customFormat="false" ht="30" hidden="false" customHeight="true" outlineLevel="0" collapsed="false">
      <c r="A12" s="19"/>
      <c r="B12" s="20"/>
      <c r="C12" s="21"/>
      <c r="D12" s="22"/>
      <c r="E12" s="23"/>
      <c r="F12" s="26"/>
      <c r="G12" s="26"/>
      <c r="H12" s="20"/>
      <c r="I12" s="20"/>
      <c r="J12" s="20"/>
      <c r="K12" s="20"/>
      <c r="L12" s="23"/>
      <c r="M12" s="20"/>
      <c r="N12" s="23"/>
      <c r="O12" s="25"/>
      <c r="P12" s="23"/>
      <c r="Q12" s="20" t="s">
        <v>24</v>
      </c>
      <c r="R12" s="20"/>
      <c r="S12" s="20" t="s">
        <v>25</v>
      </c>
      <c r="T12" s="20"/>
    </row>
    <row r="13" customFormat="false" ht="30" hidden="false" customHeight="true" outlineLevel="0" collapsed="false">
      <c r="A13" s="19"/>
      <c r="B13" s="20"/>
      <c r="C13" s="21"/>
      <c r="D13" s="22"/>
      <c r="E13" s="23"/>
      <c r="F13" s="26"/>
      <c r="G13" s="26"/>
      <c r="H13" s="20"/>
      <c r="I13" s="20"/>
      <c r="J13" s="20"/>
      <c r="K13" s="20"/>
      <c r="L13" s="23"/>
      <c r="M13" s="20"/>
      <c r="N13" s="23"/>
      <c r="O13" s="25"/>
      <c r="P13" s="23"/>
      <c r="Q13" s="20" t="s">
        <v>24</v>
      </c>
      <c r="R13" s="20"/>
      <c r="S13" s="20" t="s">
        <v>25</v>
      </c>
      <c r="T13" s="20"/>
    </row>
    <row r="14" customFormat="false" ht="30" hidden="false" customHeight="true" outlineLevel="0" collapsed="false">
      <c r="A14" s="19"/>
      <c r="B14" s="20"/>
      <c r="C14" s="21"/>
      <c r="D14" s="22"/>
      <c r="E14" s="23"/>
      <c r="F14" s="24"/>
      <c r="G14" s="24"/>
      <c r="H14" s="20"/>
      <c r="I14" s="20"/>
      <c r="J14" s="20"/>
      <c r="K14" s="20"/>
      <c r="L14" s="23"/>
      <c r="M14" s="20"/>
      <c r="N14" s="23"/>
      <c r="O14" s="25"/>
      <c r="P14" s="23"/>
      <c r="Q14" s="20" t="s">
        <v>24</v>
      </c>
      <c r="R14" s="20"/>
      <c r="S14" s="20" t="s">
        <v>25</v>
      </c>
      <c r="T14" s="20"/>
    </row>
    <row r="15" customFormat="false" ht="30" hidden="false" customHeight="true" outlineLevel="0" collapsed="false">
      <c r="A15" s="19"/>
      <c r="B15" s="20"/>
      <c r="C15" s="21"/>
      <c r="D15" s="22"/>
      <c r="E15" s="23"/>
      <c r="F15" s="24"/>
      <c r="G15" s="24"/>
      <c r="H15" s="20"/>
      <c r="I15" s="20"/>
      <c r="J15" s="20"/>
      <c r="K15" s="20"/>
      <c r="L15" s="23"/>
      <c r="M15" s="20"/>
      <c r="N15" s="23"/>
      <c r="O15" s="25"/>
      <c r="P15" s="23"/>
      <c r="Q15" s="20" t="s">
        <v>24</v>
      </c>
      <c r="R15" s="20"/>
      <c r="S15" s="20" t="s">
        <v>25</v>
      </c>
      <c r="T15" s="20"/>
    </row>
    <row r="16" customFormat="false" ht="30" hidden="false" customHeight="true" outlineLevel="0" collapsed="false">
      <c r="A16" s="19"/>
      <c r="B16" s="20"/>
      <c r="C16" s="21"/>
      <c r="D16" s="22"/>
      <c r="E16" s="23"/>
      <c r="F16" s="24"/>
      <c r="G16" s="24"/>
      <c r="H16" s="20"/>
      <c r="I16" s="20"/>
      <c r="J16" s="20"/>
      <c r="K16" s="20"/>
      <c r="L16" s="23"/>
      <c r="M16" s="20"/>
      <c r="N16" s="23"/>
      <c r="O16" s="25"/>
      <c r="P16" s="23"/>
      <c r="Q16" s="20" t="s">
        <v>24</v>
      </c>
      <c r="R16" s="20"/>
      <c r="S16" s="20" t="s">
        <v>25</v>
      </c>
      <c r="T16" s="20"/>
    </row>
    <row r="17" customFormat="false" ht="30" hidden="false" customHeight="true" outlineLevel="0" collapsed="false">
      <c r="A17" s="19"/>
      <c r="B17" s="20"/>
      <c r="C17" s="21"/>
      <c r="D17" s="22"/>
      <c r="E17" s="23"/>
      <c r="F17" s="24"/>
      <c r="G17" s="24"/>
      <c r="H17" s="20"/>
      <c r="I17" s="20"/>
      <c r="J17" s="20"/>
      <c r="K17" s="20"/>
      <c r="L17" s="23"/>
      <c r="M17" s="20"/>
      <c r="N17" s="23"/>
      <c r="O17" s="25"/>
      <c r="P17" s="23"/>
      <c r="Q17" s="20" t="s">
        <v>24</v>
      </c>
      <c r="R17" s="20"/>
      <c r="S17" s="20" t="s">
        <v>25</v>
      </c>
      <c r="T17" s="20"/>
    </row>
    <row r="18" customFormat="false" ht="30" hidden="false" customHeight="true" outlineLevel="0" collapsed="false">
      <c r="A18" s="19"/>
      <c r="B18" s="20"/>
      <c r="C18" s="21"/>
      <c r="D18" s="22"/>
      <c r="E18" s="23"/>
      <c r="F18" s="24"/>
      <c r="G18" s="24"/>
      <c r="H18" s="20"/>
      <c r="I18" s="20"/>
      <c r="J18" s="20"/>
      <c r="K18" s="20"/>
      <c r="L18" s="23"/>
      <c r="M18" s="20"/>
      <c r="N18" s="23"/>
      <c r="O18" s="25"/>
      <c r="P18" s="23"/>
      <c r="Q18" s="20" t="s">
        <v>24</v>
      </c>
      <c r="R18" s="20"/>
      <c r="S18" s="20" t="s">
        <v>25</v>
      </c>
      <c r="T18" s="20"/>
    </row>
    <row r="19" customFormat="false" ht="30" hidden="false" customHeight="true" outlineLevel="0" collapsed="false">
      <c r="A19" s="19"/>
      <c r="B19" s="20"/>
      <c r="C19" s="21"/>
      <c r="D19" s="22"/>
      <c r="E19" s="23"/>
      <c r="F19" s="27"/>
      <c r="G19" s="24"/>
      <c r="H19" s="20"/>
      <c r="I19" s="20"/>
      <c r="J19" s="20"/>
      <c r="K19" s="20"/>
      <c r="L19" s="23"/>
      <c r="M19" s="20"/>
      <c r="N19" s="23"/>
      <c r="O19" s="25"/>
      <c r="P19" s="23"/>
      <c r="Q19" s="20" t="s">
        <v>24</v>
      </c>
      <c r="R19" s="20"/>
      <c r="S19" s="20" t="s">
        <v>25</v>
      </c>
      <c r="T19" s="20"/>
    </row>
    <row r="20" customFormat="false" ht="30" hidden="false" customHeight="true" outlineLevel="0" collapsed="false">
      <c r="A20" s="19"/>
      <c r="B20" s="20"/>
      <c r="C20" s="21"/>
      <c r="D20" s="22"/>
      <c r="E20" s="23"/>
      <c r="F20" s="24"/>
      <c r="G20" s="24"/>
      <c r="H20" s="20"/>
      <c r="I20" s="20"/>
      <c r="J20" s="20"/>
      <c r="K20" s="20"/>
      <c r="L20" s="23"/>
      <c r="M20" s="20"/>
      <c r="N20" s="23"/>
      <c r="O20" s="25"/>
      <c r="P20" s="23"/>
      <c r="Q20" s="20" t="s">
        <v>24</v>
      </c>
      <c r="R20" s="20"/>
      <c r="S20" s="20" t="s">
        <v>25</v>
      </c>
      <c r="T20" s="20"/>
    </row>
    <row r="21" customFormat="false" ht="30" hidden="false" customHeight="true" outlineLevel="0" collapsed="false">
      <c r="A21" s="19"/>
      <c r="B21" s="20"/>
      <c r="C21" s="21"/>
      <c r="D21" s="22"/>
      <c r="E21" s="23"/>
      <c r="F21" s="27"/>
      <c r="G21" s="24"/>
      <c r="H21" s="20"/>
      <c r="I21" s="20"/>
      <c r="J21" s="20"/>
      <c r="K21" s="20"/>
      <c r="L21" s="23"/>
      <c r="M21" s="20"/>
      <c r="N21" s="23"/>
      <c r="O21" s="25"/>
      <c r="P21" s="23"/>
      <c r="Q21" s="20" t="s">
        <v>24</v>
      </c>
      <c r="R21" s="20"/>
      <c r="S21" s="20" t="s">
        <v>25</v>
      </c>
      <c r="T21" s="20"/>
    </row>
    <row r="22" customFormat="false" ht="30" hidden="false" customHeight="true" outlineLevel="0" collapsed="false">
      <c r="A22" s="19"/>
      <c r="B22" s="20"/>
      <c r="C22" s="21"/>
      <c r="D22" s="22"/>
      <c r="E22" s="23"/>
      <c r="F22" s="24"/>
      <c r="G22" s="24"/>
      <c r="H22" s="20"/>
      <c r="I22" s="20"/>
      <c r="J22" s="20"/>
      <c r="K22" s="20"/>
      <c r="L22" s="23"/>
      <c r="M22" s="20"/>
      <c r="N22" s="23"/>
      <c r="O22" s="25"/>
      <c r="P22" s="23"/>
      <c r="Q22" s="20" t="s">
        <v>24</v>
      </c>
      <c r="R22" s="20"/>
      <c r="S22" s="20" t="s">
        <v>25</v>
      </c>
      <c r="T22" s="20"/>
    </row>
    <row r="23" customFormat="false" ht="30" hidden="false" customHeight="true" outlineLevel="0" collapsed="false">
      <c r="A23" s="19"/>
      <c r="B23" s="20"/>
      <c r="C23" s="21"/>
      <c r="D23" s="22"/>
      <c r="E23" s="23"/>
      <c r="F23" s="26"/>
      <c r="G23" s="26"/>
      <c r="H23" s="20"/>
      <c r="I23" s="20"/>
      <c r="J23" s="20"/>
      <c r="K23" s="20"/>
      <c r="L23" s="23"/>
      <c r="M23" s="20"/>
      <c r="N23" s="23"/>
      <c r="O23" s="25"/>
      <c r="P23" s="23"/>
      <c r="Q23" s="20" t="s">
        <v>24</v>
      </c>
      <c r="R23" s="20"/>
      <c r="S23" s="20" t="s">
        <v>25</v>
      </c>
      <c r="T23" s="20"/>
    </row>
    <row r="24" customFormat="false" ht="30" hidden="false" customHeight="true" outlineLevel="0" collapsed="false">
      <c r="A24" s="19"/>
      <c r="B24" s="20"/>
      <c r="C24" s="21"/>
      <c r="D24" s="22"/>
      <c r="E24" s="23"/>
      <c r="F24" s="26"/>
      <c r="G24" s="26"/>
      <c r="H24" s="20"/>
      <c r="I24" s="20"/>
      <c r="J24" s="20"/>
      <c r="K24" s="20"/>
      <c r="L24" s="23"/>
      <c r="M24" s="20"/>
      <c r="N24" s="23"/>
      <c r="O24" s="25"/>
      <c r="P24" s="23"/>
      <c r="Q24" s="20" t="s">
        <v>24</v>
      </c>
      <c r="R24" s="20"/>
      <c r="S24" s="20" t="s">
        <v>25</v>
      </c>
      <c r="T24" s="20"/>
    </row>
    <row r="25" customFormat="false" ht="30" hidden="false" customHeight="true" outlineLevel="0" collapsed="false">
      <c r="A25" s="19"/>
      <c r="B25" s="20"/>
      <c r="C25" s="21"/>
      <c r="D25" s="22"/>
      <c r="E25" s="23"/>
      <c r="F25" s="24"/>
      <c r="G25" s="24"/>
      <c r="H25" s="20"/>
      <c r="I25" s="20"/>
      <c r="J25" s="20"/>
      <c r="K25" s="20"/>
      <c r="L25" s="23"/>
      <c r="M25" s="20"/>
      <c r="N25" s="23"/>
      <c r="O25" s="25"/>
      <c r="P25" s="23"/>
      <c r="Q25" s="20" t="s">
        <v>24</v>
      </c>
      <c r="R25" s="20"/>
      <c r="S25" s="20" t="s">
        <v>25</v>
      </c>
      <c r="T25" s="20"/>
    </row>
  </sheetData>
  <autoFilter ref="A5:T25"/>
  <mergeCells count="22">
    <mergeCell ref="A1:T1"/>
    <mergeCell ref="A2:H2"/>
    <mergeCell ref="A3:A5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P3"/>
    <mergeCell ref="Q3:T3"/>
    <mergeCell ref="M4:M5"/>
    <mergeCell ref="N4:N5"/>
    <mergeCell ref="O4:O5"/>
    <mergeCell ref="P4:P5"/>
    <mergeCell ref="Q4:R4"/>
    <mergeCell ref="S4:T4"/>
  </mergeCells>
  <printOptions headings="false" gridLines="false" gridLinesSet="true" horizontalCentered="false" verticalCentered="false"/>
  <pageMargins left="0" right="0.590277777777778" top="0.39375" bottom="0.39375" header="0.144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AC2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00" defaultRowHeight="13.5" zeroHeight="false" outlineLevelRow="0" outlineLevelCol="0"/>
  <cols>
    <col min="1" max="1" width="6.2188" customWidth="1"/>
    <col min="2" max="2" width="9.3320" customWidth="1"/>
    <col min="3" max="3" width="10.7773" customWidth="1"/>
    <col min="4" max="4" width="28.8867" customWidth="1"/>
    <col min="5" max="5" width="6.6641" customWidth="1"/>
    <col min="6" max="6" width="6.6641" customWidth="1"/>
    <col min="7" max="7" width="6.7773" customWidth="1"/>
    <col min="8" max="8" width="10.7773" customWidth="1"/>
    <col min="9" max="9" width="8.6641" customWidth="1"/>
    <col min="10" max="10" width="7.7773" customWidth="1"/>
    <col min="11" max="11" width="10.8867" customWidth="1"/>
    <col min="12" max="12" width="6.0000" customWidth="1" hidden="1"/>
    <col min="13" max="13" width="6.7773" customWidth="1" hidden="1"/>
    <col min="14" max="14" width="6.7773" customWidth="1" hidden="1"/>
    <col min="15" max="15" width="6.7773" customWidth="1" hidden="1"/>
    <col min="16" max="16" width="7.7773" customWidth="1" hidden="1"/>
    <col min="17" max="17" width="7.8867" customWidth="1" hidden="1"/>
    <col min="18" max="18" width="7.8867" customWidth="1" hidden="1"/>
    <col min="19" max="19" width="7.8867" customWidth="1" hidden="1"/>
    <col min="20" max="20" width="7.8867" customWidth="1" hidden="1"/>
    <col min="21" max="21" width="14.0000" customWidth="1"/>
    <col min="22" max="22" width="8.8867" customWidth="1"/>
    <col min="23" max="23" width="8.8867" customWidth="1"/>
    <col min="24" max="24" width="10.7773" customWidth="1"/>
    <col min="25" max="25" width="10.7773" customWidth="1"/>
    <col min="26" max="26" width="9.3320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54.75" hidden="false" customHeight="true" outlineLevel="0" collapsed="false">
      <c r="B1" s="9" t="s">
        <v>26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30" t="s">
        <v>27</v>
      </c>
      <c r="W1" s="1" t="s">
        <v>28</v>
      </c>
      <c r="X1" s="31" t="n">
        <v>220</v>
      </c>
    </row>
    <row r="2" customFormat="false" ht="29.25" hidden="false" customHeight="true" outlineLevel="0" collapsed="false">
      <c r="B2" s="10" t="s">
        <v>29</v>
      </c>
      <c r="C2" s="10"/>
      <c r="D2" s="10"/>
      <c r="E2" s="10"/>
      <c r="F2" s="10"/>
      <c r="G2" s="10"/>
      <c r="H2" s="10"/>
      <c r="I2" s="7"/>
      <c r="J2" s="7"/>
      <c r="K2" s="7"/>
      <c r="M2" s="32" t="n">
        <v>419</v>
      </c>
      <c r="N2" s="33"/>
      <c r="O2" s="34"/>
      <c r="P2" s="33"/>
      <c r="Q2" s="32"/>
      <c r="R2" s="35" t="s">
        <v>30</v>
      </c>
      <c r="S2" s="35"/>
      <c r="T2" s="35"/>
      <c r="X2" s="1" t="s">
        <v>31</v>
      </c>
      <c r="Y2" s="1" t="s">
        <v>32</v>
      </c>
      <c r="Z2" s="1" t="s">
        <v>33</v>
      </c>
      <c r="AB2" s="1" t="s">
        <v>34</v>
      </c>
    </row>
    <row r="3" customFormat="false" ht="26.25" hidden="false" customHeight="true" outlineLevel="0" collapsed="false">
      <c r="B3" s="11" t="s">
        <v>2</v>
      </c>
      <c r="C3" s="36" t="s">
        <v>3</v>
      </c>
      <c r="D3" s="36" t="s">
        <v>35</v>
      </c>
      <c r="E3" s="15" t="s">
        <v>6</v>
      </c>
      <c r="F3" s="17" t="s">
        <v>7</v>
      </c>
      <c r="G3" s="17" t="s">
        <v>36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37</v>
      </c>
      <c r="M3" s="12" t="s">
        <v>14</v>
      </c>
      <c r="N3" s="12"/>
      <c r="O3" s="12"/>
      <c r="P3" s="12"/>
      <c r="Q3" s="12" t="s">
        <v>15</v>
      </c>
      <c r="R3" s="12"/>
      <c r="S3" s="12"/>
      <c r="T3" s="12"/>
      <c r="U3" s="19"/>
      <c r="V3" s="19"/>
      <c r="W3" s="19"/>
      <c r="X3" s="19" t="s">
        <v>38</v>
      </c>
      <c r="Y3" s="19" t="s">
        <v>39</v>
      </c>
      <c r="Z3" s="19" t="s">
        <v>39</v>
      </c>
      <c r="AA3" s="19"/>
      <c r="AB3" s="19"/>
      <c r="AC3" s="19"/>
    </row>
    <row r="4" customFormat="false" ht="26.25" hidden="false" customHeight="true" outlineLevel="0" collapsed="false">
      <c r="B4" s="11"/>
      <c r="C4" s="36"/>
      <c r="D4" s="36"/>
      <c r="E4" s="15"/>
      <c r="F4" s="17"/>
      <c r="G4" s="17"/>
      <c r="H4" s="17"/>
      <c r="I4" s="17"/>
      <c r="J4" s="17"/>
      <c r="K4" s="17"/>
      <c r="L4" s="17"/>
      <c r="M4" s="17" t="s">
        <v>16</v>
      </c>
      <c r="N4" s="15" t="s">
        <v>17</v>
      </c>
      <c r="O4" s="18" t="s">
        <v>18</v>
      </c>
      <c r="P4" s="15" t="s">
        <v>19</v>
      </c>
      <c r="Q4" s="12" t="s">
        <v>20</v>
      </c>
      <c r="R4" s="12"/>
      <c r="S4" s="12" t="s">
        <v>40</v>
      </c>
      <c r="T4" s="12"/>
      <c r="U4" s="19" t="s">
        <v>41</v>
      </c>
      <c r="V4" s="19" t="s">
        <v>42</v>
      </c>
      <c r="W4" s="19" t="s">
        <v>43</v>
      </c>
      <c r="X4" s="37" t="n">
        <v>2137</v>
      </c>
      <c r="Y4" s="37" t="n">
        <v>1665</v>
      </c>
      <c r="Z4" s="37" t="n">
        <v>110</v>
      </c>
      <c r="AA4" s="19"/>
      <c r="AB4" s="19" t="n">
        <v>12123</v>
      </c>
      <c r="AC4" s="19"/>
    </row>
    <row r="5" customFormat="false" ht="26.25" hidden="false" customHeight="true" outlineLevel="0" collapsed="false">
      <c r="B5" s="11"/>
      <c r="C5" s="36"/>
      <c r="D5" s="36"/>
      <c r="E5" s="15"/>
      <c r="F5" s="17"/>
      <c r="G5" s="17"/>
      <c r="H5" s="17"/>
      <c r="I5" s="17"/>
      <c r="J5" s="17"/>
      <c r="K5" s="17"/>
      <c r="L5" s="17"/>
      <c r="M5" s="17"/>
      <c r="N5" s="15"/>
      <c r="O5" s="18"/>
      <c r="P5" s="15"/>
      <c r="Q5" s="12" t="s">
        <v>22</v>
      </c>
      <c r="R5" s="12" t="s">
        <v>23</v>
      </c>
      <c r="S5" s="12" t="s">
        <v>22</v>
      </c>
      <c r="T5" s="12" t="s">
        <v>23</v>
      </c>
      <c r="U5" s="20" t="n">
        <f aca="false">1374+220</f>
        <v>1594</v>
      </c>
      <c r="V5" s="20" t="n">
        <f aca="false">X5</f>
        <v>1652</v>
      </c>
      <c r="W5" s="20" t="s">
        <v>44</v>
      </c>
      <c r="X5" s="20" t="n">
        <f aca="false">1432+220</f>
        <v>1652</v>
      </c>
      <c r="Y5" s="19" t="n">
        <v>42</v>
      </c>
      <c r="Z5" s="19"/>
      <c r="AA5" s="19"/>
      <c r="AB5" s="19" t="n">
        <f aca="false">4000+4000</f>
        <v>8000</v>
      </c>
      <c r="AC5" s="19"/>
    </row>
    <row r="6" customFormat="false" ht="30" hidden="false" customHeight="true" outlineLevel="0" collapsed="false">
      <c r="B6" s="19" t="s">
        <v>45</v>
      </c>
      <c r="C6" s="38" t="n">
        <v>45239</v>
      </c>
      <c r="D6" s="38" t="s">
        <v>46</v>
      </c>
      <c r="E6" s="39" t="n">
        <v>65</v>
      </c>
      <c r="F6" s="40" t="n">
        <v>67</v>
      </c>
      <c r="G6" s="41" t="n">
        <f aca="false">+F6-E6</f>
        <v>2</v>
      </c>
      <c r="H6" s="20" t="s">
        <v>38</v>
      </c>
      <c r="I6" s="20" t="s">
        <v>47</v>
      </c>
      <c r="J6" s="20" t="s">
        <v>48</v>
      </c>
      <c r="K6" s="20"/>
      <c r="L6" s="20" t="n">
        <v>15</v>
      </c>
      <c r="M6" s="20" t="n">
        <v>160</v>
      </c>
      <c r="N6" s="23" t="n">
        <v>4</v>
      </c>
      <c r="O6" s="25" t="n">
        <v>0.026</v>
      </c>
      <c r="P6" s="23"/>
      <c r="Q6" s="20" t="s">
        <v>49</v>
      </c>
      <c r="R6" s="20"/>
      <c r="S6" s="20" t="s">
        <v>50</v>
      </c>
      <c r="T6" s="20"/>
      <c r="U6" s="19"/>
      <c r="V6" s="19"/>
      <c r="W6" s="19" t="s">
        <v>51</v>
      </c>
      <c r="X6" s="42" t="n">
        <f aca="false">X4-X5</f>
        <v>485</v>
      </c>
      <c r="Y6" s="42" t="n">
        <f aca="false">Y4-Y5</f>
        <v>1623</v>
      </c>
      <c r="Z6" s="42" t="n">
        <f aca="false">Z4-Z5</f>
        <v>110</v>
      </c>
      <c r="AA6" s="43"/>
      <c r="AB6" s="43" t="n">
        <f aca="false">AB4-AB5</f>
        <v>4123</v>
      </c>
      <c r="AC6" s="43"/>
    </row>
    <row r="7" customFormat="false" ht="30" hidden="false" customHeight="true" outlineLevel="0" collapsed="false">
      <c r="B7" s="19" t="s">
        <v>45</v>
      </c>
      <c r="C7" s="38" t="n">
        <v>45244</v>
      </c>
      <c r="D7" s="38" t="s">
        <v>52</v>
      </c>
      <c r="E7" s="39" t="n">
        <v>75</v>
      </c>
      <c r="F7" s="40" t="n">
        <v>72</v>
      </c>
      <c r="G7" s="41" t="n">
        <f aca="false">+F7-E7</f>
        <v>-3</v>
      </c>
      <c r="H7" s="20" t="s">
        <v>38</v>
      </c>
      <c r="I7" s="20" t="s">
        <v>47</v>
      </c>
      <c r="J7" s="20" t="s">
        <v>53</v>
      </c>
      <c r="K7" s="20"/>
      <c r="L7" s="20" t="n">
        <v>14</v>
      </c>
      <c r="M7" s="20" t="n">
        <v>155</v>
      </c>
      <c r="N7" s="23" t="n">
        <v>4.4</v>
      </c>
      <c r="O7" s="25" t="n">
        <v>0.058</v>
      </c>
      <c r="P7" s="23"/>
      <c r="Q7" s="20" t="s">
        <v>49</v>
      </c>
      <c r="R7" s="20"/>
      <c r="S7" s="20" t="s">
        <v>50</v>
      </c>
      <c r="T7" s="20"/>
      <c r="U7" s="44" t="s">
        <v>54</v>
      </c>
      <c r="V7" s="45" t="n">
        <f aca="false">V5-U5</f>
        <v>58</v>
      </c>
      <c r="W7" s="19"/>
      <c r="X7" s="43"/>
      <c r="Y7" s="43"/>
      <c r="Z7" s="43"/>
      <c r="AA7" s="46"/>
      <c r="AB7" s="43"/>
      <c r="AC7" s="43"/>
    </row>
    <row r="8" customFormat="false" ht="30" hidden="false" customHeight="true" outlineLevel="0" collapsed="false">
      <c r="B8" s="19" t="s">
        <v>45</v>
      </c>
      <c r="C8" s="38" t="n">
        <v>45247</v>
      </c>
      <c r="D8" s="38" t="s">
        <v>55</v>
      </c>
      <c r="E8" s="23" t="n">
        <v>15</v>
      </c>
      <c r="F8" s="40" t="n">
        <v>26</v>
      </c>
      <c r="G8" s="41" t="n">
        <f aca="false">+F8-E8</f>
        <v>11</v>
      </c>
      <c r="H8" s="20" t="s">
        <v>38</v>
      </c>
      <c r="I8" s="20" t="s">
        <v>47</v>
      </c>
      <c r="J8" s="20" t="s">
        <v>53</v>
      </c>
      <c r="K8" s="20"/>
      <c r="L8" s="20" t="n">
        <v>14</v>
      </c>
      <c r="M8" s="20" t="n">
        <v>150</v>
      </c>
      <c r="N8" s="23" t="n">
        <v>4</v>
      </c>
      <c r="O8" s="25" t="n">
        <v>0.031</v>
      </c>
      <c r="P8" s="23"/>
      <c r="Q8" s="20" t="s">
        <v>49</v>
      </c>
      <c r="R8" s="20"/>
      <c r="S8" s="20" t="s">
        <v>50</v>
      </c>
      <c r="T8" s="20"/>
      <c r="V8" s="47"/>
      <c r="X8" s="28"/>
      <c r="Y8" s="28"/>
    </row>
    <row r="9" customFormat="false" ht="30" hidden="false" customHeight="true" outlineLevel="0" collapsed="false">
      <c r="B9" s="19" t="s">
        <v>45</v>
      </c>
      <c r="C9" s="38" t="n">
        <v>45250</v>
      </c>
      <c r="D9" s="38" t="s">
        <v>56</v>
      </c>
      <c r="E9" s="23" t="n">
        <v>45</v>
      </c>
      <c r="F9" s="48" t="n">
        <v>54</v>
      </c>
      <c r="G9" s="41" t="n">
        <f aca="false">+F9-E9</f>
        <v>9</v>
      </c>
      <c r="H9" s="20" t="s">
        <v>38</v>
      </c>
      <c r="I9" s="20" t="s">
        <v>47</v>
      </c>
      <c r="J9" s="20" t="s">
        <v>53</v>
      </c>
      <c r="K9" s="20"/>
      <c r="L9" s="20" t="n">
        <v>16</v>
      </c>
      <c r="M9" s="20" t="n">
        <v>165</v>
      </c>
      <c r="N9" s="23" t="n">
        <v>3.9</v>
      </c>
      <c r="O9" s="25" t="n">
        <v>0.038</v>
      </c>
      <c r="P9" s="23"/>
      <c r="Q9" s="20" t="s">
        <v>49</v>
      </c>
      <c r="R9" s="20"/>
      <c r="S9" s="20" t="s">
        <v>50</v>
      </c>
      <c r="T9" s="20"/>
      <c r="U9" s="49"/>
      <c r="V9" s="49"/>
      <c r="X9" s="28"/>
      <c r="Y9" s="50"/>
    </row>
    <row r="10" customFormat="false" ht="30" hidden="false" customHeight="true" outlineLevel="0" collapsed="false">
      <c r="B10" s="19" t="s">
        <v>45</v>
      </c>
      <c r="C10" s="38" t="n">
        <v>45253</v>
      </c>
      <c r="D10" s="38" t="s">
        <v>57</v>
      </c>
      <c r="E10" s="23" t="n">
        <v>60</v>
      </c>
      <c r="F10" s="48" t="n">
        <v>68</v>
      </c>
      <c r="G10" s="41" t="n">
        <f aca="false">+F10-E10</f>
        <v>8</v>
      </c>
      <c r="H10" s="20" t="s">
        <v>38</v>
      </c>
      <c r="I10" s="20" t="s">
        <v>47</v>
      </c>
      <c r="J10" s="20" t="s">
        <v>53</v>
      </c>
      <c r="K10" s="20"/>
      <c r="L10" s="20" t="n">
        <v>13</v>
      </c>
      <c r="M10" s="20" t="n">
        <v>165</v>
      </c>
      <c r="N10" s="23" t="n">
        <v>4.1</v>
      </c>
      <c r="O10" s="25" t="n">
        <v>0.048</v>
      </c>
      <c r="P10" s="23"/>
      <c r="Q10" s="20" t="s">
        <v>49</v>
      </c>
      <c r="R10" s="20"/>
      <c r="S10" s="20" t="s">
        <v>50</v>
      </c>
      <c r="T10" s="20"/>
      <c r="U10" s="51"/>
      <c r="V10" s="50"/>
      <c r="X10" s="50"/>
      <c r="Y10" s="28"/>
    </row>
    <row r="11" customFormat="false" ht="30" hidden="false" customHeight="true" outlineLevel="0" collapsed="false">
      <c r="B11" s="19" t="s">
        <v>45</v>
      </c>
      <c r="C11" s="38" t="n">
        <v>45259</v>
      </c>
      <c r="D11" s="38" t="s">
        <v>58</v>
      </c>
      <c r="E11" s="23" t="n">
        <v>75</v>
      </c>
      <c r="F11" s="48" t="n">
        <f aca="false">14*6</f>
        <v>84</v>
      </c>
      <c r="G11" s="41" t="n">
        <f aca="false">+F11-E11</f>
        <v>9</v>
      </c>
      <c r="H11" s="20" t="s">
        <v>38</v>
      </c>
      <c r="I11" s="20" t="s">
        <v>47</v>
      </c>
      <c r="J11" s="20" t="s">
        <v>53</v>
      </c>
      <c r="K11" s="20"/>
      <c r="L11" s="20" t="n">
        <v>12</v>
      </c>
      <c r="M11" s="20" t="n">
        <v>150</v>
      </c>
      <c r="N11" s="23" t="n">
        <v>3.8</v>
      </c>
      <c r="O11" s="25" t="n">
        <v>0.051</v>
      </c>
      <c r="P11" s="23"/>
      <c r="Q11" s="20" t="s">
        <v>49</v>
      </c>
      <c r="R11" s="20"/>
      <c r="S11" s="20" t="s">
        <v>50</v>
      </c>
      <c r="T11" s="20"/>
      <c r="U11" s="52"/>
      <c r="X11" s="47"/>
      <c r="Y11" s="28"/>
    </row>
    <row r="12" customFormat="false" ht="30" hidden="false" customHeight="true" outlineLevel="0" collapsed="false">
      <c r="B12" s="19" t="s">
        <v>45</v>
      </c>
      <c r="C12" s="38" t="n">
        <v>45259</v>
      </c>
      <c r="D12" s="38" t="s">
        <v>59</v>
      </c>
      <c r="E12" s="23" t="n">
        <v>75</v>
      </c>
      <c r="F12" s="48" t="n">
        <f aca="false">14*6</f>
        <v>84</v>
      </c>
      <c r="G12" s="41" t="n">
        <f aca="false">+F12-E12</f>
        <v>9</v>
      </c>
      <c r="H12" s="20" t="s">
        <v>38</v>
      </c>
      <c r="I12" s="20" t="s">
        <v>47</v>
      </c>
      <c r="J12" s="20" t="s">
        <v>53</v>
      </c>
      <c r="K12" s="20"/>
      <c r="L12" s="20" t="n">
        <v>12</v>
      </c>
      <c r="M12" s="20" t="n">
        <v>160</v>
      </c>
      <c r="N12" s="23" t="n">
        <v>4.3</v>
      </c>
      <c r="O12" s="25" t="n">
        <v>0.033</v>
      </c>
      <c r="P12" s="23"/>
      <c r="Q12" s="20" t="s">
        <v>49</v>
      </c>
      <c r="R12" s="20"/>
      <c r="S12" s="20" t="s">
        <v>50</v>
      </c>
      <c r="T12" s="20"/>
      <c r="X12" s="28"/>
      <c r="Y12" s="28"/>
    </row>
    <row r="13" customFormat="false" ht="30" hidden="false" customHeight="true" outlineLevel="0" collapsed="false">
      <c r="A13" s="53"/>
      <c r="B13" s="19" t="s">
        <v>45</v>
      </c>
      <c r="C13" s="54" t="n">
        <v>45268</v>
      </c>
      <c r="D13" s="54" t="s">
        <v>60</v>
      </c>
      <c r="E13" s="55" t="n">
        <v>75</v>
      </c>
      <c r="F13" s="56" t="n">
        <v>84</v>
      </c>
      <c r="G13" s="41" t="n">
        <f aca="false">+F13-E13</f>
        <v>9</v>
      </c>
      <c r="H13" s="20" t="s">
        <v>38</v>
      </c>
      <c r="I13" s="20" t="s">
        <v>47</v>
      </c>
      <c r="J13" s="20" t="s">
        <v>53</v>
      </c>
      <c r="K13" s="56"/>
      <c r="L13" s="56" t="n">
        <v>14</v>
      </c>
      <c r="M13" s="56" t="n">
        <v>155</v>
      </c>
      <c r="N13" s="57" t="n">
        <v>3.4</v>
      </c>
      <c r="O13" s="58" t="n">
        <v>0.045</v>
      </c>
      <c r="P13" s="57"/>
      <c r="Q13" s="56" t="s">
        <v>49</v>
      </c>
      <c r="R13" s="56"/>
      <c r="S13" s="56" t="s">
        <v>50</v>
      </c>
      <c r="T13" s="56"/>
      <c r="X13" s="28"/>
      <c r="Y13" s="28"/>
    </row>
    <row r="14" customFormat="false" ht="30" hidden="false" customHeight="true" outlineLevel="0" collapsed="false">
      <c r="A14" s="53"/>
      <c r="B14" s="19" t="s">
        <v>45</v>
      </c>
      <c r="C14" s="54" t="n">
        <v>45274</v>
      </c>
      <c r="D14" s="54" t="s">
        <v>61</v>
      </c>
      <c r="E14" s="55" t="n">
        <v>25</v>
      </c>
      <c r="F14" s="57" t="n">
        <v>27</v>
      </c>
      <c r="G14" s="59" t="n">
        <f aca="false">+F14-E14</f>
        <v>2</v>
      </c>
      <c r="H14" s="20" t="s">
        <v>38</v>
      </c>
      <c r="I14" s="20" t="s">
        <v>47</v>
      </c>
      <c r="J14" s="20" t="s">
        <v>53</v>
      </c>
      <c r="K14" s="56"/>
      <c r="L14" s="56" t="n">
        <v>13</v>
      </c>
      <c r="M14" s="56" t="n">
        <v>80</v>
      </c>
      <c r="N14" s="57" t="n">
        <v>3.8</v>
      </c>
      <c r="O14" s="58" t="n">
        <v>0.029</v>
      </c>
      <c r="P14" s="57"/>
      <c r="Q14" s="56" t="s">
        <v>49</v>
      </c>
      <c r="R14" s="56"/>
      <c r="S14" s="56" t="s">
        <v>50</v>
      </c>
      <c r="T14" s="56"/>
      <c r="U14" s="52"/>
      <c r="X14" s="28"/>
      <c r="Y14" s="28"/>
    </row>
    <row r="15" customFormat="false" ht="30" hidden="false" customHeight="true" outlineLevel="0" collapsed="false">
      <c r="A15" s="53"/>
      <c r="B15" s="19" t="s">
        <v>45</v>
      </c>
      <c r="C15" s="54" t="n">
        <v>45288</v>
      </c>
      <c r="D15" s="54" t="s">
        <v>62</v>
      </c>
      <c r="E15" s="55" t="n">
        <v>40</v>
      </c>
      <c r="F15" s="57" t="n">
        <v>42</v>
      </c>
      <c r="G15" s="59" t="n">
        <f aca="false">+F15-E15</f>
        <v>2</v>
      </c>
      <c r="H15" s="20" t="s">
        <v>38</v>
      </c>
      <c r="I15" s="20" t="s">
        <v>47</v>
      </c>
      <c r="J15" s="20" t="s">
        <v>53</v>
      </c>
      <c r="K15" s="56"/>
      <c r="L15" s="56" t="n">
        <v>14</v>
      </c>
      <c r="M15" s="56" t="n">
        <v>80</v>
      </c>
      <c r="N15" s="57" t="n">
        <v>4.1</v>
      </c>
      <c r="O15" s="58" t="n">
        <v>0.03</v>
      </c>
      <c r="P15" s="57"/>
      <c r="Q15" s="56" t="s">
        <v>49</v>
      </c>
      <c r="R15" s="56"/>
      <c r="S15" s="56" t="s">
        <v>63</v>
      </c>
      <c r="T15" s="56"/>
      <c r="U15" s="60" t="s">
        <v>64</v>
      </c>
      <c r="V15" s="60"/>
      <c r="W15" s="19" t="s">
        <v>65</v>
      </c>
      <c r="X15" s="38" t="s">
        <v>66</v>
      </c>
      <c r="Y15" s="28"/>
    </row>
    <row r="16" customFormat="false" ht="30" hidden="false" customHeight="true" outlineLevel="0" collapsed="false">
      <c r="A16" s="53"/>
      <c r="B16" s="19" t="s">
        <v>45</v>
      </c>
      <c r="C16" s="54" t="n">
        <v>45394</v>
      </c>
      <c r="D16" s="54" t="s">
        <v>67</v>
      </c>
      <c r="E16" s="55" t="n">
        <v>40</v>
      </c>
      <c r="F16" s="57" t="n">
        <v>42</v>
      </c>
      <c r="G16" s="59" t="n">
        <f aca="false">+F16-E16</f>
        <v>2</v>
      </c>
      <c r="H16" s="20" t="s">
        <v>38</v>
      </c>
      <c r="I16" s="20" t="s">
        <v>47</v>
      </c>
      <c r="J16" s="20" t="s">
        <v>53</v>
      </c>
      <c r="K16" s="56"/>
      <c r="L16" s="56" t="n">
        <v>14</v>
      </c>
      <c r="M16" s="61" t="n">
        <v>85</v>
      </c>
      <c r="N16" s="62" t="n">
        <v>4</v>
      </c>
      <c r="O16" s="63" t="n">
        <v>0.065</v>
      </c>
      <c r="P16" s="62"/>
      <c r="Q16" s="56" t="s">
        <v>49</v>
      </c>
      <c r="R16" s="56"/>
      <c r="S16" s="56" t="s">
        <v>63</v>
      </c>
      <c r="T16" s="56"/>
      <c r="U16" s="60" t="s">
        <v>68</v>
      </c>
      <c r="V16" s="60"/>
      <c r="W16" s="19" t="n">
        <f aca="false">0.5*250</f>
        <v>125</v>
      </c>
      <c r="X16" s="38"/>
      <c r="Y16" s="28"/>
    </row>
    <row r="17" customFormat="false" ht="30" hidden="false" customHeight="true" outlineLevel="0" collapsed="false">
      <c r="A17" s="53"/>
      <c r="B17" s="19" t="s">
        <v>45</v>
      </c>
      <c r="C17" s="54" t="n">
        <v>45399</v>
      </c>
      <c r="D17" s="54" t="s">
        <v>67</v>
      </c>
      <c r="E17" s="55" t="n">
        <v>7</v>
      </c>
      <c r="F17" s="48" t="n">
        <v>7</v>
      </c>
      <c r="G17" s="59" t="n">
        <f aca="false">+F17-E17</f>
        <v>0</v>
      </c>
      <c r="H17" s="20" t="s">
        <v>38</v>
      </c>
      <c r="I17" s="20" t="s">
        <v>47</v>
      </c>
      <c r="J17" s="20" t="s">
        <v>53</v>
      </c>
      <c r="K17" s="20"/>
      <c r="L17" s="64" t="s">
        <v>69</v>
      </c>
      <c r="M17" s="20" t="n">
        <v>90</v>
      </c>
      <c r="N17" s="23" t="n">
        <v>3.8</v>
      </c>
      <c r="O17" s="25" t="n">
        <v>0.048</v>
      </c>
      <c r="P17" s="23"/>
      <c r="Q17" s="48" t="s">
        <v>70</v>
      </c>
      <c r="R17" s="48"/>
      <c r="S17" s="48" t="s">
        <v>63</v>
      </c>
      <c r="T17" s="20"/>
      <c r="U17" s="19" t="s">
        <v>71</v>
      </c>
      <c r="V17" s="19"/>
      <c r="W17" s="19" t="n">
        <f aca="false">((160*2)+(120+60)+200)*1*0.2</f>
        <v>140</v>
      </c>
      <c r="X17" s="44" t="n">
        <f aca="false">W17+W16</f>
        <v>265</v>
      </c>
      <c r="Y17" s="28"/>
    </row>
    <row r="18" customFormat="false" ht="30" hidden="false" customHeight="true" outlineLevel="0" collapsed="false">
      <c r="A18" s="53"/>
      <c r="B18" s="65" t="s">
        <v>45</v>
      </c>
      <c r="C18" s="54" t="n">
        <v>45404</v>
      </c>
      <c r="D18" s="54" t="s">
        <v>72</v>
      </c>
      <c r="E18" s="55" t="n">
        <v>35</v>
      </c>
      <c r="F18" s="48" t="n">
        <v>39</v>
      </c>
      <c r="G18" s="59" t="n">
        <f aca="false">+F18-E18</f>
        <v>4</v>
      </c>
      <c r="H18" s="20" t="s">
        <v>38</v>
      </c>
      <c r="I18" s="20" t="s">
        <v>47</v>
      </c>
      <c r="J18" s="20" t="s">
        <v>53</v>
      </c>
      <c r="K18" s="48"/>
      <c r="L18" s="64" t="s">
        <v>73</v>
      </c>
      <c r="M18" s="20" t="n">
        <v>85</v>
      </c>
      <c r="N18" s="23" t="n">
        <v>4.3</v>
      </c>
      <c r="O18" s="25" t="n">
        <v>0.058</v>
      </c>
      <c r="P18" s="23"/>
      <c r="Q18" s="48" t="s">
        <v>70</v>
      </c>
      <c r="R18" s="48"/>
      <c r="S18" s="48" t="s">
        <v>63</v>
      </c>
      <c r="T18" s="20"/>
      <c r="X18" s="28"/>
      <c r="Y18" s="28"/>
      <c r="Z18" s="52"/>
    </row>
    <row r="19" s="71" customFormat="true" ht="30" hidden="true" customHeight="true" outlineLevel="0" collapsed="false">
      <c r="A19" s="53"/>
      <c r="B19" s="65" t="s">
        <v>74</v>
      </c>
      <c r="C19" s="54" t="n">
        <v>45408</v>
      </c>
      <c r="D19" s="54" t="s">
        <v>75</v>
      </c>
      <c r="E19" s="55" t="n">
        <v>21</v>
      </c>
      <c r="F19" s="48" t="n">
        <v>12</v>
      </c>
      <c r="G19" s="41" t="n">
        <f aca="false">+F19-E19</f>
        <v>-9</v>
      </c>
      <c r="H19" s="20" t="s">
        <v>38</v>
      </c>
      <c r="I19" s="20" t="s">
        <v>47</v>
      </c>
      <c r="J19" s="20" t="s">
        <v>53</v>
      </c>
      <c r="K19" s="48"/>
      <c r="L19" s="66"/>
      <c r="M19" s="67"/>
      <c r="N19" s="68"/>
      <c r="O19" s="69"/>
      <c r="P19" s="68"/>
      <c r="Q19" s="67" t="s">
        <v>70</v>
      </c>
      <c r="R19" s="67"/>
      <c r="S19" s="67" t="s">
        <v>63</v>
      </c>
      <c r="T19" s="67"/>
      <c r="U19" s="70"/>
      <c r="X19" s="72"/>
      <c r="Y19" s="72"/>
      <c r="Z19" s="73"/>
    </row>
    <row r="20" s="71" customFormat="true" ht="30" hidden="true" customHeight="true" outlineLevel="0" collapsed="false">
      <c r="A20" s="53"/>
      <c r="B20" s="65" t="s">
        <v>74</v>
      </c>
      <c r="C20" s="54" t="n">
        <v>45412</v>
      </c>
      <c r="D20" s="54" t="s">
        <v>75</v>
      </c>
      <c r="E20" s="55" t="n">
        <v>21</v>
      </c>
      <c r="F20" s="48" t="n">
        <v>12</v>
      </c>
      <c r="G20" s="41" t="n">
        <f aca="false">+F20-E20</f>
        <v>-9</v>
      </c>
      <c r="H20" s="20" t="s">
        <v>38</v>
      </c>
      <c r="I20" s="20" t="s">
        <v>47</v>
      </c>
      <c r="J20" s="20" t="s">
        <v>53</v>
      </c>
      <c r="K20" s="48"/>
      <c r="L20" s="66"/>
      <c r="M20" s="67"/>
      <c r="N20" s="68"/>
      <c r="O20" s="69"/>
      <c r="P20" s="68"/>
      <c r="Q20" s="67" t="s">
        <v>70</v>
      </c>
      <c r="R20" s="67"/>
      <c r="S20" s="67" t="s">
        <v>63</v>
      </c>
      <c r="T20" s="67"/>
      <c r="U20" s="70"/>
      <c r="X20" s="72"/>
      <c r="Y20" s="72"/>
    </row>
    <row r="21" s="71" customFormat="true" ht="30" hidden="true" customHeight="true" outlineLevel="0" collapsed="false">
      <c r="A21" s="53"/>
      <c r="B21" s="65" t="s">
        <v>74</v>
      </c>
      <c r="C21" s="54" t="n">
        <v>45414</v>
      </c>
      <c r="D21" s="54" t="s">
        <v>76</v>
      </c>
      <c r="E21" s="55" t="n">
        <v>21</v>
      </c>
      <c r="F21" s="48" t="n">
        <v>12</v>
      </c>
      <c r="G21" s="41" t="n">
        <f aca="false">+F21-E21</f>
        <v>-9</v>
      </c>
      <c r="H21" s="20" t="s">
        <v>38</v>
      </c>
      <c r="I21" s="20" t="s">
        <v>47</v>
      </c>
      <c r="J21" s="20" t="s">
        <v>53</v>
      </c>
      <c r="K21" s="48"/>
      <c r="L21" s="66"/>
      <c r="M21" s="67"/>
      <c r="N21" s="68"/>
      <c r="O21" s="69"/>
      <c r="P21" s="68"/>
      <c r="Q21" s="67" t="s">
        <v>70</v>
      </c>
      <c r="R21" s="67"/>
      <c r="S21" s="67" t="s">
        <v>63</v>
      </c>
      <c r="T21" s="67"/>
      <c r="U21" s="74"/>
      <c r="X21" s="72"/>
      <c r="Y21" s="72"/>
    </row>
    <row r="22" s="71" customFormat="true" ht="30" hidden="false" customHeight="true" outlineLevel="0" collapsed="false">
      <c r="A22" s="53"/>
      <c r="B22" s="65" t="s">
        <v>45</v>
      </c>
      <c r="C22" s="54" t="n">
        <v>45422</v>
      </c>
      <c r="D22" s="75" t="s">
        <v>77</v>
      </c>
      <c r="E22" s="55" t="n">
        <f aca="false">90*0.5</f>
        <v>45</v>
      </c>
      <c r="F22" s="48" t="n">
        <v>45</v>
      </c>
      <c r="G22" s="41" t="n">
        <f aca="false">+F22-E22</f>
        <v>0</v>
      </c>
      <c r="H22" s="20" t="s">
        <v>38</v>
      </c>
      <c r="I22" s="20" t="s">
        <v>47</v>
      </c>
      <c r="J22" s="20" t="s">
        <v>53</v>
      </c>
      <c r="K22" s="48"/>
      <c r="L22" s="66"/>
      <c r="M22" s="67"/>
      <c r="N22" s="68"/>
      <c r="O22" s="69"/>
      <c r="P22" s="68"/>
      <c r="Q22" s="67" t="s">
        <v>70</v>
      </c>
      <c r="R22" s="67"/>
      <c r="S22" s="67" t="s">
        <v>63</v>
      </c>
      <c r="T22" s="67"/>
      <c r="U22" s="74"/>
      <c r="X22" s="72"/>
      <c r="Y22" s="72"/>
    </row>
    <row r="23" s="71" customFormat="true" ht="30" hidden="true" customHeight="true" outlineLevel="0" collapsed="false">
      <c r="A23" s="53"/>
      <c r="B23" s="65" t="s">
        <v>78</v>
      </c>
      <c r="C23" s="54" t="n">
        <v>45428</v>
      </c>
      <c r="D23" s="54" t="s">
        <v>79</v>
      </c>
      <c r="E23" s="55" t="n">
        <v>9</v>
      </c>
      <c r="F23" s="48" t="n">
        <v>6</v>
      </c>
      <c r="G23" s="41" t="n">
        <f aca="false">+F23-E23</f>
        <v>-3</v>
      </c>
      <c r="H23" s="48" t="s">
        <v>39</v>
      </c>
      <c r="I23" s="20" t="s">
        <v>47</v>
      </c>
      <c r="J23" s="20" t="s">
        <v>53</v>
      </c>
      <c r="K23" s="48"/>
      <c r="L23" s="66"/>
      <c r="M23" s="67"/>
      <c r="N23" s="68"/>
      <c r="O23" s="69"/>
      <c r="P23" s="68"/>
      <c r="Q23" s="67" t="s">
        <v>70</v>
      </c>
      <c r="R23" s="67"/>
      <c r="S23" s="67" t="s">
        <v>63</v>
      </c>
      <c r="T23" s="67"/>
      <c r="U23" s="74" t="n">
        <v>40</v>
      </c>
      <c r="X23" s="72"/>
      <c r="Y23" s="72"/>
    </row>
    <row r="24" s="71" customFormat="true" ht="30" hidden="true" customHeight="true" outlineLevel="0" collapsed="false">
      <c r="A24" s="53"/>
      <c r="B24" s="65" t="s">
        <v>78</v>
      </c>
      <c r="C24" s="54" t="n">
        <v>45430</v>
      </c>
      <c r="D24" s="54" t="s">
        <v>80</v>
      </c>
      <c r="E24" s="55" t="n">
        <v>6.31</v>
      </c>
      <c r="F24" s="48" t="n">
        <v>6</v>
      </c>
      <c r="G24" s="41" t="n">
        <f aca="false">+F24-E24</f>
        <v>-0.31</v>
      </c>
      <c r="H24" s="48" t="s">
        <v>39</v>
      </c>
      <c r="I24" s="20" t="s">
        <v>47</v>
      </c>
      <c r="J24" s="20" t="s">
        <v>53</v>
      </c>
      <c r="K24" s="48"/>
      <c r="L24" s="66"/>
      <c r="M24" s="67"/>
      <c r="N24" s="68"/>
      <c r="O24" s="69"/>
      <c r="P24" s="68"/>
      <c r="Q24" s="67"/>
      <c r="R24" s="67"/>
      <c r="S24" s="67"/>
      <c r="T24" s="67"/>
      <c r="U24" s="74"/>
      <c r="X24" s="72"/>
      <c r="Y24" s="72"/>
    </row>
    <row r="25" customFormat="false" ht="30" hidden="false" customHeight="true" outlineLevel="0" collapsed="false">
      <c r="A25" s="53"/>
      <c r="B25" s="65" t="s">
        <v>45</v>
      </c>
      <c r="C25" s="54" t="n">
        <v>45434</v>
      </c>
      <c r="D25" s="54" t="s">
        <v>81</v>
      </c>
      <c r="E25" s="55" t="n">
        <v>95</v>
      </c>
      <c r="F25" s="48" t="n">
        <f aca="false">30+(6*11)</f>
        <v>96</v>
      </c>
      <c r="G25" s="41" t="n">
        <f aca="false">+F25-E25</f>
        <v>1</v>
      </c>
      <c r="H25" s="20" t="s">
        <v>38</v>
      </c>
      <c r="I25" s="20" t="s">
        <v>47</v>
      </c>
      <c r="J25" s="20" t="s">
        <v>53</v>
      </c>
      <c r="K25" s="48"/>
      <c r="L25" s="64" t="s">
        <v>82</v>
      </c>
      <c r="M25" s="20" t="n">
        <v>80</v>
      </c>
      <c r="N25" s="23" t="n">
        <v>4.3</v>
      </c>
      <c r="O25" s="25" t="n">
        <v>0.048</v>
      </c>
      <c r="P25" s="23"/>
      <c r="Q25" s="48" t="s">
        <v>70</v>
      </c>
      <c r="R25" s="48"/>
      <c r="S25" s="48" t="s">
        <v>63</v>
      </c>
      <c r="T25" s="20"/>
      <c r="X25" s="28"/>
      <c r="Y25" s="28"/>
    </row>
    <row r="26" customFormat="false" ht="30" hidden="true" customHeight="true" outlineLevel="0" collapsed="false">
      <c r="A26" s="53"/>
      <c r="B26" s="65" t="s">
        <v>83</v>
      </c>
      <c r="C26" s="54" t="n">
        <v>45434</v>
      </c>
      <c r="D26" s="54" t="s">
        <v>84</v>
      </c>
      <c r="E26" s="55" t="n">
        <v>38</v>
      </c>
      <c r="F26" s="55" t="n">
        <v>42</v>
      </c>
      <c r="G26" s="41" t="n">
        <f aca="false">+F26-E26</f>
        <v>4</v>
      </c>
      <c r="H26" s="20" t="s">
        <v>38</v>
      </c>
      <c r="I26" s="20" t="s">
        <v>47</v>
      </c>
      <c r="J26" s="20" t="s">
        <v>48</v>
      </c>
      <c r="K26" s="20"/>
      <c r="L26" s="64" t="s">
        <v>85</v>
      </c>
      <c r="M26" s="20" t="n">
        <v>85</v>
      </c>
      <c r="N26" s="23" t="n">
        <v>3.7</v>
      </c>
      <c r="O26" s="25" t="n">
        <v>0.051</v>
      </c>
      <c r="P26" s="23"/>
      <c r="Q26" s="48" t="s">
        <v>70</v>
      </c>
      <c r="R26" s="48"/>
      <c r="S26" s="48" t="s">
        <v>63</v>
      </c>
      <c r="T26" s="20"/>
      <c r="X26" s="28"/>
      <c r="Y26" s="28"/>
    </row>
    <row r="27" customFormat="false" ht="30" hidden="false" customHeight="true" outlineLevel="0" collapsed="false">
      <c r="A27" s="53"/>
      <c r="B27" s="65" t="s">
        <v>45</v>
      </c>
      <c r="C27" s="54" t="n">
        <v>45441</v>
      </c>
      <c r="D27" s="54" t="s">
        <v>86</v>
      </c>
      <c r="E27" s="55" t="n">
        <v>38</v>
      </c>
      <c r="F27" s="48" t="n">
        <v>42</v>
      </c>
      <c r="G27" s="41" t="n">
        <f aca="false">+F27-E27</f>
        <v>4</v>
      </c>
      <c r="H27" s="20" t="s">
        <v>38</v>
      </c>
      <c r="I27" s="20" t="s">
        <v>47</v>
      </c>
      <c r="J27" s="20" t="s">
        <v>53</v>
      </c>
      <c r="K27" s="20"/>
      <c r="L27" s="64" t="s">
        <v>87</v>
      </c>
      <c r="M27" s="20" t="n">
        <v>160</v>
      </c>
      <c r="N27" s="23" t="n">
        <v>4</v>
      </c>
      <c r="O27" s="25" t="n">
        <v>0.036</v>
      </c>
      <c r="P27" s="23"/>
      <c r="Q27" s="48" t="s">
        <v>70</v>
      </c>
      <c r="R27" s="48"/>
      <c r="S27" s="48" t="s">
        <v>63</v>
      </c>
      <c r="T27" s="20"/>
      <c r="X27" s="28"/>
      <c r="Y27" s="28"/>
    </row>
    <row r="28" customFormat="false" ht="30" hidden="false" customHeight="true" outlineLevel="0" collapsed="false">
      <c r="A28" s="53"/>
      <c r="B28" s="65" t="s">
        <v>45</v>
      </c>
      <c r="C28" s="54" t="n">
        <v>45441</v>
      </c>
      <c r="D28" s="54" t="s">
        <v>88</v>
      </c>
      <c r="E28" s="55" t="n">
        <v>95</v>
      </c>
      <c r="F28" s="48" t="n">
        <v>97</v>
      </c>
      <c r="G28" s="41" t="n">
        <f aca="false">+F28-E28</f>
        <v>2</v>
      </c>
      <c r="H28" s="20" t="s">
        <v>38</v>
      </c>
      <c r="I28" s="20" t="s">
        <v>47</v>
      </c>
      <c r="J28" s="20" t="s">
        <v>53</v>
      </c>
      <c r="K28" s="20"/>
      <c r="L28" s="64" t="s">
        <v>89</v>
      </c>
      <c r="M28" s="37" t="n">
        <v>165</v>
      </c>
      <c r="N28" s="23" t="n">
        <v>3.8</v>
      </c>
      <c r="O28" s="25" t="n">
        <v>0.023</v>
      </c>
      <c r="P28" s="23"/>
      <c r="Q28" s="48" t="s">
        <v>70</v>
      </c>
      <c r="R28" s="48"/>
      <c r="S28" s="48" t="s">
        <v>63</v>
      </c>
      <c r="T28" s="20"/>
      <c r="X28" s="28"/>
      <c r="Y28" s="28"/>
    </row>
    <row r="29" customFormat="false" ht="30" hidden="true" customHeight="true" outlineLevel="0" collapsed="false">
      <c r="A29" s="53"/>
      <c r="B29" s="65" t="s">
        <v>78</v>
      </c>
      <c r="C29" s="54" t="n">
        <v>45446</v>
      </c>
      <c r="D29" s="54" t="s">
        <v>90</v>
      </c>
      <c r="E29" s="55" t="n">
        <v>9</v>
      </c>
      <c r="F29" s="48" t="n">
        <v>9</v>
      </c>
      <c r="G29" s="41" t="n">
        <f aca="false">+F29-E29</f>
        <v>0</v>
      </c>
      <c r="H29" s="48" t="s">
        <v>39</v>
      </c>
      <c r="I29" s="20" t="s">
        <v>47</v>
      </c>
      <c r="J29" s="20" t="s">
        <v>53</v>
      </c>
      <c r="K29" s="20"/>
      <c r="L29" s="64"/>
      <c r="M29" s="20"/>
      <c r="N29" s="23"/>
      <c r="O29" s="25"/>
      <c r="P29" s="23"/>
      <c r="Q29" s="48"/>
      <c r="R29" s="48"/>
      <c r="S29" s="48"/>
      <c r="T29" s="20"/>
      <c r="X29" s="28"/>
      <c r="Y29" s="28"/>
    </row>
    <row r="30" customFormat="false" ht="30" hidden="true" customHeight="true" outlineLevel="0" collapsed="false">
      <c r="A30" s="53"/>
      <c r="B30" s="65" t="s">
        <v>83</v>
      </c>
      <c r="C30" s="54" t="n">
        <v>45447</v>
      </c>
      <c r="D30" s="54" t="s">
        <v>91</v>
      </c>
      <c r="E30" s="55" t="n">
        <v>54</v>
      </c>
      <c r="F30" s="48" t="n">
        <v>52</v>
      </c>
      <c r="G30" s="41" t="n">
        <f aca="false">+F30-E30</f>
        <v>-2</v>
      </c>
      <c r="H30" s="20" t="s">
        <v>38</v>
      </c>
      <c r="I30" s="20" t="s">
        <v>47</v>
      </c>
      <c r="J30" s="20" t="s">
        <v>53</v>
      </c>
      <c r="K30" s="20"/>
      <c r="L30" s="64"/>
      <c r="M30" s="20"/>
      <c r="N30" s="23"/>
      <c r="O30" s="25"/>
      <c r="P30" s="23"/>
      <c r="Q30" s="48"/>
      <c r="R30" s="48"/>
      <c r="S30" s="48"/>
      <c r="T30" s="20"/>
      <c r="X30" s="28"/>
      <c r="Y30" s="28"/>
    </row>
    <row r="31" customFormat="false" ht="30" hidden="true" customHeight="true" outlineLevel="0" collapsed="false">
      <c r="A31" s="53"/>
      <c r="B31" s="65" t="s">
        <v>78</v>
      </c>
      <c r="C31" s="54" t="n">
        <v>45450</v>
      </c>
      <c r="D31" s="54" t="s">
        <v>92</v>
      </c>
      <c r="E31" s="55" t="n">
        <v>6.31</v>
      </c>
      <c r="F31" s="48" t="n">
        <v>6</v>
      </c>
      <c r="G31" s="41" t="n">
        <f aca="false">+F31-E31</f>
        <v>-0.31</v>
      </c>
      <c r="H31" s="48" t="s">
        <v>39</v>
      </c>
      <c r="I31" s="20" t="s">
        <v>47</v>
      </c>
      <c r="J31" s="20" t="s">
        <v>53</v>
      </c>
      <c r="K31" s="20"/>
      <c r="L31" s="64"/>
      <c r="M31" s="20"/>
      <c r="N31" s="23"/>
      <c r="O31" s="25"/>
      <c r="P31" s="23"/>
      <c r="Q31" s="48"/>
      <c r="R31" s="48"/>
      <c r="S31" s="48"/>
      <c r="T31" s="20"/>
      <c r="X31" s="28"/>
      <c r="Y31" s="28"/>
    </row>
    <row r="32" customFormat="false" ht="30" hidden="true" customHeight="true" outlineLevel="0" collapsed="false">
      <c r="B32" s="65" t="s">
        <v>83</v>
      </c>
      <c r="C32" s="38" t="n">
        <v>45453</v>
      </c>
      <c r="D32" s="54" t="s">
        <v>93</v>
      </c>
      <c r="E32" s="23" t="n">
        <v>54</v>
      </c>
      <c r="F32" s="48" t="n">
        <v>52</v>
      </c>
      <c r="G32" s="41" t="n">
        <f aca="false">+F32-E32</f>
        <v>-2</v>
      </c>
      <c r="H32" s="20" t="s">
        <v>38</v>
      </c>
      <c r="I32" s="20" t="s">
        <v>47</v>
      </c>
      <c r="J32" s="20" t="s">
        <v>53</v>
      </c>
      <c r="K32" s="20"/>
      <c r="L32" s="64"/>
      <c r="M32" s="20"/>
      <c r="N32" s="23"/>
      <c r="O32" s="25"/>
      <c r="P32" s="23"/>
      <c r="Q32" s="48"/>
      <c r="R32" s="48"/>
      <c r="S32" s="48"/>
      <c r="T32" s="20"/>
      <c r="X32" s="28"/>
      <c r="Y32" s="28"/>
    </row>
    <row r="33" customFormat="false" ht="30" hidden="false" customHeight="true" outlineLevel="0" collapsed="false">
      <c r="B33" s="65" t="s">
        <v>45</v>
      </c>
      <c r="C33" s="38" t="n">
        <v>45471</v>
      </c>
      <c r="D33" s="54" t="s">
        <v>94</v>
      </c>
      <c r="E33" s="23" t="n">
        <v>30</v>
      </c>
      <c r="F33" s="48" t="n">
        <v>36</v>
      </c>
      <c r="G33" s="41" t="n">
        <f aca="false">+F33-E33</f>
        <v>6</v>
      </c>
      <c r="H33" s="20" t="s">
        <v>38</v>
      </c>
      <c r="I33" s="20" t="s">
        <v>47</v>
      </c>
      <c r="J33" s="20" t="s">
        <v>53</v>
      </c>
      <c r="K33" s="20"/>
      <c r="L33" s="64"/>
      <c r="M33" s="20"/>
      <c r="N33" s="23"/>
      <c r="O33" s="25"/>
      <c r="P33" s="23"/>
      <c r="Q33" s="48"/>
      <c r="R33" s="48"/>
      <c r="S33" s="48"/>
      <c r="T33" s="20"/>
      <c r="X33" s="28"/>
      <c r="Y33" s="28"/>
    </row>
    <row r="34" customFormat="false" ht="30" hidden="false" customHeight="true" outlineLevel="0" collapsed="false">
      <c r="B34" s="65" t="s">
        <v>45</v>
      </c>
      <c r="C34" s="38" t="n">
        <v>45495</v>
      </c>
      <c r="D34" s="54" t="s">
        <v>95</v>
      </c>
      <c r="E34" s="23" t="n">
        <v>30</v>
      </c>
      <c r="F34" s="48" t="n">
        <v>34</v>
      </c>
      <c r="G34" s="41" t="n">
        <f aca="false">+F34-E34</f>
        <v>4</v>
      </c>
      <c r="H34" s="20" t="s">
        <v>38</v>
      </c>
      <c r="I34" s="20" t="s">
        <v>47</v>
      </c>
      <c r="J34" s="20" t="s">
        <v>53</v>
      </c>
      <c r="K34" s="20"/>
      <c r="L34" s="64"/>
      <c r="M34" s="20"/>
      <c r="N34" s="23"/>
      <c r="O34" s="25"/>
      <c r="P34" s="23"/>
      <c r="Q34" s="48"/>
      <c r="R34" s="48"/>
      <c r="S34" s="48"/>
      <c r="T34" s="20"/>
      <c r="U34" s="76"/>
      <c r="X34" s="28"/>
      <c r="Y34" s="28"/>
    </row>
    <row r="35" customFormat="false" ht="30" hidden="false" customHeight="true" outlineLevel="0" collapsed="false">
      <c r="B35" s="65" t="s">
        <v>45</v>
      </c>
      <c r="C35" s="38" t="n">
        <v>45499</v>
      </c>
      <c r="D35" s="54" t="s">
        <v>96</v>
      </c>
      <c r="E35" s="23" t="n">
        <v>50</v>
      </c>
      <c r="F35" s="48" t="n">
        <v>48</v>
      </c>
      <c r="G35" s="41" t="n">
        <f aca="false">+F35-E35</f>
        <v>-2</v>
      </c>
      <c r="H35" s="20" t="s">
        <v>38</v>
      </c>
      <c r="I35" s="20" t="s">
        <v>47</v>
      </c>
      <c r="J35" s="20" t="s">
        <v>53</v>
      </c>
      <c r="K35" s="20"/>
      <c r="L35" s="64"/>
      <c r="M35" s="20"/>
      <c r="N35" s="23"/>
      <c r="O35" s="25"/>
      <c r="P35" s="23"/>
      <c r="Q35" s="48"/>
      <c r="R35" s="48"/>
      <c r="S35" s="48"/>
      <c r="T35" s="20"/>
      <c r="X35" s="28"/>
      <c r="Y35" s="28"/>
    </row>
    <row r="36" customFormat="false" ht="30" hidden="false" customHeight="true" outlineLevel="0" collapsed="false">
      <c r="B36" s="65" t="s">
        <v>45</v>
      </c>
      <c r="C36" s="38" t="n">
        <v>45504</v>
      </c>
      <c r="D36" s="54" t="s">
        <v>97</v>
      </c>
      <c r="E36" s="23" t="n">
        <v>50</v>
      </c>
      <c r="F36" s="48" t="n">
        <v>52</v>
      </c>
      <c r="G36" s="41" t="n">
        <f aca="false">+F36-E36</f>
        <v>2</v>
      </c>
      <c r="H36" s="20" t="s">
        <v>38</v>
      </c>
      <c r="I36" s="20" t="s">
        <v>47</v>
      </c>
      <c r="J36" s="20" t="s">
        <v>53</v>
      </c>
      <c r="K36" s="20"/>
      <c r="L36" s="64"/>
      <c r="M36" s="20"/>
      <c r="N36" s="23"/>
      <c r="O36" s="25"/>
      <c r="P36" s="23"/>
      <c r="Q36" s="48"/>
      <c r="R36" s="48"/>
      <c r="S36" s="48"/>
      <c r="T36" s="20"/>
      <c r="X36" s="28"/>
      <c r="Y36" s="28"/>
    </row>
    <row r="37" customFormat="false" ht="30" hidden="true" customHeight="true" outlineLevel="0" collapsed="false">
      <c r="B37" s="65" t="s">
        <v>83</v>
      </c>
      <c r="C37" s="38" t="n">
        <v>45526</v>
      </c>
      <c r="D37" s="54" t="s">
        <v>98</v>
      </c>
      <c r="E37" s="23" t="n">
        <v>40</v>
      </c>
      <c r="F37" s="48" t="n">
        <v>38</v>
      </c>
      <c r="G37" s="41" t="n">
        <f aca="false">+F37-E37</f>
        <v>-2</v>
      </c>
      <c r="H37" s="20" t="s">
        <v>38</v>
      </c>
      <c r="I37" s="20" t="s">
        <v>47</v>
      </c>
      <c r="J37" s="20" t="s">
        <v>53</v>
      </c>
      <c r="K37" s="20"/>
      <c r="L37" s="64"/>
      <c r="M37" s="20"/>
      <c r="N37" s="23"/>
      <c r="O37" s="25"/>
      <c r="P37" s="23"/>
      <c r="Q37" s="48"/>
      <c r="R37" s="48"/>
      <c r="S37" s="48"/>
      <c r="T37" s="20"/>
      <c r="X37" s="28"/>
      <c r="Y37" s="28"/>
    </row>
    <row r="38" customFormat="false" ht="30" hidden="true" customHeight="true" outlineLevel="0" collapsed="false">
      <c r="B38" s="65" t="s">
        <v>78</v>
      </c>
      <c r="C38" s="38" t="n">
        <v>45531</v>
      </c>
      <c r="D38" s="54" t="s">
        <v>99</v>
      </c>
      <c r="E38" s="23" t="n">
        <v>9</v>
      </c>
      <c r="F38" s="48" t="n">
        <v>9</v>
      </c>
      <c r="G38" s="41" t="n">
        <f aca="false">+F38-E38</f>
        <v>0</v>
      </c>
      <c r="H38" s="20" t="s">
        <v>39</v>
      </c>
      <c r="I38" s="20" t="s">
        <v>47</v>
      </c>
      <c r="J38" s="20" t="s">
        <v>53</v>
      </c>
      <c r="K38" s="20"/>
      <c r="L38" s="64"/>
      <c r="M38" s="20"/>
      <c r="N38" s="23"/>
      <c r="O38" s="25"/>
      <c r="P38" s="23"/>
      <c r="Q38" s="48"/>
      <c r="R38" s="48"/>
      <c r="S38" s="48"/>
      <c r="T38" s="20"/>
      <c r="X38" s="28"/>
      <c r="Y38" s="28"/>
    </row>
    <row r="39" customFormat="false" ht="30" hidden="true" customHeight="true" outlineLevel="0" collapsed="false">
      <c r="B39" s="65" t="s">
        <v>78</v>
      </c>
      <c r="C39" s="38" t="n">
        <v>45533</v>
      </c>
      <c r="D39" s="54" t="s">
        <v>100</v>
      </c>
      <c r="E39" s="23" t="n">
        <v>6</v>
      </c>
      <c r="F39" s="48" t="n">
        <v>6</v>
      </c>
      <c r="G39" s="41" t="n">
        <f aca="false">+F39-E39</f>
        <v>0</v>
      </c>
      <c r="H39" s="20" t="s">
        <v>39</v>
      </c>
      <c r="I39" s="20" t="s">
        <v>47</v>
      </c>
      <c r="J39" s="20" t="s">
        <v>53</v>
      </c>
      <c r="K39" s="20"/>
      <c r="L39" s="64"/>
      <c r="M39" s="20"/>
      <c r="N39" s="23"/>
      <c r="O39" s="25"/>
      <c r="P39" s="23"/>
      <c r="Q39" s="48"/>
      <c r="R39" s="48"/>
      <c r="S39" s="48"/>
      <c r="T39" s="20"/>
      <c r="X39" s="28"/>
      <c r="Y39" s="28"/>
    </row>
    <row r="40" customFormat="false" ht="30" hidden="false" customHeight="true" outlineLevel="0" collapsed="false">
      <c r="B40" s="65" t="s">
        <v>45</v>
      </c>
      <c r="C40" s="38" t="n">
        <v>45537</v>
      </c>
      <c r="D40" s="54" t="s">
        <v>101</v>
      </c>
      <c r="E40" s="23" t="n">
        <v>60</v>
      </c>
      <c r="F40" s="48" t="n">
        <f aca="false">11*6</f>
        <v>66</v>
      </c>
      <c r="G40" s="41" t="n">
        <f aca="false">+F40-E40</f>
        <v>6</v>
      </c>
      <c r="H40" s="20" t="s">
        <v>38</v>
      </c>
      <c r="I40" s="20" t="s">
        <v>102</v>
      </c>
      <c r="J40" s="20" t="s">
        <v>53</v>
      </c>
      <c r="K40" s="20"/>
      <c r="L40" s="64"/>
      <c r="M40" s="20"/>
      <c r="N40" s="23"/>
      <c r="O40" s="25"/>
      <c r="P40" s="23"/>
      <c r="Q40" s="48"/>
      <c r="R40" s="48"/>
      <c r="S40" s="48"/>
      <c r="T40" s="20"/>
      <c r="X40" s="28"/>
      <c r="Y40" s="28"/>
    </row>
    <row r="41" customFormat="false" ht="30" hidden="false" customHeight="true" outlineLevel="0" collapsed="false">
      <c r="B41" s="65" t="s">
        <v>83</v>
      </c>
      <c r="C41" s="38" t="n">
        <v>45561</v>
      </c>
      <c r="D41" s="54" t="s">
        <v>103</v>
      </c>
      <c r="E41" s="23" t="n">
        <v>45</v>
      </c>
      <c r="F41" s="48" t="n">
        <v>45</v>
      </c>
      <c r="G41" s="41"/>
      <c r="H41" s="20" t="s">
        <v>38</v>
      </c>
      <c r="I41" s="20" t="s">
        <v>47</v>
      </c>
      <c r="J41" s="20" t="s">
        <v>53</v>
      </c>
      <c r="K41" s="20"/>
      <c r="L41" s="64"/>
      <c r="M41" s="20"/>
      <c r="N41" s="23"/>
      <c r="O41" s="25"/>
      <c r="P41" s="23"/>
      <c r="Q41" s="48"/>
      <c r="R41" s="48"/>
      <c r="S41" s="48"/>
      <c r="T41" s="20"/>
      <c r="X41" s="28"/>
      <c r="Y41" s="28"/>
    </row>
    <row r="42" customFormat="false" ht="30" hidden="false" customHeight="true" outlineLevel="0" collapsed="false">
      <c r="B42" s="65" t="s">
        <v>104</v>
      </c>
      <c r="C42" s="38" t="n">
        <v>45569</v>
      </c>
      <c r="D42" s="54" t="s">
        <v>105</v>
      </c>
      <c r="E42" s="27"/>
      <c r="F42" s="77" t="n">
        <v>9</v>
      </c>
      <c r="G42" s="78"/>
      <c r="H42" s="20" t="s">
        <v>38</v>
      </c>
      <c r="I42" s="20" t="s">
        <v>47</v>
      </c>
      <c r="J42" s="20" t="s">
        <v>53</v>
      </c>
      <c r="K42" s="20"/>
      <c r="L42" s="64"/>
      <c r="M42" s="20"/>
      <c r="N42" s="23"/>
      <c r="O42" s="25"/>
      <c r="P42" s="23"/>
      <c r="Q42" s="48"/>
      <c r="R42" s="48"/>
      <c r="S42" s="48"/>
      <c r="T42" s="20"/>
      <c r="X42" s="28"/>
      <c r="Y42" s="28"/>
    </row>
    <row r="43" customFormat="false" ht="30" hidden="false" customHeight="true" outlineLevel="0" collapsed="false">
      <c r="B43" s="65" t="s">
        <v>104</v>
      </c>
      <c r="C43" s="38" t="n">
        <v>45572</v>
      </c>
      <c r="D43" s="54"/>
      <c r="E43" s="23"/>
      <c r="F43" s="48" t="n">
        <v>6</v>
      </c>
      <c r="G43" s="41"/>
      <c r="H43" s="20" t="s">
        <v>38</v>
      </c>
      <c r="I43" s="20" t="s">
        <v>47</v>
      </c>
      <c r="J43" s="20" t="s">
        <v>53</v>
      </c>
      <c r="K43" s="20"/>
      <c r="L43" s="64"/>
      <c r="M43" s="20"/>
      <c r="N43" s="23"/>
      <c r="O43" s="25"/>
      <c r="P43" s="23"/>
      <c r="Q43" s="48"/>
      <c r="R43" s="48"/>
      <c r="S43" s="48"/>
      <c r="T43" s="20"/>
      <c r="X43" s="28"/>
      <c r="Y43" s="28"/>
    </row>
    <row r="44" customFormat="false" ht="30" hidden="false" customHeight="true" outlineLevel="0" collapsed="false">
      <c r="B44" s="19" t="s">
        <v>45</v>
      </c>
      <c r="C44" s="38" t="n">
        <v>45604</v>
      </c>
      <c r="D44" s="38" t="s">
        <v>106</v>
      </c>
      <c r="E44" s="23"/>
      <c r="F44" s="48" t="n">
        <f aca="false">8*6</f>
        <v>48</v>
      </c>
      <c r="G44" s="41"/>
      <c r="H44" s="20" t="s">
        <v>38</v>
      </c>
      <c r="I44" s="20" t="s">
        <v>47</v>
      </c>
      <c r="J44" s="20" t="s">
        <v>53</v>
      </c>
      <c r="K44" s="20"/>
      <c r="L44" s="64"/>
      <c r="M44" s="20"/>
      <c r="N44" s="23"/>
      <c r="O44" s="25"/>
      <c r="P44" s="23"/>
      <c r="Q44" s="20"/>
      <c r="R44" s="20"/>
      <c r="S44" s="20"/>
      <c r="T44" s="20"/>
      <c r="X44" s="28"/>
      <c r="Y44" s="28"/>
    </row>
    <row r="45" customFormat="false" ht="30" hidden="false" customHeight="true" outlineLevel="0" collapsed="false">
      <c r="B45" s="60"/>
      <c r="C45" s="38" t="n">
        <v>45615</v>
      </c>
      <c r="D45" s="38" t="s">
        <v>106</v>
      </c>
      <c r="E45" s="23"/>
      <c r="F45" s="48" t="n">
        <v>36</v>
      </c>
      <c r="G45" s="41"/>
      <c r="H45" s="20" t="s">
        <v>38</v>
      </c>
      <c r="I45" s="20" t="s">
        <v>47</v>
      </c>
      <c r="J45" s="20" t="s">
        <v>53</v>
      </c>
      <c r="K45" s="20"/>
      <c r="L45" s="20"/>
      <c r="M45" s="20"/>
      <c r="N45" s="23"/>
      <c r="O45" s="25"/>
      <c r="P45" s="23"/>
      <c r="Q45" s="20"/>
      <c r="R45" s="20"/>
      <c r="S45" s="20"/>
      <c r="T45" s="20"/>
      <c r="X45" s="28"/>
      <c r="Y45" s="28"/>
    </row>
    <row r="46" customFormat="false" ht="30" hidden="false" customHeight="true" outlineLevel="0" collapsed="false">
      <c r="B46" s="19" t="s">
        <v>107</v>
      </c>
      <c r="C46" s="38"/>
      <c r="D46" s="38"/>
      <c r="E46" s="23"/>
      <c r="F46" s="48" t="n">
        <f aca="false">6*18</f>
        <v>108</v>
      </c>
      <c r="G46" s="41"/>
      <c r="H46" s="20"/>
      <c r="I46" s="20"/>
      <c r="J46" s="20"/>
      <c r="K46" s="20"/>
      <c r="L46" s="20"/>
      <c r="M46" s="20"/>
      <c r="N46" s="23"/>
      <c r="O46" s="25"/>
      <c r="P46" s="23"/>
      <c r="Q46" s="20"/>
      <c r="R46" s="20"/>
      <c r="S46" s="20"/>
      <c r="T46" s="20"/>
      <c r="X46" s="28"/>
      <c r="Y46" s="28"/>
    </row>
    <row r="47" customFormat="false" ht="30" hidden="false" customHeight="true" outlineLevel="0" collapsed="false">
      <c r="B47" s="19"/>
      <c r="C47" s="38"/>
      <c r="D47" s="38"/>
      <c r="E47" s="23"/>
      <c r="F47" s="48"/>
      <c r="G47" s="41"/>
      <c r="H47" s="20"/>
      <c r="I47" s="20"/>
      <c r="J47" s="20"/>
      <c r="K47" s="20"/>
      <c r="L47" s="20"/>
      <c r="M47" s="20"/>
      <c r="N47" s="23"/>
      <c r="O47" s="25"/>
      <c r="P47" s="23"/>
      <c r="Q47" s="20"/>
      <c r="R47" s="20"/>
      <c r="S47" s="20"/>
      <c r="T47" s="20"/>
      <c r="X47" s="28"/>
      <c r="Y47" s="28"/>
    </row>
    <row r="48" customFormat="false" ht="30" hidden="false" customHeight="true" outlineLevel="0" collapsed="false">
      <c r="B48" s="19"/>
      <c r="C48" s="38"/>
      <c r="D48" s="38"/>
      <c r="E48" s="23"/>
      <c r="F48" s="48"/>
      <c r="G48" s="41"/>
      <c r="H48" s="20"/>
      <c r="I48" s="20"/>
      <c r="J48" s="20"/>
      <c r="K48" s="20"/>
      <c r="L48" s="20"/>
      <c r="M48" s="20"/>
      <c r="N48" s="23"/>
      <c r="O48" s="25"/>
      <c r="P48" s="23"/>
      <c r="Q48" s="20"/>
      <c r="R48" s="20"/>
      <c r="S48" s="20"/>
      <c r="T48" s="20"/>
      <c r="X48" s="28"/>
      <c r="Y48" s="28"/>
    </row>
    <row r="49" customFormat="false" ht="30" hidden="false" customHeight="true" outlineLevel="0" collapsed="false">
      <c r="B49" s="19"/>
      <c r="C49" s="38"/>
      <c r="D49" s="38"/>
      <c r="E49" s="23"/>
      <c r="F49" s="48"/>
      <c r="G49" s="41"/>
      <c r="H49" s="20"/>
      <c r="I49" s="20"/>
      <c r="J49" s="20"/>
      <c r="K49" s="20"/>
      <c r="L49" s="20"/>
      <c r="M49" s="20"/>
      <c r="N49" s="23"/>
      <c r="O49" s="25"/>
      <c r="P49" s="23"/>
      <c r="Q49" s="20"/>
      <c r="R49" s="20"/>
      <c r="S49" s="20"/>
      <c r="T49" s="20"/>
      <c r="X49" s="28"/>
      <c r="Y49" s="28"/>
    </row>
    <row r="50" customFormat="false" ht="30" hidden="false" customHeight="true" outlineLevel="0" collapsed="false">
      <c r="B50" s="19"/>
      <c r="C50" s="38"/>
      <c r="D50" s="38"/>
      <c r="E50" s="23"/>
      <c r="F50" s="48"/>
      <c r="G50" s="41"/>
      <c r="H50" s="20"/>
      <c r="I50" s="20"/>
      <c r="J50" s="20"/>
      <c r="K50" s="20"/>
      <c r="L50" s="20"/>
      <c r="M50" s="20"/>
      <c r="N50" s="23"/>
      <c r="O50" s="25"/>
      <c r="P50" s="23"/>
      <c r="Q50" s="20"/>
      <c r="R50" s="20"/>
      <c r="S50" s="20"/>
      <c r="T50" s="20"/>
      <c r="X50" s="28"/>
      <c r="Y50" s="28"/>
    </row>
    <row r="51" customFormat="false" ht="30" hidden="false" customHeight="true" outlineLevel="0" collapsed="false">
      <c r="B51" s="19"/>
      <c r="C51" s="38"/>
      <c r="D51" s="38"/>
      <c r="E51" s="23"/>
      <c r="F51" s="48"/>
      <c r="G51" s="41"/>
      <c r="H51" s="20"/>
      <c r="I51" s="20"/>
      <c r="J51" s="20"/>
      <c r="K51" s="20"/>
      <c r="L51" s="20"/>
      <c r="M51" s="20"/>
      <c r="N51" s="23"/>
      <c r="O51" s="25"/>
      <c r="P51" s="23"/>
      <c r="Q51" s="20"/>
      <c r="R51" s="20"/>
      <c r="S51" s="20"/>
      <c r="T51" s="20"/>
      <c r="X51" s="28"/>
      <c r="Y51" s="28"/>
    </row>
    <row r="52" customFormat="false" ht="30" hidden="false" customHeight="true" outlineLevel="0" collapsed="false">
      <c r="B52" s="19"/>
      <c r="C52" s="38"/>
      <c r="D52" s="38"/>
      <c r="E52" s="23"/>
      <c r="F52" s="48"/>
      <c r="G52" s="41"/>
      <c r="H52" s="20"/>
      <c r="I52" s="20"/>
      <c r="J52" s="20"/>
      <c r="K52" s="20"/>
      <c r="L52" s="64"/>
      <c r="M52" s="20"/>
      <c r="N52" s="23"/>
      <c r="O52" s="25"/>
      <c r="P52" s="23"/>
      <c r="Q52" s="20"/>
      <c r="R52" s="20"/>
      <c r="S52" s="20"/>
      <c r="T52" s="20"/>
      <c r="X52" s="28"/>
      <c r="Y52" s="28"/>
    </row>
    <row r="53" customFormat="false" ht="30" hidden="false" customHeight="true" outlineLevel="0" collapsed="false">
      <c r="B53" s="19"/>
      <c r="C53" s="38"/>
      <c r="D53" s="38"/>
      <c r="E53" s="23"/>
      <c r="F53" s="48"/>
      <c r="G53" s="41"/>
      <c r="H53" s="20"/>
      <c r="I53" s="20"/>
      <c r="J53" s="20"/>
      <c r="K53" s="20"/>
      <c r="L53" s="64"/>
      <c r="M53" s="20"/>
      <c r="N53" s="23"/>
      <c r="O53" s="25"/>
      <c r="P53" s="23"/>
      <c r="Q53" s="20"/>
      <c r="R53" s="20"/>
      <c r="S53" s="20"/>
      <c r="T53" s="20"/>
      <c r="X53" s="28"/>
      <c r="Y53" s="28"/>
    </row>
    <row r="54" customFormat="false" ht="30" hidden="false" customHeight="true" outlineLevel="0" collapsed="false">
      <c r="B54" s="19"/>
      <c r="C54" s="38"/>
      <c r="D54" s="38"/>
      <c r="E54" s="23"/>
      <c r="F54" s="48"/>
      <c r="G54" s="41"/>
      <c r="H54" s="20"/>
      <c r="I54" s="20"/>
      <c r="J54" s="20"/>
      <c r="K54" s="20"/>
      <c r="L54" s="64"/>
      <c r="M54" s="20"/>
      <c r="N54" s="23"/>
      <c r="O54" s="25"/>
      <c r="P54" s="23"/>
      <c r="Q54" s="20"/>
      <c r="R54" s="20"/>
      <c r="S54" s="20"/>
      <c r="T54" s="20"/>
      <c r="X54" s="28"/>
      <c r="Y54" s="28"/>
    </row>
    <row r="55" customFormat="false" ht="30" hidden="false" customHeight="true" outlineLevel="0" collapsed="false">
      <c r="B55" s="19"/>
      <c r="C55" s="38"/>
      <c r="D55" s="38"/>
      <c r="E55" s="23"/>
      <c r="F55" s="48"/>
      <c r="G55" s="41"/>
      <c r="H55" s="20"/>
      <c r="I55" s="20"/>
      <c r="J55" s="20"/>
      <c r="K55" s="20"/>
      <c r="L55" s="64"/>
      <c r="M55" s="79"/>
      <c r="N55" s="80"/>
      <c r="O55" s="81"/>
      <c r="P55" s="80"/>
      <c r="Q55" s="20"/>
      <c r="R55" s="20"/>
      <c r="S55" s="20"/>
      <c r="T55" s="20"/>
      <c r="X55" s="28"/>
      <c r="Y55" s="28"/>
    </row>
    <row r="56" customFormat="false" ht="30" hidden="false" customHeight="true" outlineLevel="0" collapsed="false">
      <c r="B56" s="19"/>
      <c r="C56" s="38"/>
      <c r="D56" s="38"/>
      <c r="E56" s="23"/>
      <c r="F56" s="48"/>
      <c r="G56" s="41"/>
      <c r="H56" s="20"/>
      <c r="I56" s="20"/>
      <c r="J56" s="20"/>
      <c r="K56" s="20"/>
      <c r="L56" s="64"/>
      <c r="M56" s="20"/>
      <c r="N56" s="23"/>
      <c r="O56" s="25"/>
      <c r="P56" s="23"/>
      <c r="Q56" s="20"/>
      <c r="R56" s="20"/>
      <c r="S56" s="20"/>
      <c r="T56" s="20"/>
      <c r="X56" s="28"/>
      <c r="Y56" s="28"/>
    </row>
    <row r="57" customFormat="false" ht="30" hidden="false" customHeight="true" outlineLevel="0" collapsed="false">
      <c r="B57" s="19"/>
      <c r="C57" s="38"/>
      <c r="D57" s="38"/>
      <c r="E57" s="23"/>
      <c r="F57" s="48"/>
      <c r="G57" s="41"/>
      <c r="H57" s="20"/>
      <c r="I57" s="20"/>
      <c r="J57" s="20"/>
      <c r="K57" s="20"/>
      <c r="L57" s="64"/>
      <c r="M57" s="20"/>
      <c r="N57" s="23"/>
      <c r="O57" s="25"/>
      <c r="P57" s="23"/>
      <c r="Q57" s="20"/>
      <c r="R57" s="20"/>
      <c r="S57" s="20"/>
      <c r="T57" s="20"/>
      <c r="X57" s="28"/>
      <c r="Y57" s="28"/>
    </row>
    <row r="58" customFormat="false" ht="30" hidden="false" customHeight="true" outlineLevel="0" collapsed="false">
      <c r="B58" s="19"/>
      <c r="C58" s="38"/>
      <c r="D58" s="38"/>
      <c r="E58" s="23"/>
      <c r="F58" s="48"/>
      <c r="G58" s="41"/>
      <c r="H58" s="20"/>
      <c r="I58" s="20"/>
      <c r="J58" s="20"/>
      <c r="K58" s="20"/>
      <c r="L58" s="64"/>
      <c r="M58" s="20"/>
      <c r="N58" s="23"/>
      <c r="O58" s="25"/>
      <c r="P58" s="23"/>
      <c r="Q58" s="20"/>
      <c r="R58" s="20"/>
      <c r="S58" s="20"/>
      <c r="T58" s="20"/>
      <c r="X58" s="82"/>
      <c r="Y58" s="82"/>
    </row>
    <row r="59" customFormat="false" ht="30" hidden="false" customHeight="true" outlineLevel="0" collapsed="false">
      <c r="B59" s="19"/>
      <c r="C59" s="38"/>
      <c r="D59" s="38"/>
      <c r="E59" s="23"/>
      <c r="F59" s="48"/>
      <c r="G59" s="41"/>
      <c r="H59" s="20"/>
      <c r="I59" s="20"/>
      <c r="J59" s="20"/>
      <c r="K59" s="20"/>
      <c r="L59" s="64"/>
      <c r="M59" s="20"/>
      <c r="N59" s="23"/>
      <c r="O59" s="25"/>
      <c r="P59" s="23"/>
      <c r="Q59" s="20"/>
      <c r="R59" s="20"/>
      <c r="S59" s="20"/>
      <c r="T59" s="20"/>
      <c r="X59" s="28"/>
      <c r="Y59" s="28"/>
    </row>
    <row r="60" customFormat="false" ht="30" hidden="false" customHeight="true" outlineLevel="0" collapsed="false">
      <c r="B60" s="19"/>
      <c r="C60" s="38"/>
      <c r="D60" s="38"/>
      <c r="E60" s="23"/>
      <c r="F60" s="48"/>
      <c r="G60" s="41"/>
      <c r="H60" s="20"/>
      <c r="I60" s="20"/>
      <c r="J60" s="20"/>
      <c r="K60" s="20"/>
      <c r="L60" s="64"/>
      <c r="M60" s="20"/>
      <c r="N60" s="23"/>
      <c r="O60" s="25"/>
      <c r="P60" s="23"/>
      <c r="Q60" s="20"/>
      <c r="R60" s="20"/>
      <c r="S60" s="20"/>
      <c r="T60" s="20"/>
      <c r="X60" s="28"/>
      <c r="Y60" s="28"/>
    </row>
    <row r="61" customFormat="false" ht="30" hidden="false" customHeight="true" outlineLevel="0" collapsed="false">
      <c r="B61" s="19"/>
      <c r="C61" s="38"/>
      <c r="D61" s="38"/>
      <c r="E61" s="23"/>
      <c r="F61" s="48"/>
      <c r="G61" s="41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X61" s="28"/>
      <c r="Y61" s="28"/>
    </row>
    <row r="62" customFormat="false" ht="30" hidden="false" customHeight="true" outlineLevel="0" collapsed="false">
      <c r="B62" s="19"/>
      <c r="C62" s="38"/>
      <c r="D62" s="38"/>
      <c r="E62" s="23"/>
      <c r="F62" s="48"/>
      <c r="G62" s="41"/>
      <c r="H62" s="20"/>
      <c r="I62" s="20"/>
      <c r="J62" s="20"/>
      <c r="K62" s="20"/>
      <c r="L62" s="64"/>
      <c r="M62" s="20"/>
      <c r="N62" s="23"/>
      <c r="O62" s="25"/>
      <c r="P62" s="23"/>
      <c r="Q62" s="20"/>
      <c r="R62" s="20"/>
      <c r="S62" s="20"/>
      <c r="T62" s="20"/>
      <c r="X62" s="28"/>
      <c r="Y62" s="28"/>
    </row>
    <row r="63" customFormat="false" ht="30" hidden="false" customHeight="true" outlineLevel="0" collapsed="false">
      <c r="B63" s="19"/>
      <c r="C63" s="38"/>
      <c r="D63" s="38"/>
      <c r="E63" s="23"/>
      <c r="F63" s="48"/>
      <c r="G63" s="41"/>
      <c r="H63" s="20"/>
      <c r="I63" s="20"/>
      <c r="J63" s="20"/>
      <c r="K63" s="20"/>
      <c r="L63" s="64"/>
      <c r="M63" s="79"/>
      <c r="N63" s="80"/>
      <c r="O63" s="81"/>
      <c r="P63" s="80"/>
      <c r="Q63" s="20"/>
      <c r="R63" s="20"/>
      <c r="S63" s="20"/>
      <c r="T63" s="20"/>
      <c r="X63" s="28"/>
      <c r="Y63" s="28"/>
    </row>
    <row r="64" customFormat="false" ht="30" hidden="false" customHeight="true" outlineLevel="0" collapsed="false">
      <c r="B64" s="19"/>
      <c r="C64" s="38"/>
      <c r="D64" s="38"/>
      <c r="E64" s="39"/>
      <c r="F64" s="40"/>
      <c r="G64" s="41"/>
      <c r="H64" s="20"/>
      <c r="I64" s="20"/>
      <c r="J64" s="20"/>
      <c r="K64" s="20"/>
      <c r="L64" s="20"/>
      <c r="M64" s="20"/>
      <c r="N64" s="23"/>
      <c r="O64" s="25"/>
      <c r="P64" s="23"/>
      <c r="Q64" s="20"/>
      <c r="R64" s="20"/>
      <c r="S64" s="20"/>
      <c r="T64" s="20"/>
      <c r="X64" s="28"/>
      <c r="Y64" s="28"/>
    </row>
    <row r="65" customFormat="false" ht="30" hidden="false" customHeight="true" outlineLevel="0" collapsed="false">
      <c r="B65" s="19"/>
      <c r="C65" s="38"/>
      <c r="D65" s="38"/>
      <c r="E65" s="23"/>
      <c r="F65" s="40"/>
      <c r="G65" s="41"/>
      <c r="H65" s="20"/>
      <c r="I65" s="20"/>
      <c r="J65" s="20"/>
      <c r="K65" s="20"/>
      <c r="L65" s="20"/>
      <c r="M65" s="20"/>
      <c r="N65" s="23"/>
      <c r="O65" s="25"/>
      <c r="P65" s="23"/>
      <c r="Q65" s="20"/>
      <c r="R65" s="20"/>
      <c r="S65" s="20"/>
      <c r="T65" s="20"/>
      <c r="U65" s="83"/>
      <c r="V65" s="83"/>
      <c r="X65" s="28"/>
      <c r="Y65" s="28"/>
    </row>
    <row r="66" customFormat="false" ht="30" hidden="false" customHeight="true" outlineLevel="0" collapsed="false">
      <c r="B66" s="19"/>
      <c r="C66" s="38"/>
      <c r="D66" s="38"/>
      <c r="E66" s="23"/>
      <c r="F66" s="55"/>
      <c r="G66" s="41"/>
      <c r="H66" s="20"/>
      <c r="I66" s="20"/>
      <c r="J66" s="20"/>
      <c r="K66" s="20"/>
      <c r="L66" s="20"/>
      <c r="M66" s="20"/>
      <c r="N66" s="23"/>
      <c r="O66" s="25"/>
      <c r="P66" s="23"/>
      <c r="Q66" s="20"/>
      <c r="R66" s="20"/>
      <c r="S66" s="20"/>
      <c r="T66" s="20"/>
      <c r="U66" s="83"/>
      <c r="V66" s="83"/>
      <c r="X66" s="28"/>
      <c r="Y66" s="28"/>
    </row>
    <row r="67" customFormat="false" ht="30" hidden="false" customHeight="true" outlineLevel="0" collapsed="false">
      <c r="B67" s="19"/>
      <c r="C67" s="38"/>
      <c r="D67" s="38"/>
      <c r="E67" s="23"/>
      <c r="F67" s="48"/>
      <c r="G67" s="41"/>
      <c r="H67" s="20"/>
      <c r="I67" s="20"/>
      <c r="J67" s="20"/>
      <c r="K67" s="20"/>
      <c r="L67" s="64"/>
      <c r="M67" s="20"/>
      <c r="N67" s="23"/>
      <c r="O67" s="25"/>
      <c r="P67" s="23"/>
      <c r="Q67" s="20"/>
      <c r="R67" s="20"/>
      <c r="S67" s="20"/>
      <c r="T67" s="20"/>
      <c r="X67" s="28"/>
      <c r="Y67" s="28"/>
    </row>
    <row r="68" customFormat="false" ht="30" hidden="false" customHeight="true" outlineLevel="0" collapsed="false">
      <c r="B68" s="19"/>
      <c r="C68" s="38"/>
      <c r="D68" s="38"/>
      <c r="E68" s="23"/>
      <c r="F68" s="48"/>
      <c r="G68" s="41"/>
      <c r="H68" s="20"/>
      <c r="I68" s="20"/>
      <c r="J68" s="20"/>
      <c r="K68" s="20"/>
      <c r="L68" s="64"/>
      <c r="M68" s="20"/>
      <c r="N68" s="23"/>
      <c r="O68" s="25"/>
      <c r="P68" s="23"/>
      <c r="Q68" s="20"/>
      <c r="R68" s="20"/>
      <c r="S68" s="20"/>
      <c r="T68" s="20"/>
      <c r="X68" s="28"/>
      <c r="Y68" s="28"/>
    </row>
    <row r="69" customFormat="false" ht="30" hidden="false" customHeight="true" outlineLevel="0" collapsed="false">
      <c r="B69" s="19"/>
      <c r="C69" s="38"/>
      <c r="D69" s="38"/>
      <c r="E69" s="23"/>
      <c r="F69" s="48"/>
      <c r="G69" s="41"/>
      <c r="H69" s="20"/>
      <c r="I69" s="20"/>
      <c r="J69" s="20"/>
      <c r="K69" s="20"/>
      <c r="L69" s="64"/>
      <c r="M69" s="20"/>
      <c r="N69" s="23"/>
      <c r="O69" s="25"/>
      <c r="P69" s="23" t="s">
        <v>108</v>
      </c>
      <c r="Q69" s="20"/>
      <c r="R69" s="20"/>
      <c r="S69" s="20"/>
      <c r="T69" s="20"/>
      <c r="X69" s="28"/>
      <c r="Y69" s="28"/>
    </row>
    <row r="70" customFormat="false" ht="30" hidden="false" customHeight="true" outlineLevel="0" collapsed="false">
      <c r="B70" s="19"/>
      <c r="C70" s="38"/>
      <c r="D70" s="38"/>
      <c r="E70" s="23"/>
      <c r="F70" s="84"/>
      <c r="G70" s="24"/>
      <c r="H70" s="20"/>
      <c r="I70" s="20"/>
      <c r="J70" s="20"/>
      <c r="K70" s="20"/>
      <c r="L70" s="64"/>
      <c r="M70" s="20"/>
      <c r="N70" s="23"/>
      <c r="O70" s="25"/>
      <c r="P70" s="23"/>
      <c r="Q70" s="20"/>
      <c r="R70" s="20"/>
      <c r="S70" s="20"/>
      <c r="T70" s="20"/>
      <c r="X70" s="28"/>
      <c r="Y70" s="28"/>
    </row>
    <row r="71" customFormat="false" ht="30" hidden="false" customHeight="true" outlineLevel="0" collapsed="false">
      <c r="B71" s="19"/>
      <c r="C71" s="38"/>
      <c r="D71" s="38"/>
      <c r="E71" s="23"/>
      <c r="F71" s="84"/>
      <c r="G71" s="24"/>
      <c r="H71" s="20"/>
      <c r="I71" s="20"/>
      <c r="J71" s="20"/>
      <c r="K71" s="20"/>
      <c r="L71" s="64"/>
      <c r="M71" s="20"/>
      <c r="N71" s="23"/>
      <c r="O71" s="25"/>
      <c r="P71" s="23"/>
      <c r="Q71" s="20"/>
      <c r="R71" s="20"/>
      <c r="S71" s="20"/>
      <c r="T71" s="20"/>
      <c r="X71" s="28"/>
      <c r="Y71" s="28"/>
    </row>
    <row r="72" customFormat="false" ht="30" hidden="false" customHeight="true" outlineLevel="0" collapsed="false">
      <c r="B72" s="19"/>
      <c r="C72" s="38"/>
      <c r="D72" s="38"/>
      <c r="E72" s="23"/>
      <c r="F72" s="84"/>
      <c r="G72" s="24"/>
      <c r="H72" s="20"/>
      <c r="I72" s="20"/>
      <c r="J72" s="20"/>
      <c r="K72" s="20"/>
      <c r="L72" s="64"/>
      <c r="M72" s="20"/>
      <c r="N72" s="23"/>
      <c r="O72" s="25"/>
      <c r="P72" s="23"/>
      <c r="Q72" s="20"/>
      <c r="R72" s="20"/>
      <c r="S72" s="20"/>
      <c r="T72" s="20"/>
      <c r="X72" s="28"/>
      <c r="Y72" s="28"/>
    </row>
    <row r="73" customFormat="false" ht="30" hidden="false" customHeight="true" outlineLevel="0" collapsed="false">
      <c r="B73" s="19"/>
      <c r="C73" s="38"/>
      <c r="D73" s="38"/>
      <c r="E73" s="23"/>
      <c r="F73" s="84"/>
      <c r="G73" s="24"/>
      <c r="H73" s="20"/>
      <c r="I73" s="20"/>
      <c r="J73" s="20"/>
      <c r="K73" s="20"/>
      <c r="L73" s="64"/>
      <c r="M73" s="20"/>
      <c r="N73" s="23"/>
      <c r="O73" s="25"/>
      <c r="P73" s="23"/>
      <c r="Q73" s="20"/>
      <c r="R73" s="20"/>
      <c r="S73" s="20"/>
      <c r="T73" s="20"/>
      <c r="X73" s="28"/>
      <c r="Y73" s="28"/>
    </row>
    <row r="74" customFormat="false" ht="30" hidden="false" customHeight="true" outlineLevel="0" collapsed="false">
      <c r="B74" s="19"/>
      <c r="C74" s="38"/>
      <c r="D74" s="38"/>
      <c r="E74" s="23"/>
      <c r="F74" s="84"/>
      <c r="G74" s="24"/>
      <c r="H74" s="20"/>
      <c r="I74" s="20"/>
      <c r="J74" s="20"/>
      <c r="K74" s="20"/>
      <c r="L74" s="64"/>
      <c r="M74" s="20"/>
      <c r="N74" s="23"/>
      <c r="O74" s="25"/>
      <c r="P74" s="23"/>
      <c r="Q74" s="20"/>
      <c r="R74" s="20"/>
      <c r="S74" s="20"/>
      <c r="T74" s="20"/>
      <c r="X74" s="28"/>
      <c r="Y74" s="28"/>
    </row>
    <row r="75" customFormat="false" ht="30" hidden="false" customHeight="true" outlineLevel="0" collapsed="false">
      <c r="B75" s="19"/>
      <c r="C75" s="38"/>
      <c r="D75" s="38"/>
      <c r="E75" s="23"/>
      <c r="F75" s="84"/>
      <c r="G75" s="24"/>
      <c r="H75" s="20"/>
      <c r="I75" s="20"/>
      <c r="J75" s="20"/>
      <c r="K75" s="20"/>
      <c r="L75" s="64"/>
      <c r="M75" s="20"/>
      <c r="N75" s="23"/>
      <c r="O75" s="25"/>
      <c r="P75" s="23"/>
      <c r="Q75" s="20"/>
      <c r="R75" s="20"/>
      <c r="S75" s="20"/>
      <c r="T75" s="20"/>
      <c r="X75" s="28"/>
      <c r="Y75" s="28"/>
    </row>
    <row r="76" customFormat="false" ht="30" hidden="false" customHeight="true" outlineLevel="0" collapsed="false">
      <c r="B76" s="19"/>
      <c r="C76" s="38"/>
      <c r="D76" s="38"/>
      <c r="E76" s="23"/>
      <c r="F76" s="84"/>
      <c r="G76" s="24"/>
      <c r="H76" s="20"/>
      <c r="I76" s="20"/>
      <c r="J76" s="20"/>
      <c r="K76" s="20"/>
      <c r="L76" s="64"/>
      <c r="M76" s="20"/>
      <c r="N76" s="23"/>
      <c r="O76" s="25"/>
      <c r="P76" s="23"/>
      <c r="Q76" s="20"/>
      <c r="R76" s="20"/>
      <c r="S76" s="20"/>
      <c r="T76" s="20"/>
      <c r="X76" s="28"/>
      <c r="Y76" s="28"/>
    </row>
    <row r="77" customFormat="false" ht="30" hidden="false" customHeight="true" outlineLevel="0" collapsed="false">
      <c r="B77" s="19"/>
      <c r="C77" s="38"/>
      <c r="D77" s="38"/>
      <c r="E77" s="23"/>
      <c r="F77" s="84"/>
      <c r="G77" s="24"/>
      <c r="H77" s="20"/>
      <c r="I77" s="20"/>
      <c r="J77" s="20"/>
      <c r="K77" s="20"/>
      <c r="L77" s="64"/>
      <c r="M77" s="20"/>
      <c r="N77" s="23"/>
      <c r="O77" s="25"/>
      <c r="P77" s="23"/>
      <c r="Q77" s="20"/>
      <c r="R77" s="20"/>
      <c r="S77" s="20"/>
      <c r="T77" s="20"/>
      <c r="X77" s="28"/>
      <c r="Y77" s="28"/>
    </row>
    <row r="78" customFormat="false" ht="30" hidden="false" customHeight="true" outlineLevel="0" collapsed="false">
      <c r="B78" s="19"/>
      <c r="C78" s="38"/>
      <c r="D78" s="38"/>
      <c r="E78" s="23"/>
      <c r="F78" s="84"/>
      <c r="G78" s="24"/>
      <c r="H78" s="20"/>
      <c r="I78" s="20"/>
      <c r="J78" s="20"/>
      <c r="K78" s="20"/>
      <c r="L78" s="64"/>
      <c r="M78" s="20"/>
      <c r="N78" s="23"/>
      <c r="O78" s="25"/>
      <c r="P78" s="23"/>
      <c r="Q78" s="20"/>
      <c r="R78" s="20"/>
      <c r="S78" s="20"/>
      <c r="T78" s="20"/>
      <c r="X78" s="28"/>
      <c r="Y78" s="28"/>
    </row>
    <row r="79" customFormat="false" ht="30" hidden="false" customHeight="true" outlineLevel="0" collapsed="false">
      <c r="B79" s="19"/>
      <c r="C79" s="38"/>
      <c r="D79" s="38"/>
      <c r="E79" s="23"/>
      <c r="F79" s="84"/>
      <c r="G79" s="24"/>
      <c r="H79" s="20"/>
      <c r="I79" s="20"/>
      <c r="J79" s="20"/>
      <c r="K79" s="20"/>
      <c r="L79" s="64"/>
      <c r="M79" s="20"/>
      <c r="N79" s="23"/>
      <c r="O79" s="25"/>
      <c r="P79" s="23"/>
      <c r="Q79" s="20"/>
      <c r="R79" s="20"/>
      <c r="S79" s="20"/>
      <c r="T79" s="20"/>
      <c r="X79" s="28"/>
      <c r="Y79" s="28"/>
    </row>
    <row r="80" customFormat="false" ht="30" hidden="false" customHeight="true" outlineLevel="0" collapsed="false">
      <c r="B80" s="19"/>
      <c r="C80" s="38"/>
      <c r="D80" s="38"/>
      <c r="E80" s="23"/>
      <c r="F80" s="84"/>
      <c r="G80" s="24"/>
      <c r="H80" s="20"/>
      <c r="I80" s="20"/>
      <c r="J80" s="20"/>
      <c r="K80" s="20"/>
      <c r="L80" s="64"/>
      <c r="M80" s="20"/>
      <c r="N80" s="23"/>
      <c r="O80" s="25"/>
      <c r="P80" s="23"/>
      <c r="Q80" s="20"/>
      <c r="R80" s="20"/>
      <c r="S80" s="20"/>
      <c r="T80" s="20"/>
      <c r="X80" s="28"/>
      <c r="Y80" s="28"/>
    </row>
    <row r="81" customFormat="false" ht="30" hidden="false" customHeight="true" outlineLevel="0" collapsed="false">
      <c r="B81" s="19"/>
      <c r="C81" s="38"/>
      <c r="D81" s="38"/>
      <c r="E81" s="23"/>
      <c r="F81" s="84"/>
      <c r="G81" s="24"/>
      <c r="H81" s="20"/>
      <c r="I81" s="20"/>
      <c r="J81" s="20"/>
      <c r="K81" s="20"/>
      <c r="L81" s="64"/>
      <c r="M81" s="20"/>
      <c r="N81" s="23"/>
      <c r="O81" s="25"/>
      <c r="P81" s="23"/>
      <c r="Q81" s="20"/>
      <c r="R81" s="20"/>
      <c r="S81" s="20"/>
      <c r="T81" s="20"/>
      <c r="X81" s="28"/>
      <c r="Y81" s="28"/>
    </row>
    <row r="82" customFormat="false" ht="30" hidden="false" customHeight="true" outlineLevel="0" collapsed="false">
      <c r="B82" s="19"/>
      <c r="C82" s="38"/>
      <c r="D82" s="38"/>
      <c r="E82" s="23"/>
      <c r="F82" s="84"/>
      <c r="G82" s="24"/>
      <c r="H82" s="20"/>
      <c r="I82" s="20"/>
      <c r="J82" s="20"/>
      <c r="K82" s="20"/>
      <c r="L82" s="64"/>
      <c r="M82" s="20"/>
      <c r="N82" s="23"/>
      <c r="O82" s="25"/>
      <c r="P82" s="23"/>
      <c r="Q82" s="20"/>
      <c r="R82" s="20"/>
      <c r="S82" s="20"/>
      <c r="T82" s="20"/>
      <c r="X82" s="28"/>
      <c r="Y82" s="28"/>
    </row>
    <row r="83" customFormat="false" ht="30" hidden="false" customHeight="true" outlineLevel="0" collapsed="false">
      <c r="B83" s="19"/>
      <c r="C83" s="38"/>
      <c r="D83" s="38"/>
      <c r="E83" s="23"/>
      <c r="F83" s="84"/>
      <c r="G83" s="24"/>
      <c r="H83" s="20"/>
      <c r="I83" s="20"/>
      <c r="J83" s="20"/>
      <c r="K83" s="20"/>
      <c r="L83" s="64"/>
      <c r="M83" s="20"/>
      <c r="N83" s="23"/>
      <c r="O83" s="25"/>
      <c r="P83" s="23"/>
      <c r="Q83" s="20"/>
      <c r="R83" s="20"/>
      <c r="S83" s="20"/>
      <c r="T83" s="20"/>
      <c r="X83" s="28"/>
      <c r="Y83" s="28"/>
    </row>
    <row r="84" customFormat="false" ht="30" hidden="false" customHeight="true" outlineLevel="0" collapsed="false">
      <c r="B84" s="19"/>
      <c r="C84" s="38"/>
      <c r="D84" s="38"/>
      <c r="E84" s="23"/>
      <c r="F84" s="84"/>
      <c r="G84" s="24"/>
      <c r="H84" s="20"/>
      <c r="I84" s="20"/>
      <c r="J84" s="20"/>
      <c r="K84" s="20"/>
      <c r="L84" s="64"/>
      <c r="M84" s="20"/>
      <c r="N84" s="23"/>
      <c r="O84" s="25"/>
      <c r="P84" s="23"/>
      <c r="Q84" s="20"/>
      <c r="R84" s="20"/>
      <c r="S84" s="20"/>
      <c r="T84" s="20"/>
      <c r="X84" s="28"/>
      <c r="Y84" s="28"/>
    </row>
    <row r="85" customFormat="false" ht="30" hidden="false" customHeight="true" outlineLevel="0" collapsed="false">
      <c r="B85" s="19"/>
      <c r="C85" s="38"/>
      <c r="D85" s="38"/>
      <c r="E85" s="23"/>
      <c r="F85" s="84"/>
      <c r="G85" s="24"/>
      <c r="H85" s="20"/>
      <c r="I85" s="20"/>
      <c r="J85" s="20"/>
      <c r="K85" s="20"/>
      <c r="L85" s="64"/>
      <c r="M85" s="20"/>
      <c r="N85" s="23"/>
      <c r="O85" s="25"/>
      <c r="P85" s="23"/>
      <c r="Q85" s="20"/>
      <c r="R85" s="20"/>
      <c r="S85" s="20"/>
      <c r="T85" s="20"/>
      <c r="X85" s="28"/>
      <c r="Y85" s="28"/>
    </row>
    <row r="86" customFormat="false" ht="30" hidden="false" customHeight="true" outlineLevel="0" collapsed="false">
      <c r="B86" s="19"/>
      <c r="C86" s="38"/>
      <c r="D86" s="38"/>
      <c r="E86" s="23"/>
      <c r="F86" s="84"/>
      <c r="G86" s="24"/>
      <c r="H86" s="20"/>
      <c r="I86" s="20"/>
      <c r="J86" s="20"/>
      <c r="K86" s="20"/>
      <c r="L86" s="64"/>
      <c r="M86" s="20"/>
      <c r="N86" s="23"/>
      <c r="O86" s="25"/>
      <c r="P86" s="23"/>
      <c r="Q86" s="20"/>
      <c r="R86" s="20"/>
      <c r="S86" s="20"/>
      <c r="T86" s="20"/>
      <c r="X86" s="28"/>
      <c r="Y86" s="28"/>
    </row>
    <row r="87" customFormat="false" ht="30" hidden="false" customHeight="true" outlineLevel="0" collapsed="false">
      <c r="B87" s="19"/>
      <c r="C87" s="38"/>
      <c r="D87" s="38"/>
      <c r="E87" s="23"/>
      <c r="F87" s="84"/>
      <c r="G87" s="24"/>
      <c r="H87" s="20"/>
      <c r="I87" s="20"/>
      <c r="J87" s="20"/>
      <c r="K87" s="20"/>
      <c r="L87" s="64"/>
      <c r="M87" s="20"/>
      <c r="N87" s="23"/>
      <c r="O87" s="25"/>
      <c r="P87" s="23"/>
      <c r="Q87" s="20"/>
      <c r="R87" s="20"/>
      <c r="S87" s="20"/>
      <c r="T87" s="20"/>
      <c r="X87" s="28"/>
      <c r="Y87" s="28"/>
    </row>
    <row r="88" customFormat="false" ht="30" hidden="false" customHeight="true" outlineLevel="0" collapsed="false">
      <c r="B88" s="19"/>
      <c r="C88" s="38"/>
      <c r="D88" s="38"/>
      <c r="E88" s="23"/>
      <c r="F88" s="84"/>
      <c r="G88" s="24"/>
      <c r="H88" s="20"/>
      <c r="I88" s="20"/>
      <c r="J88" s="20"/>
      <c r="K88" s="20"/>
      <c r="L88" s="64"/>
      <c r="M88" s="20"/>
      <c r="N88" s="23"/>
      <c r="O88" s="25"/>
      <c r="P88" s="23"/>
      <c r="Q88" s="20"/>
      <c r="R88" s="20"/>
      <c r="S88" s="20"/>
      <c r="T88" s="20"/>
      <c r="X88" s="28"/>
      <c r="Y88" s="28"/>
    </row>
    <row r="89" customFormat="false" ht="30" hidden="false" customHeight="true" outlineLevel="0" collapsed="false">
      <c r="B89" s="19"/>
      <c r="C89" s="38"/>
      <c r="D89" s="38"/>
      <c r="E89" s="23"/>
      <c r="F89" s="84"/>
      <c r="G89" s="24"/>
      <c r="H89" s="20"/>
      <c r="I89" s="20"/>
      <c r="J89" s="20"/>
      <c r="K89" s="20"/>
      <c r="L89" s="64"/>
      <c r="M89" s="20"/>
      <c r="N89" s="23"/>
      <c r="O89" s="25"/>
      <c r="P89" s="23"/>
      <c r="Q89" s="20"/>
      <c r="R89" s="20"/>
      <c r="S89" s="20"/>
      <c r="T89" s="20"/>
      <c r="X89" s="28"/>
      <c r="Y89" s="28"/>
    </row>
    <row r="90" customFormat="false" ht="30" hidden="false" customHeight="true" outlineLevel="0" collapsed="false">
      <c r="B90" s="19"/>
      <c r="C90" s="38"/>
      <c r="D90" s="38"/>
      <c r="E90" s="23"/>
      <c r="F90" s="84"/>
      <c r="G90" s="24"/>
      <c r="H90" s="20"/>
      <c r="I90" s="20"/>
      <c r="J90" s="20"/>
      <c r="K90" s="20"/>
      <c r="L90" s="64"/>
      <c r="M90" s="20"/>
      <c r="N90" s="23"/>
      <c r="O90" s="25"/>
      <c r="P90" s="23"/>
      <c r="Q90" s="20"/>
      <c r="R90" s="20"/>
      <c r="S90" s="20"/>
      <c r="T90" s="20"/>
      <c r="X90" s="28"/>
      <c r="Y90" s="28"/>
    </row>
    <row r="91" customFormat="false" ht="30" hidden="false" customHeight="true" outlineLevel="0" collapsed="false">
      <c r="B91" s="19"/>
      <c r="C91" s="38"/>
      <c r="D91" s="38"/>
      <c r="E91" s="23"/>
      <c r="F91" s="84"/>
      <c r="G91" s="24"/>
      <c r="H91" s="20"/>
      <c r="I91" s="20"/>
      <c r="J91" s="20"/>
      <c r="K91" s="20"/>
      <c r="L91" s="64"/>
      <c r="M91" s="20"/>
      <c r="N91" s="23"/>
      <c r="O91" s="25"/>
      <c r="P91" s="23"/>
      <c r="Q91" s="20"/>
      <c r="R91" s="20"/>
      <c r="S91" s="20"/>
      <c r="T91" s="20"/>
      <c r="X91" s="28"/>
      <c r="Y91" s="28"/>
    </row>
    <row r="92" customFormat="false" ht="30" hidden="false" customHeight="true" outlineLevel="0" collapsed="false">
      <c r="B92" s="19"/>
      <c r="C92" s="38"/>
      <c r="D92" s="38"/>
      <c r="E92" s="23"/>
      <c r="F92" s="84"/>
      <c r="G92" s="24"/>
      <c r="H92" s="20"/>
      <c r="I92" s="20"/>
      <c r="J92" s="20"/>
      <c r="K92" s="20"/>
      <c r="L92" s="64"/>
      <c r="M92" s="20"/>
      <c r="N92" s="23"/>
      <c r="O92" s="25"/>
      <c r="P92" s="23"/>
      <c r="Q92" s="20"/>
      <c r="R92" s="20"/>
      <c r="S92" s="20"/>
      <c r="T92" s="20"/>
      <c r="X92" s="28"/>
      <c r="Y92" s="28"/>
    </row>
    <row r="93" customFormat="false" ht="30" hidden="false" customHeight="true" outlineLevel="0" collapsed="false">
      <c r="B93" s="19"/>
      <c r="C93" s="38"/>
      <c r="D93" s="38"/>
      <c r="E93" s="23"/>
      <c r="F93" s="84"/>
      <c r="G93" s="24"/>
      <c r="H93" s="20"/>
      <c r="I93" s="20"/>
      <c r="J93" s="20"/>
      <c r="K93" s="20"/>
      <c r="L93" s="64"/>
      <c r="M93" s="20"/>
      <c r="N93" s="23"/>
      <c r="O93" s="25"/>
      <c r="P93" s="23"/>
      <c r="Q93" s="20"/>
      <c r="R93" s="20"/>
      <c r="S93" s="20"/>
      <c r="T93" s="20"/>
      <c r="X93" s="28"/>
      <c r="Y93" s="28"/>
    </row>
    <row r="94" customFormat="false" ht="30" hidden="false" customHeight="true" outlineLevel="0" collapsed="false">
      <c r="B94" s="19"/>
      <c r="C94" s="38"/>
      <c r="D94" s="38"/>
      <c r="E94" s="23"/>
      <c r="F94" s="84"/>
      <c r="G94" s="24"/>
      <c r="H94" s="20"/>
      <c r="I94" s="20"/>
      <c r="J94" s="20"/>
      <c r="K94" s="20"/>
      <c r="L94" s="64"/>
      <c r="M94" s="20"/>
      <c r="N94" s="23"/>
      <c r="O94" s="25"/>
      <c r="P94" s="23"/>
      <c r="Q94" s="20"/>
      <c r="R94" s="20"/>
      <c r="S94" s="20"/>
      <c r="T94" s="20"/>
      <c r="X94" s="28"/>
      <c r="Y94" s="28"/>
    </row>
    <row r="95" customFormat="false" ht="30" hidden="false" customHeight="true" outlineLevel="0" collapsed="false">
      <c r="B95" s="19"/>
      <c r="C95" s="38"/>
      <c r="D95" s="38"/>
      <c r="E95" s="23"/>
      <c r="F95" s="84"/>
      <c r="G95" s="24"/>
      <c r="H95" s="20"/>
      <c r="I95" s="20"/>
      <c r="J95" s="20"/>
      <c r="K95" s="20"/>
      <c r="L95" s="64"/>
      <c r="M95" s="20"/>
      <c r="N95" s="23"/>
      <c r="O95" s="25"/>
      <c r="P95" s="23"/>
      <c r="Q95" s="20"/>
      <c r="R95" s="20"/>
      <c r="S95" s="20"/>
      <c r="T95" s="20"/>
      <c r="X95" s="28"/>
      <c r="Y95" s="28"/>
    </row>
    <row r="96" customFormat="false" ht="30" hidden="false" customHeight="true" outlineLevel="0" collapsed="false">
      <c r="B96" s="19"/>
      <c r="C96" s="38"/>
      <c r="D96" s="38"/>
      <c r="E96" s="23"/>
      <c r="F96" s="84"/>
      <c r="G96" s="24"/>
      <c r="H96" s="20"/>
      <c r="I96" s="20"/>
      <c r="J96" s="20"/>
      <c r="K96" s="20"/>
      <c r="L96" s="64"/>
      <c r="M96" s="20"/>
      <c r="N96" s="23"/>
      <c r="O96" s="25"/>
      <c r="P96" s="23"/>
      <c r="Q96" s="20"/>
      <c r="R96" s="20"/>
      <c r="S96" s="20"/>
      <c r="T96" s="20"/>
      <c r="X96" s="28"/>
      <c r="Y96" s="28"/>
    </row>
    <row r="97" customFormat="false" ht="30" hidden="false" customHeight="true" outlineLevel="0" collapsed="false">
      <c r="B97" s="19"/>
      <c r="C97" s="38"/>
      <c r="D97" s="38"/>
      <c r="E97" s="23"/>
      <c r="F97" s="84"/>
      <c r="G97" s="24"/>
      <c r="H97" s="20"/>
      <c r="I97" s="20"/>
      <c r="J97" s="20"/>
      <c r="K97" s="20"/>
      <c r="L97" s="64"/>
      <c r="M97" s="20"/>
      <c r="N97" s="23"/>
      <c r="O97" s="25"/>
      <c r="P97" s="23"/>
      <c r="Q97" s="20"/>
      <c r="R97" s="20"/>
      <c r="S97" s="20"/>
      <c r="T97" s="20"/>
      <c r="X97" s="28"/>
      <c r="Y97" s="28"/>
    </row>
    <row r="98" customFormat="false" ht="30" hidden="false" customHeight="true" outlineLevel="0" collapsed="false">
      <c r="B98" s="19"/>
      <c r="C98" s="38"/>
      <c r="D98" s="38"/>
      <c r="E98" s="23"/>
      <c r="F98" s="84"/>
      <c r="G98" s="24"/>
      <c r="H98" s="20"/>
      <c r="I98" s="20"/>
      <c r="J98" s="20"/>
      <c r="K98" s="20"/>
      <c r="L98" s="64"/>
      <c r="M98" s="20"/>
      <c r="N98" s="23"/>
      <c r="O98" s="25"/>
      <c r="P98" s="23"/>
      <c r="Q98" s="20"/>
      <c r="R98" s="20"/>
      <c r="S98" s="20"/>
      <c r="T98" s="20"/>
      <c r="X98" s="28"/>
      <c r="Y98" s="28"/>
    </row>
    <row r="99" customFormat="false" ht="30" hidden="false" customHeight="true" outlineLevel="0" collapsed="false">
      <c r="B99" s="19"/>
      <c r="C99" s="38"/>
      <c r="D99" s="38"/>
      <c r="E99" s="23"/>
      <c r="F99" s="84"/>
      <c r="G99" s="24"/>
      <c r="H99" s="20"/>
      <c r="I99" s="20"/>
      <c r="J99" s="20"/>
      <c r="K99" s="20"/>
      <c r="L99" s="64"/>
      <c r="M99" s="20"/>
      <c r="N99" s="23"/>
      <c r="O99" s="25"/>
      <c r="P99" s="23"/>
      <c r="Q99" s="20"/>
      <c r="R99" s="20"/>
      <c r="S99" s="20"/>
      <c r="T99" s="20"/>
      <c r="X99" s="28"/>
      <c r="Y99" s="28"/>
    </row>
    <row r="100" customFormat="false" ht="30" hidden="false" customHeight="true" outlineLevel="0" collapsed="false">
      <c r="B100" s="19"/>
      <c r="C100" s="38"/>
      <c r="D100" s="38"/>
      <c r="E100" s="23"/>
      <c r="F100" s="84"/>
      <c r="G100" s="24"/>
      <c r="H100" s="20"/>
      <c r="I100" s="20"/>
      <c r="J100" s="20"/>
      <c r="K100" s="20"/>
      <c r="L100" s="64"/>
      <c r="M100" s="20"/>
      <c r="N100" s="23"/>
      <c r="O100" s="25"/>
      <c r="P100" s="23"/>
      <c r="Q100" s="20"/>
      <c r="R100" s="20"/>
      <c r="S100" s="20"/>
      <c r="T100" s="20"/>
      <c r="X100" s="28"/>
      <c r="Y100" s="28"/>
    </row>
    <row r="101" customFormat="false" ht="30" hidden="false" customHeight="true" outlineLevel="0" collapsed="false">
      <c r="B101" s="19"/>
      <c r="C101" s="38"/>
      <c r="D101" s="38"/>
      <c r="E101" s="23"/>
      <c r="F101" s="84"/>
      <c r="G101" s="24"/>
      <c r="H101" s="20"/>
      <c r="I101" s="20"/>
      <c r="J101" s="20"/>
      <c r="K101" s="20"/>
      <c r="L101" s="64"/>
      <c r="M101" s="20"/>
      <c r="N101" s="23"/>
      <c r="O101" s="25"/>
      <c r="P101" s="23"/>
      <c r="Q101" s="20"/>
      <c r="R101" s="20"/>
      <c r="S101" s="20"/>
      <c r="T101" s="20"/>
      <c r="X101" s="28"/>
      <c r="Y101" s="28"/>
    </row>
    <row r="102" customFormat="false" ht="30" hidden="false" customHeight="true" outlineLevel="0" collapsed="false">
      <c r="B102" s="19"/>
      <c r="C102" s="38"/>
      <c r="D102" s="38"/>
      <c r="E102" s="23"/>
      <c r="F102" s="84"/>
      <c r="G102" s="24"/>
      <c r="H102" s="20"/>
      <c r="I102" s="20"/>
      <c r="J102" s="20"/>
      <c r="K102" s="20"/>
      <c r="L102" s="64"/>
      <c r="M102" s="20"/>
      <c r="N102" s="23"/>
      <c r="O102" s="25"/>
      <c r="P102" s="23"/>
      <c r="Q102" s="20"/>
      <c r="R102" s="20"/>
      <c r="S102" s="20"/>
      <c r="T102" s="20"/>
      <c r="X102" s="28"/>
      <c r="Y102" s="28"/>
    </row>
    <row r="103" customFormat="false" ht="30" hidden="false" customHeight="true" outlineLevel="0" collapsed="false">
      <c r="B103" s="19"/>
      <c r="C103" s="38"/>
      <c r="D103" s="38"/>
      <c r="E103" s="23"/>
      <c r="F103" s="84"/>
      <c r="G103" s="24"/>
      <c r="H103" s="20"/>
      <c r="I103" s="20"/>
      <c r="J103" s="20"/>
      <c r="K103" s="20"/>
      <c r="L103" s="64"/>
      <c r="M103" s="20"/>
      <c r="N103" s="23"/>
      <c r="O103" s="25"/>
      <c r="P103" s="23"/>
      <c r="Q103" s="20"/>
      <c r="R103" s="20"/>
      <c r="S103" s="20"/>
      <c r="T103" s="20"/>
      <c r="X103" s="28"/>
      <c r="Y103" s="28"/>
    </row>
    <row r="104" customFormat="false" ht="30" hidden="false" customHeight="true" outlineLevel="0" collapsed="false">
      <c r="B104" s="19"/>
      <c r="C104" s="38"/>
      <c r="D104" s="38"/>
      <c r="E104" s="23"/>
      <c r="F104" s="84"/>
      <c r="G104" s="24"/>
      <c r="H104" s="20"/>
      <c r="I104" s="20"/>
      <c r="J104" s="20"/>
      <c r="K104" s="20"/>
      <c r="L104" s="64"/>
      <c r="M104" s="20"/>
      <c r="N104" s="23"/>
      <c r="O104" s="25"/>
      <c r="P104" s="23"/>
      <c r="Q104" s="20"/>
      <c r="R104" s="20"/>
      <c r="S104" s="20"/>
      <c r="T104" s="20"/>
      <c r="X104" s="28"/>
      <c r="Y104" s="28"/>
    </row>
    <row r="105" customFormat="false" ht="30" hidden="false" customHeight="true" outlineLevel="0" collapsed="false">
      <c r="B105" s="19"/>
      <c r="C105" s="38"/>
      <c r="D105" s="38"/>
      <c r="E105" s="23"/>
      <c r="F105" s="84"/>
      <c r="G105" s="24"/>
      <c r="H105" s="20"/>
      <c r="I105" s="20"/>
      <c r="J105" s="20"/>
      <c r="K105" s="20"/>
      <c r="L105" s="64"/>
      <c r="M105" s="20"/>
      <c r="N105" s="23"/>
      <c r="O105" s="25"/>
      <c r="P105" s="23"/>
      <c r="Q105" s="20"/>
      <c r="R105" s="20"/>
      <c r="S105" s="20"/>
      <c r="T105" s="20"/>
      <c r="X105" s="28"/>
      <c r="Y105" s="28"/>
    </row>
    <row r="106" customFormat="false" ht="30" hidden="false" customHeight="true" outlineLevel="0" collapsed="false">
      <c r="B106" s="19"/>
      <c r="C106" s="38"/>
      <c r="D106" s="38"/>
      <c r="E106" s="23"/>
      <c r="F106" s="84"/>
      <c r="G106" s="24"/>
      <c r="H106" s="20"/>
      <c r="I106" s="20"/>
      <c r="J106" s="20"/>
      <c r="K106" s="20"/>
      <c r="L106" s="64"/>
      <c r="M106" s="20"/>
      <c r="N106" s="23"/>
      <c r="O106" s="25"/>
      <c r="P106" s="23"/>
      <c r="Q106" s="20"/>
      <c r="R106" s="20"/>
      <c r="S106" s="20"/>
      <c r="T106" s="20"/>
      <c r="X106" s="28"/>
      <c r="Y106" s="28"/>
    </row>
    <row r="107" customFormat="false" ht="30" hidden="false" customHeight="true" outlineLevel="0" collapsed="false">
      <c r="B107" s="19"/>
      <c r="C107" s="38"/>
      <c r="D107" s="38"/>
      <c r="E107" s="23"/>
      <c r="F107" s="84"/>
      <c r="G107" s="24"/>
      <c r="H107" s="20"/>
      <c r="I107" s="20"/>
      <c r="J107" s="20"/>
      <c r="K107" s="20"/>
      <c r="L107" s="64"/>
      <c r="M107" s="20"/>
      <c r="N107" s="23"/>
      <c r="O107" s="25"/>
      <c r="P107" s="23"/>
      <c r="Q107" s="20"/>
      <c r="R107" s="20"/>
      <c r="S107" s="20"/>
      <c r="T107" s="20"/>
      <c r="X107" s="28"/>
      <c r="Y107" s="28"/>
    </row>
    <row r="108" customFormat="false" ht="30" hidden="false" customHeight="true" outlineLevel="0" collapsed="false">
      <c r="B108" s="19"/>
      <c r="C108" s="38"/>
      <c r="D108" s="38"/>
      <c r="E108" s="23"/>
      <c r="F108" s="84"/>
      <c r="G108" s="24"/>
      <c r="H108" s="20"/>
      <c r="I108" s="20"/>
      <c r="J108" s="20"/>
      <c r="K108" s="20"/>
      <c r="L108" s="64"/>
      <c r="M108" s="20"/>
      <c r="N108" s="23"/>
      <c r="O108" s="25"/>
      <c r="P108" s="23"/>
      <c r="Q108" s="20"/>
      <c r="R108" s="20"/>
      <c r="S108" s="20"/>
      <c r="T108" s="20"/>
      <c r="X108" s="28"/>
      <c r="Y108" s="28"/>
    </row>
    <row r="109" customFormat="false" ht="30" hidden="false" customHeight="true" outlineLevel="0" collapsed="false">
      <c r="B109" s="19"/>
      <c r="C109" s="38"/>
      <c r="D109" s="38"/>
      <c r="E109" s="23"/>
      <c r="F109" s="84"/>
      <c r="G109" s="24"/>
      <c r="H109" s="20"/>
      <c r="I109" s="20"/>
      <c r="J109" s="20"/>
      <c r="K109" s="20"/>
      <c r="L109" s="64"/>
      <c r="M109" s="20"/>
      <c r="N109" s="23"/>
      <c r="O109" s="25"/>
      <c r="P109" s="23"/>
      <c r="Q109" s="20"/>
      <c r="R109" s="20"/>
      <c r="S109" s="20"/>
      <c r="T109" s="20"/>
      <c r="X109" s="28"/>
      <c r="Y109" s="28"/>
    </row>
    <row r="110" customFormat="false" ht="30" hidden="false" customHeight="true" outlineLevel="0" collapsed="false">
      <c r="B110" s="19"/>
      <c r="C110" s="38"/>
      <c r="D110" s="38"/>
      <c r="E110" s="23"/>
      <c r="F110" s="84"/>
      <c r="G110" s="24"/>
      <c r="H110" s="20"/>
      <c r="I110" s="20"/>
      <c r="J110" s="20"/>
      <c r="K110" s="20"/>
      <c r="L110" s="64"/>
      <c r="M110" s="20"/>
      <c r="N110" s="23"/>
      <c r="O110" s="25"/>
      <c r="P110" s="23"/>
      <c r="Q110" s="20"/>
      <c r="R110" s="20"/>
      <c r="S110" s="20"/>
      <c r="T110" s="20"/>
      <c r="X110" s="28"/>
      <c r="Y110" s="28"/>
    </row>
    <row r="111" customFormat="false" ht="30" hidden="false" customHeight="true" outlineLevel="0" collapsed="false">
      <c r="B111" s="19"/>
      <c r="C111" s="38"/>
      <c r="D111" s="38"/>
      <c r="E111" s="23"/>
      <c r="F111" s="84"/>
      <c r="G111" s="24"/>
      <c r="H111" s="20"/>
      <c r="I111" s="20"/>
      <c r="J111" s="20"/>
      <c r="K111" s="20"/>
      <c r="L111" s="64"/>
      <c r="M111" s="20"/>
      <c r="N111" s="23"/>
      <c r="O111" s="25"/>
      <c r="P111" s="23"/>
      <c r="Q111" s="20"/>
      <c r="R111" s="20"/>
      <c r="S111" s="20"/>
      <c r="T111" s="20"/>
      <c r="X111" s="28"/>
      <c r="Y111" s="28"/>
    </row>
    <row r="112" customFormat="false" ht="30" hidden="false" customHeight="true" outlineLevel="0" collapsed="false">
      <c r="B112" s="19"/>
      <c r="C112" s="38"/>
      <c r="D112" s="38"/>
      <c r="E112" s="23"/>
      <c r="F112" s="84"/>
      <c r="G112" s="24"/>
      <c r="H112" s="20"/>
      <c r="I112" s="20"/>
      <c r="J112" s="20"/>
      <c r="K112" s="20"/>
      <c r="L112" s="64"/>
      <c r="M112" s="20"/>
      <c r="N112" s="23"/>
      <c r="O112" s="25"/>
      <c r="P112" s="23"/>
      <c r="Q112" s="20"/>
      <c r="R112" s="20"/>
      <c r="S112" s="20"/>
      <c r="T112" s="20"/>
      <c r="X112" s="28"/>
      <c r="Y112" s="28"/>
    </row>
    <row r="113" customFormat="false" ht="30" hidden="false" customHeight="true" outlineLevel="0" collapsed="false">
      <c r="B113" s="19"/>
      <c r="C113" s="38"/>
      <c r="D113" s="38"/>
      <c r="E113" s="23"/>
      <c r="F113" s="84"/>
      <c r="G113" s="24"/>
      <c r="H113" s="20"/>
      <c r="I113" s="20"/>
      <c r="J113" s="20"/>
      <c r="K113" s="20"/>
      <c r="L113" s="64"/>
      <c r="M113" s="20"/>
      <c r="N113" s="23"/>
      <c r="O113" s="25"/>
      <c r="P113" s="23"/>
      <c r="Q113" s="20"/>
      <c r="R113" s="20"/>
      <c r="S113" s="20"/>
      <c r="T113" s="20"/>
      <c r="X113" s="28"/>
      <c r="Y113" s="28"/>
    </row>
    <row r="114" customFormat="false" ht="30" hidden="false" customHeight="true" outlineLevel="0" collapsed="false">
      <c r="B114" s="19"/>
      <c r="C114" s="38"/>
      <c r="D114" s="38"/>
      <c r="E114" s="23"/>
      <c r="F114" s="84"/>
      <c r="G114" s="24"/>
      <c r="H114" s="20"/>
      <c r="I114" s="20"/>
      <c r="J114" s="20"/>
      <c r="K114" s="20"/>
      <c r="L114" s="64"/>
      <c r="M114" s="20"/>
      <c r="N114" s="23"/>
      <c r="O114" s="25"/>
      <c r="P114" s="23"/>
      <c r="Q114" s="20"/>
      <c r="R114" s="20"/>
      <c r="S114" s="20"/>
      <c r="T114" s="20"/>
      <c r="X114" s="28"/>
      <c r="Y114" s="28"/>
    </row>
    <row r="115" customFormat="false" ht="30" hidden="false" customHeight="true" outlineLevel="0" collapsed="false">
      <c r="B115" s="19"/>
      <c r="C115" s="38"/>
      <c r="D115" s="38"/>
      <c r="E115" s="23"/>
      <c r="F115" s="84"/>
      <c r="G115" s="24"/>
      <c r="H115" s="20"/>
      <c r="I115" s="20"/>
      <c r="J115" s="20"/>
      <c r="K115" s="20"/>
      <c r="L115" s="64"/>
      <c r="M115" s="20"/>
      <c r="N115" s="23"/>
      <c r="O115" s="25"/>
      <c r="P115" s="23"/>
      <c r="Q115" s="20"/>
      <c r="R115" s="20"/>
      <c r="S115" s="20"/>
      <c r="T115" s="20"/>
      <c r="X115" s="28"/>
      <c r="Y115" s="28"/>
    </row>
    <row r="116" customFormat="false" ht="30" hidden="false" customHeight="true" outlineLevel="0" collapsed="false">
      <c r="B116" s="19"/>
      <c r="C116" s="38"/>
      <c r="D116" s="38"/>
      <c r="E116" s="23"/>
      <c r="F116" s="84"/>
      <c r="G116" s="24"/>
      <c r="H116" s="20"/>
      <c r="I116" s="20"/>
      <c r="J116" s="20"/>
      <c r="K116" s="20"/>
      <c r="L116" s="64"/>
      <c r="M116" s="20"/>
      <c r="N116" s="23"/>
      <c r="O116" s="25"/>
      <c r="P116" s="23"/>
      <c r="Q116" s="20"/>
      <c r="R116" s="20"/>
      <c r="S116" s="20"/>
      <c r="T116" s="20"/>
      <c r="X116" s="28"/>
      <c r="Y116" s="28"/>
    </row>
    <row r="117" customFormat="false" ht="30" hidden="false" customHeight="true" outlineLevel="0" collapsed="false">
      <c r="B117" s="19"/>
      <c r="C117" s="38"/>
      <c r="D117" s="38"/>
      <c r="E117" s="23"/>
      <c r="F117" s="84"/>
      <c r="G117" s="24"/>
      <c r="H117" s="20"/>
      <c r="I117" s="20"/>
      <c r="J117" s="20"/>
      <c r="K117" s="20"/>
      <c r="L117" s="64"/>
      <c r="M117" s="20"/>
      <c r="N117" s="23"/>
      <c r="O117" s="25"/>
      <c r="P117" s="23"/>
      <c r="Q117" s="20"/>
      <c r="R117" s="20"/>
      <c r="S117" s="20"/>
      <c r="T117" s="20"/>
      <c r="X117" s="28"/>
      <c r="Y117" s="28"/>
    </row>
    <row r="118" customFormat="false" ht="30" hidden="false" customHeight="true" outlineLevel="0" collapsed="false">
      <c r="B118" s="19"/>
      <c r="C118" s="38"/>
      <c r="D118" s="38"/>
      <c r="E118" s="23"/>
      <c r="F118" s="84"/>
      <c r="G118" s="24"/>
      <c r="H118" s="20"/>
      <c r="I118" s="20"/>
      <c r="J118" s="20"/>
      <c r="K118" s="20"/>
      <c r="L118" s="64"/>
      <c r="M118" s="20"/>
      <c r="N118" s="23"/>
      <c r="O118" s="25"/>
      <c r="P118" s="23"/>
      <c r="Q118" s="20"/>
      <c r="R118" s="20"/>
      <c r="S118" s="20"/>
      <c r="T118" s="20"/>
      <c r="X118" s="28"/>
      <c r="Y118" s="28"/>
    </row>
    <row r="119" customFormat="false" ht="30" hidden="false" customHeight="true" outlineLevel="0" collapsed="false">
      <c r="B119" s="19"/>
      <c r="C119" s="38"/>
      <c r="D119" s="38"/>
      <c r="E119" s="23"/>
      <c r="F119" s="84"/>
      <c r="G119" s="24"/>
      <c r="H119" s="20"/>
      <c r="I119" s="20"/>
      <c r="J119" s="20"/>
      <c r="K119" s="20"/>
      <c r="L119" s="64"/>
      <c r="M119" s="20"/>
      <c r="N119" s="23"/>
      <c r="O119" s="25"/>
      <c r="P119" s="23"/>
      <c r="Q119" s="20"/>
      <c r="R119" s="20"/>
      <c r="S119" s="20"/>
      <c r="T119" s="20"/>
      <c r="X119" s="28"/>
      <c r="Y119" s="28"/>
    </row>
    <row r="120" customFormat="false" ht="30" hidden="false" customHeight="true" outlineLevel="0" collapsed="false">
      <c r="B120" s="19"/>
      <c r="C120" s="38"/>
      <c r="D120" s="38"/>
      <c r="E120" s="23"/>
      <c r="F120" s="84"/>
      <c r="G120" s="24"/>
      <c r="H120" s="20"/>
      <c r="I120" s="20"/>
      <c r="J120" s="20"/>
      <c r="K120" s="20"/>
      <c r="L120" s="64"/>
      <c r="M120" s="20"/>
      <c r="N120" s="23"/>
      <c r="O120" s="25"/>
      <c r="P120" s="23"/>
      <c r="Q120" s="20"/>
      <c r="R120" s="20"/>
      <c r="S120" s="20"/>
      <c r="T120" s="20"/>
      <c r="X120" s="28"/>
      <c r="Y120" s="28"/>
    </row>
    <row r="121" customFormat="false" ht="30" hidden="false" customHeight="true" outlineLevel="0" collapsed="false">
      <c r="B121" s="19"/>
      <c r="C121" s="38"/>
      <c r="D121" s="38"/>
      <c r="E121" s="23"/>
      <c r="F121" s="84"/>
      <c r="G121" s="24"/>
      <c r="H121" s="20"/>
      <c r="I121" s="20"/>
      <c r="J121" s="20"/>
      <c r="K121" s="20"/>
      <c r="L121" s="64"/>
      <c r="M121" s="20"/>
      <c r="N121" s="23"/>
      <c r="O121" s="25"/>
      <c r="P121" s="23"/>
      <c r="Q121" s="20"/>
      <c r="R121" s="20"/>
      <c r="S121" s="20"/>
      <c r="T121" s="20"/>
      <c r="X121" s="28"/>
      <c r="Y121" s="28"/>
    </row>
    <row r="122" customFormat="false" ht="30" hidden="false" customHeight="true" outlineLevel="0" collapsed="false">
      <c r="B122" s="19"/>
      <c r="C122" s="38"/>
      <c r="D122" s="38"/>
      <c r="E122" s="23"/>
      <c r="F122" s="84"/>
      <c r="G122" s="24"/>
      <c r="H122" s="20"/>
      <c r="I122" s="20"/>
      <c r="J122" s="20"/>
      <c r="K122" s="20"/>
      <c r="L122" s="64"/>
      <c r="M122" s="20"/>
      <c r="N122" s="23"/>
      <c r="O122" s="25"/>
      <c r="P122" s="23"/>
      <c r="Q122" s="20"/>
      <c r="R122" s="20"/>
      <c r="S122" s="20"/>
      <c r="T122" s="20"/>
      <c r="X122" s="28"/>
      <c r="Y122" s="28"/>
    </row>
    <row r="123" customFormat="false" ht="30" hidden="false" customHeight="true" outlineLevel="0" collapsed="false">
      <c r="B123" s="19"/>
      <c r="C123" s="38"/>
      <c r="D123" s="38"/>
      <c r="E123" s="23"/>
      <c r="F123" s="84"/>
      <c r="G123" s="24"/>
      <c r="H123" s="20"/>
      <c r="I123" s="20"/>
      <c r="J123" s="20"/>
      <c r="K123" s="20"/>
      <c r="L123" s="64"/>
      <c r="M123" s="20"/>
      <c r="N123" s="23"/>
      <c r="O123" s="25"/>
      <c r="P123" s="23"/>
      <c r="Q123" s="20"/>
      <c r="R123" s="20"/>
      <c r="S123" s="20"/>
      <c r="T123" s="20"/>
      <c r="X123" s="28"/>
      <c r="Y123" s="28"/>
    </row>
    <row r="124" customFormat="false" ht="30" hidden="false" customHeight="true" outlineLevel="0" collapsed="false">
      <c r="B124" s="19"/>
      <c r="C124" s="38"/>
      <c r="D124" s="38"/>
      <c r="E124" s="23"/>
      <c r="F124" s="84"/>
      <c r="G124" s="24"/>
      <c r="H124" s="20"/>
      <c r="I124" s="20"/>
      <c r="J124" s="20"/>
      <c r="K124" s="20"/>
      <c r="L124" s="64"/>
      <c r="M124" s="20"/>
      <c r="N124" s="23"/>
      <c r="O124" s="25"/>
      <c r="P124" s="23"/>
      <c r="Q124" s="20"/>
      <c r="R124" s="20"/>
      <c r="S124" s="20"/>
      <c r="T124" s="20"/>
      <c r="X124" s="28"/>
      <c r="Y124" s="28"/>
    </row>
    <row r="125" customFormat="false" ht="30" hidden="false" customHeight="true" outlineLevel="0" collapsed="false">
      <c r="B125" s="19"/>
      <c r="C125" s="38"/>
      <c r="D125" s="38"/>
      <c r="E125" s="23"/>
      <c r="F125" s="84"/>
      <c r="G125" s="24"/>
      <c r="H125" s="20"/>
      <c r="I125" s="20"/>
      <c r="J125" s="20"/>
      <c r="K125" s="20"/>
      <c r="L125" s="64"/>
      <c r="M125" s="20"/>
      <c r="N125" s="23"/>
      <c r="O125" s="25"/>
      <c r="P125" s="23"/>
      <c r="Q125" s="20"/>
      <c r="R125" s="20"/>
      <c r="S125" s="20"/>
      <c r="T125" s="20"/>
      <c r="X125" s="28"/>
      <c r="Y125" s="28"/>
    </row>
    <row r="126" customFormat="false" ht="30" hidden="false" customHeight="true" outlineLevel="0" collapsed="false">
      <c r="B126" s="19"/>
      <c r="C126" s="38"/>
      <c r="D126" s="38"/>
      <c r="E126" s="23"/>
      <c r="F126" s="84"/>
      <c r="G126" s="24"/>
      <c r="H126" s="20"/>
      <c r="I126" s="20"/>
      <c r="J126" s="20"/>
      <c r="K126" s="20"/>
      <c r="L126" s="64"/>
      <c r="M126" s="20"/>
      <c r="N126" s="23"/>
      <c r="O126" s="25"/>
      <c r="P126" s="23"/>
      <c r="Q126" s="20"/>
      <c r="R126" s="20"/>
      <c r="S126" s="20"/>
      <c r="T126" s="20"/>
      <c r="X126" s="28"/>
      <c r="Y126" s="28"/>
    </row>
    <row r="127" customFormat="false" ht="30" hidden="false" customHeight="true" outlineLevel="0" collapsed="false">
      <c r="B127" s="19"/>
      <c r="C127" s="38"/>
      <c r="D127" s="38"/>
      <c r="E127" s="23"/>
      <c r="F127" s="84"/>
      <c r="G127" s="24"/>
      <c r="H127" s="20"/>
      <c r="I127" s="20"/>
      <c r="J127" s="20"/>
      <c r="K127" s="20"/>
      <c r="L127" s="64"/>
      <c r="M127" s="20"/>
      <c r="N127" s="23"/>
      <c r="O127" s="25"/>
      <c r="P127" s="23"/>
      <c r="Q127" s="20"/>
      <c r="R127" s="20"/>
      <c r="S127" s="20"/>
      <c r="T127" s="20"/>
      <c r="X127" s="28"/>
      <c r="Y127" s="28"/>
    </row>
    <row r="128" customFormat="false" ht="30" hidden="false" customHeight="true" outlineLevel="0" collapsed="false">
      <c r="B128" s="19"/>
      <c r="C128" s="38"/>
      <c r="D128" s="38"/>
      <c r="E128" s="23"/>
      <c r="F128" s="84"/>
      <c r="G128" s="24"/>
      <c r="H128" s="20"/>
      <c r="I128" s="20"/>
      <c r="J128" s="20"/>
      <c r="K128" s="20"/>
      <c r="L128" s="64"/>
      <c r="M128" s="20"/>
      <c r="N128" s="23"/>
      <c r="O128" s="25"/>
      <c r="P128" s="23"/>
      <c r="Q128" s="20"/>
      <c r="R128" s="20"/>
      <c r="S128" s="20"/>
      <c r="T128" s="20"/>
      <c r="X128" s="28"/>
      <c r="Y128" s="28"/>
    </row>
    <row r="129" customFormat="false" ht="30" hidden="false" customHeight="true" outlineLevel="0" collapsed="false">
      <c r="B129" s="19"/>
      <c r="C129" s="38"/>
      <c r="D129" s="38"/>
      <c r="E129" s="23"/>
      <c r="F129" s="84"/>
      <c r="G129" s="24"/>
      <c r="H129" s="20"/>
      <c r="I129" s="20"/>
      <c r="J129" s="20"/>
      <c r="K129" s="20"/>
      <c r="L129" s="64"/>
      <c r="M129" s="20"/>
      <c r="N129" s="23"/>
      <c r="O129" s="25"/>
      <c r="P129" s="23"/>
      <c r="Q129" s="20"/>
      <c r="R129" s="20"/>
      <c r="S129" s="20"/>
      <c r="T129" s="20"/>
      <c r="X129" s="28"/>
      <c r="Y129" s="28"/>
    </row>
    <row r="130" customFormat="false" ht="30" hidden="false" customHeight="true" outlineLevel="0" collapsed="false">
      <c r="B130" s="19"/>
      <c r="C130" s="38"/>
      <c r="D130" s="38"/>
      <c r="E130" s="23"/>
      <c r="F130" s="84"/>
      <c r="G130" s="24"/>
      <c r="H130" s="20"/>
      <c r="I130" s="20"/>
      <c r="J130" s="20"/>
      <c r="K130" s="20"/>
      <c r="L130" s="64"/>
      <c r="M130" s="20"/>
      <c r="N130" s="23"/>
      <c r="O130" s="25"/>
      <c r="P130" s="23"/>
      <c r="Q130" s="20"/>
      <c r="R130" s="20"/>
      <c r="S130" s="20"/>
      <c r="T130" s="20"/>
      <c r="X130" s="28"/>
      <c r="Y130" s="28"/>
    </row>
    <row r="131" customFormat="false" ht="30" hidden="false" customHeight="true" outlineLevel="0" collapsed="false">
      <c r="B131" s="19"/>
      <c r="C131" s="38"/>
      <c r="D131" s="38"/>
      <c r="E131" s="23"/>
      <c r="F131" s="84"/>
      <c r="G131" s="24"/>
      <c r="H131" s="20"/>
      <c r="I131" s="20"/>
      <c r="J131" s="20"/>
      <c r="K131" s="20"/>
      <c r="L131" s="64"/>
      <c r="M131" s="20"/>
      <c r="N131" s="23"/>
      <c r="O131" s="25"/>
      <c r="P131" s="23"/>
      <c r="Q131" s="20"/>
      <c r="R131" s="20"/>
      <c r="S131" s="20"/>
      <c r="T131" s="20"/>
      <c r="X131" s="28"/>
      <c r="Y131" s="28"/>
    </row>
    <row r="132" customFormat="false" ht="30" hidden="false" customHeight="true" outlineLevel="0" collapsed="false">
      <c r="B132" s="19"/>
      <c r="C132" s="38"/>
      <c r="D132" s="38"/>
      <c r="E132" s="23"/>
      <c r="F132" s="84"/>
      <c r="G132" s="24"/>
      <c r="H132" s="20"/>
      <c r="I132" s="20"/>
      <c r="J132" s="20"/>
      <c r="K132" s="20"/>
      <c r="L132" s="64"/>
      <c r="M132" s="20"/>
      <c r="N132" s="23"/>
      <c r="O132" s="25"/>
      <c r="P132" s="23"/>
      <c r="Q132" s="20"/>
      <c r="R132" s="20"/>
      <c r="S132" s="20"/>
      <c r="T132" s="20"/>
      <c r="X132" s="28"/>
      <c r="Y132" s="28"/>
    </row>
    <row r="133" customFormat="false" ht="30" hidden="false" customHeight="true" outlineLevel="0" collapsed="false">
      <c r="B133" s="19"/>
      <c r="C133" s="38"/>
      <c r="D133" s="38"/>
      <c r="E133" s="23"/>
      <c r="F133" s="84"/>
      <c r="G133" s="24"/>
      <c r="H133" s="20"/>
      <c r="I133" s="20"/>
      <c r="J133" s="20"/>
      <c r="K133" s="20"/>
      <c r="L133" s="64"/>
      <c r="M133" s="20"/>
      <c r="N133" s="23"/>
      <c r="O133" s="25"/>
      <c r="P133" s="23"/>
      <c r="Q133" s="20"/>
      <c r="R133" s="20"/>
      <c r="S133" s="20"/>
      <c r="T133" s="20"/>
      <c r="X133" s="28"/>
      <c r="Y133" s="28"/>
    </row>
    <row r="134" customFormat="false" ht="30" hidden="false" customHeight="true" outlineLevel="0" collapsed="false">
      <c r="B134" s="19"/>
      <c r="C134" s="38"/>
      <c r="D134" s="38"/>
      <c r="E134" s="23"/>
      <c r="F134" s="84"/>
      <c r="G134" s="24"/>
      <c r="H134" s="20"/>
      <c r="I134" s="20"/>
      <c r="J134" s="20"/>
      <c r="K134" s="20"/>
      <c r="L134" s="64"/>
      <c r="M134" s="20"/>
      <c r="N134" s="23"/>
      <c r="O134" s="25"/>
      <c r="P134" s="23"/>
      <c r="Q134" s="20"/>
      <c r="R134" s="20"/>
      <c r="S134" s="20"/>
      <c r="T134" s="20"/>
      <c r="X134" s="28"/>
      <c r="Y134" s="28"/>
    </row>
    <row r="135" customFormat="false" ht="30" hidden="false" customHeight="true" outlineLevel="0" collapsed="false">
      <c r="B135" s="19"/>
      <c r="C135" s="38"/>
      <c r="D135" s="38"/>
      <c r="E135" s="23"/>
      <c r="F135" s="84"/>
      <c r="G135" s="24"/>
      <c r="H135" s="20"/>
      <c r="I135" s="20"/>
      <c r="J135" s="20"/>
      <c r="K135" s="20"/>
      <c r="L135" s="64"/>
      <c r="M135" s="20"/>
      <c r="N135" s="23"/>
      <c r="O135" s="25"/>
      <c r="P135" s="23"/>
      <c r="Q135" s="20"/>
      <c r="R135" s="20"/>
      <c r="S135" s="20"/>
      <c r="T135" s="20"/>
      <c r="X135" s="28"/>
      <c r="Y135" s="28"/>
    </row>
    <row r="136" customFormat="false" ht="30" hidden="false" customHeight="true" outlineLevel="0" collapsed="false">
      <c r="B136" s="19"/>
      <c r="C136" s="38"/>
      <c r="D136" s="38"/>
      <c r="E136" s="23"/>
      <c r="F136" s="84"/>
      <c r="G136" s="24"/>
      <c r="H136" s="20"/>
      <c r="I136" s="20"/>
      <c r="J136" s="20"/>
      <c r="K136" s="20"/>
      <c r="L136" s="64"/>
      <c r="M136" s="20"/>
      <c r="N136" s="23"/>
      <c r="O136" s="25"/>
      <c r="P136" s="23"/>
      <c r="Q136" s="20"/>
      <c r="R136" s="20"/>
      <c r="S136" s="20"/>
      <c r="T136" s="20"/>
      <c r="X136" s="28"/>
      <c r="Y136" s="28"/>
    </row>
    <row r="137" customFormat="false" ht="30" hidden="false" customHeight="true" outlineLevel="0" collapsed="false">
      <c r="B137" s="19"/>
      <c r="C137" s="38"/>
      <c r="D137" s="38"/>
      <c r="E137" s="23"/>
      <c r="F137" s="84"/>
      <c r="G137" s="24"/>
      <c r="H137" s="20"/>
      <c r="I137" s="20"/>
      <c r="J137" s="20"/>
      <c r="K137" s="20"/>
      <c r="L137" s="64"/>
      <c r="M137" s="20"/>
      <c r="N137" s="23"/>
      <c r="O137" s="25"/>
      <c r="P137" s="23"/>
      <c r="Q137" s="20"/>
      <c r="R137" s="20"/>
      <c r="S137" s="20"/>
      <c r="T137" s="20"/>
      <c r="X137" s="28"/>
      <c r="Y137" s="28"/>
    </row>
    <row r="138" customFormat="false" ht="30" hidden="false" customHeight="true" outlineLevel="0" collapsed="false">
      <c r="B138" s="19"/>
      <c r="C138" s="38"/>
      <c r="D138" s="38"/>
      <c r="E138" s="23"/>
      <c r="F138" s="84"/>
      <c r="G138" s="24"/>
      <c r="H138" s="20"/>
      <c r="I138" s="20"/>
      <c r="J138" s="20"/>
      <c r="K138" s="20"/>
      <c r="L138" s="64"/>
      <c r="M138" s="20"/>
      <c r="N138" s="23"/>
      <c r="O138" s="25"/>
      <c r="P138" s="23"/>
      <c r="Q138" s="20"/>
      <c r="R138" s="20"/>
      <c r="S138" s="20"/>
      <c r="T138" s="20"/>
      <c r="X138" s="28"/>
      <c r="Y138" s="28"/>
    </row>
    <row r="139" customFormat="false" ht="30" hidden="false" customHeight="true" outlineLevel="0" collapsed="false">
      <c r="B139" s="19"/>
      <c r="C139" s="38"/>
      <c r="D139" s="38"/>
      <c r="E139" s="23"/>
      <c r="F139" s="84"/>
      <c r="G139" s="24"/>
      <c r="H139" s="20"/>
      <c r="I139" s="20"/>
      <c r="J139" s="20"/>
      <c r="K139" s="20"/>
      <c r="L139" s="64"/>
      <c r="M139" s="20"/>
      <c r="N139" s="23"/>
      <c r="O139" s="25"/>
      <c r="P139" s="23"/>
      <c r="Q139" s="20"/>
      <c r="R139" s="20"/>
      <c r="S139" s="20"/>
      <c r="T139" s="20"/>
      <c r="X139" s="28"/>
      <c r="Y139" s="28"/>
    </row>
    <row r="140" customFormat="false" ht="30" hidden="false" customHeight="true" outlineLevel="0" collapsed="false">
      <c r="B140" s="19"/>
      <c r="C140" s="38"/>
      <c r="D140" s="38"/>
      <c r="E140" s="23"/>
      <c r="F140" s="84"/>
      <c r="G140" s="24"/>
      <c r="H140" s="20"/>
      <c r="I140" s="20"/>
      <c r="J140" s="20"/>
      <c r="K140" s="20"/>
      <c r="L140" s="64"/>
      <c r="M140" s="20"/>
      <c r="N140" s="23"/>
      <c r="O140" s="25"/>
      <c r="P140" s="23"/>
      <c r="Q140" s="20"/>
      <c r="R140" s="20"/>
      <c r="S140" s="20"/>
      <c r="T140" s="20"/>
      <c r="X140" s="28"/>
      <c r="Y140" s="28"/>
    </row>
    <row r="141" customFormat="false" ht="30" hidden="false" customHeight="true" outlineLevel="0" collapsed="false">
      <c r="B141" s="19"/>
      <c r="C141" s="38"/>
      <c r="D141" s="38"/>
      <c r="E141" s="23"/>
      <c r="F141" s="84"/>
      <c r="G141" s="24"/>
      <c r="H141" s="20"/>
      <c r="I141" s="20"/>
      <c r="J141" s="20"/>
      <c r="K141" s="20"/>
      <c r="L141" s="64"/>
      <c r="M141" s="20"/>
      <c r="N141" s="23"/>
      <c r="O141" s="25"/>
      <c r="P141" s="23"/>
      <c r="Q141" s="20"/>
      <c r="R141" s="20"/>
      <c r="S141" s="20"/>
      <c r="T141" s="20"/>
      <c r="X141" s="28"/>
      <c r="Y141" s="28"/>
    </row>
    <row r="142" customFormat="false" ht="30" hidden="false" customHeight="true" outlineLevel="0" collapsed="false">
      <c r="B142" s="19"/>
      <c r="C142" s="38"/>
      <c r="D142" s="38"/>
      <c r="E142" s="23"/>
      <c r="F142" s="84"/>
      <c r="G142" s="24"/>
      <c r="H142" s="20"/>
      <c r="I142" s="20"/>
      <c r="J142" s="20"/>
      <c r="K142" s="20"/>
      <c r="L142" s="64"/>
      <c r="M142" s="20"/>
      <c r="N142" s="23"/>
      <c r="O142" s="25"/>
      <c r="P142" s="23"/>
      <c r="Q142" s="20"/>
      <c r="R142" s="20"/>
      <c r="S142" s="20"/>
      <c r="T142" s="20"/>
      <c r="X142" s="28"/>
      <c r="Y142" s="28"/>
    </row>
    <row r="143" customFormat="false" ht="30" hidden="false" customHeight="true" outlineLevel="0" collapsed="false">
      <c r="B143" s="19"/>
      <c r="C143" s="38"/>
      <c r="D143" s="38"/>
      <c r="E143" s="23"/>
      <c r="F143" s="84"/>
      <c r="G143" s="24"/>
      <c r="H143" s="20"/>
      <c r="I143" s="20"/>
      <c r="J143" s="20"/>
      <c r="K143" s="20"/>
      <c r="L143" s="64"/>
      <c r="M143" s="20"/>
      <c r="N143" s="23"/>
      <c r="O143" s="25"/>
      <c r="P143" s="23"/>
      <c r="Q143" s="20"/>
      <c r="R143" s="20"/>
      <c r="S143" s="20"/>
      <c r="T143" s="20"/>
      <c r="X143" s="28"/>
      <c r="Y143" s="28"/>
    </row>
    <row r="144" customFormat="false" ht="30" hidden="false" customHeight="true" outlineLevel="0" collapsed="false">
      <c r="B144" s="19"/>
      <c r="C144" s="38"/>
      <c r="D144" s="38"/>
      <c r="E144" s="23"/>
      <c r="F144" s="84"/>
      <c r="G144" s="24"/>
      <c r="H144" s="20"/>
      <c r="I144" s="20"/>
      <c r="J144" s="20"/>
      <c r="K144" s="20"/>
      <c r="L144" s="64"/>
      <c r="M144" s="20"/>
      <c r="N144" s="23"/>
      <c r="O144" s="25"/>
      <c r="P144" s="23"/>
      <c r="Q144" s="20"/>
      <c r="R144" s="20"/>
      <c r="S144" s="20"/>
      <c r="T144" s="20"/>
      <c r="X144" s="28"/>
      <c r="Y144" s="28"/>
    </row>
    <row r="145" customFormat="false" ht="30" hidden="false" customHeight="true" outlineLevel="0" collapsed="false">
      <c r="B145" s="19"/>
      <c r="C145" s="38"/>
      <c r="D145" s="38"/>
      <c r="E145" s="23"/>
      <c r="F145" s="84"/>
      <c r="G145" s="24"/>
      <c r="H145" s="20"/>
      <c r="I145" s="20"/>
      <c r="J145" s="20"/>
      <c r="K145" s="20"/>
      <c r="L145" s="64"/>
      <c r="M145" s="20"/>
      <c r="N145" s="23"/>
      <c r="O145" s="25"/>
      <c r="P145" s="23"/>
      <c r="Q145" s="20"/>
      <c r="R145" s="20"/>
      <c r="S145" s="20"/>
      <c r="T145" s="20"/>
      <c r="X145" s="28"/>
      <c r="Y145" s="28"/>
    </row>
    <row r="146" customFormat="false" ht="30" hidden="false" customHeight="true" outlineLevel="0" collapsed="false">
      <c r="B146" s="19"/>
      <c r="C146" s="38"/>
      <c r="D146" s="38"/>
      <c r="E146" s="23"/>
      <c r="F146" s="84"/>
      <c r="G146" s="24"/>
      <c r="H146" s="20"/>
      <c r="I146" s="20"/>
      <c r="J146" s="20"/>
      <c r="K146" s="20"/>
      <c r="L146" s="64"/>
      <c r="M146" s="20"/>
      <c r="N146" s="23"/>
      <c r="O146" s="25"/>
      <c r="P146" s="23"/>
      <c r="Q146" s="20"/>
      <c r="R146" s="20"/>
      <c r="S146" s="20"/>
      <c r="T146" s="20"/>
      <c r="X146" s="28"/>
      <c r="Y146" s="28"/>
    </row>
    <row r="147" customFormat="false" ht="30" hidden="false" customHeight="true" outlineLevel="0" collapsed="false">
      <c r="B147" s="19"/>
      <c r="C147" s="38"/>
      <c r="D147" s="38"/>
      <c r="E147" s="23"/>
      <c r="F147" s="84"/>
      <c r="G147" s="24"/>
      <c r="H147" s="20"/>
      <c r="I147" s="20"/>
      <c r="J147" s="20"/>
      <c r="K147" s="20"/>
      <c r="L147" s="64"/>
      <c r="M147" s="20"/>
      <c r="N147" s="23"/>
      <c r="O147" s="25"/>
      <c r="P147" s="23"/>
      <c r="Q147" s="20"/>
      <c r="R147" s="20"/>
      <c r="S147" s="20"/>
      <c r="T147" s="20"/>
      <c r="X147" s="28"/>
      <c r="Y147" s="28"/>
    </row>
    <row r="148" customFormat="false" ht="30" hidden="false" customHeight="true" outlineLevel="0" collapsed="false">
      <c r="B148" s="19"/>
      <c r="C148" s="38"/>
      <c r="D148" s="38"/>
      <c r="E148" s="23"/>
      <c r="F148" s="84"/>
      <c r="G148" s="24"/>
      <c r="H148" s="20"/>
      <c r="I148" s="20"/>
      <c r="J148" s="20"/>
      <c r="K148" s="20"/>
      <c r="L148" s="64"/>
      <c r="M148" s="20"/>
      <c r="N148" s="23"/>
      <c r="O148" s="25"/>
      <c r="P148" s="23"/>
      <c r="Q148" s="20"/>
      <c r="R148" s="20"/>
      <c r="S148" s="20"/>
      <c r="T148" s="20"/>
      <c r="X148" s="28"/>
      <c r="Y148" s="28"/>
    </row>
    <row r="149" customFormat="false" ht="30" hidden="false" customHeight="true" outlineLevel="0" collapsed="false">
      <c r="B149" s="19"/>
      <c r="C149" s="38"/>
      <c r="D149" s="38"/>
      <c r="E149" s="23"/>
      <c r="F149" s="84"/>
      <c r="G149" s="24"/>
      <c r="H149" s="20"/>
      <c r="I149" s="20"/>
      <c r="J149" s="20"/>
      <c r="K149" s="20"/>
      <c r="L149" s="64"/>
      <c r="M149" s="20"/>
      <c r="N149" s="23"/>
      <c r="O149" s="25"/>
      <c r="P149" s="23"/>
      <c r="Q149" s="20"/>
      <c r="R149" s="20"/>
      <c r="S149" s="20"/>
      <c r="T149" s="20"/>
      <c r="X149" s="28"/>
      <c r="Y149" s="28"/>
    </row>
    <row r="150" customFormat="false" ht="30" hidden="false" customHeight="true" outlineLevel="0" collapsed="false">
      <c r="B150" s="19"/>
      <c r="C150" s="38"/>
      <c r="D150" s="38"/>
      <c r="E150" s="23"/>
      <c r="F150" s="84"/>
      <c r="G150" s="24"/>
      <c r="H150" s="20"/>
      <c r="I150" s="20"/>
      <c r="J150" s="20"/>
      <c r="K150" s="20"/>
      <c r="L150" s="64"/>
      <c r="M150" s="20"/>
      <c r="N150" s="23"/>
      <c r="O150" s="25"/>
      <c r="P150" s="23"/>
      <c r="Q150" s="20"/>
      <c r="R150" s="20"/>
      <c r="S150" s="20"/>
      <c r="T150" s="20"/>
      <c r="X150" s="28"/>
      <c r="Y150" s="28"/>
    </row>
    <row r="151" customFormat="false" ht="30" hidden="false" customHeight="true" outlineLevel="0" collapsed="false">
      <c r="B151" s="19"/>
      <c r="C151" s="38"/>
      <c r="D151" s="38"/>
      <c r="E151" s="23"/>
      <c r="F151" s="84"/>
      <c r="G151" s="24"/>
      <c r="H151" s="20"/>
      <c r="I151" s="20"/>
      <c r="J151" s="20"/>
      <c r="K151" s="20"/>
      <c r="L151" s="64"/>
      <c r="M151" s="20"/>
      <c r="N151" s="23"/>
      <c r="O151" s="25"/>
      <c r="P151" s="23"/>
      <c r="Q151" s="20"/>
      <c r="R151" s="20"/>
      <c r="S151" s="20"/>
      <c r="T151" s="20"/>
      <c r="X151" s="28"/>
      <c r="Y151" s="28"/>
    </row>
    <row r="152" customFormat="false" ht="30" hidden="false" customHeight="true" outlineLevel="0" collapsed="false">
      <c r="B152" s="19"/>
      <c r="C152" s="38"/>
      <c r="D152" s="38"/>
      <c r="E152" s="23"/>
      <c r="F152" s="84"/>
      <c r="G152" s="24"/>
      <c r="H152" s="20"/>
      <c r="I152" s="20"/>
      <c r="J152" s="20"/>
      <c r="K152" s="20"/>
      <c r="L152" s="64"/>
      <c r="M152" s="20"/>
      <c r="N152" s="23"/>
      <c r="O152" s="25"/>
      <c r="P152" s="23"/>
      <c r="Q152" s="20"/>
      <c r="R152" s="20"/>
      <c r="S152" s="20"/>
      <c r="T152" s="20"/>
      <c r="X152" s="28"/>
      <c r="Y152" s="28"/>
    </row>
    <row r="153" customFormat="false" ht="30" hidden="false" customHeight="true" outlineLevel="0" collapsed="false">
      <c r="B153" s="19"/>
      <c r="C153" s="38"/>
      <c r="D153" s="38"/>
      <c r="E153" s="23"/>
      <c r="F153" s="84"/>
      <c r="G153" s="24"/>
      <c r="H153" s="20"/>
      <c r="I153" s="20"/>
      <c r="J153" s="20"/>
      <c r="K153" s="20"/>
      <c r="L153" s="64"/>
      <c r="M153" s="20"/>
      <c r="N153" s="23"/>
      <c r="O153" s="25"/>
      <c r="P153" s="23"/>
      <c r="Q153" s="20"/>
      <c r="R153" s="20"/>
      <c r="S153" s="20"/>
      <c r="T153" s="20"/>
      <c r="X153" s="28"/>
      <c r="Y153" s="28"/>
    </row>
    <row r="154" customFormat="false" ht="30" hidden="false" customHeight="true" outlineLevel="0" collapsed="false">
      <c r="B154" s="19"/>
      <c r="C154" s="38"/>
      <c r="D154" s="38"/>
      <c r="E154" s="23"/>
      <c r="F154" s="84"/>
      <c r="G154" s="24"/>
      <c r="H154" s="20"/>
      <c r="I154" s="20"/>
      <c r="J154" s="20"/>
      <c r="K154" s="20"/>
      <c r="L154" s="64"/>
      <c r="M154" s="20"/>
      <c r="N154" s="23"/>
      <c r="O154" s="25"/>
      <c r="P154" s="23"/>
      <c r="Q154" s="20"/>
      <c r="R154" s="20"/>
      <c r="S154" s="20"/>
      <c r="T154" s="20"/>
      <c r="X154" s="28"/>
      <c r="Y154" s="28"/>
    </row>
    <row r="155" customFormat="false" ht="30" hidden="false" customHeight="true" outlineLevel="0" collapsed="false">
      <c r="B155" s="19"/>
      <c r="C155" s="38"/>
      <c r="D155" s="38"/>
      <c r="E155" s="23"/>
      <c r="F155" s="84"/>
      <c r="G155" s="24"/>
      <c r="H155" s="20"/>
      <c r="I155" s="20"/>
      <c r="J155" s="20"/>
      <c r="K155" s="20"/>
      <c r="L155" s="64"/>
      <c r="M155" s="20"/>
      <c r="N155" s="23"/>
      <c r="O155" s="25"/>
      <c r="P155" s="23"/>
      <c r="Q155" s="20"/>
      <c r="R155" s="20"/>
      <c r="S155" s="20"/>
      <c r="T155" s="20"/>
      <c r="X155" s="28"/>
      <c r="Y155" s="28"/>
    </row>
    <row r="156" customFormat="false" ht="30" hidden="false" customHeight="true" outlineLevel="0" collapsed="false">
      <c r="B156" s="19"/>
      <c r="C156" s="38"/>
      <c r="D156" s="38"/>
      <c r="E156" s="23"/>
      <c r="F156" s="84"/>
      <c r="G156" s="24"/>
      <c r="H156" s="20"/>
      <c r="I156" s="20"/>
      <c r="J156" s="20"/>
      <c r="K156" s="20"/>
      <c r="L156" s="64"/>
      <c r="M156" s="20"/>
      <c r="N156" s="23"/>
      <c r="O156" s="25"/>
      <c r="P156" s="23"/>
      <c r="Q156" s="20"/>
      <c r="R156" s="20"/>
      <c r="S156" s="20"/>
      <c r="T156" s="20"/>
      <c r="X156" s="28"/>
      <c r="Y156" s="28"/>
    </row>
    <row r="157" customFormat="false" ht="30" hidden="false" customHeight="true" outlineLevel="0" collapsed="false">
      <c r="B157" s="19"/>
      <c r="C157" s="38"/>
      <c r="D157" s="38"/>
      <c r="E157" s="23"/>
      <c r="F157" s="84"/>
      <c r="G157" s="24"/>
      <c r="H157" s="20"/>
      <c r="I157" s="20"/>
      <c r="J157" s="20"/>
      <c r="K157" s="20"/>
      <c r="L157" s="64"/>
      <c r="M157" s="20"/>
      <c r="N157" s="23"/>
      <c r="O157" s="25"/>
      <c r="P157" s="23"/>
      <c r="Q157" s="20"/>
      <c r="R157" s="20"/>
      <c r="S157" s="20"/>
      <c r="T157" s="20"/>
      <c r="X157" s="28"/>
      <c r="Y157" s="28"/>
    </row>
    <row r="158" customFormat="false" ht="30" hidden="false" customHeight="true" outlineLevel="0" collapsed="false">
      <c r="B158" s="19"/>
      <c r="C158" s="38"/>
      <c r="D158" s="38"/>
      <c r="E158" s="23"/>
      <c r="F158" s="84"/>
      <c r="G158" s="24"/>
      <c r="H158" s="20"/>
      <c r="I158" s="20"/>
      <c r="J158" s="20"/>
      <c r="K158" s="20"/>
      <c r="L158" s="64"/>
      <c r="M158" s="20"/>
      <c r="N158" s="23"/>
      <c r="O158" s="25"/>
      <c r="P158" s="23"/>
      <c r="Q158" s="20"/>
      <c r="R158" s="20"/>
      <c r="S158" s="20"/>
      <c r="T158" s="20"/>
      <c r="X158" s="28"/>
      <c r="Y158" s="28"/>
    </row>
    <row r="159" customFormat="false" ht="30" hidden="false" customHeight="true" outlineLevel="0" collapsed="false">
      <c r="B159" s="19"/>
      <c r="C159" s="38"/>
      <c r="D159" s="38"/>
      <c r="E159" s="23"/>
      <c r="F159" s="84"/>
      <c r="G159" s="24"/>
      <c r="H159" s="20"/>
      <c r="I159" s="20"/>
      <c r="J159" s="20"/>
      <c r="K159" s="20"/>
      <c r="L159" s="64"/>
      <c r="M159" s="20"/>
      <c r="N159" s="23"/>
      <c r="O159" s="25"/>
      <c r="P159" s="23"/>
      <c r="Q159" s="20"/>
      <c r="R159" s="20"/>
      <c r="S159" s="20"/>
      <c r="T159" s="20"/>
      <c r="X159" s="28"/>
      <c r="Y159" s="28"/>
    </row>
    <row r="160" customFormat="false" ht="30" hidden="false" customHeight="true" outlineLevel="0" collapsed="false">
      <c r="B160" s="19"/>
      <c r="C160" s="38"/>
      <c r="D160" s="38"/>
      <c r="E160" s="23"/>
      <c r="F160" s="84"/>
      <c r="G160" s="24"/>
      <c r="H160" s="20"/>
      <c r="I160" s="20"/>
      <c r="J160" s="20"/>
      <c r="K160" s="20"/>
      <c r="L160" s="64"/>
      <c r="M160" s="20"/>
      <c r="N160" s="23"/>
      <c r="O160" s="25"/>
      <c r="P160" s="23"/>
      <c r="Q160" s="20"/>
      <c r="R160" s="20"/>
      <c r="S160" s="20"/>
      <c r="T160" s="20"/>
      <c r="X160" s="28"/>
      <c r="Y160" s="28"/>
    </row>
    <row r="161" customFormat="false" ht="30" hidden="false" customHeight="true" outlineLevel="0" collapsed="false">
      <c r="B161" s="19"/>
      <c r="C161" s="38"/>
      <c r="D161" s="38"/>
      <c r="E161" s="23"/>
      <c r="F161" s="84"/>
      <c r="G161" s="24"/>
      <c r="H161" s="20"/>
      <c r="I161" s="20"/>
      <c r="J161" s="20"/>
      <c r="K161" s="20"/>
      <c r="L161" s="64"/>
      <c r="M161" s="20"/>
      <c r="N161" s="23"/>
      <c r="O161" s="25"/>
      <c r="P161" s="23"/>
      <c r="Q161" s="20"/>
      <c r="R161" s="20"/>
      <c r="S161" s="20"/>
      <c r="T161" s="20"/>
      <c r="X161" s="28"/>
      <c r="Y161" s="28"/>
    </row>
    <row r="162" customFormat="false" ht="30" hidden="false" customHeight="true" outlineLevel="0" collapsed="false">
      <c r="B162" s="19"/>
      <c r="C162" s="38"/>
      <c r="D162" s="38"/>
      <c r="E162" s="23"/>
      <c r="F162" s="84"/>
      <c r="G162" s="24"/>
      <c r="H162" s="20"/>
      <c r="I162" s="20"/>
      <c r="J162" s="20"/>
      <c r="K162" s="20"/>
      <c r="L162" s="64"/>
      <c r="M162" s="20"/>
      <c r="N162" s="23"/>
      <c r="O162" s="25"/>
      <c r="P162" s="23"/>
      <c r="Q162" s="20"/>
      <c r="R162" s="20"/>
      <c r="S162" s="20"/>
      <c r="T162" s="20"/>
      <c r="X162" s="28"/>
      <c r="Y162" s="28"/>
    </row>
    <row r="163" customFormat="false" ht="30" hidden="false" customHeight="true" outlineLevel="0" collapsed="false">
      <c r="B163" s="19"/>
      <c r="C163" s="38"/>
      <c r="D163" s="38"/>
      <c r="E163" s="23"/>
      <c r="F163" s="84"/>
      <c r="G163" s="24"/>
      <c r="H163" s="20"/>
      <c r="I163" s="20"/>
      <c r="J163" s="20"/>
      <c r="K163" s="20"/>
      <c r="L163" s="64"/>
      <c r="M163" s="20"/>
      <c r="N163" s="23"/>
      <c r="O163" s="25"/>
      <c r="P163" s="23"/>
      <c r="Q163" s="20"/>
      <c r="R163" s="20"/>
      <c r="S163" s="20"/>
      <c r="T163" s="20"/>
      <c r="X163" s="28"/>
      <c r="Y163" s="28"/>
    </row>
    <row r="164" customFormat="false" ht="30" hidden="false" customHeight="true" outlineLevel="0" collapsed="false">
      <c r="B164" s="19"/>
      <c r="C164" s="38"/>
      <c r="D164" s="38"/>
      <c r="E164" s="23"/>
      <c r="F164" s="84"/>
      <c r="G164" s="24"/>
      <c r="H164" s="20"/>
      <c r="I164" s="20"/>
      <c r="J164" s="20"/>
      <c r="K164" s="20"/>
      <c r="L164" s="64"/>
      <c r="M164" s="20"/>
      <c r="N164" s="23"/>
      <c r="O164" s="25"/>
      <c r="P164" s="23"/>
      <c r="Q164" s="20"/>
      <c r="R164" s="20"/>
      <c r="S164" s="20"/>
      <c r="T164" s="20"/>
      <c r="X164" s="28"/>
      <c r="Y164" s="28"/>
    </row>
    <row r="165" customFormat="false" ht="30" hidden="false" customHeight="true" outlineLevel="0" collapsed="false">
      <c r="B165" s="19"/>
      <c r="C165" s="38"/>
      <c r="D165" s="38"/>
      <c r="E165" s="23"/>
      <c r="F165" s="84"/>
      <c r="G165" s="24"/>
      <c r="H165" s="20"/>
      <c r="I165" s="20"/>
      <c r="J165" s="20"/>
      <c r="K165" s="20"/>
      <c r="L165" s="64"/>
      <c r="M165" s="20"/>
      <c r="N165" s="23"/>
      <c r="O165" s="25"/>
      <c r="P165" s="23"/>
      <c r="Q165" s="20"/>
      <c r="R165" s="20"/>
      <c r="S165" s="20"/>
      <c r="T165" s="20"/>
      <c r="X165" s="28"/>
      <c r="Y165" s="28"/>
    </row>
    <row r="166" customFormat="false" ht="30" hidden="false" customHeight="true" outlineLevel="0" collapsed="false">
      <c r="B166" s="19"/>
      <c r="C166" s="38"/>
      <c r="D166" s="38"/>
      <c r="E166" s="23"/>
      <c r="F166" s="84"/>
      <c r="G166" s="24"/>
      <c r="H166" s="20"/>
      <c r="I166" s="20"/>
      <c r="J166" s="20"/>
      <c r="K166" s="20"/>
      <c r="L166" s="64"/>
      <c r="M166" s="20"/>
      <c r="N166" s="23"/>
      <c r="O166" s="25"/>
      <c r="P166" s="23"/>
      <c r="Q166" s="20"/>
      <c r="R166" s="20"/>
      <c r="S166" s="20"/>
      <c r="T166" s="20"/>
      <c r="X166" s="28"/>
      <c r="Y166" s="28"/>
    </row>
    <row r="167" customFormat="false" ht="30" hidden="false" customHeight="true" outlineLevel="0" collapsed="false">
      <c r="B167" s="19"/>
      <c r="C167" s="38"/>
      <c r="D167" s="38"/>
      <c r="E167" s="23"/>
      <c r="F167" s="84"/>
      <c r="G167" s="24"/>
      <c r="H167" s="20"/>
      <c r="I167" s="20"/>
      <c r="J167" s="20"/>
      <c r="K167" s="20"/>
      <c r="L167" s="64"/>
      <c r="M167" s="20"/>
      <c r="N167" s="23"/>
      <c r="O167" s="25"/>
      <c r="P167" s="23"/>
      <c r="Q167" s="20"/>
      <c r="R167" s="20"/>
      <c r="S167" s="20"/>
      <c r="T167" s="20"/>
      <c r="X167" s="28"/>
      <c r="Y167" s="28"/>
    </row>
    <row r="168" customFormat="false" ht="30" hidden="false" customHeight="true" outlineLevel="0" collapsed="false">
      <c r="B168" s="19"/>
      <c r="C168" s="38"/>
      <c r="D168" s="38"/>
      <c r="E168" s="23"/>
      <c r="F168" s="84"/>
      <c r="G168" s="24"/>
      <c r="H168" s="20"/>
      <c r="I168" s="20"/>
      <c r="J168" s="20"/>
      <c r="K168" s="20"/>
      <c r="L168" s="64"/>
      <c r="M168" s="20"/>
      <c r="N168" s="23"/>
      <c r="O168" s="25"/>
      <c r="P168" s="23"/>
      <c r="Q168" s="20"/>
      <c r="R168" s="20"/>
      <c r="S168" s="20"/>
      <c r="T168" s="20"/>
      <c r="X168" s="28"/>
      <c r="Y168" s="28"/>
    </row>
    <row r="169" customFormat="false" ht="30" hidden="false" customHeight="true" outlineLevel="0" collapsed="false">
      <c r="B169" s="19"/>
      <c r="C169" s="38"/>
      <c r="D169" s="38"/>
      <c r="E169" s="23"/>
      <c r="F169" s="84"/>
      <c r="G169" s="24"/>
      <c r="H169" s="20"/>
      <c r="I169" s="20"/>
      <c r="J169" s="20"/>
      <c r="K169" s="20"/>
      <c r="L169" s="64"/>
      <c r="M169" s="20"/>
      <c r="N169" s="23"/>
      <c r="O169" s="25"/>
      <c r="P169" s="23"/>
      <c r="Q169" s="20"/>
      <c r="R169" s="20"/>
      <c r="S169" s="20"/>
      <c r="T169" s="20"/>
      <c r="X169" s="28"/>
      <c r="Y169" s="28"/>
    </row>
    <row r="170" customFormat="false" ht="30" hidden="false" customHeight="true" outlineLevel="0" collapsed="false">
      <c r="B170" s="19"/>
      <c r="C170" s="38"/>
      <c r="D170" s="38"/>
      <c r="E170" s="23"/>
      <c r="F170" s="84"/>
      <c r="G170" s="24"/>
      <c r="H170" s="20"/>
      <c r="I170" s="20"/>
      <c r="J170" s="20"/>
      <c r="K170" s="20"/>
      <c r="L170" s="64"/>
      <c r="M170" s="20"/>
      <c r="N170" s="23"/>
      <c r="O170" s="25"/>
      <c r="P170" s="23"/>
      <c r="Q170" s="20"/>
      <c r="R170" s="20"/>
      <c r="S170" s="20"/>
      <c r="T170" s="20"/>
      <c r="X170" s="28"/>
      <c r="Y170" s="28"/>
    </row>
    <row r="171" customFormat="false" ht="30" hidden="false" customHeight="true" outlineLevel="0" collapsed="false">
      <c r="B171" s="19"/>
      <c r="C171" s="38"/>
      <c r="D171" s="38"/>
      <c r="E171" s="23"/>
      <c r="F171" s="84"/>
      <c r="G171" s="24"/>
      <c r="H171" s="20"/>
      <c r="I171" s="20"/>
      <c r="J171" s="20"/>
      <c r="K171" s="20"/>
      <c r="L171" s="64"/>
      <c r="M171" s="20"/>
      <c r="N171" s="23"/>
      <c r="O171" s="25"/>
      <c r="P171" s="23"/>
      <c r="Q171" s="20"/>
      <c r="R171" s="20"/>
      <c r="S171" s="20"/>
      <c r="T171" s="20"/>
      <c r="X171" s="28"/>
      <c r="Y171" s="28"/>
    </row>
    <row r="172" customFormat="false" ht="30" hidden="false" customHeight="true" outlineLevel="0" collapsed="false">
      <c r="B172" s="19"/>
      <c r="C172" s="38"/>
      <c r="D172" s="38"/>
      <c r="E172" s="23"/>
      <c r="F172" s="84"/>
      <c r="G172" s="24"/>
      <c r="H172" s="20"/>
      <c r="I172" s="20"/>
      <c r="J172" s="20"/>
      <c r="K172" s="20"/>
      <c r="L172" s="64"/>
      <c r="M172" s="20"/>
      <c r="N172" s="23"/>
      <c r="O172" s="25"/>
      <c r="P172" s="23"/>
      <c r="Q172" s="20"/>
      <c r="R172" s="20"/>
      <c r="S172" s="20"/>
      <c r="T172" s="20"/>
      <c r="X172" s="28"/>
      <c r="Y172" s="28"/>
    </row>
    <row r="173" customFormat="false" ht="30" hidden="false" customHeight="true" outlineLevel="0" collapsed="false">
      <c r="B173" s="19"/>
      <c r="C173" s="38"/>
      <c r="D173" s="38"/>
      <c r="E173" s="23"/>
      <c r="F173" s="84"/>
      <c r="G173" s="24"/>
      <c r="H173" s="20"/>
      <c r="I173" s="20"/>
      <c r="J173" s="20"/>
      <c r="K173" s="20"/>
      <c r="L173" s="64"/>
      <c r="M173" s="20"/>
      <c r="N173" s="23"/>
      <c r="O173" s="25"/>
      <c r="P173" s="23"/>
      <c r="Q173" s="20"/>
      <c r="R173" s="20"/>
      <c r="S173" s="20"/>
      <c r="T173" s="20"/>
      <c r="X173" s="28"/>
      <c r="Y173" s="28"/>
    </row>
    <row r="174" customFormat="false" ht="30" hidden="false" customHeight="true" outlineLevel="0" collapsed="false">
      <c r="B174" s="19"/>
      <c r="C174" s="38"/>
      <c r="D174" s="38"/>
      <c r="E174" s="23"/>
      <c r="F174" s="84"/>
      <c r="G174" s="24"/>
      <c r="H174" s="20"/>
      <c r="I174" s="20"/>
      <c r="J174" s="20"/>
      <c r="K174" s="20"/>
      <c r="L174" s="64"/>
      <c r="M174" s="20"/>
      <c r="N174" s="23"/>
      <c r="O174" s="25"/>
      <c r="P174" s="23"/>
      <c r="Q174" s="20"/>
      <c r="R174" s="20"/>
      <c r="S174" s="20"/>
      <c r="T174" s="20"/>
      <c r="X174" s="28"/>
      <c r="Y174" s="28"/>
    </row>
    <row r="175" customFormat="false" ht="30" hidden="false" customHeight="true" outlineLevel="0" collapsed="false">
      <c r="B175" s="19"/>
      <c r="C175" s="38"/>
      <c r="D175" s="38"/>
      <c r="E175" s="23"/>
      <c r="F175" s="84"/>
      <c r="G175" s="24"/>
      <c r="H175" s="20"/>
      <c r="I175" s="20"/>
      <c r="J175" s="20"/>
      <c r="K175" s="20"/>
      <c r="L175" s="64"/>
      <c r="M175" s="20"/>
      <c r="N175" s="23"/>
      <c r="O175" s="25"/>
      <c r="P175" s="23"/>
      <c r="Q175" s="20"/>
      <c r="R175" s="20"/>
      <c r="S175" s="20"/>
      <c r="T175" s="20"/>
      <c r="X175" s="28"/>
      <c r="Y175" s="28"/>
    </row>
    <row r="176" customFormat="false" ht="30" hidden="false" customHeight="true" outlineLevel="0" collapsed="false">
      <c r="B176" s="19"/>
      <c r="C176" s="38"/>
      <c r="D176" s="38"/>
      <c r="E176" s="23"/>
      <c r="F176" s="84"/>
      <c r="G176" s="24"/>
      <c r="H176" s="20"/>
      <c r="I176" s="20"/>
      <c r="J176" s="20"/>
      <c r="K176" s="20"/>
      <c r="L176" s="64"/>
      <c r="M176" s="20"/>
      <c r="N176" s="23"/>
      <c r="O176" s="25"/>
      <c r="P176" s="23"/>
      <c r="Q176" s="20"/>
      <c r="R176" s="20"/>
      <c r="S176" s="20"/>
      <c r="T176" s="20"/>
      <c r="X176" s="28"/>
      <c r="Y176" s="28"/>
    </row>
    <row r="177" customFormat="false" ht="30" hidden="false" customHeight="true" outlineLevel="0" collapsed="false">
      <c r="B177" s="19"/>
      <c r="C177" s="38"/>
      <c r="D177" s="38"/>
      <c r="E177" s="23"/>
      <c r="F177" s="84"/>
      <c r="G177" s="24"/>
      <c r="H177" s="20"/>
      <c r="I177" s="20"/>
      <c r="J177" s="20"/>
      <c r="K177" s="20"/>
      <c r="L177" s="64"/>
      <c r="M177" s="20"/>
      <c r="N177" s="23"/>
      <c r="O177" s="25"/>
      <c r="P177" s="23"/>
      <c r="Q177" s="20"/>
      <c r="R177" s="20"/>
      <c r="S177" s="20"/>
      <c r="T177" s="20"/>
      <c r="X177" s="28"/>
      <c r="Y177" s="28"/>
    </row>
    <row r="178" customFormat="false" ht="30" hidden="false" customHeight="true" outlineLevel="0" collapsed="false">
      <c r="B178" s="19"/>
      <c r="C178" s="38"/>
      <c r="D178" s="38"/>
      <c r="E178" s="23"/>
      <c r="F178" s="84"/>
      <c r="G178" s="24"/>
      <c r="H178" s="20"/>
      <c r="I178" s="20"/>
      <c r="J178" s="20"/>
      <c r="K178" s="20"/>
      <c r="L178" s="64"/>
      <c r="M178" s="20"/>
      <c r="N178" s="23"/>
      <c r="O178" s="25"/>
      <c r="P178" s="23"/>
      <c r="Q178" s="20"/>
      <c r="R178" s="20"/>
      <c r="S178" s="20"/>
      <c r="T178" s="20"/>
      <c r="X178" s="28"/>
      <c r="Y178" s="28"/>
    </row>
    <row r="179" customFormat="false" ht="30" hidden="false" customHeight="true" outlineLevel="0" collapsed="false">
      <c r="B179" s="19"/>
      <c r="C179" s="38"/>
      <c r="D179" s="38"/>
      <c r="E179" s="23"/>
      <c r="F179" s="84"/>
      <c r="G179" s="24"/>
      <c r="H179" s="20"/>
      <c r="I179" s="20"/>
      <c r="J179" s="20"/>
      <c r="K179" s="20"/>
      <c r="L179" s="64"/>
      <c r="M179" s="20"/>
      <c r="N179" s="23"/>
      <c r="O179" s="25"/>
      <c r="P179" s="23"/>
      <c r="Q179" s="20"/>
      <c r="R179" s="20"/>
      <c r="S179" s="20"/>
      <c r="T179" s="20"/>
      <c r="X179" s="28"/>
      <c r="Y179" s="28"/>
    </row>
    <row r="180" customFormat="false" ht="30" hidden="false" customHeight="true" outlineLevel="0" collapsed="false">
      <c r="B180" s="19"/>
      <c r="C180" s="38"/>
      <c r="D180" s="38"/>
      <c r="E180" s="23"/>
      <c r="F180" s="84"/>
      <c r="G180" s="24"/>
      <c r="H180" s="20"/>
      <c r="I180" s="20"/>
      <c r="J180" s="20"/>
      <c r="K180" s="20"/>
      <c r="L180" s="64"/>
      <c r="M180" s="20"/>
      <c r="N180" s="23"/>
      <c r="O180" s="25"/>
      <c r="P180" s="23"/>
      <c r="Q180" s="20"/>
      <c r="R180" s="20"/>
      <c r="S180" s="20"/>
      <c r="T180" s="20"/>
      <c r="X180" s="28"/>
      <c r="Y180" s="28"/>
    </row>
    <row r="181" customFormat="false" ht="30" hidden="false" customHeight="true" outlineLevel="0" collapsed="false">
      <c r="B181" s="19"/>
      <c r="C181" s="38"/>
      <c r="D181" s="38"/>
      <c r="E181" s="23"/>
      <c r="F181" s="84"/>
      <c r="G181" s="24"/>
      <c r="H181" s="20"/>
      <c r="I181" s="20"/>
      <c r="J181" s="20"/>
      <c r="K181" s="20"/>
      <c r="L181" s="64"/>
      <c r="M181" s="20"/>
      <c r="N181" s="23"/>
      <c r="O181" s="25"/>
      <c r="P181" s="23"/>
      <c r="Q181" s="20"/>
      <c r="R181" s="20"/>
      <c r="S181" s="20"/>
      <c r="T181" s="20"/>
      <c r="X181" s="28"/>
      <c r="Y181" s="28"/>
    </row>
    <row r="182" customFormat="false" ht="30" hidden="false" customHeight="true" outlineLevel="0" collapsed="false">
      <c r="B182" s="19"/>
      <c r="C182" s="38"/>
      <c r="D182" s="38"/>
      <c r="E182" s="23"/>
      <c r="F182" s="84"/>
      <c r="G182" s="24"/>
      <c r="H182" s="20"/>
      <c r="I182" s="20"/>
      <c r="J182" s="20"/>
      <c r="K182" s="20"/>
      <c r="L182" s="64"/>
      <c r="M182" s="20"/>
      <c r="N182" s="23"/>
      <c r="O182" s="25"/>
      <c r="P182" s="23"/>
      <c r="Q182" s="20"/>
      <c r="R182" s="20"/>
      <c r="S182" s="20"/>
      <c r="T182" s="20"/>
      <c r="X182" s="28"/>
      <c r="Y182" s="28"/>
    </row>
    <row r="183" customFormat="false" ht="30" hidden="false" customHeight="true" outlineLevel="0" collapsed="false">
      <c r="B183" s="19"/>
      <c r="C183" s="38"/>
      <c r="D183" s="38"/>
      <c r="E183" s="23"/>
      <c r="F183" s="84"/>
      <c r="G183" s="24"/>
      <c r="H183" s="20"/>
      <c r="I183" s="20"/>
      <c r="J183" s="20"/>
      <c r="K183" s="20"/>
      <c r="L183" s="64"/>
      <c r="M183" s="20"/>
      <c r="N183" s="23"/>
      <c r="O183" s="25"/>
      <c r="P183" s="23"/>
      <c r="Q183" s="20"/>
      <c r="R183" s="20"/>
      <c r="S183" s="20"/>
      <c r="T183" s="20"/>
      <c r="X183" s="28"/>
      <c r="Y183" s="28"/>
    </row>
    <row r="184" customFormat="false" ht="30" hidden="false" customHeight="true" outlineLevel="0" collapsed="false">
      <c r="B184" s="19"/>
      <c r="C184" s="38"/>
      <c r="D184" s="38"/>
      <c r="E184" s="23"/>
      <c r="F184" s="84"/>
      <c r="G184" s="24"/>
      <c r="H184" s="20"/>
      <c r="I184" s="20"/>
      <c r="J184" s="20"/>
      <c r="K184" s="20"/>
      <c r="L184" s="64"/>
      <c r="M184" s="20"/>
      <c r="N184" s="23"/>
      <c r="O184" s="25"/>
      <c r="P184" s="23"/>
      <c r="Q184" s="20"/>
      <c r="R184" s="20"/>
      <c r="S184" s="20"/>
      <c r="T184" s="20"/>
      <c r="X184" s="28"/>
      <c r="Y184" s="28"/>
    </row>
    <row r="185" customFormat="false" ht="30" hidden="false" customHeight="true" outlineLevel="0" collapsed="false">
      <c r="B185" s="19"/>
      <c r="C185" s="38"/>
      <c r="D185" s="38"/>
      <c r="E185" s="23"/>
      <c r="F185" s="84"/>
      <c r="G185" s="24"/>
      <c r="H185" s="20"/>
      <c r="I185" s="20"/>
      <c r="J185" s="20"/>
      <c r="K185" s="20"/>
      <c r="L185" s="64"/>
      <c r="M185" s="20"/>
      <c r="N185" s="23"/>
      <c r="O185" s="25"/>
      <c r="P185" s="23"/>
      <c r="Q185" s="20"/>
      <c r="R185" s="20"/>
      <c r="S185" s="20"/>
      <c r="T185" s="20"/>
      <c r="X185" s="28"/>
      <c r="Y185" s="28"/>
    </row>
    <row r="186" customFormat="false" ht="30" hidden="false" customHeight="true" outlineLevel="0" collapsed="false">
      <c r="B186" s="19"/>
      <c r="C186" s="38"/>
      <c r="D186" s="38"/>
      <c r="E186" s="23"/>
      <c r="F186" s="84"/>
      <c r="G186" s="24"/>
      <c r="H186" s="20"/>
      <c r="I186" s="20"/>
      <c r="J186" s="20"/>
      <c r="K186" s="20"/>
      <c r="L186" s="64"/>
      <c r="M186" s="20"/>
      <c r="N186" s="23"/>
      <c r="O186" s="25"/>
      <c r="P186" s="23"/>
      <c r="Q186" s="20"/>
      <c r="R186" s="20"/>
      <c r="S186" s="20"/>
      <c r="T186" s="20"/>
      <c r="X186" s="28"/>
      <c r="Y186" s="28"/>
    </row>
    <row r="187" customFormat="false" ht="30" hidden="false" customHeight="true" outlineLevel="0" collapsed="false">
      <c r="B187" s="19"/>
      <c r="C187" s="38"/>
      <c r="D187" s="38"/>
      <c r="E187" s="23"/>
      <c r="F187" s="84"/>
      <c r="G187" s="24"/>
      <c r="H187" s="20"/>
      <c r="I187" s="20"/>
      <c r="J187" s="20"/>
      <c r="K187" s="20"/>
      <c r="L187" s="64"/>
      <c r="M187" s="20"/>
      <c r="N187" s="23"/>
      <c r="O187" s="25"/>
      <c r="P187" s="23"/>
      <c r="Q187" s="20"/>
      <c r="R187" s="20"/>
      <c r="S187" s="20"/>
      <c r="T187" s="20"/>
      <c r="X187" s="28"/>
      <c r="Y187" s="28"/>
    </row>
    <row r="188" customFormat="false" ht="30" hidden="false" customHeight="true" outlineLevel="0" collapsed="false">
      <c r="B188" s="19"/>
      <c r="C188" s="38"/>
      <c r="D188" s="38"/>
      <c r="E188" s="23"/>
      <c r="F188" s="84"/>
      <c r="G188" s="24"/>
      <c r="H188" s="20"/>
      <c r="I188" s="20"/>
      <c r="J188" s="20"/>
      <c r="K188" s="20"/>
      <c r="L188" s="64"/>
      <c r="M188" s="20"/>
      <c r="N188" s="23"/>
      <c r="O188" s="25"/>
      <c r="P188" s="23"/>
      <c r="Q188" s="20"/>
      <c r="R188" s="20"/>
      <c r="S188" s="20"/>
      <c r="T188" s="20"/>
      <c r="X188" s="28"/>
      <c r="Y188" s="28"/>
    </row>
    <row r="189" customFormat="false" ht="30" hidden="false" customHeight="true" outlineLevel="0" collapsed="false">
      <c r="B189" s="19"/>
      <c r="C189" s="38"/>
      <c r="D189" s="38"/>
      <c r="E189" s="23"/>
      <c r="F189" s="84"/>
      <c r="G189" s="24"/>
      <c r="H189" s="20"/>
      <c r="I189" s="20"/>
      <c r="J189" s="20"/>
      <c r="K189" s="20"/>
      <c r="L189" s="64"/>
      <c r="M189" s="20"/>
      <c r="N189" s="23"/>
      <c r="O189" s="25"/>
      <c r="P189" s="23"/>
      <c r="Q189" s="20"/>
      <c r="R189" s="20"/>
      <c r="S189" s="20"/>
      <c r="T189" s="20"/>
      <c r="X189" s="28"/>
      <c r="Y189" s="28"/>
    </row>
    <row r="190" customFormat="false" ht="30" hidden="false" customHeight="true" outlineLevel="0" collapsed="false">
      <c r="B190" s="19"/>
      <c r="C190" s="38"/>
      <c r="D190" s="38"/>
      <c r="E190" s="23"/>
      <c r="F190" s="84"/>
      <c r="G190" s="24"/>
      <c r="H190" s="20"/>
      <c r="I190" s="20"/>
      <c r="J190" s="20"/>
      <c r="K190" s="20"/>
      <c r="L190" s="64"/>
      <c r="M190" s="20"/>
      <c r="N190" s="23"/>
      <c r="O190" s="25"/>
      <c r="P190" s="23"/>
      <c r="Q190" s="20"/>
      <c r="R190" s="20"/>
      <c r="S190" s="20"/>
      <c r="T190" s="20"/>
      <c r="X190" s="28"/>
      <c r="Y190" s="28"/>
    </row>
    <row r="191" customFormat="false" ht="30" hidden="false" customHeight="true" outlineLevel="0" collapsed="false">
      <c r="B191" s="19"/>
      <c r="C191" s="38"/>
      <c r="D191" s="38"/>
      <c r="E191" s="23"/>
      <c r="F191" s="84"/>
      <c r="G191" s="24"/>
      <c r="H191" s="20"/>
      <c r="I191" s="20"/>
      <c r="J191" s="20"/>
      <c r="K191" s="20"/>
      <c r="L191" s="64"/>
      <c r="M191" s="20"/>
      <c r="N191" s="23"/>
      <c r="O191" s="25"/>
      <c r="P191" s="23"/>
      <c r="Q191" s="20"/>
      <c r="R191" s="20"/>
      <c r="S191" s="20"/>
      <c r="T191" s="20"/>
      <c r="X191" s="28"/>
      <c r="Y191" s="28"/>
    </row>
    <row r="192" customFormat="false" ht="30" hidden="false" customHeight="true" outlineLevel="0" collapsed="false">
      <c r="B192" s="19"/>
      <c r="C192" s="38"/>
      <c r="D192" s="38"/>
      <c r="E192" s="23"/>
      <c r="F192" s="84"/>
      <c r="G192" s="24"/>
      <c r="H192" s="20"/>
      <c r="I192" s="20"/>
      <c r="J192" s="20"/>
      <c r="K192" s="20"/>
      <c r="L192" s="64"/>
      <c r="M192" s="20"/>
      <c r="N192" s="23"/>
      <c r="O192" s="25"/>
      <c r="P192" s="23"/>
      <c r="Q192" s="20"/>
      <c r="R192" s="20"/>
      <c r="S192" s="20"/>
      <c r="T192" s="20"/>
      <c r="X192" s="28"/>
      <c r="Y192" s="28"/>
    </row>
    <row r="193" customFormat="false" ht="30" hidden="false" customHeight="true" outlineLevel="0" collapsed="false">
      <c r="B193" s="19"/>
      <c r="C193" s="38"/>
      <c r="D193" s="38"/>
      <c r="E193" s="23"/>
      <c r="F193" s="84"/>
      <c r="G193" s="24"/>
      <c r="H193" s="20"/>
      <c r="I193" s="20"/>
      <c r="J193" s="20"/>
      <c r="K193" s="20"/>
      <c r="L193" s="64"/>
      <c r="M193" s="20"/>
      <c r="N193" s="23"/>
      <c r="O193" s="25"/>
      <c r="P193" s="23"/>
      <c r="Q193" s="20"/>
      <c r="R193" s="20"/>
      <c r="S193" s="20"/>
      <c r="T193" s="20"/>
      <c r="X193" s="28"/>
      <c r="Y193" s="28"/>
    </row>
    <row r="194" customFormat="false" ht="30" hidden="false" customHeight="true" outlineLevel="0" collapsed="false">
      <c r="B194" s="19"/>
      <c r="C194" s="38"/>
      <c r="D194" s="38"/>
      <c r="E194" s="23"/>
      <c r="F194" s="84"/>
      <c r="G194" s="24"/>
      <c r="H194" s="20"/>
      <c r="I194" s="20"/>
      <c r="J194" s="20"/>
      <c r="K194" s="20"/>
      <c r="L194" s="64"/>
      <c r="M194" s="20"/>
      <c r="N194" s="23"/>
      <c r="O194" s="25"/>
      <c r="P194" s="23"/>
      <c r="Q194" s="20"/>
      <c r="R194" s="20"/>
      <c r="S194" s="20"/>
      <c r="T194" s="20"/>
      <c r="X194" s="28"/>
      <c r="Y194" s="28"/>
    </row>
    <row r="195" customFormat="false" ht="30" hidden="false" customHeight="true" outlineLevel="0" collapsed="false">
      <c r="B195" s="19"/>
      <c r="C195" s="38"/>
      <c r="D195" s="38"/>
      <c r="E195" s="23"/>
      <c r="F195" s="84"/>
      <c r="G195" s="24"/>
      <c r="H195" s="20"/>
      <c r="I195" s="20"/>
      <c r="J195" s="20"/>
      <c r="K195" s="20"/>
      <c r="L195" s="64"/>
      <c r="M195" s="20"/>
      <c r="N195" s="23"/>
      <c r="O195" s="25"/>
      <c r="P195" s="23"/>
      <c r="Q195" s="20"/>
      <c r="R195" s="20"/>
      <c r="S195" s="20"/>
      <c r="T195" s="20"/>
      <c r="X195" s="28"/>
      <c r="Y195" s="28"/>
    </row>
    <row r="196" customFormat="false" ht="30" hidden="false" customHeight="true" outlineLevel="0" collapsed="false">
      <c r="B196" s="19"/>
      <c r="C196" s="38"/>
      <c r="D196" s="38"/>
      <c r="E196" s="23"/>
      <c r="F196" s="84"/>
      <c r="G196" s="24"/>
      <c r="H196" s="20"/>
      <c r="I196" s="20"/>
      <c r="J196" s="20"/>
      <c r="K196" s="20"/>
      <c r="L196" s="64"/>
      <c r="M196" s="20"/>
      <c r="N196" s="23"/>
      <c r="O196" s="25"/>
      <c r="P196" s="23"/>
      <c r="Q196" s="20"/>
      <c r="R196" s="20"/>
      <c r="S196" s="20"/>
      <c r="T196" s="20"/>
      <c r="X196" s="28"/>
      <c r="Y196" s="28"/>
    </row>
    <row r="197" customFormat="false" ht="30" hidden="false" customHeight="true" outlineLevel="0" collapsed="false">
      <c r="B197" s="19"/>
      <c r="C197" s="38"/>
      <c r="D197" s="38"/>
      <c r="E197" s="23"/>
      <c r="F197" s="84"/>
      <c r="G197" s="24"/>
      <c r="H197" s="20"/>
      <c r="I197" s="20"/>
      <c r="J197" s="20"/>
      <c r="K197" s="20"/>
      <c r="L197" s="64"/>
      <c r="M197" s="20"/>
      <c r="N197" s="23"/>
      <c r="O197" s="25"/>
      <c r="P197" s="23"/>
      <c r="Q197" s="20"/>
      <c r="R197" s="20"/>
      <c r="S197" s="20"/>
      <c r="T197" s="20"/>
      <c r="X197" s="28"/>
      <c r="Y197" s="28"/>
    </row>
    <row r="198" customFormat="false" ht="30" hidden="false" customHeight="true" outlineLevel="0" collapsed="false">
      <c r="B198" s="19"/>
      <c r="C198" s="38"/>
      <c r="D198" s="38"/>
      <c r="E198" s="23"/>
      <c r="F198" s="84"/>
      <c r="G198" s="24"/>
      <c r="H198" s="20"/>
      <c r="I198" s="20"/>
      <c r="J198" s="20"/>
      <c r="K198" s="20"/>
      <c r="L198" s="64"/>
      <c r="M198" s="20"/>
      <c r="N198" s="23"/>
      <c r="O198" s="25"/>
      <c r="P198" s="23"/>
      <c r="Q198" s="20"/>
      <c r="R198" s="20"/>
      <c r="S198" s="20"/>
      <c r="T198" s="20"/>
      <c r="X198" s="28"/>
      <c r="Y198" s="28"/>
    </row>
    <row r="199" customFormat="false" ht="30" hidden="false" customHeight="true" outlineLevel="0" collapsed="false">
      <c r="B199" s="19"/>
      <c r="C199" s="38"/>
      <c r="D199" s="38"/>
      <c r="E199" s="23"/>
      <c r="F199" s="84"/>
      <c r="G199" s="24"/>
      <c r="H199" s="20"/>
      <c r="I199" s="20"/>
      <c r="J199" s="20"/>
      <c r="K199" s="20"/>
      <c r="L199" s="64"/>
      <c r="M199" s="20"/>
      <c r="N199" s="23"/>
      <c r="O199" s="25"/>
      <c r="P199" s="23"/>
      <c r="Q199" s="20"/>
      <c r="R199" s="20"/>
      <c r="S199" s="20"/>
      <c r="T199" s="20"/>
      <c r="X199" s="28"/>
      <c r="Y199" s="28"/>
    </row>
    <row r="200" customFormat="false" ht="30" hidden="false" customHeight="true" outlineLevel="0" collapsed="false">
      <c r="B200" s="19"/>
      <c r="C200" s="38"/>
      <c r="D200" s="38"/>
      <c r="E200" s="23"/>
      <c r="F200" s="84"/>
      <c r="G200" s="24"/>
      <c r="H200" s="20"/>
      <c r="I200" s="20"/>
      <c r="J200" s="20"/>
      <c r="K200" s="20"/>
      <c r="L200" s="64"/>
      <c r="M200" s="20"/>
      <c r="N200" s="23"/>
      <c r="O200" s="25"/>
      <c r="P200" s="23"/>
      <c r="Q200" s="20"/>
      <c r="R200" s="20"/>
      <c r="S200" s="20"/>
      <c r="T200" s="20"/>
      <c r="X200" s="28"/>
      <c r="Y200" s="28"/>
    </row>
    <row r="201" customFormat="false" ht="30" hidden="false" customHeight="true" outlineLevel="0" collapsed="false">
      <c r="B201" s="19"/>
      <c r="C201" s="38"/>
      <c r="D201" s="38"/>
      <c r="E201" s="23"/>
      <c r="F201" s="84"/>
      <c r="G201" s="24"/>
      <c r="H201" s="20"/>
      <c r="I201" s="20"/>
      <c r="J201" s="20"/>
      <c r="K201" s="20"/>
      <c r="L201" s="64"/>
      <c r="M201" s="20"/>
      <c r="N201" s="23"/>
      <c r="O201" s="25"/>
      <c r="P201" s="23"/>
      <c r="Q201" s="20"/>
      <c r="R201" s="20"/>
      <c r="S201" s="20"/>
      <c r="T201" s="20"/>
      <c r="X201" s="28"/>
      <c r="Y201" s="28"/>
    </row>
    <row r="202" customFormat="false" ht="30" hidden="false" customHeight="true" outlineLevel="0" collapsed="false">
      <c r="B202" s="19"/>
      <c r="C202" s="38"/>
      <c r="D202" s="38"/>
      <c r="E202" s="23"/>
      <c r="F202" s="84"/>
      <c r="G202" s="24"/>
      <c r="H202" s="20"/>
      <c r="I202" s="20"/>
      <c r="J202" s="20"/>
      <c r="K202" s="20"/>
      <c r="L202" s="64"/>
      <c r="M202" s="20"/>
      <c r="N202" s="23"/>
      <c r="O202" s="25"/>
      <c r="P202" s="23"/>
      <c r="Q202" s="20"/>
      <c r="R202" s="20"/>
      <c r="S202" s="20"/>
      <c r="T202" s="20"/>
      <c r="X202" s="28"/>
      <c r="Y202" s="28"/>
    </row>
    <row r="203" customFormat="false" ht="30" hidden="false" customHeight="true" outlineLevel="0" collapsed="false">
      <c r="B203" s="19"/>
      <c r="C203" s="38"/>
      <c r="D203" s="38"/>
      <c r="E203" s="23"/>
      <c r="F203" s="84"/>
      <c r="G203" s="24"/>
      <c r="H203" s="20"/>
      <c r="I203" s="20"/>
      <c r="J203" s="20"/>
      <c r="K203" s="20"/>
      <c r="L203" s="64"/>
      <c r="M203" s="20"/>
      <c r="N203" s="23"/>
      <c r="O203" s="25"/>
      <c r="P203" s="23"/>
      <c r="Q203" s="20"/>
      <c r="R203" s="20"/>
      <c r="S203" s="20"/>
      <c r="T203" s="20"/>
      <c r="X203" s="28"/>
      <c r="Y203" s="28"/>
    </row>
    <row r="204" customFormat="false" ht="30" hidden="false" customHeight="true" outlineLevel="0" collapsed="false">
      <c r="B204" s="19"/>
      <c r="C204" s="38"/>
      <c r="D204" s="38"/>
      <c r="E204" s="23"/>
      <c r="F204" s="84"/>
      <c r="G204" s="24"/>
      <c r="H204" s="20"/>
      <c r="I204" s="20"/>
      <c r="J204" s="20"/>
      <c r="K204" s="20"/>
      <c r="L204" s="64"/>
      <c r="M204" s="20"/>
      <c r="N204" s="23"/>
      <c r="O204" s="25"/>
      <c r="P204" s="23"/>
      <c r="Q204" s="20"/>
      <c r="R204" s="20"/>
      <c r="S204" s="20"/>
      <c r="T204" s="20"/>
      <c r="X204" s="28"/>
      <c r="Y204" s="28"/>
    </row>
    <row r="205" customFormat="false" ht="30" hidden="false" customHeight="true" outlineLevel="0" collapsed="false">
      <c r="B205" s="19"/>
      <c r="C205" s="38"/>
      <c r="D205" s="38"/>
      <c r="E205" s="23"/>
      <c r="F205" s="84"/>
      <c r="G205" s="24"/>
      <c r="H205" s="20"/>
      <c r="I205" s="20"/>
      <c r="J205" s="20"/>
      <c r="K205" s="20"/>
      <c r="L205" s="64"/>
      <c r="M205" s="20"/>
      <c r="N205" s="23"/>
      <c r="O205" s="25"/>
      <c r="P205" s="23"/>
      <c r="Q205" s="20"/>
      <c r="R205" s="20"/>
      <c r="S205" s="20"/>
      <c r="T205" s="20"/>
      <c r="X205" s="28"/>
      <c r="Y205" s="28"/>
    </row>
    <row r="206" customFormat="false" ht="30" hidden="false" customHeight="true" outlineLevel="0" collapsed="false">
      <c r="B206" s="19"/>
      <c r="C206" s="38"/>
      <c r="D206" s="38"/>
      <c r="E206" s="23"/>
      <c r="F206" s="84"/>
      <c r="G206" s="24"/>
      <c r="H206" s="20"/>
      <c r="I206" s="20"/>
      <c r="J206" s="20"/>
      <c r="K206" s="20"/>
      <c r="L206" s="64"/>
      <c r="M206" s="20"/>
      <c r="N206" s="23"/>
      <c r="O206" s="25"/>
      <c r="P206" s="23"/>
      <c r="Q206" s="20"/>
      <c r="R206" s="20"/>
      <c r="S206" s="20"/>
      <c r="T206" s="20"/>
      <c r="X206" s="28"/>
      <c r="Y206" s="28"/>
    </row>
    <row r="207" customFormat="false" ht="30" hidden="false" customHeight="true" outlineLevel="0" collapsed="false">
      <c r="B207" s="19"/>
      <c r="C207" s="38"/>
      <c r="D207" s="38"/>
      <c r="E207" s="23"/>
      <c r="F207" s="84"/>
      <c r="G207" s="24"/>
      <c r="H207" s="20"/>
      <c r="I207" s="20"/>
      <c r="J207" s="20"/>
      <c r="K207" s="20"/>
      <c r="L207" s="64"/>
      <c r="M207" s="20"/>
      <c r="N207" s="23"/>
      <c r="O207" s="25"/>
      <c r="P207" s="23"/>
      <c r="Q207" s="20"/>
      <c r="R207" s="20"/>
      <c r="S207" s="20"/>
      <c r="T207" s="20"/>
      <c r="X207" s="28"/>
      <c r="Y207" s="28"/>
    </row>
    <row r="208" customFormat="false" ht="30" hidden="false" customHeight="true" outlineLevel="0" collapsed="false">
      <c r="B208" s="19"/>
      <c r="C208" s="38"/>
      <c r="D208" s="38"/>
      <c r="E208" s="23"/>
      <c r="F208" s="84"/>
      <c r="G208" s="24"/>
      <c r="H208" s="20"/>
      <c r="I208" s="20"/>
      <c r="J208" s="20"/>
      <c r="K208" s="20"/>
      <c r="L208" s="64"/>
      <c r="M208" s="20"/>
      <c r="N208" s="23"/>
      <c r="O208" s="25"/>
      <c r="P208" s="23"/>
      <c r="Q208" s="20"/>
      <c r="R208" s="20"/>
      <c r="S208" s="20"/>
      <c r="T208" s="20"/>
      <c r="X208" s="28"/>
      <c r="Y208" s="28"/>
    </row>
    <row r="209" customFormat="false" ht="30" hidden="false" customHeight="true" outlineLevel="0" collapsed="false">
      <c r="B209" s="19"/>
      <c r="C209" s="38"/>
      <c r="D209" s="38"/>
      <c r="E209" s="23"/>
      <c r="F209" s="84"/>
      <c r="G209" s="24"/>
      <c r="H209" s="20"/>
      <c r="I209" s="20"/>
      <c r="J209" s="20"/>
      <c r="K209" s="20"/>
      <c r="L209" s="64"/>
      <c r="M209" s="20"/>
      <c r="N209" s="23"/>
      <c r="O209" s="25"/>
      <c r="P209" s="23"/>
      <c r="Q209" s="20"/>
      <c r="R209" s="20"/>
      <c r="S209" s="20"/>
      <c r="T209" s="20"/>
      <c r="X209" s="28"/>
      <c r="Y209" s="28"/>
    </row>
    <row r="210" customFormat="false" ht="30" hidden="false" customHeight="true" outlineLevel="0" collapsed="false">
      <c r="B210" s="19"/>
      <c r="C210" s="38"/>
      <c r="D210" s="38"/>
      <c r="E210" s="23"/>
      <c r="F210" s="84"/>
      <c r="G210" s="24"/>
      <c r="H210" s="20"/>
      <c r="I210" s="20"/>
      <c r="J210" s="20"/>
      <c r="K210" s="20"/>
      <c r="L210" s="64"/>
      <c r="M210" s="20"/>
      <c r="N210" s="23"/>
      <c r="O210" s="25"/>
      <c r="P210" s="23"/>
      <c r="Q210" s="20"/>
      <c r="R210" s="20"/>
      <c r="S210" s="20"/>
      <c r="T210" s="20"/>
      <c r="X210" s="28"/>
      <c r="Y210" s="28"/>
    </row>
    <row r="211" customFormat="false" ht="30" hidden="false" customHeight="true" outlineLevel="0" collapsed="false">
      <c r="B211" s="19"/>
      <c r="C211" s="38"/>
      <c r="D211" s="38"/>
      <c r="E211" s="23"/>
      <c r="F211" s="84"/>
      <c r="G211" s="24"/>
      <c r="H211" s="20"/>
      <c r="I211" s="20"/>
      <c r="J211" s="20"/>
      <c r="K211" s="20"/>
      <c r="L211" s="64"/>
      <c r="M211" s="20"/>
      <c r="N211" s="23"/>
      <c r="O211" s="25"/>
      <c r="P211" s="23"/>
      <c r="Q211" s="20"/>
      <c r="R211" s="20"/>
      <c r="S211" s="20"/>
      <c r="T211" s="20"/>
      <c r="X211" s="28"/>
      <c r="Y211" s="28"/>
    </row>
    <row r="212" customFormat="false" ht="30" hidden="false" customHeight="true" outlineLevel="0" collapsed="false">
      <c r="B212" s="19"/>
      <c r="C212" s="38"/>
      <c r="D212" s="38"/>
      <c r="E212" s="23"/>
      <c r="F212" s="84"/>
      <c r="G212" s="24"/>
      <c r="H212" s="20"/>
      <c r="I212" s="20"/>
      <c r="J212" s="20"/>
      <c r="K212" s="20"/>
      <c r="L212" s="64"/>
      <c r="M212" s="20"/>
      <c r="N212" s="23"/>
      <c r="O212" s="25"/>
      <c r="P212" s="23"/>
      <c r="Q212" s="20"/>
      <c r="R212" s="20"/>
      <c r="S212" s="20"/>
      <c r="T212" s="20"/>
      <c r="X212" s="28"/>
      <c r="Y212" s="28"/>
    </row>
    <row r="213" customFormat="false" ht="30" hidden="false" customHeight="true" outlineLevel="0" collapsed="false">
      <c r="B213" s="19"/>
      <c r="C213" s="38"/>
      <c r="D213" s="38"/>
      <c r="E213" s="23"/>
      <c r="F213" s="48"/>
      <c r="G213" s="26"/>
      <c r="H213" s="20"/>
      <c r="I213" s="20"/>
      <c r="J213" s="20"/>
      <c r="K213" s="20"/>
      <c r="L213" s="64"/>
      <c r="M213" s="20"/>
      <c r="N213" s="23"/>
      <c r="O213" s="25"/>
      <c r="P213" s="23"/>
      <c r="Q213" s="20"/>
      <c r="R213" s="20"/>
      <c r="S213" s="20"/>
      <c r="T213" s="20"/>
      <c r="X213" s="28"/>
      <c r="Y213" s="28"/>
    </row>
    <row r="214" customFormat="false" ht="30" hidden="false" customHeight="true" outlineLevel="0" collapsed="false">
      <c r="B214" s="19"/>
      <c r="C214" s="38"/>
      <c r="D214" s="38"/>
      <c r="E214" s="23"/>
      <c r="F214" s="48"/>
      <c r="G214" s="26"/>
      <c r="H214" s="20"/>
      <c r="I214" s="20"/>
      <c r="J214" s="20"/>
      <c r="K214" s="20"/>
      <c r="L214" s="64"/>
      <c r="M214" s="20"/>
      <c r="N214" s="23"/>
      <c r="O214" s="25"/>
      <c r="P214" s="23"/>
      <c r="Q214" s="20"/>
      <c r="R214" s="20"/>
      <c r="S214" s="20"/>
      <c r="T214" s="20"/>
      <c r="X214" s="28"/>
      <c r="Y214" s="28"/>
    </row>
    <row r="215" customFormat="false" ht="61.5" hidden="false" customHeight="true" outlineLevel="0" collapsed="false">
      <c r="B215" s="19"/>
      <c r="C215" s="38"/>
      <c r="D215" s="38"/>
      <c r="E215" s="23"/>
      <c r="F215" s="85"/>
      <c r="G215" s="24"/>
      <c r="H215" s="20"/>
      <c r="I215" s="20"/>
      <c r="J215" s="20"/>
      <c r="K215" s="20"/>
      <c r="L215" s="64"/>
      <c r="M215" s="20"/>
      <c r="N215" s="23"/>
      <c r="O215" s="25"/>
      <c r="P215" s="23"/>
      <c r="Q215" s="20"/>
      <c r="R215" s="20"/>
      <c r="S215" s="20"/>
      <c r="T215" s="20"/>
      <c r="X215" s="28"/>
      <c r="Y215" s="28"/>
    </row>
  </sheetData>
  <autoFilter ref="B5:T215"/>
  <mergeCells count="27">
    <mergeCell ref="B1:T1"/>
    <mergeCell ref="B2:H2"/>
    <mergeCell ref="R2:T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P3"/>
    <mergeCell ref="Q3:T3"/>
    <mergeCell ref="M4:M5"/>
    <mergeCell ref="N4:N5"/>
    <mergeCell ref="O4:O5"/>
    <mergeCell ref="P4:P5"/>
    <mergeCell ref="Q4:R4"/>
    <mergeCell ref="S4:T4"/>
    <mergeCell ref="U15:V15"/>
    <mergeCell ref="U16:V16"/>
    <mergeCell ref="U17:V17"/>
    <mergeCell ref="U65:V65"/>
    <mergeCell ref="U66:V66"/>
  </mergeCells>
  <printOptions headings="false" gridLines="false" gridLinesSet="true" horizontalCentered="true" verticalCentered="true"/>
  <pageMargins left="0" right="0.196527777777778" top="0.39375" bottom="0.39375" header="0.144" footer="0.511811023622047"/>
  <pageSetup paperSize="9" scale="75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C202"/>
  <sheetViews>
    <sheetView showFormulas="false" showGridLines="true" showRowColHeaders="true" showZeros="true" rightToLeft="false" tabSelected="false" showOutlineSymbols="true" defaultGridColor="true" view="pageBreakPreview" topLeftCell="A1" colorId="64" zoomScale="85" zoomScaleNormal="75" zoomScalePageLayoutView="85" workbookViewId="0">
      <pane xSplit="0" ySplit="5" topLeftCell="A6" activePane="bottomLeft" state="frozen"/>
      <selection pane="topLeft" activeCell="A1" activeCellId="0" sqref="A1"/>
      <selection pane="bottomLeft" activeCell="D14" activeCellId="0" sqref="D14"/>
    </sheetView>
  </sheetViews>
  <sheetFormatPr defaultColWidth="8.7100" defaultRowHeight="13.5" zeroHeight="false" outlineLevelRow="0" outlineLevelCol="0"/>
  <cols>
    <col min="1" max="1" width="6.2188" customWidth="1"/>
    <col min="2" max="2" width="9.3320" customWidth="1"/>
    <col min="3" max="3" width="10.7773" customWidth="1"/>
    <col min="4" max="4" width="28.8867" customWidth="1"/>
    <col min="5" max="5" width="6.7773" customWidth="1"/>
    <col min="6" max="6" width="6.7773" customWidth="1"/>
    <col min="7" max="7" width="6.7773" customWidth="1"/>
    <col min="8" max="8" width="10.7773" customWidth="1"/>
    <col min="9" max="9" width="8.6641" customWidth="1"/>
    <col min="10" max="10" width="7.7773" customWidth="1"/>
    <col min="11" max="11" width="10.8867" customWidth="1"/>
    <col min="12" max="12" width="6.0000" customWidth="1" hidden="1"/>
    <col min="13" max="13" width="6.7773" customWidth="1" hidden="1"/>
    <col min="14" max="14" width="6.7773" customWidth="1" hidden="1"/>
    <col min="15" max="15" width="6.7773" customWidth="1" hidden="1"/>
    <col min="16" max="16" width="7.7773" customWidth="1" hidden="1"/>
    <col min="17" max="17" width="7.8867" customWidth="1" hidden="1"/>
    <col min="18" max="18" width="7.8867" customWidth="1" hidden="1"/>
    <col min="19" max="19" width="7.8867" customWidth="1" hidden="1"/>
    <col min="20" max="20" width="7.8867" customWidth="1" hidden="1"/>
    <col min="21" max="21" width="14.0000" customWidth="1"/>
    <col min="22" max="22" width="8.8867" customWidth="1"/>
    <col min="23" max="23" width="8.8867" customWidth="1"/>
    <col min="24" max="24" width="10.7773" customWidth="1"/>
    <col min="25" max="25" width="10.7773" customWidth="1"/>
    <col min="26" max="26" width="9.3320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54.75" hidden="false" customHeight="true" outlineLevel="0" collapsed="false">
      <c r="B1" s="9" t="s">
        <v>26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30"/>
    </row>
    <row r="2" customFormat="false" ht="29.25" hidden="false" customHeight="true" outlineLevel="0" collapsed="false">
      <c r="B2" s="10" t="s">
        <v>29</v>
      </c>
      <c r="C2" s="10"/>
      <c r="D2" s="10"/>
      <c r="E2" s="10"/>
      <c r="F2" s="10"/>
      <c r="G2" s="10"/>
      <c r="H2" s="10"/>
      <c r="I2" s="7"/>
      <c r="J2" s="7"/>
      <c r="K2" s="7"/>
      <c r="M2" s="32" t="n">
        <v>419</v>
      </c>
      <c r="N2" s="33"/>
      <c r="O2" s="34"/>
      <c r="P2" s="33"/>
      <c r="Q2" s="32"/>
      <c r="R2" s="35" t="s">
        <v>30</v>
      </c>
      <c r="S2" s="35"/>
      <c r="T2" s="35"/>
    </row>
    <row r="3" customFormat="false" ht="26.25" hidden="false" customHeight="true" outlineLevel="0" collapsed="false">
      <c r="B3" s="11" t="s">
        <v>2</v>
      </c>
      <c r="C3" s="36" t="s">
        <v>3</v>
      </c>
      <c r="D3" s="36" t="s">
        <v>35</v>
      </c>
      <c r="E3" s="15" t="s">
        <v>6</v>
      </c>
      <c r="F3" s="17" t="s">
        <v>7</v>
      </c>
      <c r="G3" s="17" t="s">
        <v>36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37</v>
      </c>
      <c r="M3" s="12" t="s">
        <v>14</v>
      </c>
      <c r="N3" s="12"/>
      <c r="O3" s="12"/>
      <c r="P3" s="12"/>
      <c r="Q3" s="12" t="s">
        <v>15</v>
      </c>
      <c r="R3" s="12"/>
      <c r="S3" s="12"/>
      <c r="T3" s="12"/>
      <c r="W3" s="19"/>
      <c r="X3" s="19"/>
      <c r="Y3" s="19"/>
      <c r="Z3" s="19"/>
      <c r="AA3" s="19"/>
      <c r="AB3" s="19"/>
      <c r="AC3" s="19"/>
    </row>
    <row r="4" customFormat="false" ht="26.25" hidden="false" customHeight="true" outlineLevel="0" collapsed="false">
      <c r="B4" s="11"/>
      <c r="C4" s="36"/>
      <c r="D4" s="36"/>
      <c r="E4" s="15"/>
      <c r="F4" s="17"/>
      <c r="G4" s="17"/>
      <c r="H4" s="17"/>
      <c r="I4" s="17"/>
      <c r="J4" s="17"/>
      <c r="K4" s="17"/>
      <c r="L4" s="17"/>
      <c r="M4" s="17" t="s">
        <v>16</v>
      </c>
      <c r="N4" s="15" t="s">
        <v>17</v>
      </c>
      <c r="O4" s="18" t="s">
        <v>18</v>
      </c>
      <c r="P4" s="15" t="s">
        <v>19</v>
      </c>
      <c r="Q4" s="12" t="s">
        <v>20</v>
      </c>
      <c r="R4" s="12"/>
      <c r="S4" s="12" t="s">
        <v>40</v>
      </c>
      <c r="T4" s="12"/>
      <c r="W4" s="19"/>
      <c r="X4" s="37"/>
      <c r="Y4" s="37"/>
      <c r="Z4" s="37"/>
      <c r="AA4" s="19"/>
      <c r="AB4" s="19"/>
      <c r="AC4" s="19"/>
    </row>
    <row r="5" customFormat="false" ht="26.25" hidden="false" customHeight="true" outlineLevel="0" collapsed="false">
      <c r="B5" s="11"/>
      <c r="C5" s="36"/>
      <c r="D5" s="36"/>
      <c r="E5" s="15"/>
      <c r="F5" s="17"/>
      <c r="G5" s="17"/>
      <c r="H5" s="17"/>
      <c r="I5" s="17"/>
      <c r="J5" s="17"/>
      <c r="K5" s="17"/>
      <c r="L5" s="17"/>
      <c r="M5" s="17"/>
      <c r="N5" s="15"/>
      <c r="O5" s="18"/>
      <c r="P5" s="15"/>
      <c r="Q5" s="12" t="s">
        <v>22</v>
      </c>
      <c r="R5" s="12" t="s">
        <v>23</v>
      </c>
      <c r="S5" s="12" t="s">
        <v>22</v>
      </c>
      <c r="T5" s="12" t="s">
        <v>23</v>
      </c>
      <c r="U5" s="7"/>
      <c r="V5" s="7"/>
      <c r="W5" s="20"/>
      <c r="X5" s="20"/>
      <c r="Y5" s="19"/>
      <c r="Z5" s="19"/>
      <c r="AA5" s="19"/>
      <c r="AB5" s="19"/>
      <c r="AC5" s="19"/>
    </row>
    <row r="6" customFormat="false" ht="30" hidden="false" customHeight="true" outlineLevel="0" collapsed="false">
      <c r="B6" s="19" t="s">
        <v>109</v>
      </c>
      <c r="C6" s="38" t="n">
        <v>45369</v>
      </c>
      <c r="D6" s="38" t="s">
        <v>110</v>
      </c>
      <c r="E6" s="39" t="n">
        <v>14.55</v>
      </c>
      <c r="F6" s="40" t="n">
        <v>12</v>
      </c>
      <c r="G6" s="41" t="n">
        <f aca="false">+F6-E6</f>
        <v>-2.55</v>
      </c>
      <c r="H6" s="20" t="s">
        <v>38</v>
      </c>
      <c r="I6" s="20" t="s">
        <v>47</v>
      </c>
      <c r="J6" s="20" t="s">
        <v>111</v>
      </c>
      <c r="K6" s="20"/>
      <c r="L6" s="20" t="n">
        <v>15</v>
      </c>
      <c r="M6" s="20" t="n">
        <v>160</v>
      </c>
      <c r="N6" s="23" t="n">
        <v>4</v>
      </c>
      <c r="O6" s="25" t="n">
        <v>0.026</v>
      </c>
      <c r="P6" s="23"/>
      <c r="Q6" s="20" t="s">
        <v>49</v>
      </c>
      <c r="R6" s="20"/>
      <c r="S6" s="20" t="s">
        <v>50</v>
      </c>
      <c r="T6" s="20"/>
      <c r="W6" s="19"/>
      <c r="X6" s="42"/>
      <c r="Y6" s="42"/>
      <c r="Z6" s="42"/>
      <c r="AA6" s="43"/>
      <c r="AB6" s="43"/>
      <c r="AC6" s="43"/>
    </row>
    <row r="7" customFormat="false" ht="30" hidden="false" customHeight="true" outlineLevel="0" collapsed="false">
      <c r="B7" s="19" t="s">
        <v>109</v>
      </c>
      <c r="C7" s="38" t="n">
        <v>45373</v>
      </c>
      <c r="D7" s="38" t="s">
        <v>112</v>
      </c>
      <c r="E7" s="39" t="n">
        <v>25.5</v>
      </c>
      <c r="F7" s="40" t="n">
        <v>27</v>
      </c>
      <c r="G7" s="41" t="n">
        <f aca="false">+F7-E7</f>
        <v>1.5</v>
      </c>
      <c r="H7" s="20" t="s">
        <v>38</v>
      </c>
      <c r="I7" s="20" t="s">
        <v>47</v>
      </c>
      <c r="J7" s="20" t="s">
        <v>111</v>
      </c>
      <c r="K7" s="20"/>
      <c r="L7" s="20" t="n">
        <v>14</v>
      </c>
      <c r="M7" s="20" t="n">
        <v>155</v>
      </c>
      <c r="N7" s="23" t="n">
        <v>4.4</v>
      </c>
      <c r="O7" s="25" t="n">
        <v>0.058</v>
      </c>
      <c r="P7" s="23"/>
      <c r="Q7" s="20" t="s">
        <v>49</v>
      </c>
      <c r="R7" s="20"/>
      <c r="S7" s="20" t="s">
        <v>50</v>
      </c>
      <c r="T7" s="20"/>
      <c r="V7" s="7"/>
      <c r="W7" s="19"/>
      <c r="X7" s="43"/>
      <c r="Y7" s="43"/>
      <c r="Z7" s="43"/>
      <c r="AA7" s="46"/>
      <c r="AB7" s="43"/>
      <c r="AC7" s="43"/>
    </row>
    <row r="8" customFormat="false" ht="30" hidden="false" customHeight="true" outlineLevel="0" collapsed="false">
      <c r="B8" s="19"/>
      <c r="C8" s="38"/>
      <c r="D8" s="38"/>
      <c r="E8" s="23"/>
      <c r="F8" s="40"/>
      <c r="G8" s="41"/>
      <c r="H8" s="20"/>
      <c r="I8" s="20"/>
      <c r="J8" s="20"/>
      <c r="K8" s="20"/>
      <c r="L8" s="20" t="n">
        <v>14</v>
      </c>
      <c r="M8" s="20" t="n">
        <v>150</v>
      </c>
      <c r="N8" s="23" t="n">
        <v>4</v>
      </c>
      <c r="O8" s="25" t="n">
        <v>0.031</v>
      </c>
      <c r="P8" s="23"/>
      <c r="Q8" s="20" t="s">
        <v>49</v>
      </c>
      <c r="R8" s="20"/>
      <c r="S8" s="20" t="s">
        <v>50</v>
      </c>
      <c r="T8" s="20"/>
      <c r="V8" s="47"/>
      <c r="X8" s="28"/>
      <c r="Y8" s="28"/>
    </row>
    <row r="9" customFormat="false" ht="30" hidden="false" customHeight="true" outlineLevel="0" collapsed="false">
      <c r="B9" s="19"/>
      <c r="C9" s="38"/>
      <c r="D9" s="38"/>
      <c r="E9" s="23"/>
      <c r="F9" s="48"/>
      <c r="G9" s="41"/>
      <c r="H9" s="20"/>
      <c r="I9" s="20"/>
      <c r="J9" s="20"/>
      <c r="K9" s="20"/>
      <c r="L9" s="20" t="n">
        <v>16</v>
      </c>
      <c r="M9" s="20" t="n">
        <v>165</v>
      </c>
      <c r="N9" s="23" t="n">
        <v>3.9</v>
      </c>
      <c r="O9" s="25" t="n">
        <v>0.038</v>
      </c>
      <c r="P9" s="23"/>
      <c r="Q9" s="20" t="s">
        <v>49</v>
      </c>
      <c r="R9" s="20"/>
      <c r="S9" s="20" t="s">
        <v>50</v>
      </c>
      <c r="T9" s="20"/>
      <c r="U9" s="49"/>
      <c r="V9" s="49"/>
      <c r="X9" s="28"/>
      <c r="Y9" s="50"/>
    </row>
    <row r="10" customFormat="false" ht="30" hidden="false" customHeight="true" outlineLevel="0" collapsed="false">
      <c r="B10" s="19"/>
      <c r="C10" s="38"/>
      <c r="D10" s="38"/>
      <c r="E10" s="23"/>
      <c r="F10" s="48"/>
      <c r="G10" s="41"/>
      <c r="H10" s="20"/>
      <c r="I10" s="20"/>
      <c r="J10" s="20"/>
      <c r="K10" s="20"/>
      <c r="L10" s="20" t="n">
        <v>13</v>
      </c>
      <c r="M10" s="20" t="n">
        <v>165</v>
      </c>
      <c r="N10" s="23" t="n">
        <v>4.1</v>
      </c>
      <c r="O10" s="25" t="n">
        <v>0.048</v>
      </c>
      <c r="P10" s="23"/>
      <c r="Q10" s="20" t="s">
        <v>49</v>
      </c>
      <c r="R10" s="20"/>
      <c r="S10" s="20" t="s">
        <v>50</v>
      </c>
      <c r="T10" s="20"/>
      <c r="U10" s="51"/>
      <c r="V10" s="50"/>
      <c r="X10" s="50"/>
      <c r="Y10" s="28"/>
    </row>
    <row r="11" customFormat="false" ht="30" hidden="false" customHeight="true" outlineLevel="0" collapsed="false">
      <c r="B11" s="19"/>
      <c r="C11" s="38"/>
      <c r="D11" s="38"/>
      <c r="E11" s="23"/>
      <c r="F11" s="48"/>
      <c r="G11" s="41"/>
      <c r="H11" s="20"/>
      <c r="I11" s="20"/>
      <c r="J11" s="20"/>
      <c r="K11" s="20"/>
      <c r="L11" s="20" t="n">
        <v>12</v>
      </c>
      <c r="M11" s="20" t="n">
        <v>150</v>
      </c>
      <c r="N11" s="23" t="n">
        <v>3.8</v>
      </c>
      <c r="O11" s="25" t="n">
        <v>0.051</v>
      </c>
      <c r="P11" s="23"/>
      <c r="Q11" s="20" t="s">
        <v>49</v>
      </c>
      <c r="R11" s="20"/>
      <c r="S11" s="20" t="s">
        <v>50</v>
      </c>
      <c r="T11" s="20"/>
      <c r="U11" s="52"/>
      <c r="X11" s="47"/>
      <c r="Y11" s="28"/>
    </row>
    <row r="12" customFormat="false" ht="30" hidden="false" customHeight="true" outlineLevel="0" collapsed="false">
      <c r="B12" s="19"/>
      <c r="C12" s="38"/>
      <c r="D12" s="38"/>
      <c r="E12" s="23"/>
      <c r="F12" s="48"/>
      <c r="G12" s="41"/>
      <c r="H12" s="20"/>
      <c r="I12" s="20"/>
      <c r="J12" s="20"/>
      <c r="K12" s="20"/>
      <c r="L12" s="20" t="n">
        <v>12</v>
      </c>
      <c r="M12" s="20" t="n">
        <v>160</v>
      </c>
      <c r="N12" s="23" t="n">
        <v>4.3</v>
      </c>
      <c r="O12" s="25" t="n">
        <v>0.033</v>
      </c>
      <c r="P12" s="23"/>
      <c r="Q12" s="20" t="s">
        <v>49</v>
      </c>
      <c r="R12" s="20"/>
      <c r="S12" s="20" t="s">
        <v>50</v>
      </c>
      <c r="T12" s="20"/>
      <c r="X12" s="28"/>
      <c r="Y12" s="28"/>
    </row>
    <row r="13" customFormat="false" ht="30" hidden="false" customHeight="true" outlineLevel="0" collapsed="false">
      <c r="A13" s="53"/>
      <c r="B13" s="19"/>
      <c r="C13" s="54"/>
      <c r="D13" s="54"/>
      <c r="E13" s="55"/>
      <c r="F13" s="56"/>
      <c r="G13" s="41"/>
      <c r="H13" s="20"/>
      <c r="I13" s="20"/>
      <c r="J13" s="20"/>
      <c r="K13" s="56"/>
      <c r="L13" s="56" t="n">
        <v>14</v>
      </c>
      <c r="M13" s="56" t="n">
        <v>155</v>
      </c>
      <c r="N13" s="57" t="n">
        <v>3.4</v>
      </c>
      <c r="O13" s="58" t="n">
        <v>0.045</v>
      </c>
      <c r="P13" s="57"/>
      <c r="Q13" s="56" t="s">
        <v>49</v>
      </c>
      <c r="R13" s="56"/>
      <c r="S13" s="56" t="s">
        <v>50</v>
      </c>
      <c r="T13" s="56"/>
      <c r="X13" s="28"/>
      <c r="Y13" s="28"/>
    </row>
    <row r="14" customFormat="false" ht="30" hidden="false" customHeight="true" outlineLevel="0" collapsed="false">
      <c r="A14" s="53"/>
      <c r="B14" s="19"/>
      <c r="C14" s="54"/>
      <c r="D14" s="54"/>
      <c r="E14" s="55"/>
      <c r="F14" s="57"/>
      <c r="G14" s="59"/>
      <c r="H14" s="20"/>
      <c r="I14" s="20"/>
      <c r="J14" s="20"/>
      <c r="K14" s="56"/>
      <c r="L14" s="56" t="n">
        <v>13</v>
      </c>
      <c r="M14" s="56" t="n">
        <v>80</v>
      </c>
      <c r="N14" s="57" t="n">
        <v>3.8</v>
      </c>
      <c r="O14" s="58" t="n">
        <v>0.029</v>
      </c>
      <c r="P14" s="57"/>
      <c r="Q14" s="56" t="s">
        <v>49</v>
      </c>
      <c r="R14" s="56"/>
      <c r="S14" s="56" t="s">
        <v>50</v>
      </c>
      <c r="T14" s="56"/>
      <c r="U14" s="52"/>
      <c r="X14" s="28"/>
      <c r="Y14" s="28"/>
    </row>
    <row r="15" customFormat="false" ht="30" hidden="false" customHeight="true" outlineLevel="0" collapsed="false">
      <c r="A15" s="53"/>
      <c r="B15" s="19"/>
      <c r="C15" s="54"/>
      <c r="D15" s="54"/>
      <c r="E15" s="55"/>
      <c r="F15" s="57"/>
      <c r="G15" s="59"/>
      <c r="H15" s="20"/>
      <c r="I15" s="20"/>
      <c r="J15" s="20"/>
      <c r="K15" s="56"/>
      <c r="L15" s="56" t="n">
        <v>14</v>
      </c>
      <c r="M15" s="56" t="n">
        <v>80</v>
      </c>
      <c r="N15" s="57" t="n">
        <v>4.1</v>
      </c>
      <c r="O15" s="58" t="n">
        <v>0.03</v>
      </c>
      <c r="P15" s="57"/>
      <c r="Q15" s="56" t="s">
        <v>49</v>
      </c>
      <c r="R15" s="56"/>
      <c r="S15" s="56" t="s">
        <v>63</v>
      </c>
      <c r="T15" s="56"/>
      <c r="U15" s="52"/>
      <c r="X15" s="28"/>
      <c r="Y15" s="28"/>
    </row>
    <row r="16" customFormat="false" ht="30" hidden="false" customHeight="true" outlineLevel="0" collapsed="false">
      <c r="A16" s="53"/>
      <c r="B16" s="65"/>
      <c r="C16" s="54"/>
      <c r="D16" s="54"/>
      <c r="E16" s="55"/>
      <c r="F16" s="57"/>
      <c r="G16" s="59"/>
      <c r="H16" s="56"/>
      <c r="I16" s="20"/>
      <c r="J16" s="56"/>
      <c r="K16" s="56"/>
      <c r="L16" s="56" t="n">
        <v>14</v>
      </c>
      <c r="M16" s="61" t="n">
        <v>85</v>
      </c>
      <c r="N16" s="62" t="n">
        <v>4</v>
      </c>
      <c r="O16" s="63" t="n">
        <v>0.065</v>
      </c>
      <c r="P16" s="62"/>
      <c r="Q16" s="56" t="s">
        <v>49</v>
      </c>
      <c r="R16" s="56"/>
      <c r="S16" s="56" t="s">
        <v>63</v>
      </c>
      <c r="T16" s="56"/>
      <c r="U16" s="86"/>
      <c r="V16" s="86"/>
      <c r="X16" s="28"/>
      <c r="Y16" s="28"/>
    </row>
    <row r="17" customFormat="false" ht="30" hidden="false" customHeight="true" outlineLevel="0" collapsed="false">
      <c r="A17" s="53"/>
      <c r="B17" s="65"/>
      <c r="C17" s="54"/>
      <c r="D17" s="54"/>
      <c r="E17" s="55"/>
      <c r="F17" s="48"/>
      <c r="G17" s="41"/>
      <c r="H17" s="48"/>
      <c r="I17" s="20"/>
      <c r="J17" s="20"/>
      <c r="K17" s="20"/>
      <c r="L17" s="64" t="s">
        <v>69</v>
      </c>
      <c r="M17" s="20" t="n">
        <v>90</v>
      </c>
      <c r="N17" s="23" t="n">
        <v>3.8</v>
      </c>
      <c r="O17" s="25" t="n">
        <v>0.048</v>
      </c>
      <c r="P17" s="23"/>
      <c r="Q17" s="48" t="s">
        <v>70</v>
      </c>
      <c r="R17" s="48"/>
      <c r="S17" s="48" t="s">
        <v>63</v>
      </c>
      <c r="T17" s="20"/>
      <c r="X17" s="28"/>
      <c r="Y17" s="28"/>
    </row>
    <row r="18" customFormat="false" ht="30" hidden="false" customHeight="true" outlineLevel="0" collapsed="false">
      <c r="A18" s="53"/>
      <c r="B18" s="65"/>
      <c r="C18" s="54"/>
      <c r="D18" s="54"/>
      <c r="E18" s="55"/>
      <c r="F18" s="48"/>
      <c r="G18" s="41"/>
      <c r="H18" s="48"/>
      <c r="I18" s="48"/>
      <c r="J18" s="48"/>
      <c r="K18" s="48"/>
      <c r="L18" s="64" t="s">
        <v>73</v>
      </c>
      <c r="M18" s="20" t="n">
        <v>85</v>
      </c>
      <c r="N18" s="23" t="n">
        <v>4.3</v>
      </c>
      <c r="O18" s="25" t="n">
        <v>0.058</v>
      </c>
      <c r="P18" s="23"/>
      <c r="Q18" s="48" t="s">
        <v>70</v>
      </c>
      <c r="R18" s="48"/>
      <c r="S18" s="48" t="s">
        <v>63</v>
      </c>
      <c r="T18" s="20"/>
      <c r="X18" s="28"/>
      <c r="Y18" s="28"/>
      <c r="Z18" s="52"/>
    </row>
    <row r="19" s="71" customFormat="true" ht="30" hidden="false" customHeight="true" outlineLevel="0" collapsed="false">
      <c r="A19" s="53"/>
      <c r="B19" s="65"/>
      <c r="C19" s="54"/>
      <c r="D19" s="54"/>
      <c r="E19" s="55"/>
      <c r="F19" s="48"/>
      <c r="G19" s="41"/>
      <c r="H19" s="48"/>
      <c r="I19" s="48"/>
      <c r="J19" s="48"/>
      <c r="K19" s="48"/>
      <c r="L19" s="66"/>
      <c r="M19" s="67"/>
      <c r="N19" s="68"/>
      <c r="O19" s="69"/>
      <c r="P19" s="68"/>
      <c r="Q19" s="67" t="s">
        <v>70</v>
      </c>
      <c r="R19" s="67"/>
      <c r="S19" s="67" t="s">
        <v>63</v>
      </c>
      <c r="T19" s="67"/>
      <c r="U19" s="70"/>
      <c r="X19" s="72"/>
      <c r="Y19" s="72"/>
      <c r="Z19" s="73"/>
    </row>
    <row r="20" s="71" customFormat="true" ht="30" hidden="false" customHeight="true" outlineLevel="0" collapsed="false">
      <c r="A20" s="53"/>
      <c r="B20" s="65"/>
      <c r="C20" s="54"/>
      <c r="D20" s="54"/>
      <c r="E20" s="55"/>
      <c r="F20" s="48"/>
      <c r="G20" s="41"/>
      <c r="H20" s="48"/>
      <c r="I20" s="48"/>
      <c r="J20" s="48"/>
      <c r="K20" s="48"/>
      <c r="L20" s="66"/>
      <c r="M20" s="67"/>
      <c r="N20" s="68"/>
      <c r="O20" s="69"/>
      <c r="P20" s="68"/>
      <c r="Q20" s="67" t="s">
        <v>70</v>
      </c>
      <c r="R20" s="67"/>
      <c r="S20" s="67" t="s">
        <v>63</v>
      </c>
      <c r="T20" s="67"/>
      <c r="U20" s="70"/>
      <c r="X20" s="72"/>
      <c r="Y20" s="72"/>
    </row>
    <row r="21" s="71" customFormat="true" ht="30" hidden="false" customHeight="true" outlineLevel="0" collapsed="false">
      <c r="A21" s="53"/>
      <c r="B21" s="65"/>
      <c r="C21" s="54"/>
      <c r="D21" s="54"/>
      <c r="E21" s="55"/>
      <c r="F21" s="48"/>
      <c r="G21" s="41"/>
      <c r="H21" s="48"/>
      <c r="I21" s="48"/>
      <c r="J21" s="48"/>
      <c r="K21" s="48"/>
      <c r="L21" s="66"/>
      <c r="M21" s="67"/>
      <c r="N21" s="68"/>
      <c r="O21" s="69"/>
      <c r="P21" s="68"/>
      <c r="Q21" s="67" t="s">
        <v>70</v>
      </c>
      <c r="R21" s="67"/>
      <c r="S21" s="67" t="s">
        <v>63</v>
      </c>
      <c r="T21" s="67"/>
      <c r="U21" s="74"/>
      <c r="X21" s="72"/>
      <c r="Y21" s="72"/>
    </row>
    <row r="22" s="71" customFormat="true" ht="30" hidden="false" customHeight="true" outlineLevel="0" collapsed="false">
      <c r="A22" s="53"/>
      <c r="B22" s="65"/>
      <c r="C22" s="54"/>
      <c r="D22" s="54"/>
      <c r="E22" s="55"/>
      <c r="F22" s="48"/>
      <c r="G22" s="41"/>
      <c r="H22" s="48"/>
      <c r="I22" s="48"/>
      <c r="J22" s="48"/>
      <c r="K22" s="48"/>
      <c r="L22" s="66"/>
      <c r="M22" s="67"/>
      <c r="N22" s="68"/>
      <c r="O22" s="69"/>
      <c r="P22" s="68"/>
      <c r="Q22" s="67" t="s">
        <v>70</v>
      </c>
      <c r="R22" s="67"/>
      <c r="S22" s="67" t="s">
        <v>63</v>
      </c>
      <c r="T22" s="67"/>
      <c r="U22" s="74"/>
      <c r="X22" s="72"/>
      <c r="Y22" s="72"/>
    </row>
    <row r="23" s="71" customFormat="true" ht="30" hidden="false" customHeight="true" outlineLevel="0" collapsed="false">
      <c r="A23" s="53"/>
      <c r="B23" s="65"/>
      <c r="C23" s="54"/>
      <c r="D23" s="54"/>
      <c r="E23" s="55"/>
      <c r="F23" s="48"/>
      <c r="G23" s="41"/>
      <c r="H23" s="48"/>
      <c r="I23" s="48"/>
      <c r="J23" s="48"/>
      <c r="K23" s="48"/>
      <c r="L23" s="66"/>
      <c r="M23" s="67"/>
      <c r="N23" s="68"/>
      <c r="O23" s="69"/>
      <c r="P23" s="68"/>
      <c r="Q23" s="67" t="s">
        <v>70</v>
      </c>
      <c r="R23" s="67"/>
      <c r="S23" s="67" t="s">
        <v>63</v>
      </c>
      <c r="T23" s="67"/>
      <c r="U23" s="74"/>
      <c r="X23" s="72"/>
      <c r="Y23" s="72"/>
    </row>
    <row r="24" customFormat="false" ht="30" hidden="false" customHeight="true" outlineLevel="0" collapsed="false">
      <c r="A24" s="53"/>
      <c r="B24" s="65"/>
      <c r="C24" s="54"/>
      <c r="D24" s="54"/>
      <c r="E24" s="55"/>
      <c r="F24" s="48"/>
      <c r="G24" s="41"/>
      <c r="H24" s="48"/>
      <c r="I24" s="48"/>
      <c r="J24" s="48"/>
      <c r="K24" s="48"/>
      <c r="L24" s="64" t="s">
        <v>82</v>
      </c>
      <c r="M24" s="20" t="n">
        <v>80</v>
      </c>
      <c r="N24" s="23" t="n">
        <v>4.3</v>
      </c>
      <c r="O24" s="25" t="n">
        <v>0.048</v>
      </c>
      <c r="P24" s="23"/>
      <c r="Q24" s="48" t="s">
        <v>70</v>
      </c>
      <c r="R24" s="48"/>
      <c r="S24" s="48" t="s">
        <v>63</v>
      </c>
      <c r="T24" s="20"/>
      <c r="X24" s="28"/>
      <c r="Y24" s="28"/>
    </row>
    <row r="25" customFormat="false" ht="30" hidden="false" customHeight="true" outlineLevel="0" collapsed="false">
      <c r="A25" s="53"/>
      <c r="B25" s="65"/>
      <c r="C25" s="54"/>
      <c r="D25" s="54"/>
      <c r="E25" s="55"/>
      <c r="F25" s="48"/>
      <c r="G25" s="41"/>
      <c r="H25" s="20"/>
      <c r="I25" s="20"/>
      <c r="J25" s="20"/>
      <c r="K25" s="20"/>
      <c r="L25" s="64" t="s">
        <v>85</v>
      </c>
      <c r="M25" s="20" t="n">
        <v>85</v>
      </c>
      <c r="N25" s="23" t="n">
        <v>3.7</v>
      </c>
      <c r="O25" s="25" t="n">
        <v>0.051</v>
      </c>
      <c r="P25" s="23"/>
      <c r="Q25" s="48" t="s">
        <v>70</v>
      </c>
      <c r="R25" s="48"/>
      <c r="S25" s="48" t="s">
        <v>63</v>
      </c>
      <c r="T25" s="20"/>
      <c r="X25" s="28"/>
      <c r="Y25" s="28"/>
    </row>
    <row r="26" customFormat="false" ht="30" hidden="false" customHeight="true" outlineLevel="0" collapsed="false">
      <c r="A26" s="53"/>
      <c r="B26" s="65"/>
      <c r="C26" s="54"/>
      <c r="D26" s="54"/>
      <c r="E26" s="55"/>
      <c r="F26" s="48"/>
      <c r="G26" s="41"/>
      <c r="H26" s="20"/>
      <c r="I26" s="20"/>
      <c r="J26" s="20"/>
      <c r="K26" s="20"/>
      <c r="L26" s="64" t="s">
        <v>87</v>
      </c>
      <c r="M26" s="20" t="n">
        <v>160</v>
      </c>
      <c r="N26" s="23" t="n">
        <v>4</v>
      </c>
      <c r="O26" s="25" t="n">
        <v>0.036</v>
      </c>
      <c r="P26" s="23"/>
      <c r="Q26" s="48" t="s">
        <v>70</v>
      </c>
      <c r="R26" s="48"/>
      <c r="S26" s="48" t="s">
        <v>63</v>
      </c>
      <c r="T26" s="20"/>
      <c r="X26" s="28"/>
      <c r="Y26" s="28"/>
    </row>
    <row r="27" customFormat="false" ht="30" hidden="false" customHeight="true" outlineLevel="0" collapsed="false">
      <c r="A27" s="53"/>
      <c r="B27" s="65"/>
      <c r="C27" s="54"/>
      <c r="D27" s="54"/>
      <c r="E27" s="55"/>
      <c r="F27" s="48"/>
      <c r="G27" s="41"/>
      <c r="H27" s="20"/>
      <c r="I27" s="20"/>
      <c r="J27" s="20"/>
      <c r="K27" s="20"/>
      <c r="L27" s="64" t="s">
        <v>89</v>
      </c>
      <c r="M27" s="37" t="n">
        <v>165</v>
      </c>
      <c r="N27" s="23" t="n">
        <v>3.8</v>
      </c>
      <c r="O27" s="25" t="n">
        <v>0.023</v>
      </c>
      <c r="P27" s="23"/>
      <c r="Q27" s="48" t="s">
        <v>70</v>
      </c>
      <c r="R27" s="48"/>
      <c r="S27" s="48" t="s">
        <v>63</v>
      </c>
      <c r="T27" s="20"/>
      <c r="X27" s="28"/>
      <c r="Y27" s="28"/>
    </row>
    <row r="28" customFormat="false" ht="30" hidden="false" customHeight="true" outlineLevel="0" collapsed="false">
      <c r="A28" s="53"/>
      <c r="B28" s="65"/>
      <c r="C28" s="54"/>
      <c r="D28" s="54"/>
      <c r="E28" s="55"/>
      <c r="F28" s="48"/>
      <c r="G28" s="41"/>
      <c r="H28" s="20"/>
      <c r="I28" s="20"/>
      <c r="J28" s="20"/>
      <c r="K28" s="20"/>
      <c r="L28" s="64"/>
      <c r="M28" s="20"/>
      <c r="N28" s="23"/>
      <c r="O28" s="25"/>
      <c r="P28" s="23"/>
      <c r="Q28" s="48"/>
      <c r="R28" s="48"/>
      <c r="S28" s="48"/>
      <c r="T28" s="20"/>
      <c r="X28" s="28"/>
      <c r="Y28" s="28"/>
    </row>
    <row r="29" customFormat="false" ht="30" hidden="false" customHeight="true" outlineLevel="0" collapsed="false">
      <c r="A29" s="53"/>
      <c r="B29" s="65"/>
      <c r="C29" s="54"/>
      <c r="D29" s="54"/>
      <c r="E29" s="55"/>
      <c r="F29" s="48"/>
      <c r="G29" s="41"/>
      <c r="H29" s="20"/>
      <c r="I29" s="20"/>
      <c r="J29" s="20"/>
      <c r="K29" s="20"/>
      <c r="L29" s="64"/>
      <c r="M29" s="20"/>
      <c r="N29" s="23"/>
      <c r="O29" s="25"/>
      <c r="P29" s="23"/>
      <c r="Q29" s="48"/>
      <c r="R29" s="48"/>
      <c r="S29" s="48"/>
      <c r="T29" s="20"/>
      <c r="X29" s="28"/>
      <c r="Y29" s="28"/>
    </row>
    <row r="30" customFormat="false" ht="30" hidden="false" customHeight="true" outlineLevel="0" collapsed="false">
      <c r="B30" s="65"/>
      <c r="C30" s="38"/>
      <c r="D30" s="54"/>
      <c r="E30" s="23"/>
      <c r="F30" s="48"/>
      <c r="G30" s="41"/>
      <c r="H30" s="20"/>
      <c r="I30" s="20"/>
      <c r="J30" s="20"/>
      <c r="K30" s="20"/>
      <c r="L30" s="64"/>
      <c r="M30" s="20"/>
      <c r="N30" s="23"/>
      <c r="O30" s="25"/>
      <c r="P30" s="23"/>
      <c r="Q30" s="48"/>
      <c r="R30" s="48"/>
      <c r="S30" s="48"/>
      <c r="T30" s="20"/>
      <c r="X30" s="28"/>
      <c r="Y30" s="28"/>
    </row>
    <row r="31" customFormat="false" ht="30" hidden="false" customHeight="true" outlineLevel="0" collapsed="false">
      <c r="B31" s="19"/>
      <c r="C31" s="38"/>
      <c r="D31" s="38"/>
      <c r="E31" s="23"/>
      <c r="F31" s="48"/>
      <c r="G31" s="41"/>
      <c r="H31" s="20"/>
      <c r="I31" s="20"/>
      <c r="J31" s="20"/>
      <c r="K31" s="20"/>
      <c r="L31" s="64"/>
      <c r="M31" s="20"/>
      <c r="N31" s="23"/>
      <c r="O31" s="25"/>
      <c r="P31" s="23"/>
      <c r="Q31" s="20"/>
      <c r="R31" s="20"/>
      <c r="S31" s="20"/>
      <c r="T31" s="20"/>
      <c r="X31" s="28"/>
      <c r="Y31" s="28"/>
    </row>
    <row r="32" customFormat="false" ht="30" hidden="false" customHeight="true" outlineLevel="0" collapsed="false">
      <c r="B32" s="19"/>
      <c r="C32" s="38"/>
      <c r="D32" s="38"/>
      <c r="E32" s="23"/>
      <c r="F32" s="48" t="n">
        <f aca="false">SUM(F6:F31)</f>
        <v>39</v>
      </c>
      <c r="G32" s="41" t="n">
        <f aca="false">SUM(G6:G31)</f>
        <v>-1.05</v>
      </c>
      <c r="H32" s="20"/>
      <c r="I32" s="20"/>
      <c r="J32" s="20"/>
      <c r="K32" s="20"/>
      <c r="L32" s="20"/>
      <c r="M32" s="20"/>
      <c r="N32" s="23"/>
      <c r="O32" s="25"/>
      <c r="P32" s="23"/>
      <c r="Q32" s="20"/>
      <c r="R32" s="20"/>
      <c r="S32" s="20"/>
      <c r="T32" s="20"/>
      <c r="X32" s="28"/>
      <c r="Y32" s="28"/>
    </row>
    <row r="33" customFormat="false" ht="30" hidden="false" customHeight="true" outlineLevel="0" collapsed="false">
      <c r="B33" s="19"/>
      <c r="C33" s="38"/>
      <c r="D33" s="38"/>
      <c r="E33" s="23"/>
      <c r="F33" s="48"/>
      <c r="G33" s="41"/>
      <c r="H33" s="20"/>
      <c r="I33" s="20"/>
      <c r="J33" s="20"/>
      <c r="K33" s="20"/>
      <c r="L33" s="20"/>
      <c r="M33" s="20"/>
      <c r="N33" s="23"/>
      <c r="O33" s="25"/>
      <c r="P33" s="23"/>
      <c r="Q33" s="20"/>
      <c r="R33" s="20"/>
      <c r="S33" s="20"/>
      <c r="T33" s="20"/>
      <c r="X33" s="28"/>
      <c r="Y33" s="28"/>
    </row>
    <row r="34" customFormat="false" ht="30" hidden="false" customHeight="true" outlineLevel="0" collapsed="false">
      <c r="B34" s="19"/>
      <c r="C34" s="38"/>
      <c r="D34" s="38"/>
      <c r="E34" s="23"/>
      <c r="F34" s="48"/>
      <c r="G34" s="41"/>
      <c r="H34" s="20"/>
      <c r="I34" s="20"/>
      <c r="J34" s="20"/>
      <c r="K34" s="20"/>
      <c r="L34" s="20"/>
      <c r="M34" s="20"/>
      <c r="N34" s="23"/>
      <c r="O34" s="25"/>
      <c r="P34" s="23"/>
      <c r="Q34" s="20"/>
      <c r="R34" s="20"/>
      <c r="S34" s="20"/>
      <c r="T34" s="20"/>
      <c r="X34" s="28"/>
      <c r="Y34" s="28"/>
    </row>
    <row r="35" customFormat="false" ht="30" hidden="false" customHeight="true" outlineLevel="0" collapsed="false">
      <c r="B35" s="19"/>
      <c r="C35" s="38"/>
      <c r="D35" s="38"/>
      <c r="E35" s="23"/>
      <c r="F35" s="48"/>
      <c r="G35" s="41"/>
      <c r="H35" s="20"/>
      <c r="I35" s="20"/>
      <c r="J35" s="20"/>
      <c r="K35" s="20"/>
      <c r="L35" s="20"/>
      <c r="M35" s="20"/>
      <c r="N35" s="23"/>
      <c r="O35" s="25"/>
      <c r="P35" s="23"/>
      <c r="Q35" s="20"/>
      <c r="R35" s="20"/>
      <c r="S35" s="20"/>
      <c r="T35" s="20"/>
      <c r="X35" s="28"/>
      <c r="Y35" s="28"/>
    </row>
    <row r="36" customFormat="false" ht="30" hidden="false" customHeight="true" outlineLevel="0" collapsed="false">
      <c r="B36" s="19"/>
      <c r="C36" s="38"/>
      <c r="D36" s="38"/>
      <c r="E36" s="23"/>
      <c r="F36" s="48"/>
      <c r="G36" s="41"/>
      <c r="H36" s="20"/>
      <c r="I36" s="20"/>
      <c r="J36" s="20"/>
      <c r="K36" s="20"/>
      <c r="L36" s="20"/>
      <c r="M36" s="20"/>
      <c r="N36" s="23"/>
      <c r="O36" s="25"/>
      <c r="P36" s="23"/>
      <c r="Q36" s="20"/>
      <c r="R36" s="20"/>
      <c r="S36" s="20"/>
      <c r="T36" s="20"/>
      <c r="X36" s="28"/>
      <c r="Y36" s="28"/>
    </row>
    <row r="37" customFormat="false" ht="30" hidden="false" customHeight="true" outlineLevel="0" collapsed="false">
      <c r="B37" s="19"/>
      <c r="C37" s="38"/>
      <c r="D37" s="38"/>
      <c r="E37" s="23"/>
      <c r="F37" s="48"/>
      <c r="G37" s="41"/>
      <c r="H37" s="20"/>
      <c r="I37" s="20"/>
      <c r="J37" s="20"/>
      <c r="K37" s="20"/>
      <c r="L37" s="20"/>
      <c r="M37" s="20"/>
      <c r="N37" s="23"/>
      <c r="O37" s="25"/>
      <c r="P37" s="23"/>
      <c r="Q37" s="20"/>
      <c r="R37" s="20"/>
      <c r="S37" s="20"/>
      <c r="T37" s="20"/>
      <c r="X37" s="28"/>
      <c r="Y37" s="28"/>
    </row>
    <row r="38" customFormat="false" ht="30" hidden="false" customHeight="true" outlineLevel="0" collapsed="false">
      <c r="B38" s="19"/>
      <c r="C38" s="38"/>
      <c r="D38" s="38"/>
      <c r="E38" s="23"/>
      <c r="F38" s="48"/>
      <c r="G38" s="41"/>
      <c r="H38" s="20"/>
      <c r="I38" s="20"/>
      <c r="J38" s="20"/>
      <c r="K38" s="20"/>
      <c r="L38" s="20"/>
      <c r="M38" s="20"/>
      <c r="N38" s="23"/>
      <c r="O38" s="25"/>
      <c r="P38" s="23"/>
      <c r="Q38" s="20"/>
      <c r="R38" s="20"/>
      <c r="S38" s="20"/>
      <c r="T38" s="20"/>
      <c r="X38" s="28"/>
      <c r="Y38" s="28"/>
    </row>
    <row r="39" customFormat="false" ht="30" hidden="false" customHeight="true" outlineLevel="0" collapsed="false">
      <c r="B39" s="19"/>
      <c r="C39" s="38"/>
      <c r="D39" s="38"/>
      <c r="E39" s="23"/>
      <c r="F39" s="48"/>
      <c r="G39" s="41"/>
      <c r="H39" s="20"/>
      <c r="I39" s="20"/>
      <c r="J39" s="20"/>
      <c r="K39" s="20"/>
      <c r="L39" s="64"/>
      <c r="M39" s="20"/>
      <c r="N39" s="23"/>
      <c r="O39" s="25"/>
      <c r="P39" s="23"/>
      <c r="Q39" s="20"/>
      <c r="R39" s="20"/>
      <c r="S39" s="20"/>
      <c r="T39" s="20"/>
      <c r="X39" s="28"/>
      <c r="Y39" s="28"/>
    </row>
    <row r="40" customFormat="false" ht="30" hidden="false" customHeight="true" outlineLevel="0" collapsed="false">
      <c r="B40" s="19"/>
      <c r="C40" s="38"/>
      <c r="D40" s="38"/>
      <c r="E40" s="23"/>
      <c r="F40" s="48"/>
      <c r="G40" s="41"/>
      <c r="H40" s="20"/>
      <c r="I40" s="20"/>
      <c r="J40" s="20"/>
      <c r="K40" s="20"/>
      <c r="L40" s="64"/>
      <c r="M40" s="20"/>
      <c r="N40" s="23"/>
      <c r="O40" s="25"/>
      <c r="P40" s="23"/>
      <c r="Q40" s="20"/>
      <c r="R40" s="20"/>
      <c r="S40" s="20"/>
      <c r="T40" s="20"/>
      <c r="X40" s="28"/>
      <c r="Y40" s="28"/>
    </row>
    <row r="41" customFormat="false" ht="30" hidden="false" customHeight="true" outlineLevel="0" collapsed="false">
      <c r="B41" s="19"/>
      <c r="C41" s="38"/>
      <c r="D41" s="38"/>
      <c r="E41" s="23"/>
      <c r="F41" s="48"/>
      <c r="G41" s="41"/>
      <c r="H41" s="20"/>
      <c r="I41" s="20"/>
      <c r="J41" s="20"/>
      <c r="K41" s="20"/>
      <c r="L41" s="64"/>
      <c r="M41" s="20"/>
      <c r="N41" s="23"/>
      <c r="O41" s="25"/>
      <c r="P41" s="23"/>
      <c r="Q41" s="20"/>
      <c r="R41" s="20"/>
      <c r="S41" s="20"/>
      <c r="T41" s="20"/>
      <c r="X41" s="28"/>
      <c r="Y41" s="28"/>
    </row>
    <row r="42" customFormat="false" ht="30" hidden="false" customHeight="true" outlineLevel="0" collapsed="false">
      <c r="B42" s="19"/>
      <c r="C42" s="38"/>
      <c r="D42" s="38"/>
      <c r="E42" s="23"/>
      <c r="F42" s="48"/>
      <c r="G42" s="41"/>
      <c r="H42" s="20"/>
      <c r="I42" s="20"/>
      <c r="J42" s="20"/>
      <c r="K42" s="20"/>
      <c r="L42" s="64"/>
      <c r="M42" s="79"/>
      <c r="N42" s="80"/>
      <c r="O42" s="81"/>
      <c r="P42" s="80"/>
      <c r="Q42" s="20"/>
      <c r="R42" s="20"/>
      <c r="S42" s="20"/>
      <c r="T42" s="20"/>
      <c r="X42" s="28"/>
      <c r="Y42" s="28"/>
    </row>
    <row r="43" customFormat="false" ht="30" hidden="false" customHeight="true" outlineLevel="0" collapsed="false">
      <c r="B43" s="19"/>
      <c r="C43" s="38"/>
      <c r="D43" s="38"/>
      <c r="E43" s="23"/>
      <c r="F43" s="48"/>
      <c r="G43" s="41"/>
      <c r="H43" s="20"/>
      <c r="I43" s="20"/>
      <c r="J43" s="20"/>
      <c r="K43" s="20"/>
      <c r="L43" s="64"/>
      <c r="M43" s="20"/>
      <c r="N43" s="23"/>
      <c r="O43" s="25"/>
      <c r="P43" s="23"/>
      <c r="Q43" s="20"/>
      <c r="R43" s="20"/>
      <c r="S43" s="20"/>
      <c r="T43" s="20"/>
      <c r="X43" s="28"/>
      <c r="Y43" s="28"/>
    </row>
    <row r="44" customFormat="false" ht="30" hidden="false" customHeight="true" outlineLevel="0" collapsed="false">
      <c r="B44" s="19"/>
      <c r="C44" s="38"/>
      <c r="D44" s="38"/>
      <c r="E44" s="23"/>
      <c r="F44" s="48"/>
      <c r="G44" s="41"/>
      <c r="H44" s="20"/>
      <c r="I44" s="20"/>
      <c r="J44" s="20"/>
      <c r="K44" s="20"/>
      <c r="L44" s="64"/>
      <c r="M44" s="20"/>
      <c r="N44" s="23"/>
      <c r="O44" s="25"/>
      <c r="P44" s="23"/>
      <c r="Q44" s="20"/>
      <c r="R44" s="20"/>
      <c r="S44" s="20"/>
      <c r="T44" s="20"/>
      <c r="X44" s="28"/>
      <c r="Y44" s="28"/>
    </row>
    <row r="45" customFormat="false" ht="30" hidden="false" customHeight="true" outlineLevel="0" collapsed="false">
      <c r="B45" s="19"/>
      <c r="C45" s="38"/>
      <c r="D45" s="38"/>
      <c r="E45" s="23"/>
      <c r="F45" s="48"/>
      <c r="G45" s="41"/>
      <c r="H45" s="20"/>
      <c r="I45" s="20"/>
      <c r="J45" s="20"/>
      <c r="K45" s="20"/>
      <c r="L45" s="64"/>
      <c r="M45" s="20"/>
      <c r="N45" s="23"/>
      <c r="O45" s="25"/>
      <c r="P45" s="23"/>
      <c r="Q45" s="20"/>
      <c r="R45" s="20"/>
      <c r="S45" s="20"/>
      <c r="T45" s="20"/>
      <c r="X45" s="28"/>
      <c r="Y45" s="28"/>
    </row>
    <row r="46" customFormat="false" ht="30" hidden="false" customHeight="true" outlineLevel="0" collapsed="false">
      <c r="B46" s="19"/>
      <c r="C46" s="38"/>
      <c r="D46" s="38"/>
      <c r="E46" s="23"/>
      <c r="F46" s="48"/>
      <c r="G46" s="41"/>
      <c r="H46" s="20"/>
      <c r="I46" s="20"/>
      <c r="J46" s="20"/>
      <c r="K46" s="20"/>
      <c r="L46" s="64"/>
      <c r="M46" s="20"/>
      <c r="N46" s="23"/>
      <c r="O46" s="25"/>
      <c r="P46" s="23"/>
      <c r="Q46" s="20"/>
      <c r="R46" s="20"/>
      <c r="S46" s="20"/>
      <c r="T46" s="20"/>
      <c r="X46" s="28"/>
      <c r="Y46" s="28"/>
    </row>
    <row r="47" customFormat="false" ht="30" hidden="false" customHeight="true" outlineLevel="0" collapsed="false">
      <c r="B47" s="19"/>
      <c r="C47" s="38"/>
      <c r="D47" s="38"/>
      <c r="E47" s="23"/>
      <c r="F47" s="48"/>
      <c r="G47" s="41"/>
      <c r="H47" s="20"/>
      <c r="I47" s="20"/>
      <c r="J47" s="20"/>
      <c r="K47" s="20"/>
      <c r="L47" s="64"/>
      <c r="M47" s="20"/>
      <c r="N47" s="23"/>
      <c r="O47" s="25"/>
      <c r="P47" s="23"/>
      <c r="Q47" s="20"/>
      <c r="R47" s="20"/>
      <c r="S47" s="20"/>
      <c r="T47" s="20"/>
      <c r="X47" s="28"/>
      <c r="Y47" s="28"/>
    </row>
    <row r="48" customFormat="false" ht="30" hidden="false" customHeight="true" outlineLevel="0" collapsed="false">
      <c r="B48" s="19"/>
      <c r="C48" s="38"/>
      <c r="D48" s="38"/>
      <c r="E48" s="23"/>
      <c r="F48" s="48"/>
      <c r="G48" s="41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X48" s="28"/>
      <c r="Y48" s="28"/>
    </row>
    <row r="49" customFormat="false" ht="30" hidden="false" customHeight="true" outlineLevel="0" collapsed="false">
      <c r="B49" s="19"/>
      <c r="C49" s="38"/>
      <c r="D49" s="38"/>
      <c r="E49" s="23"/>
      <c r="F49" s="48"/>
      <c r="G49" s="41"/>
      <c r="H49" s="20"/>
      <c r="I49" s="20"/>
      <c r="J49" s="20"/>
      <c r="K49" s="20"/>
      <c r="L49" s="64"/>
      <c r="M49" s="20"/>
      <c r="N49" s="23"/>
      <c r="O49" s="25"/>
      <c r="P49" s="23"/>
      <c r="Q49" s="20"/>
      <c r="R49" s="20"/>
      <c r="S49" s="20"/>
      <c r="T49" s="20"/>
      <c r="X49" s="28"/>
      <c r="Y49" s="28"/>
    </row>
    <row r="50" customFormat="false" ht="30" hidden="false" customHeight="true" outlineLevel="0" collapsed="false">
      <c r="B50" s="19"/>
      <c r="C50" s="38"/>
      <c r="D50" s="38"/>
      <c r="E50" s="23"/>
      <c r="F50" s="48"/>
      <c r="G50" s="41"/>
      <c r="H50" s="20"/>
      <c r="I50" s="20"/>
      <c r="J50" s="20"/>
      <c r="K50" s="20"/>
      <c r="L50" s="64"/>
      <c r="M50" s="79"/>
      <c r="N50" s="80"/>
      <c r="O50" s="81"/>
      <c r="P50" s="80"/>
      <c r="Q50" s="20"/>
      <c r="R50" s="20"/>
      <c r="S50" s="20"/>
      <c r="T50" s="20"/>
      <c r="X50" s="28"/>
      <c r="Y50" s="28"/>
    </row>
    <row r="51" customFormat="false" ht="30" hidden="false" customHeight="true" outlineLevel="0" collapsed="false">
      <c r="B51" s="19"/>
      <c r="C51" s="38"/>
      <c r="D51" s="38"/>
      <c r="E51" s="39"/>
      <c r="F51" s="40"/>
      <c r="G51" s="41"/>
      <c r="H51" s="20"/>
      <c r="I51" s="20"/>
      <c r="J51" s="20"/>
      <c r="K51" s="20"/>
      <c r="L51" s="20"/>
      <c r="M51" s="20"/>
      <c r="N51" s="23"/>
      <c r="O51" s="25"/>
      <c r="P51" s="23"/>
      <c r="Q51" s="20"/>
      <c r="R51" s="20"/>
      <c r="S51" s="20"/>
      <c r="T51" s="20"/>
      <c r="X51" s="28"/>
      <c r="Y51" s="28"/>
    </row>
    <row r="52" customFormat="false" ht="30" hidden="false" customHeight="true" outlineLevel="0" collapsed="false">
      <c r="B52" s="19"/>
      <c r="C52" s="38"/>
      <c r="D52" s="38"/>
      <c r="E52" s="23"/>
      <c r="F52" s="40"/>
      <c r="G52" s="41"/>
      <c r="H52" s="20"/>
      <c r="I52" s="20"/>
      <c r="J52" s="20"/>
      <c r="K52" s="20"/>
      <c r="L52" s="20"/>
      <c r="M52" s="20"/>
      <c r="N52" s="23"/>
      <c r="O52" s="25"/>
      <c r="P52" s="23"/>
      <c r="Q52" s="20"/>
      <c r="R52" s="20"/>
      <c r="S52" s="20"/>
      <c r="T52" s="20"/>
      <c r="U52" s="83"/>
      <c r="V52" s="83"/>
      <c r="X52" s="28"/>
      <c r="Y52" s="28"/>
    </row>
    <row r="53" customFormat="false" ht="30" hidden="false" customHeight="true" outlineLevel="0" collapsed="false">
      <c r="B53" s="19"/>
      <c r="C53" s="38"/>
      <c r="D53" s="38"/>
      <c r="E53" s="23"/>
      <c r="F53" s="55"/>
      <c r="G53" s="41"/>
      <c r="H53" s="20"/>
      <c r="I53" s="20"/>
      <c r="J53" s="20"/>
      <c r="K53" s="20"/>
      <c r="L53" s="20"/>
      <c r="M53" s="20"/>
      <c r="N53" s="23"/>
      <c r="O53" s="25"/>
      <c r="P53" s="23"/>
      <c r="Q53" s="20"/>
      <c r="R53" s="20"/>
      <c r="S53" s="20"/>
      <c r="T53" s="20"/>
      <c r="U53" s="83"/>
      <c r="V53" s="83"/>
      <c r="X53" s="28"/>
      <c r="Y53" s="28"/>
    </row>
    <row r="54" customFormat="false" ht="30" hidden="false" customHeight="true" outlineLevel="0" collapsed="false">
      <c r="B54" s="19"/>
      <c r="C54" s="38"/>
      <c r="D54" s="38"/>
      <c r="E54" s="23"/>
      <c r="F54" s="48"/>
      <c r="G54" s="41"/>
      <c r="H54" s="20"/>
      <c r="I54" s="20"/>
      <c r="J54" s="20"/>
      <c r="K54" s="20"/>
      <c r="L54" s="64"/>
      <c r="M54" s="20"/>
      <c r="N54" s="23"/>
      <c r="O54" s="25"/>
      <c r="P54" s="23"/>
      <c r="Q54" s="20"/>
      <c r="R54" s="20"/>
      <c r="S54" s="20"/>
      <c r="T54" s="20"/>
      <c r="X54" s="28"/>
      <c r="Y54" s="28"/>
    </row>
    <row r="55" customFormat="false" ht="30" hidden="false" customHeight="true" outlineLevel="0" collapsed="false">
      <c r="B55" s="19"/>
      <c r="C55" s="38"/>
      <c r="D55" s="38"/>
      <c r="E55" s="23"/>
      <c r="F55" s="48"/>
      <c r="G55" s="41"/>
      <c r="H55" s="20"/>
      <c r="I55" s="20"/>
      <c r="J55" s="20"/>
      <c r="K55" s="20"/>
      <c r="L55" s="64"/>
      <c r="M55" s="20"/>
      <c r="N55" s="23"/>
      <c r="O55" s="25"/>
      <c r="P55" s="23"/>
      <c r="Q55" s="20"/>
      <c r="R55" s="20"/>
      <c r="S55" s="20"/>
      <c r="T55" s="20"/>
      <c r="X55" s="28"/>
      <c r="Y55" s="28"/>
    </row>
    <row r="56" customFormat="false" ht="30" hidden="false" customHeight="true" outlineLevel="0" collapsed="false">
      <c r="B56" s="19"/>
      <c r="C56" s="38"/>
      <c r="D56" s="38"/>
      <c r="E56" s="23"/>
      <c r="F56" s="48"/>
      <c r="G56" s="41"/>
      <c r="H56" s="20"/>
      <c r="I56" s="20"/>
      <c r="J56" s="20"/>
      <c r="K56" s="20"/>
      <c r="L56" s="64"/>
      <c r="M56" s="20"/>
      <c r="N56" s="23"/>
      <c r="O56" s="25"/>
      <c r="P56" s="23" t="s">
        <v>108</v>
      </c>
      <c r="Q56" s="20"/>
      <c r="R56" s="20"/>
      <c r="S56" s="20"/>
      <c r="T56" s="20"/>
      <c r="X56" s="28"/>
      <c r="Y56" s="28"/>
    </row>
    <row r="57" customFormat="false" ht="30" hidden="false" customHeight="true" outlineLevel="0" collapsed="false">
      <c r="B57" s="19"/>
      <c r="C57" s="38"/>
      <c r="D57" s="38"/>
      <c r="E57" s="23"/>
      <c r="F57" s="84"/>
      <c r="G57" s="24"/>
      <c r="H57" s="20"/>
      <c r="I57" s="20"/>
      <c r="J57" s="20"/>
      <c r="K57" s="20"/>
      <c r="L57" s="64"/>
      <c r="M57" s="20"/>
      <c r="N57" s="23"/>
      <c r="O57" s="25"/>
      <c r="P57" s="23"/>
      <c r="Q57" s="20"/>
      <c r="R57" s="20"/>
      <c r="S57" s="20"/>
      <c r="T57" s="20"/>
      <c r="X57" s="28"/>
      <c r="Y57" s="28"/>
    </row>
    <row r="58" customFormat="false" ht="30" hidden="false" customHeight="true" outlineLevel="0" collapsed="false">
      <c r="B58" s="19"/>
      <c r="C58" s="38"/>
      <c r="D58" s="38"/>
      <c r="E58" s="23"/>
      <c r="F58" s="84"/>
      <c r="G58" s="24"/>
      <c r="H58" s="20"/>
      <c r="I58" s="20"/>
      <c r="J58" s="20"/>
      <c r="K58" s="20"/>
      <c r="L58" s="64"/>
      <c r="M58" s="20"/>
      <c r="N58" s="23"/>
      <c r="O58" s="25"/>
      <c r="P58" s="23"/>
      <c r="Q58" s="20"/>
      <c r="R58" s="20"/>
      <c r="S58" s="20"/>
      <c r="T58" s="20"/>
      <c r="X58" s="28"/>
      <c r="Y58" s="28"/>
    </row>
    <row r="59" customFormat="false" ht="30" hidden="false" customHeight="true" outlineLevel="0" collapsed="false">
      <c r="B59" s="19"/>
      <c r="C59" s="38"/>
      <c r="D59" s="38"/>
      <c r="E59" s="23"/>
      <c r="F59" s="84"/>
      <c r="G59" s="24"/>
      <c r="H59" s="20"/>
      <c r="I59" s="20"/>
      <c r="J59" s="20"/>
      <c r="K59" s="20"/>
      <c r="L59" s="64"/>
      <c r="M59" s="20"/>
      <c r="N59" s="23"/>
      <c r="O59" s="25"/>
      <c r="P59" s="23"/>
      <c r="Q59" s="20"/>
      <c r="R59" s="20"/>
      <c r="S59" s="20"/>
      <c r="T59" s="20"/>
      <c r="X59" s="28"/>
      <c r="Y59" s="28"/>
    </row>
    <row r="60" customFormat="false" ht="30" hidden="false" customHeight="true" outlineLevel="0" collapsed="false">
      <c r="B60" s="19"/>
      <c r="C60" s="38"/>
      <c r="D60" s="38"/>
      <c r="E60" s="23"/>
      <c r="F60" s="84"/>
      <c r="G60" s="24"/>
      <c r="H60" s="20"/>
      <c r="I60" s="20"/>
      <c r="J60" s="20"/>
      <c r="K60" s="20"/>
      <c r="L60" s="64"/>
      <c r="M60" s="20"/>
      <c r="N60" s="23"/>
      <c r="O60" s="25"/>
      <c r="P60" s="23"/>
      <c r="Q60" s="20"/>
      <c r="R60" s="20"/>
      <c r="S60" s="20"/>
      <c r="T60" s="20"/>
      <c r="X60" s="28"/>
      <c r="Y60" s="28"/>
    </row>
    <row r="61" customFormat="false" ht="30" hidden="false" customHeight="true" outlineLevel="0" collapsed="false">
      <c r="B61" s="19"/>
      <c r="C61" s="38"/>
      <c r="D61" s="38"/>
      <c r="E61" s="23"/>
      <c r="F61" s="84"/>
      <c r="G61" s="24"/>
      <c r="H61" s="20"/>
      <c r="I61" s="20"/>
      <c r="J61" s="20"/>
      <c r="K61" s="20"/>
      <c r="L61" s="64"/>
      <c r="M61" s="20"/>
      <c r="N61" s="23"/>
      <c r="O61" s="25"/>
      <c r="P61" s="23"/>
      <c r="Q61" s="20"/>
      <c r="R61" s="20"/>
      <c r="S61" s="20"/>
      <c r="T61" s="20"/>
      <c r="X61" s="28"/>
      <c r="Y61" s="28"/>
    </row>
    <row r="62" customFormat="false" ht="30" hidden="false" customHeight="true" outlineLevel="0" collapsed="false">
      <c r="B62" s="19"/>
      <c r="C62" s="38"/>
      <c r="D62" s="38"/>
      <c r="E62" s="23"/>
      <c r="F62" s="84"/>
      <c r="G62" s="24"/>
      <c r="H62" s="20"/>
      <c r="I62" s="20"/>
      <c r="J62" s="20"/>
      <c r="K62" s="20"/>
      <c r="L62" s="64"/>
      <c r="M62" s="20"/>
      <c r="N62" s="23"/>
      <c r="O62" s="25"/>
      <c r="P62" s="23"/>
      <c r="Q62" s="20"/>
      <c r="R62" s="20"/>
      <c r="S62" s="20"/>
      <c r="T62" s="20"/>
      <c r="X62" s="28"/>
      <c r="Y62" s="28"/>
    </row>
    <row r="63" customFormat="false" ht="30" hidden="false" customHeight="true" outlineLevel="0" collapsed="false">
      <c r="B63" s="19"/>
      <c r="C63" s="38"/>
      <c r="D63" s="38"/>
      <c r="E63" s="23"/>
      <c r="F63" s="84"/>
      <c r="G63" s="24"/>
      <c r="H63" s="20"/>
      <c r="I63" s="20"/>
      <c r="J63" s="20"/>
      <c r="K63" s="20"/>
      <c r="L63" s="64"/>
      <c r="M63" s="20"/>
      <c r="N63" s="23"/>
      <c r="O63" s="25"/>
      <c r="P63" s="23"/>
      <c r="Q63" s="20"/>
      <c r="R63" s="20"/>
      <c r="S63" s="20"/>
      <c r="T63" s="20"/>
      <c r="X63" s="28"/>
      <c r="Y63" s="28"/>
    </row>
    <row r="64" customFormat="false" ht="30" hidden="false" customHeight="true" outlineLevel="0" collapsed="false">
      <c r="B64" s="19"/>
      <c r="C64" s="38"/>
      <c r="D64" s="38"/>
      <c r="E64" s="23"/>
      <c r="F64" s="84"/>
      <c r="G64" s="24"/>
      <c r="H64" s="20"/>
      <c r="I64" s="20"/>
      <c r="J64" s="20"/>
      <c r="K64" s="20"/>
      <c r="L64" s="64"/>
      <c r="M64" s="20"/>
      <c r="N64" s="23"/>
      <c r="O64" s="25"/>
      <c r="P64" s="23"/>
      <c r="Q64" s="20"/>
      <c r="R64" s="20"/>
      <c r="S64" s="20"/>
      <c r="T64" s="20"/>
      <c r="X64" s="28"/>
      <c r="Y64" s="28"/>
    </row>
    <row r="65" customFormat="false" ht="30" hidden="false" customHeight="true" outlineLevel="0" collapsed="false">
      <c r="B65" s="19"/>
      <c r="C65" s="38"/>
      <c r="D65" s="38"/>
      <c r="E65" s="23"/>
      <c r="F65" s="84"/>
      <c r="G65" s="24"/>
      <c r="H65" s="20"/>
      <c r="I65" s="20"/>
      <c r="J65" s="20"/>
      <c r="K65" s="20"/>
      <c r="L65" s="64"/>
      <c r="M65" s="20"/>
      <c r="N65" s="23"/>
      <c r="O65" s="25"/>
      <c r="P65" s="23"/>
      <c r="Q65" s="20"/>
      <c r="R65" s="20"/>
      <c r="S65" s="20"/>
      <c r="T65" s="20"/>
      <c r="X65" s="28"/>
      <c r="Y65" s="28"/>
    </row>
    <row r="66" customFormat="false" ht="30" hidden="false" customHeight="true" outlineLevel="0" collapsed="false">
      <c r="B66" s="19"/>
      <c r="C66" s="38"/>
      <c r="D66" s="38"/>
      <c r="E66" s="23"/>
      <c r="F66" s="84"/>
      <c r="G66" s="24"/>
      <c r="H66" s="20"/>
      <c r="I66" s="20"/>
      <c r="J66" s="20"/>
      <c r="K66" s="20"/>
      <c r="L66" s="64"/>
      <c r="M66" s="20"/>
      <c r="N66" s="23"/>
      <c r="O66" s="25"/>
      <c r="P66" s="23"/>
      <c r="Q66" s="20"/>
      <c r="R66" s="20"/>
      <c r="S66" s="20"/>
      <c r="T66" s="20"/>
      <c r="X66" s="28"/>
      <c r="Y66" s="28"/>
    </row>
    <row r="67" customFormat="false" ht="30" hidden="false" customHeight="true" outlineLevel="0" collapsed="false">
      <c r="B67" s="19"/>
      <c r="C67" s="38"/>
      <c r="D67" s="38"/>
      <c r="E67" s="23"/>
      <c r="F67" s="84"/>
      <c r="G67" s="24"/>
      <c r="H67" s="20"/>
      <c r="I67" s="20"/>
      <c r="J67" s="20"/>
      <c r="K67" s="20"/>
      <c r="L67" s="64"/>
      <c r="M67" s="20"/>
      <c r="N67" s="23"/>
      <c r="O67" s="25"/>
      <c r="P67" s="23"/>
      <c r="Q67" s="20"/>
      <c r="R67" s="20"/>
      <c r="S67" s="20"/>
      <c r="T67" s="20"/>
      <c r="X67" s="28"/>
      <c r="Y67" s="28"/>
    </row>
    <row r="68" customFormat="false" ht="30" hidden="false" customHeight="true" outlineLevel="0" collapsed="false">
      <c r="B68" s="19"/>
      <c r="C68" s="38"/>
      <c r="D68" s="38"/>
      <c r="E68" s="23"/>
      <c r="F68" s="84"/>
      <c r="G68" s="24"/>
      <c r="H68" s="20"/>
      <c r="I68" s="20"/>
      <c r="J68" s="20"/>
      <c r="K68" s="20"/>
      <c r="L68" s="64"/>
      <c r="M68" s="20"/>
      <c r="N68" s="23"/>
      <c r="O68" s="25"/>
      <c r="P68" s="23"/>
      <c r="Q68" s="20"/>
      <c r="R68" s="20"/>
      <c r="S68" s="20"/>
      <c r="T68" s="20"/>
      <c r="X68" s="28"/>
      <c r="Y68" s="28"/>
    </row>
    <row r="69" customFormat="false" ht="30" hidden="false" customHeight="true" outlineLevel="0" collapsed="false">
      <c r="B69" s="19"/>
      <c r="C69" s="38"/>
      <c r="D69" s="38"/>
      <c r="E69" s="23"/>
      <c r="F69" s="84"/>
      <c r="G69" s="24"/>
      <c r="H69" s="20"/>
      <c r="I69" s="20"/>
      <c r="J69" s="20"/>
      <c r="K69" s="20"/>
      <c r="L69" s="64"/>
      <c r="M69" s="20"/>
      <c r="N69" s="23"/>
      <c r="O69" s="25"/>
      <c r="P69" s="23"/>
      <c r="Q69" s="20"/>
      <c r="R69" s="20"/>
      <c r="S69" s="20"/>
      <c r="T69" s="20"/>
      <c r="X69" s="28"/>
      <c r="Y69" s="28"/>
    </row>
    <row r="70" customFormat="false" ht="30" hidden="false" customHeight="true" outlineLevel="0" collapsed="false">
      <c r="B70" s="19"/>
      <c r="C70" s="38"/>
      <c r="D70" s="38"/>
      <c r="E70" s="23"/>
      <c r="F70" s="84"/>
      <c r="G70" s="24"/>
      <c r="H70" s="20"/>
      <c r="I70" s="20"/>
      <c r="J70" s="20"/>
      <c r="K70" s="20"/>
      <c r="L70" s="64"/>
      <c r="M70" s="20"/>
      <c r="N70" s="23"/>
      <c r="O70" s="25"/>
      <c r="P70" s="23"/>
      <c r="Q70" s="20"/>
      <c r="R70" s="20"/>
      <c r="S70" s="20"/>
      <c r="T70" s="20"/>
      <c r="X70" s="28"/>
      <c r="Y70" s="28"/>
    </row>
    <row r="71" customFormat="false" ht="30" hidden="false" customHeight="true" outlineLevel="0" collapsed="false">
      <c r="B71" s="19"/>
      <c r="C71" s="38"/>
      <c r="D71" s="38"/>
      <c r="E71" s="23"/>
      <c r="F71" s="84"/>
      <c r="G71" s="24"/>
      <c r="H71" s="20"/>
      <c r="I71" s="20"/>
      <c r="J71" s="20"/>
      <c r="K71" s="20"/>
      <c r="L71" s="64"/>
      <c r="M71" s="20"/>
      <c r="N71" s="23"/>
      <c r="O71" s="25"/>
      <c r="P71" s="23"/>
      <c r="Q71" s="20"/>
      <c r="R71" s="20"/>
      <c r="S71" s="20"/>
      <c r="T71" s="20"/>
      <c r="X71" s="28"/>
      <c r="Y71" s="28"/>
    </row>
    <row r="72" customFormat="false" ht="30" hidden="false" customHeight="true" outlineLevel="0" collapsed="false">
      <c r="B72" s="19"/>
      <c r="C72" s="38"/>
      <c r="D72" s="38"/>
      <c r="E72" s="23"/>
      <c r="F72" s="84"/>
      <c r="G72" s="24"/>
      <c r="H72" s="20"/>
      <c r="I72" s="20"/>
      <c r="J72" s="20"/>
      <c r="K72" s="20"/>
      <c r="L72" s="64"/>
      <c r="M72" s="20"/>
      <c r="N72" s="23"/>
      <c r="O72" s="25"/>
      <c r="P72" s="23"/>
      <c r="Q72" s="20"/>
      <c r="R72" s="20"/>
      <c r="S72" s="20"/>
      <c r="T72" s="20"/>
      <c r="X72" s="28"/>
      <c r="Y72" s="28"/>
    </row>
    <row r="73" customFormat="false" ht="30" hidden="false" customHeight="true" outlineLevel="0" collapsed="false">
      <c r="B73" s="19"/>
      <c r="C73" s="38"/>
      <c r="D73" s="38"/>
      <c r="E73" s="23"/>
      <c r="F73" s="84"/>
      <c r="G73" s="24"/>
      <c r="H73" s="20"/>
      <c r="I73" s="20"/>
      <c r="J73" s="20"/>
      <c r="K73" s="20"/>
      <c r="L73" s="64"/>
      <c r="M73" s="20"/>
      <c r="N73" s="23"/>
      <c r="O73" s="25"/>
      <c r="P73" s="23"/>
      <c r="Q73" s="20"/>
      <c r="R73" s="20"/>
      <c r="S73" s="20"/>
      <c r="T73" s="20"/>
      <c r="X73" s="28"/>
      <c r="Y73" s="28"/>
    </row>
    <row r="74" customFormat="false" ht="30" hidden="false" customHeight="true" outlineLevel="0" collapsed="false">
      <c r="B74" s="19"/>
      <c r="C74" s="38"/>
      <c r="D74" s="38"/>
      <c r="E74" s="23"/>
      <c r="F74" s="84"/>
      <c r="G74" s="24"/>
      <c r="H74" s="20"/>
      <c r="I74" s="20"/>
      <c r="J74" s="20"/>
      <c r="K74" s="20"/>
      <c r="L74" s="64"/>
      <c r="M74" s="20"/>
      <c r="N74" s="23"/>
      <c r="O74" s="25"/>
      <c r="P74" s="23"/>
      <c r="Q74" s="20"/>
      <c r="R74" s="20"/>
      <c r="S74" s="20"/>
      <c r="T74" s="20"/>
      <c r="X74" s="28"/>
      <c r="Y74" s="28"/>
    </row>
    <row r="75" customFormat="false" ht="30" hidden="false" customHeight="true" outlineLevel="0" collapsed="false">
      <c r="B75" s="19"/>
      <c r="C75" s="38"/>
      <c r="D75" s="38"/>
      <c r="E75" s="23"/>
      <c r="F75" s="84"/>
      <c r="G75" s="24"/>
      <c r="H75" s="20"/>
      <c r="I75" s="20"/>
      <c r="J75" s="20"/>
      <c r="K75" s="20"/>
      <c r="L75" s="64"/>
      <c r="M75" s="20"/>
      <c r="N75" s="23"/>
      <c r="O75" s="25"/>
      <c r="P75" s="23"/>
      <c r="Q75" s="20"/>
      <c r="R75" s="20"/>
      <c r="S75" s="20"/>
      <c r="T75" s="20"/>
      <c r="X75" s="28"/>
      <c r="Y75" s="28"/>
    </row>
    <row r="76" customFormat="false" ht="30" hidden="false" customHeight="true" outlineLevel="0" collapsed="false">
      <c r="B76" s="19"/>
      <c r="C76" s="38"/>
      <c r="D76" s="38"/>
      <c r="E76" s="23"/>
      <c r="F76" s="84"/>
      <c r="G76" s="24"/>
      <c r="H76" s="20"/>
      <c r="I76" s="20"/>
      <c r="J76" s="20"/>
      <c r="K76" s="20"/>
      <c r="L76" s="64"/>
      <c r="M76" s="20"/>
      <c r="N76" s="23"/>
      <c r="O76" s="25"/>
      <c r="P76" s="23"/>
      <c r="Q76" s="20"/>
      <c r="R76" s="20"/>
      <c r="S76" s="20"/>
      <c r="T76" s="20"/>
      <c r="X76" s="28"/>
      <c r="Y76" s="28"/>
    </row>
    <row r="77" customFormat="false" ht="30" hidden="false" customHeight="true" outlineLevel="0" collapsed="false">
      <c r="B77" s="19"/>
      <c r="C77" s="38"/>
      <c r="D77" s="38"/>
      <c r="E77" s="23"/>
      <c r="F77" s="84"/>
      <c r="G77" s="24"/>
      <c r="H77" s="20"/>
      <c r="I77" s="20"/>
      <c r="J77" s="20"/>
      <c r="K77" s="20"/>
      <c r="L77" s="64"/>
      <c r="M77" s="20"/>
      <c r="N77" s="23"/>
      <c r="O77" s="25"/>
      <c r="P77" s="23"/>
      <c r="Q77" s="20"/>
      <c r="R77" s="20"/>
      <c r="S77" s="20"/>
      <c r="T77" s="20"/>
      <c r="X77" s="28"/>
      <c r="Y77" s="28"/>
    </row>
    <row r="78" customFormat="false" ht="30" hidden="false" customHeight="true" outlineLevel="0" collapsed="false">
      <c r="B78" s="19"/>
      <c r="C78" s="38"/>
      <c r="D78" s="38"/>
      <c r="E78" s="23"/>
      <c r="F78" s="84"/>
      <c r="G78" s="24"/>
      <c r="H78" s="20"/>
      <c r="I78" s="20"/>
      <c r="J78" s="20"/>
      <c r="K78" s="20"/>
      <c r="L78" s="64"/>
      <c r="M78" s="20"/>
      <c r="N78" s="23"/>
      <c r="O78" s="25"/>
      <c r="P78" s="23"/>
      <c r="Q78" s="20"/>
      <c r="R78" s="20"/>
      <c r="S78" s="20"/>
      <c r="T78" s="20"/>
      <c r="X78" s="28"/>
      <c r="Y78" s="28"/>
    </row>
    <row r="79" customFormat="false" ht="30" hidden="false" customHeight="true" outlineLevel="0" collapsed="false">
      <c r="B79" s="19"/>
      <c r="C79" s="38"/>
      <c r="D79" s="38"/>
      <c r="E79" s="23"/>
      <c r="F79" s="84"/>
      <c r="G79" s="24"/>
      <c r="H79" s="20"/>
      <c r="I79" s="20"/>
      <c r="J79" s="20"/>
      <c r="K79" s="20"/>
      <c r="L79" s="64"/>
      <c r="M79" s="20"/>
      <c r="N79" s="23"/>
      <c r="O79" s="25"/>
      <c r="P79" s="23"/>
      <c r="Q79" s="20"/>
      <c r="R79" s="20"/>
      <c r="S79" s="20"/>
      <c r="T79" s="20"/>
      <c r="X79" s="28"/>
      <c r="Y79" s="28"/>
    </row>
    <row r="80" customFormat="false" ht="30" hidden="false" customHeight="true" outlineLevel="0" collapsed="false">
      <c r="B80" s="19"/>
      <c r="C80" s="38"/>
      <c r="D80" s="38"/>
      <c r="E80" s="23"/>
      <c r="F80" s="84"/>
      <c r="G80" s="24"/>
      <c r="H80" s="20"/>
      <c r="I80" s="20"/>
      <c r="J80" s="20"/>
      <c r="K80" s="20"/>
      <c r="L80" s="64"/>
      <c r="M80" s="20"/>
      <c r="N80" s="23"/>
      <c r="O80" s="25"/>
      <c r="P80" s="23"/>
      <c r="Q80" s="20"/>
      <c r="R80" s="20"/>
      <c r="S80" s="20"/>
      <c r="T80" s="20"/>
      <c r="X80" s="28"/>
      <c r="Y80" s="28"/>
    </row>
    <row r="81" customFormat="false" ht="30" hidden="false" customHeight="true" outlineLevel="0" collapsed="false">
      <c r="B81" s="19"/>
      <c r="C81" s="38"/>
      <c r="D81" s="38"/>
      <c r="E81" s="23"/>
      <c r="F81" s="84"/>
      <c r="G81" s="24"/>
      <c r="H81" s="20"/>
      <c r="I81" s="20"/>
      <c r="J81" s="20"/>
      <c r="K81" s="20"/>
      <c r="L81" s="64"/>
      <c r="M81" s="20"/>
      <c r="N81" s="23"/>
      <c r="O81" s="25"/>
      <c r="P81" s="23"/>
      <c r="Q81" s="20"/>
      <c r="R81" s="20"/>
      <c r="S81" s="20"/>
      <c r="T81" s="20"/>
      <c r="X81" s="28"/>
      <c r="Y81" s="28"/>
    </row>
    <row r="82" customFormat="false" ht="30" hidden="false" customHeight="true" outlineLevel="0" collapsed="false">
      <c r="B82" s="19"/>
      <c r="C82" s="38"/>
      <c r="D82" s="38"/>
      <c r="E82" s="23"/>
      <c r="F82" s="84"/>
      <c r="G82" s="24"/>
      <c r="H82" s="20"/>
      <c r="I82" s="20"/>
      <c r="J82" s="20"/>
      <c r="K82" s="20"/>
      <c r="L82" s="64"/>
      <c r="M82" s="20"/>
      <c r="N82" s="23"/>
      <c r="O82" s="25"/>
      <c r="P82" s="23"/>
      <c r="Q82" s="20"/>
      <c r="R82" s="20"/>
      <c r="S82" s="20"/>
      <c r="T82" s="20"/>
      <c r="X82" s="28"/>
      <c r="Y82" s="28"/>
    </row>
    <row r="83" customFormat="false" ht="30" hidden="false" customHeight="true" outlineLevel="0" collapsed="false">
      <c r="B83" s="19"/>
      <c r="C83" s="38"/>
      <c r="D83" s="38"/>
      <c r="E83" s="23"/>
      <c r="F83" s="84"/>
      <c r="G83" s="24"/>
      <c r="H83" s="20"/>
      <c r="I83" s="20"/>
      <c r="J83" s="20"/>
      <c r="K83" s="20"/>
      <c r="L83" s="64"/>
      <c r="M83" s="20"/>
      <c r="N83" s="23"/>
      <c r="O83" s="25"/>
      <c r="P83" s="23"/>
      <c r="Q83" s="20"/>
      <c r="R83" s="20"/>
      <c r="S83" s="20"/>
      <c r="T83" s="20"/>
      <c r="X83" s="28"/>
      <c r="Y83" s="28"/>
    </row>
    <row r="84" customFormat="false" ht="30" hidden="false" customHeight="true" outlineLevel="0" collapsed="false">
      <c r="B84" s="19"/>
      <c r="C84" s="38"/>
      <c r="D84" s="38"/>
      <c r="E84" s="23"/>
      <c r="F84" s="84"/>
      <c r="G84" s="24"/>
      <c r="H84" s="20"/>
      <c r="I84" s="20"/>
      <c r="J84" s="20"/>
      <c r="K84" s="20"/>
      <c r="L84" s="64"/>
      <c r="M84" s="20"/>
      <c r="N84" s="23"/>
      <c r="O84" s="25"/>
      <c r="P84" s="23"/>
      <c r="Q84" s="20"/>
      <c r="R84" s="20"/>
      <c r="S84" s="20"/>
      <c r="T84" s="20"/>
      <c r="X84" s="28"/>
      <c r="Y84" s="28"/>
    </row>
    <row r="85" customFormat="false" ht="30" hidden="false" customHeight="true" outlineLevel="0" collapsed="false">
      <c r="B85" s="19"/>
      <c r="C85" s="38"/>
      <c r="D85" s="38"/>
      <c r="E85" s="23"/>
      <c r="F85" s="84"/>
      <c r="G85" s="24"/>
      <c r="H85" s="20"/>
      <c r="I85" s="20"/>
      <c r="J85" s="20"/>
      <c r="K85" s="20"/>
      <c r="L85" s="64"/>
      <c r="M85" s="20"/>
      <c r="N85" s="23"/>
      <c r="O85" s="25"/>
      <c r="P85" s="23"/>
      <c r="Q85" s="20"/>
      <c r="R85" s="20"/>
      <c r="S85" s="20"/>
      <c r="T85" s="20"/>
      <c r="X85" s="28"/>
      <c r="Y85" s="28"/>
    </row>
    <row r="86" customFormat="false" ht="30" hidden="false" customHeight="true" outlineLevel="0" collapsed="false">
      <c r="B86" s="19"/>
      <c r="C86" s="38"/>
      <c r="D86" s="38"/>
      <c r="E86" s="23"/>
      <c r="F86" s="84"/>
      <c r="G86" s="24"/>
      <c r="H86" s="20"/>
      <c r="I86" s="20"/>
      <c r="J86" s="20"/>
      <c r="K86" s="20"/>
      <c r="L86" s="64"/>
      <c r="M86" s="20"/>
      <c r="N86" s="23"/>
      <c r="O86" s="25"/>
      <c r="P86" s="23"/>
      <c r="Q86" s="20"/>
      <c r="R86" s="20"/>
      <c r="S86" s="20"/>
      <c r="T86" s="20"/>
      <c r="X86" s="28"/>
      <c r="Y86" s="28"/>
    </row>
    <row r="87" customFormat="false" ht="30" hidden="false" customHeight="true" outlineLevel="0" collapsed="false">
      <c r="B87" s="19"/>
      <c r="C87" s="38"/>
      <c r="D87" s="38"/>
      <c r="E87" s="23"/>
      <c r="F87" s="84"/>
      <c r="G87" s="24"/>
      <c r="H87" s="20"/>
      <c r="I87" s="20"/>
      <c r="J87" s="20"/>
      <c r="K87" s="20"/>
      <c r="L87" s="64"/>
      <c r="M87" s="20"/>
      <c r="N87" s="23"/>
      <c r="O87" s="25"/>
      <c r="P87" s="23"/>
      <c r="Q87" s="20"/>
      <c r="R87" s="20"/>
      <c r="S87" s="20"/>
      <c r="T87" s="20"/>
      <c r="X87" s="28"/>
      <c r="Y87" s="28"/>
    </row>
    <row r="88" customFormat="false" ht="30" hidden="false" customHeight="true" outlineLevel="0" collapsed="false">
      <c r="B88" s="19"/>
      <c r="C88" s="38"/>
      <c r="D88" s="38"/>
      <c r="E88" s="23"/>
      <c r="F88" s="84"/>
      <c r="G88" s="24"/>
      <c r="H88" s="20"/>
      <c r="I88" s="20"/>
      <c r="J88" s="20"/>
      <c r="K88" s="20"/>
      <c r="L88" s="64"/>
      <c r="M88" s="20"/>
      <c r="N88" s="23"/>
      <c r="O88" s="25"/>
      <c r="P88" s="23"/>
      <c r="Q88" s="20"/>
      <c r="R88" s="20"/>
      <c r="S88" s="20"/>
      <c r="T88" s="20"/>
      <c r="X88" s="28"/>
      <c r="Y88" s="28"/>
    </row>
    <row r="89" customFormat="false" ht="30" hidden="false" customHeight="true" outlineLevel="0" collapsed="false">
      <c r="B89" s="19"/>
      <c r="C89" s="38"/>
      <c r="D89" s="38"/>
      <c r="E89" s="23"/>
      <c r="F89" s="84"/>
      <c r="G89" s="24"/>
      <c r="H89" s="20"/>
      <c r="I89" s="20"/>
      <c r="J89" s="20"/>
      <c r="K89" s="20"/>
      <c r="L89" s="64"/>
      <c r="M89" s="20"/>
      <c r="N89" s="23"/>
      <c r="O89" s="25"/>
      <c r="P89" s="23"/>
      <c r="Q89" s="20"/>
      <c r="R89" s="20"/>
      <c r="S89" s="20"/>
      <c r="T89" s="20"/>
      <c r="X89" s="28"/>
      <c r="Y89" s="28"/>
    </row>
    <row r="90" customFormat="false" ht="30" hidden="false" customHeight="true" outlineLevel="0" collapsed="false">
      <c r="B90" s="19"/>
      <c r="C90" s="38"/>
      <c r="D90" s="38"/>
      <c r="E90" s="23"/>
      <c r="F90" s="84"/>
      <c r="G90" s="24"/>
      <c r="H90" s="20"/>
      <c r="I90" s="20"/>
      <c r="J90" s="20"/>
      <c r="K90" s="20"/>
      <c r="L90" s="64"/>
      <c r="M90" s="20"/>
      <c r="N90" s="23"/>
      <c r="O90" s="25"/>
      <c r="P90" s="23"/>
      <c r="Q90" s="20"/>
      <c r="R90" s="20"/>
      <c r="S90" s="20"/>
      <c r="T90" s="20"/>
      <c r="X90" s="28"/>
      <c r="Y90" s="28"/>
    </row>
    <row r="91" customFormat="false" ht="30" hidden="false" customHeight="true" outlineLevel="0" collapsed="false">
      <c r="B91" s="19"/>
      <c r="C91" s="38"/>
      <c r="D91" s="38"/>
      <c r="E91" s="23"/>
      <c r="F91" s="84"/>
      <c r="G91" s="24"/>
      <c r="H91" s="20"/>
      <c r="I91" s="20"/>
      <c r="J91" s="20"/>
      <c r="K91" s="20"/>
      <c r="L91" s="64"/>
      <c r="M91" s="20"/>
      <c r="N91" s="23"/>
      <c r="O91" s="25"/>
      <c r="P91" s="23"/>
      <c r="Q91" s="20"/>
      <c r="R91" s="20"/>
      <c r="S91" s="20"/>
      <c r="T91" s="20"/>
      <c r="X91" s="28"/>
      <c r="Y91" s="28"/>
    </row>
    <row r="92" customFormat="false" ht="30" hidden="false" customHeight="true" outlineLevel="0" collapsed="false">
      <c r="B92" s="19"/>
      <c r="C92" s="38"/>
      <c r="D92" s="38"/>
      <c r="E92" s="23"/>
      <c r="F92" s="84"/>
      <c r="G92" s="24"/>
      <c r="H92" s="20"/>
      <c r="I92" s="20"/>
      <c r="J92" s="20"/>
      <c r="K92" s="20"/>
      <c r="L92" s="64"/>
      <c r="M92" s="20"/>
      <c r="N92" s="23"/>
      <c r="O92" s="25"/>
      <c r="P92" s="23"/>
      <c r="Q92" s="20"/>
      <c r="R92" s="20"/>
      <c r="S92" s="20"/>
      <c r="T92" s="20"/>
      <c r="X92" s="28"/>
      <c r="Y92" s="28"/>
    </row>
    <row r="93" customFormat="false" ht="30" hidden="false" customHeight="true" outlineLevel="0" collapsed="false">
      <c r="B93" s="19"/>
      <c r="C93" s="38"/>
      <c r="D93" s="38"/>
      <c r="E93" s="23"/>
      <c r="F93" s="84"/>
      <c r="G93" s="24"/>
      <c r="H93" s="20"/>
      <c r="I93" s="20"/>
      <c r="J93" s="20"/>
      <c r="K93" s="20"/>
      <c r="L93" s="64"/>
      <c r="M93" s="20"/>
      <c r="N93" s="23"/>
      <c r="O93" s="25"/>
      <c r="P93" s="23"/>
      <c r="Q93" s="20"/>
      <c r="R93" s="20"/>
      <c r="S93" s="20"/>
      <c r="T93" s="20"/>
      <c r="X93" s="28"/>
      <c r="Y93" s="28"/>
    </row>
    <row r="94" customFormat="false" ht="30" hidden="false" customHeight="true" outlineLevel="0" collapsed="false">
      <c r="B94" s="19"/>
      <c r="C94" s="38"/>
      <c r="D94" s="38"/>
      <c r="E94" s="23"/>
      <c r="F94" s="84"/>
      <c r="G94" s="24"/>
      <c r="H94" s="20"/>
      <c r="I94" s="20"/>
      <c r="J94" s="20"/>
      <c r="K94" s="20"/>
      <c r="L94" s="64"/>
      <c r="M94" s="20"/>
      <c r="N94" s="23"/>
      <c r="O94" s="25"/>
      <c r="P94" s="23"/>
      <c r="Q94" s="20"/>
      <c r="R94" s="20"/>
      <c r="S94" s="20"/>
      <c r="T94" s="20"/>
      <c r="X94" s="28"/>
      <c r="Y94" s="28"/>
    </row>
    <row r="95" customFormat="false" ht="30" hidden="false" customHeight="true" outlineLevel="0" collapsed="false">
      <c r="B95" s="19"/>
      <c r="C95" s="38"/>
      <c r="D95" s="38"/>
      <c r="E95" s="23"/>
      <c r="F95" s="84"/>
      <c r="G95" s="24"/>
      <c r="H95" s="20"/>
      <c r="I95" s="20"/>
      <c r="J95" s="20"/>
      <c r="K95" s="20"/>
      <c r="L95" s="64"/>
      <c r="M95" s="20"/>
      <c r="N95" s="23"/>
      <c r="O95" s="25"/>
      <c r="P95" s="23"/>
      <c r="Q95" s="20"/>
      <c r="R95" s="20"/>
      <c r="S95" s="20"/>
      <c r="T95" s="20"/>
      <c r="X95" s="28"/>
      <c r="Y95" s="28"/>
    </row>
    <row r="96" customFormat="false" ht="30" hidden="false" customHeight="true" outlineLevel="0" collapsed="false">
      <c r="B96" s="19"/>
      <c r="C96" s="38"/>
      <c r="D96" s="38"/>
      <c r="E96" s="23"/>
      <c r="F96" s="84"/>
      <c r="G96" s="24"/>
      <c r="H96" s="20"/>
      <c r="I96" s="20"/>
      <c r="J96" s="20"/>
      <c r="K96" s="20"/>
      <c r="L96" s="64"/>
      <c r="M96" s="20"/>
      <c r="N96" s="23"/>
      <c r="O96" s="25"/>
      <c r="P96" s="23"/>
      <c r="Q96" s="20"/>
      <c r="R96" s="20"/>
      <c r="S96" s="20"/>
      <c r="T96" s="20"/>
      <c r="X96" s="28"/>
      <c r="Y96" s="28"/>
    </row>
    <row r="97" customFormat="false" ht="30" hidden="false" customHeight="true" outlineLevel="0" collapsed="false">
      <c r="B97" s="19"/>
      <c r="C97" s="38"/>
      <c r="D97" s="38"/>
      <c r="E97" s="23"/>
      <c r="F97" s="84"/>
      <c r="G97" s="24"/>
      <c r="H97" s="20"/>
      <c r="I97" s="20"/>
      <c r="J97" s="20"/>
      <c r="K97" s="20"/>
      <c r="L97" s="64"/>
      <c r="M97" s="20"/>
      <c r="N97" s="23"/>
      <c r="O97" s="25"/>
      <c r="P97" s="23"/>
      <c r="Q97" s="20"/>
      <c r="R97" s="20"/>
      <c r="S97" s="20"/>
      <c r="T97" s="20"/>
      <c r="X97" s="28"/>
      <c r="Y97" s="28"/>
    </row>
    <row r="98" customFormat="false" ht="30" hidden="false" customHeight="true" outlineLevel="0" collapsed="false">
      <c r="B98" s="19"/>
      <c r="C98" s="38"/>
      <c r="D98" s="38"/>
      <c r="E98" s="23"/>
      <c r="F98" s="84"/>
      <c r="G98" s="24"/>
      <c r="H98" s="20"/>
      <c r="I98" s="20"/>
      <c r="J98" s="20"/>
      <c r="K98" s="20"/>
      <c r="L98" s="64"/>
      <c r="M98" s="20"/>
      <c r="N98" s="23"/>
      <c r="O98" s="25"/>
      <c r="P98" s="23"/>
      <c r="Q98" s="20"/>
      <c r="R98" s="20"/>
      <c r="S98" s="20"/>
      <c r="T98" s="20"/>
      <c r="X98" s="28"/>
      <c r="Y98" s="28"/>
    </row>
    <row r="99" customFormat="false" ht="30" hidden="false" customHeight="true" outlineLevel="0" collapsed="false">
      <c r="B99" s="19"/>
      <c r="C99" s="38"/>
      <c r="D99" s="38"/>
      <c r="E99" s="23"/>
      <c r="F99" s="84"/>
      <c r="G99" s="24"/>
      <c r="H99" s="20"/>
      <c r="I99" s="20"/>
      <c r="J99" s="20"/>
      <c r="K99" s="20"/>
      <c r="L99" s="64"/>
      <c r="M99" s="20"/>
      <c r="N99" s="23"/>
      <c r="O99" s="25"/>
      <c r="P99" s="23"/>
      <c r="Q99" s="20"/>
      <c r="R99" s="20"/>
      <c r="S99" s="20"/>
      <c r="T99" s="20"/>
      <c r="X99" s="28"/>
      <c r="Y99" s="28"/>
    </row>
    <row r="100" customFormat="false" ht="30" hidden="false" customHeight="true" outlineLevel="0" collapsed="false">
      <c r="B100" s="19"/>
      <c r="C100" s="38"/>
      <c r="D100" s="38"/>
      <c r="E100" s="23"/>
      <c r="F100" s="84"/>
      <c r="G100" s="24"/>
      <c r="H100" s="20"/>
      <c r="I100" s="20"/>
      <c r="J100" s="20"/>
      <c r="K100" s="20"/>
      <c r="L100" s="64"/>
      <c r="M100" s="20"/>
      <c r="N100" s="23"/>
      <c r="O100" s="25"/>
      <c r="P100" s="23"/>
      <c r="Q100" s="20"/>
      <c r="R100" s="20"/>
      <c r="S100" s="20"/>
      <c r="T100" s="20"/>
      <c r="X100" s="28"/>
      <c r="Y100" s="28"/>
    </row>
    <row r="101" customFormat="false" ht="30" hidden="false" customHeight="true" outlineLevel="0" collapsed="false">
      <c r="B101" s="19"/>
      <c r="C101" s="38"/>
      <c r="D101" s="38"/>
      <c r="E101" s="23"/>
      <c r="F101" s="84"/>
      <c r="G101" s="24"/>
      <c r="H101" s="20"/>
      <c r="I101" s="20"/>
      <c r="J101" s="20"/>
      <c r="K101" s="20"/>
      <c r="L101" s="64"/>
      <c r="M101" s="20"/>
      <c r="N101" s="23"/>
      <c r="O101" s="25"/>
      <c r="P101" s="23"/>
      <c r="Q101" s="20"/>
      <c r="R101" s="20"/>
      <c r="S101" s="20"/>
      <c r="T101" s="20"/>
      <c r="X101" s="28"/>
      <c r="Y101" s="28"/>
    </row>
    <row r="102" customFormat="false" ht="30" hidden="false" customHeight="true" outlineLevel="0" collapsed="false">
      <c r="B102" s="19"/>
      <c r="C102" s="38"/>
      <c r="D102" s="38"/>
      <c r="E102" s="23"/>
      <c r="F102" s="84"/>
      <c r="G102" s="24"/>
      <c r="H102" s="20"/>
      <c r="I102" s="20"/>
      <c r="J102" s="20"/>
      <c r="K102" s="20"/>
      <c r="L102" s="64"/>
      <c r="M102" s="20"/>
      <c r="N102" s="23"/>
      <c r="O102" s="25"/>
      <c r="P102" s="23"/>
      <c r="Q102" s="20"/>
      <c r="R102" s="20"/>
      <c r="S102" s="20"/>
      <c r="T102" s="20"/>
      <c r="X102" s="28"/>
      <c r="Y102" s="28"/>
    </row>
    <row r="103" customFormat="false" ht="30" hidden="false" customHeight="true" outlineLevel="0" collapsed="false">
      <c r="B103" s="19"/>
      <c r="C103" s="38"/>
      <c r="D103" s="38"/>
      <c r="E103" s="23"/>
      <c r="F103" s="84"/>
      <c r="G103" s="24"/>
      <c r="H103" s="20"/>
      <c r="I103" s="20"/>
      <c r="J103" s="20"/>
      <c r="K103" s="20"/>
      <c r="L103" s="64"/>
      <c r="M103" s="20"/>
      <c r="N103" s="23"/>
      <c r="O103" s="25"/>
      <c r="P103" s="23"/>
      <c r="Q103" s="20"/>
      <c r="R103" s="20"/>
      <c r="S103" s="20"/>
      <c r="T103" s="20"/>
      <c r="X103" s="28"/>
      <c r="Y103" s="28"/>
    </row>
    <row r="104" customFormat="false" ht="30" hidden="false" customHeight="true" outlineLevel="0" collapsed="false">
      <c r="B104" s="19"/>
      <c r="C104" s="38"/>
      <c r="D104" s="38"/>
      <c r="E104" s="23"/>
      <c r="F104" s="84"/>
      <c r="G104" s="24"/>
      <c r="H104" s="20"/>
      <c r="I104" s="20"/>
      <c r="J104" s="20"/>
      <c r="K104" s="20"/>
      <c r="L104" s="64"/>
      <c r="M104" s="20"/>
      <c r="N104" s="23"/>
      <c r="O104" s="25"/>
      <c r="P104" s="23"/>
      <c r="Q104" s="20"/>
      <c r="R104" s="20"/>
      <c r="S104" s="20"/>
      <c r="T104" s="20"/>
      <c r="X104" s="28"/>
      <c r="Y104" s="28"/>
    </row>
    <row r="105" customFormat="false" ht="30" hidden="false" customHeight="true" outlineLevel="0" collapsed="false">
      <c r="B105" s="19"/>
      <c r="C105" s="38"/>
      <c r="D105" s="38"/>
      <c r="E105" s="23"/>
      <c r="F105" s="84"/>
      <c r="G105" s="24"/>
      <c r="H105" s="20"/>
      <c r="I105" s="20"/>
      <c r="J105" s="20"/>
      <c r="K105" s="20"/>
      <c r="L105" s="64"/>
      <c r="M105" s="20"/>
      <c r="N105" s="23"/>
      <c r="O105" s="25"/>
      <c r="P105" s="23"/>
      <c r="Q105" s="20"/>
      <c r="R105" s="20"/>
      <c r="S105" s="20"/>
      <c r="T105" s="20"/>
      <c r="X105" s="28"/>
      <c r="Y105" s="28"/>
    </row>
    <row r="106" customFormat="false" ht="30" hidden="false" customHeight="true" outlineLevel="0" collapsed="false">
      <c r="B106" s="19"/>
      <c r="C106" s="38"/>
      <c r="D106" s="38"/>
      <c r="E106" s="23"/>
      <c r="F106" s="84"/>
      <c r="G106" s="24"/>
      <c r="H106" s="20"/>
      <c r="I106" s="20"/>
      <c r="J106" s="20"/>
      <c r="K106" s="20"/>
      <c r="L106" s="64"/>
      <c r="M106" s="20"/>
      <c r="N106" s="23"/>
      <c r="O106" s="25"/>
      <c r="P106" s="23"/>
      <c r="Q106" s="20"/>
      <c r="R106" s="20"/>
      <c r="S106" s="20"/>
      <c r="T106" s="20"/>
      <c r="X106" s="28"/>
      <c r="Y106" s="28"/>
    </row>
    <row r="107" customFormat="false" ht="30" hidden="false" customHeight="true" outlineLevel="0" collapsed="false">
      <c r="B107" s="19"/>
      <c r="C107" s="38"/>
      <c r="D107" s="38"/>
      <c r="E107" s="23"/>
      <c r="F107" s="84"/>
      <c r="G107" s="24"/>
      <c r="H107" s="20"/>
      <c r="I107" s="20"/>
      <c r="J107" s="20"/>
      <c r="K107" s="20"/>
      <c r="L107" s="64"/>
      <c r="M107" s="20"/>
      <c r="N107" s="23"/>
      <c r="O107" s="25"/>
      <c r="P107" s="23"/>
      <c r="Q107" s="20"/>
      <c r="R107" s="20"/>
      <c r="S107" s="20"/>
      <c r="T107" s="20"/>
      <c r="X107" s="28"/>
      <c r="Y107" s="28"/>
    </row>
    <row r="108" customFormat="false" ht="30" hidden="false" customHeight="true" outlineLevel="0" collapsed="false">
      <c r="B108" s="19"/>
      <c r="C108" s="38"/>
      <c r="D108" s="38"/>
      <c r="E108" s="23"/>
      <c r="F108" s="84"/>
      <c r="G108" s="24"/>
      <c r="H108" s="20"/>
      <c r="I108" s="20"/>
      <c r="J108" s="20"/>
      <c r="K108" s="20"/>
      <c r="L108" s="64"/>
      <c r="M108" s="20"/>
      <c r="N108" s="23"/>
      <c r="O108" s="25"/>
      <c r="P108" s="23"/>
      <c r="Q108" s="20"/>
      <c r="R108" s="20"/>
      <c r="S108" s="20"/>
      <c r="T108" s="20"/>
      <c r="X108" s="28"/>
      <c r="Y108" s="28"/>
    </row>
    <row r="109" customFormat="false" ht="30" hidden="false" customHeight="true" outlineLevel="0" collapsed="false">
      <c r="B109" s="19"/>
      <c r="C109" s="38"/>
      <c r="D109" s="38"/>
      <c r="E109" s="23"/>
      <c r="F109" s="84"/>
      <c r="G109" s="24"/>
      <c r="H109" s="20"/>
      <c r="I109" s="20"/>
      <c r="J109" s="20"/>
      <c r="K109" s="20"/>
      <c r="L109" s="64"/>
      <c r="M109" s="20"/>
      <c r="N109" s="23"/>
      <c r="O109" s="25"/>
      <c r="P109" s="23"/>
      <c r="Q109" s="20"/>
      <c r="R109" s="20"/>
      <c r="S109" s="20"/>
      <c r="T109" s="20"/>
      <c r="X109" s="28"/>
      <c r="Y109" s="28"/>
    </row>
    <row r="110" customFormat="false" ht="30" hidden="false" customHeight="true" outlineLevel="0" collapsed="false">
      <c r="B110" s="19"/>
      <c r="C110" s="38"/>
      <c r="D110" s="38"/>
      <c r="E110" s="23"/>
      <c r="F110" s="84"/>
      <c r="G110" s="24"/>
      <c r="H110" s="20"/>
      <c r="I110" s="20"/>
      <c r="J110" s="20"/>
      <c r="K110" s="20"/>
      <c r="L110" s="64"/>
      <c r="M110" s="20"/>
      <c r="N110" s="23"/>
      <c r="O110" s="25"/>
      <c r="P110" s="23"/>
      <c r="Q110" s="20"/>
      <c r="R110" s="20"/>
      <c r="S110" s="20"/>
      <c r="T110" s="20"/>
      <c r="X110" s="28"/>
      <c r="Y110" s="28"/>
    </row>
    <row r="111" customFormat="false" ht="30" hidden="false" customHeight="true" outlineLevel="0" collapsed="false">
      <c r="B111" s="19"/>
      <c r="C111" s="38"/>
      <c r="D111" s="38"/>
      <c r="E111" s="23"/>
      <c r="F111" s="84"/>
      <c r="G111" s="24"/>
      <c r="H111" s="20"/>
      <c r="I111" s="20"/>
      <c r="J111" s="20"/>
      <c r="K111" s="20"/>
      <c r="L111" s="64"/>
      <c r="M111" s="20"/>
      <c r="N111" s="23"/>
      <c r="O111" s="25"/>
      <c r="P111" s="23"/>
      <c r="Q111" s="20"/>
      <c r="R111" s="20"/>
      <c r="S111" s="20"/>
      <c r="T111" s="20"/>
      <c r="X111" s="28"/>
      <c r="Y111" s="28"/>
    </row>
    <row r="112" customFormat="false" ht="30" hidden="false" customHeight="true" outlineLevel="0" collapsed="false">
      <c r="B112" s="19"/>
      <c r="C112" s="38"/>
      <c r="D112" s="38"/>
      <c r="E112" s="23"/>
      <c r="F112" s="84"/>
      <c r="G112" s="24"/>
      <c r="H112" s="20"/>
      <c r="I112" s="20"/>
      <c r="J112" s="20"/>
      <c r="K112" s="20"/>
      <c r="L112" s="64"/>
      <c r="M112" s="20"/>
      <c r="N112" s="23"/>
      <c r="O112" s="25"/>
      <c r="P112" s="23"/>
      <c r="Q112" s="20"/>
      <c r="R112" s="20"/>
      <c r="S112" s="20"/>
      <c r="T112" s="20"/>
      <c r="X112" s="28"/>
      <c r="Y112" s="28"/>
    </row>
    <row r="113" customFormat="false" ht="30" hidden="false" customHeight="true" outlineLevel="0" collapsed="false">
      <c r="B113" s="19"/>
      <c r="C113" s="38"/>
      <c r="D113" s="38"/>
      <c r="E113" s="23"/>
      <c r="F113" s="84"/>
      <c r="G113" s="24"/>
      <c r="H113" s="20"/>
      <c r="I113" s="20"/>
      <c r="J113" s="20"/>
      <c r="K113" s="20"/>
      <c r="L113" s="64"/>
      <c r="M113" s="20"/>
      <c r="N113" s="23"/>
      <c r="O113" s="25"/>
      <c r="P113" s="23"/>
      <c r="Q113" s="20"/>
      <c r="R113" s="20"/>
      <c r="S113" s="20"/>
      <c r="T113" s="20"/>
      <c r="X113" s="28"/>
      <c r="Y113" s="28"/>
    </row>
    <row r="114" customFormat="false" ht="30" hidden="false" customHeight="true" outlineLevel="0" collapsed="false">
      <c r="B114" s="19"/>
      <c r="C114" s="38"/>
      <c r="D114" s="38"/>
      <c r="E114" s="23"/>
      <c r="F114" s="84"/>
      <c r="G114" s="24"/>
      <c r="H114" s="20"/>
      <c r="I114" s="20"/>
      <c r="J114" s="20"/>
      <c r="K114" s="20"/>
      <c r="L114" s="64"/>
      <c r="M114" s="20"/>
      <c r="N114" s="23"/>
      <c r="O114" s="25"/>
      <c r="P114" s="23"/>
      <c r="Q114" s="20"/>
      <c r="R114" s="20"/>
      <c r="S114" s="20"/>
      <c r="T114" s="20"/>
      <c r="X114" s="28"/>
      <c r="Y114" s="28"/>
    </row>
    <row r="115" customFormat="false" ht="30" hidden="false" customHeight="true" outlineLevel="0" collapsed="false">
      <c r="B115" s="19"/>
      <c r="C115" s="38"/>
      <c r="D115" s="38"/>
      <c r="E115" s="23"/>
      <c r="F115" s="84"/>
      <c r="G115" s="24"/>
      <c r="H115" s="20"/>
      <c r="I115" s="20"/>
      <c r="J115" s="20"/>
      <c r="K115" s="20"/>
      <c r="L115" s="64"/>
      <c r="M115" s="20"/>
      <c r="N115" s="23"/>
      <c r="O115" s="25"/>
      <c r="P115" s="23"/>
      <c r="Q115" s="20"/>
      <c r="R115" s="20"/>
      <c r="S115" s="20"/>
      <c r="T115" s="20"/>
      <c r="X115" s="28"/>
      <c r="Y115" s="28"/>
    </row>
    <row r="116" customFormat="false" ht="30" hidden="false" customHeight="true" outlineLevel="0" collapsed="false">
      <c r="B116" s="19"/>
      <c r="C116" s="38"/>
      <c r="D116" s="38"/>
      <c r="E116" s="23"/>
      <c r="F116" s="84"/>
      <c r="G116" s="24"/>
      <c r="H116" s="20"/>
      <c r="I116" s="20"/>
      <c r="J116" s="20"/>
      <c r="K116" s="20"/>
      <c r="L116" s="64"/>
      <c r="M116" s="20"/>
      <c r="N116" s="23"/>
      <c r="O116" s="25"/>
      <c r="P116" s="23"/>
      <c r="Q116" s="20"/>
      <c r="R116" s="20"/>
      <c r="S116" s="20"/>
      <c r="T116" s="20"/>
      <c r="X116" s="28"/>
      <c r="Y116" s="28"/>
    </row>
    <row r="117" customFormat="false" ht="30" hidden="false" customHeight="true" outlineLevel="0" collapsed="false">
      <c r="B117" s="19"/>
      <c r="C117" s="38"/>
      <c r="D117" s="38"/>
      <c r="E117" s="23"/>
      <c r="F117" s="84"/>
      <c r="G117" s="24"/>
      <c r="H117" s="20"/>
      <c r="I117" s="20"/>
      <c r="J117" s="20"/>
      <c r="K117" s="20"/>
      <c r="L117" s="64"/>
      <c r="M117" s="20"/>
      <c r="N117" s="23"/>
      <c r="O117" s="25"/>
      <c r="P117" s="23"/>
      <c r="Q117" s="20"/>
      <c r="R117" s="20"/>
      <c r="S117" s="20"/>
      <c r="T117" s="20"/>
      <c r="X117" s="28"/>
      <c r="Y117" s="28"/>
    </row>
    <row r="118" customFormat="false" ht="30" hidden="false" customHeight="true" outlineLevel="0" collapsed="false">
      <c r="B118" s="19"/>
      <c r="C118" s="38"/>
      <c r="D118" s="38"/>
      <c r="E118" s="23"/>
      <c r="F118" s="84"/>
      <c r="G118" s="24"/>
      <c r="H118" s="20"/>
      <c r="I118" s="20"/>
      <c r="J118" s="20"/>
      <c r="K118" s="20"/>
      <c r="L118" s="64"/>
      <c r="M118" s="20"/>
      <c r="N118" s="23"/>
      <c r="O118" s="25"/>
      <c r="P118" s="23"/>
      <c r="Q118" s="20"/>
      <c r="R118" s="20"/>
      <c r="S118" s="20"/>
      <c r="T118" s="20"/>
      <c r="X118" s="28"/>
      <c r="Y118" s="28"/>
    </row>
    <row r="119" customFormat="false" ht="30" hidden="false" customHeight="true" outlineLevel="0" collapsed="false">
      <c r="B119" s="19"/>
      <c r="C119" s="38"/>
      <c r="D119" s="38"/>
      <c r="E119" s="23"/>
      <c r="F119" s="84"/>
      <c r="G119" s="24"/>
      <c r="H119" s="20"/>
      <c r="I119" s="20"/>
      <c r="J119" s="20"/>
      <c r="K119" s="20"/>
      <c r="L119" s="64"/>
      <c r="M119" s="20"/>
      <c r="N119" s="23"/>
      <c r="O119" s="25"/>
      <c r="P119" s="23"/>
      <c r="Q119" s="20"/>
      <c r="R119" s="20"/>
      <c r="S119" s="20"/>
      <c r="T119" s="20"/>
      <c r="X119" s="28"/>
      <c r="Y119" s="28"/>
    </row>
    <row r="120" customFormat="false" ht="30" hidden="false" customHeight="true" outlineLevel="0" collapsed="false">
      <c r="B120" s="19"/>
      <c r="C120" s="38"/>
      <c r="D120" s="38"/>
      <c r="E120" s="23"/>
      <c r="F120" s="84"/>
      <c r="G120" s="24"/>
      <c r="H120" s="20"/>
      <c r="I120" s="20"/>
      <c r="J120" s="20"/>
      <c r="K120" s="20"/>
      <c r="L120" s="64"/>
      <c r="M120" s="20"/>
      <c r="N120" s="23"/>
      <c r="O120" s="25"/>
      <c r="P120" s="23"/>
      <c r="Q120" s="20"/>
      <c r="R120" s="20"/>
      <c r="S120" s="20"/>
      <c r="T120" s="20"/>
      <c r="X120" s="28"/>
      <c r="Y120" s="28"/>
    </row>
    <row r="121" customFormat="false" ht="30" hidden="false" customHeight="true" outlineLevel="0" collapsed="false">
      <c r="B121" s="19"/>
      <c r="C121" s="38"/>
      <c r="D121" s="38"/>
      <c r="E121" s="23"/>
      <c r="F121" s="84"/>
      <c r="G121" s="24"/>
      <c r="H121" s="20"/>
      <c r="I121" s="20"/>
      <c r="J121" s="20"/>
      <c r="K121" s="20"/>
      <c r="L121" s="64"/>
      <c r="M121" s="20"/>
      <c r="N121" s="23"/>
      <c r="O121" s="25"/>
      <c r="P121" s="23"/>
      <c r="Q121" s="20"/>
      <c r="R121" s="20"/>
      <c r="S121" s="20"/>
      <c r="T121" s="20"/>
      <c r="X121" s="28"/>
      <c r="Y121" s="28"/>
    </row>
    <row r="122" customFormat="false" ht="30" hidden="false" customHeight="true" outlineLevel="0" collapsed="false">
      <c r="B122" s="19"/>
      <c r="C122" s="38"/>
      <c r="D122" s="38"/>
      <c r="E122" s="23"/>
      <c r="F122" s="84"/>
      <c r="G122" s="24"/>
      <c r="H122" s="20"/>
      <c r="I122" s="20"/>
      <c r="J122" s="20"/>
      <c r="K122" s="20"/>
      <c r="L122" s="64"/>
      <c r="M122" s="20"/>
      <c r="N122" s="23"/>
      <c r="O122" s="25"/>
      <c r="P122" s="23"/>
      <c r="Q122" s="20"/>
      <c r="R122" s="20"/>
      <c r="S122" s="20"/>
      <c r="T122" s="20"/>
      <c r="X122" s="28"/>
      <c r="Y122" s="28"/>
    </row>
    <row r="123" customFormat="false" ht="30" hidden="false" customHeight="true" outlineLevel="0" collapsed="false">
      <c r="B123" s="19"/>
      <c r="C123" s="38"/>
      <c r="D123" s="38"/>
      <c r="E123" s="23"/>
      <c r="F123" s="84"/>
      <c r="G123" s="24"/>
      <c r="H123" s="20"/>
      <c r="I123" s="20"/>
      <c r="J123" s="20"/>
      <c r="K123" s="20"/>
      <c r="L123" s="64"/>
      <c r="M123" s="20"/>
      <c r="N123" s="23"/>
      <c r="O123" s="25"/>
      <c r="P123" s="23"/>
      <c r="Q123" s="20"/>
      <c r="R123" s="20"/>
      <c r="S123" s="20"/>
      <c r="T123" s="20"/>
      <c r="X123" s="28"/>
      <c r="Y123" s="28"/>
    </row>
    <row r="124" customFormat="false" ht="30" hidden="false" customHeight="true" outlineLevel="0" collapsed="false">
      <c r="B124" s="19"/>
      <c r="C124" s="38"/>
      <c r="D124" s="38"/>
      <c r="E124" s="23"/>
      <c r="F124" s="84"/>
      <c r="G124" s="24"/>
      <c r="H124" s="20"/>
      <c r="I124" s="20"/>
      <c r="J124" s="20"/>
      <c r="K124" s="20"/>
      <c r="L124" s="64"/>
      <c r="M124" s="20"/>
      <c r="N124" s="23"/>
      <c r="O124" s="25"/>
      <c r="P124" s="23"/>
      <c r="Q124" s="20"/>
      <c r="R124" s="20"/>
      <c r="S124" s="20"/>
      <c r="T124" s="20"/>
      <c r="X124" s="28"/>
      <c r="Y124" s="28"/>
    </row>
    <row r="125" customFormat="false" ht="30" hidden="false" customHeight="true" outlineLevel="0" collapsed="false">
      <c r="B125" s="19"/>
      <c r="C125" s="38"/>
      <c r="D125" s="38"/>
      <c r="E125" s="23"/>
      <c r="F125" s="84"/>
      <c r="G125" s="24"/>
      <c r="H125" s="20"/>
      <c r="I125" s="20"/>
      <c r="J125" s="20"/>
      <c r="K125" s="20"/>
      <c r="L125" s="64"/>
      <c r="M125" s="20"/>
      <c r="N125" s="23"/>
      <c r="O125" s="25"/>
      <c r="P125" s="23"/>
      <c r="Q125" s="20"/>
      <c r="R125" s="20"/>
      <c r="S125" s="20"/>
      <c r="T125" s="20"/>
      <c r="X125" s="28"/>
      <c r="Y125" s="28"/>
    </row>
    <row r="126" customFormat="false" ht="30" hidden="false" customHeight="true" outlineLevel="0" collapsed="false">
      <c r="B126" s="19"/>
      <c r="C126" s="38"/>
      <c r="D126" s="38"/>
      <c r="E126" s="23"/>
      <c r="F126" s="84"/>
      <c r="G126" s="24"/>
      <c r="H126" s="20"/>
      <c r="I126" s="20"/>
      <c r="J126" s="20"/>
      <c r="K126" s="20"/>
      <c r="L126" s="64"/>
      <c r="M126" s="20"/>
      <c r="N126" s="23"/>
      <c r="O126" s="25"/>
      <c r="P126" s="23"/>
      <c r="Q126" s="20"/>
      <c r="R126" s="20"/>
      <c r="S126" s="20"/>
      <c r="T126" s="20"/>
      <c r="X126" s="28"/>
      <c r="Y126" s="28"/>
    </row>
    <row r="127" customFormat="false" ht="30" hidden="false" customHeight="true" outlineLevel="0" collapsed="false">
      <c r="B127" s="19"/>
      <c r="C127" s="38"/>
      <c r="D127" s="38"/>
      <c r="E127" s="23"/>
      <c r="F127" s="84"/>
      <c r="G127" s="24"/>
      <c r="H127" s="20"/>
      <c r="I127" s="20"/>
      <c r="J127" s="20"/>
      <c r="K127" s="20"/>
      <c r="L127" s="64"/>
      <c r="M127" s="20"/>
      <c r="N127" s="23"/>
      <c r="O127" s="25"/>
      <c r="P127" s="23"/>
      <c r="Q127" s="20"/>
      <c r="R127" s="20"/>
      <c r="S127" s="20"/>
      <c r="T127" s="20"/>
      <c r="X127" s="28"/>
      <c r="Y127" s="28"/>
    </row>
    <row r="128" customFormat="false" ht="30" hidden="false" customHeight="true" outlineLevel="0" collapsed="false">
      <c r="B128" s="19"/>
      <c r="C128" s="38"/>
      <c r="D128" s="38"/>
      <c r="E128" s="23"/>
      <c r="F128" s="84"/>
      <c r="G128" s="24"/>
      <c r="H128" s="20"/>
      <c r="I128" s="20"/>
      <c r="J128" s="20"/>
      <c r="K128" s="20"/>
      <c r="L128" s="64"/>
      <c r="M128" s="20"/>
      <c r="N128" s="23"/>
      <c r="O128" s="25"/>
      <c r="P128" s="23"/>
      <c r="Q128" s="20"/>
      <c r="R128" s="20"/>
      <c r="S128" s="20"/>
      <c r="T128" s="20"/>
      <c r="X128" s="28"/>
      <c r="Y128" s="28"/>
    </row>
    <row r="129" customFormat="false" ht="30" hidden="false" customHeight="true" outlineLevel="0" collapsed="false">
      <c r="B129" s="19"/>
      <c r="C129" s="38"/>
      <c r="D129" s="38"/>
      <c r="E129" s="23"/>
      <c r="F129" s="84"/>
      <c r="G129" s="24"/>
      <c r="H129" s="20"/>
      <c r="I129" s="20"/>
      <c r="J129" s="20"/>
      <c r="K129" s="20"/>
      <c r="L129" s="64"/>
      <c r="M129" s="20"/>
      <c r="N129" s="23"/>
      <c r="O129" s="25"/>
      <c r="P129" s="23"/>
      <c r="Q129" s="20"/>
      <c r="R129" s="20"/>
      <c r="S129" s="20"/>
      <c r="T129" s="20"/>
      <c r="X129" s="28"/>
      <c r="Y129" s="28"/>
    </row>
    <row r="130" customFormat="false" ht="30" hidden="false" customHeight="true" outlineLevel="0" collapsed="false">
      <c r="B130" s="19"/>
      <c r="C130" s="38"/>
      <c r="D130" s="38"/>
      <c r="E130" s="23"/>
      <c r="F130" s="84"/>
      <c r="G130" s="24"/>
      <c r="H130" s="20"/>
      <c r="I130" s="20"/>
      <c r="J130" s="20"/>
      <c r="K130" s="20"/>
      <c r="L130" s="64"/>
      <c r="M130" s="20"/>
      <c r="N130" s="23"/>
      <c r="O130" s="25"/>
      <c r="P130" s="23"/>
      <c r="Q130" s="20"/>
      <c r="R130" s="20"/>
      <c r="S130" s="20"/>
      <c r="T130" s="20"/>
      <c r="X130" s="28"/>
      <c r="Y130" s="28"/>
    </row>
    <row r="131" customFormat="false" ht="30" hidden="false" customHeight="true" outlineLevel="0" collapsed="false">
      <c r="B131" s="19"/>
      <c r="C131" s="38"/>
      <c r="D131" s="38"/>
      <c r="E131" s="23"/>
      <c r="F131" s="84"/>
      <c r="G131" s="24"/>
      <c r="H131" s="20"/>
      <c r="I131" s="20"/>
      <c r="J131" s="20"/>
      <c r="K131" s="20"/>
      <c r="L131" s="64"/>
      <c r="M131" s="20"/>
      <c r="N131" s="23"/>
      <c r="O131" s="25"/>
      <c r="P131" s="23"/>
      <c r="Q131" s="20"/>
      <c r="R131" s="20"/>
      <c r="S131" s="20"/>
      <c r="T131" s="20"/>
      <c r="X131" s="28"/>
      <c r="Y131" s="28"/>
    </row>
    <row r="132" customFormat="false" ht="30" hidden="false" customHeight="true" outlineLevel="0" collapsed="false">
      <c r="B132" s="19"/>
      <c r="C132" s="38"/>
      <c r="D132" s="38"/>
      <c r="E132" s="23"/>
      <c r="F132" s="84"/>
      <c r="G132" s="24"/>
      <c r="H132" s="20"/>
      <c r="I132" s="20"/>
      <c r="J132" s="20"/>
      <c r="K132" s="20"/>
      <c r="L132" s="64"/>
      <c r="M132" s="20"/>
      <c r="N132" s="23"/>
      <c r="O132" s="25"/>
      <c r="P132" s="23"/>
      <c r="Q132" s="20"/>
      <c r="R132" s="20"/>
      <c r="S132" s="20"/>
      <c r="T132" s="20"/>
      <c r="X132" s="28"/>
      <c r="Y132" s="28"/>
    </row>
    <row r="133" customFormat="false" ht="30" hidden="false" customHeight="true" outlineLevel="0" collapsed="false">
      <c r="B133" s="19"/>
      <c r="C133" s="38"/>
      <c r="D133" s="38"/>
      <c r="E133" s="23"/>
      <c r="F133" s="84"/>
      <c r="G133" s="24"/>
      <c r="H133" s="20"/>
      <c r="I133" s="20"/>
      <c r="J133" s="20"/>
      <c r="K133" s="20"/>
      <c r="L133" s="64"/>
      <c r="M133" s="20"/>
      <c r="N133" s="23"/>
      <c r="O133" s="25"/>
      <c r="P133" s="23"/>
      <c r="Q133" s="20"/>
      <c r="R133" s="20"/>
      <c r="S133" s="20"/>
      <c r="T133" s="20"/>
      <c r="X133" s="28"/>
      <c r="Y133" s="28"/>
    </row>
    <row r="134" customFormat="false" ht="30" hidden="false" customHeight="true" outlineLevel="0" collapsed="false">
      <c r="B134" s="19"/>
      <c r="C134" s="38"/>
      <c r="D134" s="38"/>
      <c r="E134" s="23"/>
      <c r="F134" s="84"/>
      <c r="G134" s="24"/>
      <c r="H134" s="20"/>
      <c r="I134" s="20"/>
      <c r="J134" s="20"/>
      <c r="K134" s="20"/>
      <c r="L134" s="64"/>
      <c r="M134" s="20"/>
      <c r="N134" s="23"/>
      <c r="O134" s="25"/>
      <c r="P134" s="23"/>
      <c r="Q134" s="20"/>
      <c r="R134" s="20"/>
      <c r="S134" s="20"/>
      <c r="T134" s="20"/>
      <c r="X134" s="28"/>
      <c r="Y134" s="28"/>
    </row>
    <row r="135" customFormat="false" ht="30" hidden="false" customHeight="true" outlineLevel="0" collapsed="false">
      <c r="B135" s="19"/>
      <c r="C135" s="38"/>
      <c r="D135" s="38"/>
      <c r="E135" s="23"/>
      <c r="F135" s="84"/>
      <c r="G135" s="24"/>
      <c r="H135" s="20"/>
      <c r="I135" s="20"/>
      <c r="J135" s="20"/>
      <c r="K135" s="20"/>
      <c r="L135" s="64"/>
      <c r="M135" s="20"/>
      <c r="N135" s="23"/>
      <c r="O135" s="25"/>
      <c r="P135" s="23"/>
      <c r="Q135" s="20"/>
      <c r="R135" s="20"/>
      <c r="S135" s="20"/>
      <c r="T135" s="20"/>
      <c r="X135" s="28"/>
      <c r="Y135" s="28"/>
    </row>
    <row r="136" customFormat="false" ht="30" hidden="false" customHeight="true" outlineLevel="0" collapsed="false">
      <c r="B136" s="19"/>
      <c r="C136" s="38"/>
      <c r="D136" s="38"/>
      <c r="E136" s="23"/>
      <c r="F136" s="84"/>
      <c r="G136" s="24"/>
      <c r="H136" s="20"/>
      <c r="I136" s="20"/>
      <c r="J136" s="20"/>
      <c r="K136" s="20"/>
      <c r="L136" s="64"/>
      <c r="M136" s="20"/>
      <c r="N136" s="23"/>
      <c r="O136" s="25"/>
      <c r="P136" s="23"/>
      <c r="Q136" s="20"/>
      <c r="R136" s="20"/>
      <c r="S136" s="20"/>
      <c r="T136" s="20"/>
      <c r="X136" s="28"/>
      <c r="Y136" s="28"/>
    </row>
    <row r="137" customFormat="false" ht="30" hidden="false" customHeight="true" outlineLevel="0" collapsed="false">
      <c r="B137" s="19"/>
      <c r="C137" s="38"/>
      <c r="D137" s="38"/>
      <c r="E137" s="23"/>
      <c r="F137" s="84"/>
      <c r="G137" s="24"/>
      <c r="H137" s="20"/>
      <c r="I137" s="20"/>
      <c r="J137" s="20"/>
      <c r="K137" s="20"/>
      <c r="L137" s="64"/>
      <c r="M137" s="20"/>
      <c r="N137" s="23"/>
      <c r="O137" s="25"/>
      <c r="P137" s="23"/>
      <c r="Q137" s="20"/>
      <c r="R137" s="20"/>
      <c r="S137" s="20"/>
      <c r="T137" s="20"/>
      <c r="X137" s="28"/>
      <c r="Y137" s="28"/>
    </row>
    <row r="138" customFormat="false" ht="30" hidden="false" customHeight="true" outlineLevel="0" collapsed="false">
      <c r="B138" s="19"/>
      <c r="C138" s="38"/>
      <c r="D138" s="38"/>
      <c r="E138" s="23"/>
      <c r="F138" s="84"/>
      <c r="G138" s="24"/>
      <c r="H138" s="20"/>
      <c r="I138" s="20"/>
      <c r="J138" s="20"/>
      <c r="K138" s="20"/>
      <c r="L138" s="64"/>
      <c r="M138" s="20"/>
      <c r="N138" s="23"/>
      <c r="O138" s="25"/>
      <c r="P138" s="23"/>
      <c r="Q138" s="20"/>
      <c r="R138" s="20"/>
      <c r="S138" s="20"/>
      <c r="T138" s="20"/>
      <c r="X138" s="28"/>
      <c r="Y138" s="28"/>
    </row>
    <row r="139" customFormat="false" ht="30" hidden="false" customHeight="true" outlineLevel="0" collapsed="false">
      <c r="B139" s="19"/>
      <c r="C139" s="38"/>
      <c r="D139" s="38"/>
      <c r="E139" s="23"/>
      <c r="F139" s="84"/>
      <c r="G139" s="24"/>
      <c r="H139" s="20"/>
      <c r="I139" s="20"/>
      <c r="J139" s="20"/>
      <c r="K139" s="20"/>
      <c r="L139" s="64"/>
      <c r="M139" s="20"/>
      <c r="N139" s="23"/>
      <c r="O139" s="25"/>
      <c r="P139" s="23"/>
      <c r="Q139" s="20"/>
      <c r="R139" s="20"/>
      <c r="S139" s="20"/>
      <c r="T139" s="20"/>
      <c r="X139" s="28"/>
      <c r="Y139" s="28"/>
    </row>
    <row r="140" customFormat="false" ht="30" hidden="false" customHeight="true" outlineLevel="0" collapsed="false">
      <c r="B140" s="19"/>
      <c r="C140" s="38"/>
      <c r="D140" s="38"/>
      <c r="E140" s="23"/>
      <c r="F140" s="84"/>
      <c r="G140" s="24"/>
      <c r="H140" s="20"/>
      <c r="I140" s="20"/>
      <c r="J140" s="20"/>
      <c r="K140" s="20"/>
      <c r="L140" s="64"/>
      <c r="M140" s="20"/>
      <c r="N140" s="23"/>
      <c r="O140" s="25"/>
      <c r="P140" s="23"/>
      <c r="Q140" s="20"/>
      <c r="R140" s="20"/>
      <c r="S140" s="20"/>
      <c r="T140" s="20"/>
      <c r="X140" s="28"/>
      <c r="Y140" s="28"/>
    </row>
    <row r="141" customFormat="false" ht="30" hidden="false" customHeight="true" outlineLevel="0" collapsed="false">
      <c r="B141" s="19"/>
      <c r="C141" s="38"/>
      <c r="D141" s="38"/>
      <c r="E141" s="23"/>
      <c r="F141" s="84"/>
      <c r="G141" s="24"/>
      <c r="H141" s="20"/>
      <c r="I141" s="20"/>
      <c r="J141" s="20"/>
      <c r="K141" s="20"/>
      <c r="L141" s="64"/>
      <c r="M141" s="20"/>
      <c r="N141" s="23"/>
      <c r="O141" s="25"/>
      <c r="P141" s="23"/>
      <c r="Q141" s="20"/>
      <c r="R141" s="20"/>
      <c r="S141" s="20"/>
      <c r="T141" s="20"/>
      <c r="X141" s="28"/>
      <c r="Y141" s="28"/>
    </row>
    <row r="142" customFormat="false" ht="30" hidden="false" customHeight="true" outlineLevel="0" collapsed="false">
      <c r="B142" s="19"/>
      <c r="C142" s="38"/>
      <c r="D142" s="38"/>
      <c r="E142" s="23"/>
      <c r="F142" s="84"/>
      <c r="G142" s="24"/>
      <c r="H142" s="20"/>
      <c r="I142" s="20"/>
      <c r="J142" s="20"/>
      <c r="K142" s="20"/>
      <c r="L142" s="64"/>
      <c r="M142" s="20"/>
      <c r="N142" s="23"/>
      <c r="O142" s="25"/>
      <c r="P142" s="23"/>
      <c r="Q142" s="20"/>
      <c r="R142" s="20"/>
      <c r="S142" s="20"/>
      <c r="T142" s="20"/>
      <c r="X142" s="28"/>
      <c r="Y142" s="28"/>
    </row>
    <row r="143" customFormat="false" ht="30" hidden="false" customHeight="true" outlineLevel="0" collapsed="false">
      <c r="B143" s="19"/>
      <c r="C143" s="38"/>
      <c r="D143" s="38"/>
      <c r="E143" s="23"/>
      <c r="F143" s="84"/>
      <c r="G143" s="24"/>
      <c r="H143" s="20"/>
      <c r="I143" s="20"/>
      <c r="J143" s="20"/>
      <c r="K143" s="20"/>
      <c r="L143" s="64"/>
      <c r="M143" s="20"/>
      <c r="N143" s="23"/>
      <c r="O143" s="25"/>
      <c r="P143" s="23"/>
      <c r="Q143" s="20"/>
      <c r="R143" s="20"/>
      <c r="S143" s="20"/>
      <c r="T143" s="20"/>
      <c r="X143" s="28"/>
      <c r="Y143" s="28"/>
    </row>
    <row r="144" customFormat="false" ht="30" hidden="false" customHeight="true" outlineLevel="0" collapsed="false">
      <c r="B144" s="19"/>
      <c r="C144" s="38"/>
      <c r="D144" s="38"/>
      <c r="E144" s="23"/>
      <c r="F144" s="84"/>
      <c r="G144" s="24"/>
      <c r="H144" s="20"/>
      <c r="I144" s="20"/>
      <c r="J144" s="20"/>
      <c r="K144" s="20"/>
      <c r="L144" s="64"/>
      <c r="M144" s="20"/>
      <c r="N144" s="23"/>
      <c r="O144" s="25"/>
      <c r="P144" s="23"/>
      <c r="Q144" s="20"/>
      <c r="R144" s="20"/>
      <c r="S144" s="20"/>
      <c r="T144" s="20"/>
      <c r="X144" s="28"/>
      <c r="Y144" s="28"/>
    </row>
    <row r="145" customFormat="false" ht="30" hidden="false" customHeight="true" outlineLevel="0" collapsed="false">
      <c r="B145" s="19"/>
      <c r="C145" s="38"/>
      <c r="D145" s="38"/>
      <c r="E145" s="23"/>
      <c r="F145" s="84"/>
      <c r="G145" s="24"/>
      <c r="H145" s="20"/>
      <c r="I145" s="20"/>
      <c r="J145" s="20"/>
      <c r="K145" s="20"/>
      <c r="L145" s="64"/>
      <c r="M145" s="20"/>
      <c r="N145" s="23"/>
      <c r="O145" s="25"/>
      <c r="P145" s="23"/>
      <c r="Q145" s="20"/>
      <c r="R145" s="20"/>
      <c r="S145" s="20"/>
      <c r="T145" s="20"/>
      <c r="X145" s="28"/>
      <c r="Y145" s="28"/>
    </row>
    <row r="146" customFormat="false" ht="30" hidden="false" customHeight="true" outlineLevel="0" collapsed="false">
      <c r="B146" s="19"/>
      <c r="C146" s="38"/>
      <c r="D146" s="38"/>
      <c r="E146" s="23"/>
      <c r="F146" s="84"/>
      <c r="G146" s="24"/>
      <c r="H146" s="20"/>
      <c r="I146" s="20"/>
      <c r="J146" s="20"/>
      <c r="K146" s="20"/>
      <c r="L146" s="64"/>
      <c r="M146" s="20"/>
      <c r="N146" s="23"/>
      <c r="O146" s="25"/>
      <c r="P146" s="23"/>
      <c r="Q146" s="20"/>
      <c r="R146" s="20"/>
      <c r="S146" s="20"/>
      <c r="T146" s="20"/>
      <c r="X146" s="28"/>
      <c r="Y146" s="28"/>
    </row>
    <row r="147" customFormat="false" ht="30" hidden="false" customHeight="true" outlineLevel="0" collapsed="false">
      <c r="B147" s="19"/>
      <c r="C147" s="38"/>
      <c r="D147" s="38"/>
      <c r="E147" s="23"/>
      <c r="F147" s="84"/>
      <c r="G147" s="24"/>
      <c r="H147" s="20"/>
      <c r="I147" s="20"/>
      <c r="J147" s="20"/>
      <c r="K147" s="20"/>
      <c r="L147" s="64"/>
      <c r="M147" s="20"/>
      <c r="N147" s="23"/>
      <c r="O147" s="25"/>
      <c r="P147" s="23"/>
      <c r="Q147" s="20"/>
      <c r="R147" s="20"/>
      <c r="S147" s="20"/>
      <c r="T147" s="20"/>
      <c r="X147" s="28"/>
      <c r="Y147" s="28"/>
    </row>
    <row r="148" customFormat="false" ht="30" hidden="false" customHeight="true" outlineLevel="0" collapsed="false">
      <c r="B148" s="19"/>
      <c r="C148" s="38"/>
      <c r="D148" s="38"/>
      <c r="E148" s="23"/>
      <c r="F148" s="84"/>
      <c r="G148" s="24"/>
      <c r="H148" s="20"/>
      <c r="I148" s="20"/>
      <c r="J148" s="20"/>
      <c r="K148" s="20"/>
      <c r="L148" s="64"/>
      <c r="M148" s="20"/>
      <c r="N148" s="23"/>
      <c r="O148" s="25"/>
      <c r="P148" s="23"/>
      <c r="Q148" s="20"/>
      <c r="R148" s="20"/>
      <c r="S148" s="20"/>
      <c r="T148" s="20"/>
      <c r="X148" s="28"/>
      <c r="Y148" s="28"/>
    </row>
    <row r="149" customFormat="false" ht="30" hidden="false" customHeight="true" outlineLevel="0" collapsed="false">
      <c r="B149" s="19"/>
      <c r="C149" s="38"/>
      <c r="D149" s="38"/>
      <c r="E149" s="23"/>
      <c r="F149" s="84"/>
      <c r="G149" s="24"/>
      <c r="H149" s="20"/>
      <c r="I149" s="20"/>
      <c r="J149" s="20"/>
      <c r="K149" s="20"/>
      <c r="L149" s="64"/>
      <c r="M149" s="20"/>
      <c r="N149" s="23"/>
      <c r="O149" s="25"/>
      <c r="P149" s="23"/>
      <c r="Q149" s="20"/>
      <c r="R149" s="20"/>
      <c r="S149" s="20"/>
      <c r="T149" s="20"/>
      <c r="X149" s="28"/>
      <c r="Y149" s="28"/>
    </row>
    <row r="150" customFormat="false" ht="30" hidden="false" customHeight="true" outlineLevel="0" collapsed="false">
      <c r="B150" s="19"/>
      <c r="C150" s="38"/>
      <c r="D150" s="38"/>
      <c r="E150" s="23"/>
      <c r="F150" s="84"/>
      <c r="G150" s="24"/>
      <c r="H150" s="20"/>
      <c r="I150" s="20"/>
      <c r="J150" s="20"/>
      <c r="K150" s="20"/>
      <c r="L150" s="64"/>
      <c r="M150" s="20"/>
      <c r="N150" s="23"/>
      <c r="O150" s="25"/>
      <c r="P150" s="23"/>
      <c r="Q150" s="20"/>
      <c r="R150" s="20"/>
      <c r="S150" s="20"/>
      <c r="T150" s="20"/>
      <c r="X150" s="28"/>
      <c r="Y150" s="28"/>
    </row>
    <row r="151" customFormat="false" ht="30" hidden="false" customHeight="true" outlineLevel="0" collapsed="false">
      <c r="B151" s="19"/>
      <c r="C151" s="38"/>
      <c r="D151" s="38"/>
      <c r="E151" s="23"/>
      <c r="F151" s="84"/>
      <c r="G151" s="24"/>
      <c r="H151" s="20"/>
      <c r="I151" s="20"/>
      <c r="J151" s="20"/>
      <c r="K151" s="20"/>
      <c r="L151" s="64"/>
      <c r="M151" s="20"/>
      <c r="N151" s="23"/>
      <c r="O151" s="25"/>
      <c r="P151" s="23"/>
      <c r="Q151" s="20"/>
      <c r="R151" s="20"/>
      <c r="S151" s="20"/>
      <c r="T151" s="20"/>
      <c r="X151" s="28"/>
      <c r="Y151" s="28"/>
    </row>
    <row r="152" customFormat="false" ht="30" hidden="false" customHeight="true" outlineLevel="0" collapsed="false">
      <c r="B152" s="19"/>
      <c r="C152" s="38"/>
      <c r="D152" s="38"/>
      <c r="E152" s="23"/>
      <c r="F152" s="84"/>
      <c r="G152" s="24"/>
      <c r="H152" s="20"/>
      <c r="I152" s="20"/>
      <c r="J152" s="20"/>
      <c r="K152" s="20"/>
      <c r="L152" s="64"/>
      <c r="M152" s="20"/>
      <c r="N152" s="23"/>
      <c r="O152" s="25"/>
      <c r="P152" s="23"/>
      <c r="Q152" s="20"/>
      <c r="R152" s="20"/>
      <c r="S152" s="20"/>
      <c r="T152" s="20"/>
      <c r="X152" s="28"/>
      <c r="Y152" s="28"/>
    </row>
    <row r="153" customFormat="false" ht="30" hidden="false" customHeight="true" outlineLevel="0" collapsed="false">
      <c r="B153" s="19"/>
      <c r="C153" s="38"/>
      <c r="D153" s="38"/>
      <c r="E153" s="23"/>
      <c r="F153" s="84"/>
      <c r="G153" s="24"/>
      <c r="H153" s="20"/>
      <c r="I153" s="20"/>
      <c r="J153" s="20"/>
      <c r="K153" s="20"/>
      <c r="L153" s="64"/>
      <c r="M153" s="20"/>
      <c r="N153" s="23"/>
      <c r="O153" s="25"/>
      <c r="P153" s="23"/>
      <c r="Q153" s="20"/>
      <c r="R153" s="20"/>
      <c r="S153" s="20"/>
      <c r="T153" s="20"/>
      <c r="X153" s="28"/>
      <c r="Y153" s="28"/>
    </row>
    <row r="154" customFormat="false" ht="30" hidden="false" customHeight="true" outlineLevel="0" collapsed="false">
      <c r="B154" s="19"/>
      <c r="C154" s="38"/>
      <c r="D154" s="38"/>
      <c r="E154" s="23"/>
      <c r="F154" s="84"/>
      <c r="G154" s="24"/>
      <c r="H154" s="20"/>
      <c r="I154" s="20"/>
      <c r="J154" s="20"/>
      <c r="K154" s="20"/>
      <c r="L154" s="64"/>
      <c r="M154" s="20"/>
      <c r="N154" s="23"/>
      <c r="O154" s="25"/>
      <c r="P154" s="23"/>
      <c r="Q154" s="20"/>
      <c r="R154" s="20"/>
      <c r="S154" s="20"/>
      <c r="T154" s="20"/>
      <c r="X154" s="28"/>
      <c r="Y154" s="28"/>
    </row>
    <row r="155" customFormat="false" ht="30" hidden="false" customHeight="true" outlineLevel="0" collapsed="false">
      <c r="B155" s="19"/>
      <c r="C155" s="38"/>
      <c r="D155" s="38"/>
      <c r="E155" s="23"/>
      <c r="F155" s="84"/>
      <c r="G155" s="24"/>
      <c r="H155" s="20"/>
      <c r="I155" s="20"/>
      <c r="J155" s="20"/>
      <c r="K155" s="20"/>
      <c r="L155" s="64"/>
      <c r="M155" s="20"/>
      <c r="N155" s="23"/>
      <c r="O155" s="25"/>
      <c r="P155" s="23"/>
      <c r="Q155" s="20"/>
      <c r="R155" s="20"/>
      <c r="S155" s="20"/>
      <c r="T155" s="20"/>
      <c r="X155" s="28"/>
      <c r="Y155" s="28"/>
    </row>
    <row r="156" customFormat="false" ht="30" hidden="false" customHeight="true" outlineLevel="0" collapsed="false">
      <c r="B156" s="19"/>
      <c r="C156" s="38"/>
      <c r="D156" s="38"/>
      <c r="E156" s="23"/>
      <c r="F156" s="84"/>
      <c r="G156" s="24"/>
      <c r="H156" s="20"/>
      <c r="I156" s="20"/>
      <c r="J156" s="20"/>
      <c r="K156" s="20"/>
      <c r="L156" s="64"/>
      <c r="M156" s="20"/>
      <c r="N156" s="23"/>
      <c r="O156" s="25"/>
      <c r="P156" s="23"/>
      <c r="Q156" s="20"/>
      <c r="R156" s="20"/>
      <c r="S156" s="20"/>
      <c r="T156" s="20"/>
      <c r="X156" s="28"/>
      <c r="Y156" s="28"/>
    </row>
    <row r="157" customFormat="false" ht="30" hidden="false" customHeight="true" outlineLevel="0" collapsed="false">
      <c r="B157" s="19"/>
      <c r="C157" s="38"/>
      <c r="D157" s="38"/>
      <c r="E157" s="23"/>
      <c r="F157" s="84"/>
      <c r="G157" s="24"/>
      <c r="H157" s="20"/>
      <c r="I157" s="20"/>
      <c r="J157" s="20"/>
      <c r="K157" s="20"/>
      <c r="L157" s="64"/>
      <c r="M157" s="20"/>
      <c r="N157" s="23"/>
      <c r="O157" s="25"/>
      <c r="P157" s="23"/>
      <c r="Q157" s="20"/>
      <c r="R157" s="20"/>
      <c r="S157" s="20"/>
      <c r="T157" s="20"/>
      <c r="X157" s="28"/>
      <c r="Y157" s="28"/>
    </row>
    <row r="158" customFormat="false" ht="30" hidden="false" customHeight="true" outlineLevel="0" collapsed="false">
      <c r="B158" s="19"/>
      <c r="C158" s="38"/>
      <c r="D158" s="38"/>
      <c r="E158" s="23"/>
      <c r="F158" s="84"/>
      <c r="G158" s="24"/>
      <c r="H158" s="20"/>
      <c r="I158" s="20"/>
      <c r="J158" s="20"/>
      <c r="K158" s="20"/>
      <c r="L158" s="64"/>
      <c r="M158" s="20"/>
      <c r="N158" s="23"/>
      <c r="O158" s="25"/>
      <c r="P158" s="23"/>
      <c r="Q158" s="20"/>
      <c r="R158" s="20"/>
      <c r="S158" s="20"/>
      <c r="T158" s="20"/>
      <c r="X158" s="28"/>
      <c r="Y158" s="28"/>
    </row>
    <row r="159" customFormat="false" ht="30" hidden="false" customHeight="true" outlineLevel="0" collapsed="false">
      <c r="B159" s="19"/>
      <c r="C159" s="38"/>
      <c r="D159" s="38"/>
      <c r="E159" s="23"/>
      <c r="F159" s="84"/>
      <c r="G159" s="24"/>
      <c r="H159" s="20"/>
      <c r="I159" s="20"/>
      <c r="J159" s="20"/>
      <c r="K159" s="20"/>
      <c r="L159" s="64"/>
      <c r="M159" s="20"/>
      <c r="N159" s="23"/>
      <c r="O159" s="25"/>
      <c r="P159" s="23"/>
      <c r="Q159" s="20"/>
      <c r="R159" s="20"/>
      <c r="S159" s="20"/>
      <c r="T159" s="20"/>
      <c r="X159" s="28"/>
      <c r="Y159" s="28"/>
    </row>
    <row r="160" customFormat="false" ht="30" hidden="false" customHeight="true" outlineLevel="0" collapsed="false">
      <c r="B160" s="19"/>
      <c r="C160" s="38"/>
      <c r="D160" s="38"/>
      <c r="E160" s="23"/>
      <c r="F160" s="84"/>
      <c r="G160" s="24"/>
      <c r="H160" s="20"/>
      <c r="I160" s="20"/>
      <c r="J160" s="20"/>
      <c r="K160" s="20"/>
      <c r="L160" s="64"/>
      <c r="M160" s="20"/>
      <c r="N160" s="23"/>
      <c r="O160" s="25"/>
      <c r="P160" s="23"/>
      <c r="Q160" s="20"/>
      <c r="R160" s="20"/>
      <c r="S160" s="20"/>
      <c r="T160" s="20"/>
      <c r="X160" s="28"/>
      <c r="Y160" s="28"/>
    </row>
    <row r="161" customFormat="false" ht="30" hidden="false" customHeight="true" outlineLevel="0" collapsed="false">
      <c r="B161" s="19"/>
      <c r="C161" s="38"/>
      <c r="D161" s="38"/>
      <c r="E161" s="23"/>
      <c r="F161" s="84"/>
      <c r="G161" s="24"/>
      <c r="H161" s="20"/>
      <c r="I161" s="20"/>
      <c r="J161" s="20"/>
      <c r="K161" s="20"/>
      <c r="L161" s="64"/>
      <c r="M161" s="20"/>
      <c r="N161" s="23"/>
      <c r="O161" s="25"/>
      <c r="P161" s="23"/>
      <c r="Q161" s="20"/>
      <c r="R161" s="20"/>
      <c r="S161" s="20"/>
      <c r="T161" s="20"/>
      <c r="X161" s="28"/>
      <c r="Y161" s="28"/>
    </row>
    <row r="162" customFormat="false" ht="30" hidden="false" customHeight="true" outlineLevel="0" collapsed="false">
      <c r="B162" s="19"/>
      <c r="C162" s="38"/>
      <c r="D162" s="38"/>
      <c r="E162" s="23"/>
      <c r="F162" s="84"/>
      <c r="G162" s="24"/>
      <c r="H162" s="20"/>
      <c r="I162" s="20"/>
      <c r="J162" s="20"/>
      <c r="K162" s="20"/>
      <c r="L162" s="64"/>
      <c r="M162" s="20"/>
      <c r="N162" s="23"/>
      <c r="O162" s="25"/>
      <c r="P162" s="23"/>
      <c r="Q162" s="20"/>
      <c r="R162" s="20"/>
      <c r="S162" s="20"/>
      <c r="T162" s="20"/>
      <c r="X162" s="28"/>
      <c r="Y162" s="28"/>
    </row>
    <row r="163" customFormat="false" ht="30" hidden="false" customHeight="true" outlineLevel="0" collapsed="false">
      <c r="B163" s="19"/>
      <c r="C163" s="38"/>
      <c r="D163" s="38"/>
      <c r="E163" s="23"/>
      <c r="F163" s="84"/>
      <c r="G163" s="24"/>
      <c r="H163" s="20"/>
      <c r="I163" s="20"/>
      <c r="J163" s="20"/>
      <c r="K163" s="20"/>
      <c r="L163" s="64"/>
      <c r="M163" s="20"/>
      <c r="N163" s="23"/>
      <c r="O163" s="25"/>
      <c r="P163" s="23"/>
      <c r="Q163" s="20"/>
      <c r="R163" s="20"/>
      <c r="S163" s="20"/>
      <c r="T163" s="20"/>
      <c r="X163" s="28"/>
      <c r="Y163" s="28"/>
    </row>
    <row r="164" customFormat="false" ht="30" hidden="false" customHeight="true" outlineLevel="0" collapsed="false">
      <c r="B164" s="19"/>
      <c r="C164" s="38"/>
      <c r="D164" s="38"/>
      <c r="E164" s="23"/>
      <c r="F164" s="84"/>
      <c r="G164" s="24"/>
      <c r="H164" s="20"/>
      <c r="I164" s="20"/>
      <c r="J164" s="20"/>
      <c r="K164" s="20"/>
      <c r="L164" s="64"/>
      <c r="M164" s="20"/>
      <c r="N164" s="23"/>
      <c r="O164" s="25"/>
      <c r="P164" s="23"/>
      <c r="Q164" s="20"/>
      <c r="R164" s="20"/>
      <c r="S164" s="20"/>
      <c r="T164" s="20"/>
      <c r="X164" s="28"/>
      <c r="Y164" s="28"/>
    </row>
    <row r="165" customFormat="false" ht="30" hidden="false" customHeight="true" outlineLevel="0" collapsed="false">
      <c r="B165" s="19"/>
      <c r="C165" s="38"/>
      <c r="D165" s="38"/>
      <c r="E165" s="23"/>
      <c r="F165" s="84"/>
      <c r="G165" s="24"/>
      <c r="H165" s="20"/>
      <c r="I165" s="20"/>
      <c r="J165" s="20"/>
      <c r="K165" s="20"/>
      <c r="L165" s="64"/>
      <c r="M165" s="20"/>
      <c r="N165" s="23"/>
      <c r="O165" s="25"/>
      <c r="P165" s="23"/>
      <c r="Q165" s="20"/>
      <c r="R165" s="20"/>
      <c r="S165" s="20"/>
      <c r="T165" s="20"/>
      <c r="X165" s="28"/>
      <c r="Y165" s="28"/>
    </row>
    <row r="166" customFormat="false" ht="30" hidden="false" customHeight="true" outlineLevel="0" collapsed="false">
      <c r="B166" s="19"/>
      <c r="C166" s="38"/>
      <c r="D166" s="38"/>
      <c r="E166" s="23"/>
      <c r="F166" s="84"/>
      <c r="G166" s="24"/>
      <c r="H166" s="20"/>
      <c r="I166" s="20"/>
      <c r="J166" s="20"/>
      <c r="K166" s="20"/>
      <c r="L166" s="64"/>
      <c r="M166" s="20"/>
      <c r="N166" s="23"/>
      <c r="O166" s="25"/>
      <c r="P166" s="23"/>
      <c r="Q166" s="20"/>
      <c r="R166" s="20"/>
      <c r="S166" s="20"/>
      <c r="T166" s="20"/>
      <c r="X166" s="28"/>
      <c r="Y166" s="28"/>
    </row>
    <row r="167" customFormat="false" ht="30" hidden="false" customHeight="true" outlineLevel="0" collapsed="false">
      <c r="B167" s="19"/>
      <c r="C167" s="38"/>
      <c r="D167" s="38"/>
      <c r="E167" s="23"/>
      <c r="F167" s="84"/>
      <c r="G167" s="24"/>
      <c r="H167" s="20"/>
      <c r="I167" s="20"/>
      <c r="J167" s="20"/>
      <c r="K167" s="20"/>
      <c r="L167" s="64"/>
      <c r="M167" s="20"/>
      <c r="N167" s="23"/>
      <c r="O167" s="25"/>
      <c r="P167" s="23"/>
      <c r="Q167" s="20"/>
      <c r="R167" s="20"/>
      <c r="S167" s="20"/>
      <c r="T167" s="20"/>
      <c r="X167" s="28"/>
      <c r="Y167" s="28"/>
    </row>
    <row r="168" customFormat="false" ht="30" hidden="false" customHeight="true" outlineLevel="0" collapsed="false">
      <c r="B168" s="19"/>
      <c r="C168" s="38"/>
      <c r="D168" s="38"/>
      <c r="E168" s="23"/>
      <c r="F168" s="84"/>
      <c r="G168" s="24"/>
      <c r="H168" s="20"/>
      <c r="I168" s="20"/>
      <c r="J168" s="20"/>
      <c r="K168" s="20"/>
      <c r="L168" s="64"/>
      <c r="M168" s="20"/>
      <c r="N168" s="23"/>
      <c r="O168" s="25"/>
      <c r="P168" s="23"/>
      <c r="Q168" s="20"/>
      <c r="R168" s="20"/>
      <c r="S168" s="20"/>
      <c r="T168" s="20"/>
      <c r="X168" s="28"/>
      <c r="Y168" s="28"/>
    </row>
    <row r="169" customFormat="false" ht="30" hidden="false" customHeight="true" outlineLevel="0" collapsed="false">
      <c r="B169" s="19"/>
      <c r="C169" s="38"/>
      <c r="D169" s="38"/>
      <c r="E169" s="23"/>
      <c r="F169" s="84"/>
      <c r="G169" s="24"/>
      <c r="H169" s="20"/>
      <c r="I169" s="20"/>
      <c r="J169" s="20"/>
      <c r="K169" s="20"/>
      <c r="L169" s="64"/>
      <c r="M169" s="20"/>
      <c r="N169" s="23"/>
      <c r="O169" s="25"/>
      <c r="P169" s="23"/>
      <c r="Q169" s="20"/>
      <c r="R169" s="20"/>
      <c r="S169" s="20"/>
      <c r="T169" s="20"/>
      <c r="X169" s="28"/>
      <c r="Y169" s="28"/>
    </row>
    <row r="170" customFormat="false" ht="30" hidden="false" customHeight="true" outlineLevel="0" collapsed="false">
      <c r="B170" s="19"/>
      <c r="C170" s="38"/>
      <c r="D170" s="38"/>
      <c r="E170" s="23"/>
      <c r="F170" s="84"/>
      <c r="G170" s="24"/>
      <c r="H170" s="20"/>
      <c r="I170" s="20"/>
      <c r="J170" s="20"/>
      <c r="K170" s="20"/>
      <c r="L170" s="64"/>
      <c r="M170" s="20"/>
      <c r="N170" s="23"/>
      <c r="O170" s="25"/>
      <c r="P170" s="23"/>
      <c r="Q170" s="20"/>
      <c r="R170" s="20"/>
      <c r="S170" s="20"/>
      <c r="T170" s="20"/>
      <c r="X170" s="28"/>
      <c r="Y170" s="28"/>
    </row>
    <row r="171" customFormat="false" ht="30" hidden="false" customHeight="true" outlineLevel="0" collapsed="false">
      <c r="B171" s="19"/>
      <c r="C171" s="38"/>
      <c r="D171" s="38"/>
      <c r="E171" s="23"/>
      <c r="F171" s="84"/>
      <c r="G171" s="24"/>
      <c r="H171" s="20"/>
      <c r="I171" s="20"/>
      <c r="J171" s="20"/>
      <c r="K171" s="20"/>
      <c r="L171" s="64"/>
      <c r="M171" s="20"/>
      <c r="N171" s="23"/>
      <c r="O171" s="25"/>
      <c r="P171" s="23"/>
      <c r="Q171" s="20"/>
      <c r="R171" s="20"/>
      <c r="S171" s="20"/>
      <c r="T171" s="20"/>
      <c r="X171" s="28"/>
      <c r="Y171" s="28"/>
    </row>
    <row r="172" customFormat="false" ht="30" hidden="false" customHeight="true" outlineLevel="0" collapsed="false">
      <c r="B172" s="19"/>
      <c r="C172" s="38"/>
      <c r="D172" s="38"/>
      <c r="E172" s="23"/>
      <c r="F172" s="84"/>
      <c r="G172" s="24"/>
      <c r="H172" s="20"/>
      <c r="I172" s="20"/>
      <c r="J172" s="20"/>
      <c r="K172" s="20"/>
      <c r="L172" s="64"/>
      <c r="M172" s="20"/>
      <c r="N172" s="23"/>
      <c r="O172" s="25"/>
      <c r="P172" s="23"/>
      <c r="Q172" s="20"/>
      <c r="R172" s="20"/>
      <c r="S172" s="20"/>
      <c r="T172" s="20"/>
      <c r="X172" s="28"/>
      <c r="Y172" s="28"/>
    </row>
    <row r="173" customFormat="false" ht="30" hidden="false" customHeight="true" outlineLevel="0" collapsed="false">
      <c r="B173" s="19"/>
      <c r="C173" s="38"/>
      <c r="D173" s="38"/>
      <c r="E173" s="23"/>
      <c r="F173" s="84"/>
      <c r="G173" s="24"/>
      <c r="H173" s="20"/>
      <c r="I173" s="20"/>
      <c r="J173" s="20"/>
      <c r="K173" s="20"/>
      <c r="L173" s="64"/>
      <c r="M173" s="20"/>
      <c r="N173" s="23"/>
      <c r="O173" s="25"/>
      <c r="P173" s="23"/>
      <c r="Q173" s="20"/>
      <c r="R173" s="20"/>
      <c r="S173" s="20"/>
      <c r="T173" s="20"/>
      <c r="X173" s="28"/>
      <c r="Y173" s="28"/>
    </row>
    <row r="174" customFormat="false" ht="30" hidden="false" customHeight="true" outlineLevel="0" collapsed="false">
      <c r="B174" s="19"/>
      <c r="C174" s="38"/>
      <c r="D174" s="38"/>
      <c r="E174" s="23"/>
      <c r="F174" s="84"/>
      <c r="G174" s="24"/>
      <c r="H174" s="20"/>
      <c r="I174" s="20"/>
      <c r="J174" s="20"/>
      <c r="K174" s="20"/>
      <c r="L174" s="64"/>
      <c r="M174" s="20"/>
      <c r="N174" s="23"/>
      <c r="O174" s="25"/>
      <c r="P174" s="23"/>
      <c r="Q174" s="20"/>
      <c r="R174" s="20"/>
      <c r="S174" s="20"/>
      <c r="T174" s="20"/>
      <c r="X174" s="28"/>
      <c r="Y174" s="28"/>
    </row>
    <row r="175" customFormat="false" ht="30" hidden="false" customHeight="true" outlineLevel="0" collapsed="false">
      <c r="B175" s="19"/>
      <c r="C175" s="38"/>
      <c r="D175" s="38"/>
      <c r="E175" s="23"/>
      <c r="F175" s="84"/>
      <c r="G175" s="24"/>
      <c r="H175" s="20"/>
      <c r="I175" s="20"/>
      <c r="J175" s="20"/>
      <c r="K175" s="20"/>
      <c r="L175" s="64"/>
      <c r="M175" s="20"/>
      <c r="N175" s="23"/>
      <c r="O175" s="25"/>
      <c r="P175" s="23"/>
      <c r="Q175" s="20"/>
      <c r="R175" s="20"/>
      <c r="S175" s="20"/>
      <c r="T175" s="20"/>
      <c r="X175" s="28"/>
      <c r="Y175" s="28"/>
    </row>
    <row r="176" customFormat="false" ht="30" hidden="false" customHeight="true" outlineLevel="0" collapsed="false">
      <c r="B176" s="19"/>
      <c r="C176" s="38"/>
      <c r="D176" s="38"/>
      <c r="E176" s="23"/>
      <c r="F176" s="84"/>
      <c r="G176" s="24"/>
      <c r="H176" s="20"/>
      <c r="I176" s="20"/>
      <c r="J176" s="20"/>
      <c r="K176" s="20"/>
      <c r="L176" s="64"/>
      <c r="M176" s="20"/>
      <c r="N176" s="23"/>
      <c r="O176" s="25"/>
      <c r="P176" s="23"/>
      <c r="Q176" s="20"/>
      <c r="R176" s="20"/>
      <c r="S176" s="20"/>
      <c r="T176" s="20"/>
      <c r="X176" s="28"/>
      <c r="Y176" s="28"/>
    </row>
    <row r="177" customFormat="false" ht="30" hidden="false" customHeight="true" outlineLevel="0" collapsed="false">
      <c r="B177" s="19"/>
      <c r="C177" s="38"/>
      <c r="D177" s="38"/>
      <c r="E177" s="23"/>
      <c r="F177" s="84"/>
      <c r="G177" s="24"/>
      <c r="H177" s="20"/>
      <c r="I177" s="20"/>
      <c r="J177" s="20"/>
      <c r="K177" s="20"/>
      <c r="L177" s="64"/>
      <c r="M177" s="20"/>
      <c r="N177" s="23"/>
      <c r="O177" s="25"/>
      <c r="P177" s="23"/>
      <c r="Q177" s="20"/>
      <c r="R177" s="20"/>
      <c r="S177" s="20"/>
      <c r="T177" s="20"/>
      <c r="X177" s="28"/>
      <c r="Y177" s="28"/>
    </row>
    <row r="178" customFormat="false" ht="30" hidden="false" customHeight="true" outlineLevel="0" collapsed="false">
      <c r="B178" s="19"/>
      <c r="C178" s="38"/>
      <c r="D178" s="38"/>
      <c r="E178" s="23"/>
      <c r="F178" s="84"/>
      <c r="G178" s="24"/>
      <c r="H178" s="20"/>
      <c r="I178" s="20"/>
      <c r="J178" s="20"/>
      <c r="K178" s="20"/>
      <c r="L178" s="64"/>
      <c r="M178" s="20"/>
      <c r="N178" s="23"/>
      <c r="O178" s="25"/>
      <c r="P178" s="23"/>
      <c r="Q178" s="20"/>
      <c r="R178" s="20"/>
      <c r="S178" s="20"/>
      <c r="T178" s="20"/>
      <c r="X178" s="28"/>
      <c r="Y178" s="28"/>
    </row>
    <row r="179" customFormat="false" ht="30" hidden="false" customHeight="true" outlineLevel="0" collapsed="false">
      <c r="B179" s="19"/>
      <c r="C179" s="38"/>
      <c r="D179" s="38"/>
      <c r="E179" s="23"/>
      <c r="F179" s="84"/>
      <c r="G179" s="24"/>
      <c r="H179" s="20"/>
      <c r="I179" s="20"/>
      <c r="J179" s="20"/>
      <c r="K179" s="20"/>
      <c r="L179" s="64"/>
      <c r="M179" s="20"/>
      <c r="N179" s="23"/>
      <c r="O179" s="25"/>
      <c r="P179" s="23"/>
      <c r="Q179" s="20"/>
      <c r="R179" s="20"/>
      <c r="S179" s="20"/>
      <c r="T179" s="20"/>
      <c r="X179" s="28"/>
      <c r="Y179" s="28"/>
    </row>
    <row r="180" customFormat="false" ht="30" hidden="false" customHeight="true" outlineLevel="0" collapsed="false">
      <c r="B180" s="19"/>
      <c r="C180" s="38"/>
      <c r="D180" s="38"/>
      <c r="E180" s="23"/>
      <c r="F180" s="84"/>
      <c r="G180" s="24"/>
      <c r="H180" s="20"/>
      <c r="I180" s="20"/>
      <c r="J180" s="20"/>
      <c r="K180" s="20"/>
      <c r="L180" s="64"/>
      <c r="M180" s="20"/>
      <c r="N180" s="23"/>
      <c r="O180" s="25"/>
      <c r="P180" s="23"/>
      <c r="Q180" s="20"/>
      <c r="R180" s="20"/>
      <c r="S180" s="20"/>
      <c r="T180" s="20"/>
      <c r="X180" s="28"/>
      <c r="Y180" s="28"/>
    </row>
    <row r="181" customFormat="false" ht="30" hidden="false" customHeight="true" outlineLevel="0" collapsed="false">
      <c r="B181" s="19"/>
      <c r="C181" s="38"/>
      <c r="D181" s="38"/>
      <c r="E181" s="23"/>
      <c r="F181" s="84"/>
      <c r="G181" s="24"/>
      <c r="H181" s="20"/>
      <c r="I181" s="20"/>
      <c r="J181" s="20"/>
      <c r="K181" s="20"/>
      <c r="L181" s="64"/>
      <c r="M181" s="20"/>
      <c r="N181" s="23"/>
      <c r="O181" s="25"/>
      <c r="P181" s="23"/>
      <c r="Q181" s="20"/>
      <c r="R181" s="20"/>
      <c r="S181" s="20"/>
      <c r="T181" s="20"/>
      <c r="X181" s="28"/>
      <c r="Y181" s="28"/>
    </row>
    <row r="182" customFormat="false" ht="30" hidden="false" customHeight="true" outlineLevel="0" collapsed="false">
      <c r="B182" s="19"/>
      <c r="C182" s="38"/>
      <c r="D182" s="38"/>
      <c r="E182" s="23"/>
      <c r="F182" s="84"/>
      <c r="G182" s="24"/>
      <c r="H182" s="20"/>
      <c r="I182" s="20"/>
      <c r="J182" s="20"/>
      <c r="K182" s="20"/>
      <c r="L182" s="64"/>
      <c r="M182" s="20"/>
      <c r="N182" s="23"/>
      <c r="O182" s="25"/>
      <c r="P182" s="23"/>
      <c r="Q182" s="20"/>
      <c r="R182" s="20"/>
      <c r="S182" s="20"/>
      <c r="T182" s="20"/>
      <c r="X182" s="28"/>
      <c r="Y182" s="28"/>
    </row>
    <row r="183" customFormat="false" ht="30" hidden="false" customHeight="true" outlineLevel="0" collapsed="false">
      <c r="B183" s="19"/>
      <c r="C183" s="38"/>
      <c r="D183" s="38"/>
      <c r="E183" s="23"/>
      <c r="F183" s="84"/>
      <c r="G183" s="24"/>
      <c r="H183" s="20"/>
      <c r="I183" s="20"/>
      <c r="J183" s="20"/>
      <c r="K183" s="20"/>
      <c r="L183" s="64"/>
      <c r="M183" s="20"/>
      <c r="N183" s="23"/>
      <c r="O183" s="25"/>
      <c r="P183" s="23"/>
      <c r="Q183" s="20"/>
      <c r="R183" s="20"/>
      <c r="S183" s="20"/>
      <c r="T183" s="20"/>
      <c r="X183" s="28"/>
      <c r="Y183" s="28"/>
    </row>
    <row r="184" customFormat="false" ht="30" hidden="false" customHeight="true" outlineLevel="0" collapsed="false">
      <c r="B184" s="19"/>
      <c r="C184" s="38"/>
      <c r="D184" s="38"/>
      <c r="E184" s="23"/>
      <c r="F184" s="84"/>
      <c r="G184" s="24"/>
      <c r="H184" s="20"/>
      <c r="I184" s="20"/>
      <c r="J184" s="20"/>
      <c r="K184" s="20"/>
      <c r="L184" s="64"/>
      <c r="M184" s="20"/>
      <c r="N184" s="23"/>
      <c r="O184" s="25"/>
      <c r="P184" s="23"/>
      <c r="Q184" s="20"/>
      <c r="R184" s="20"/>
      <c r="S184" s="20"/>
      <c r="T184" s="20"/>
      <c r="X184" s="28"/>
      <c r="Y184" s="28"/>
    </row>
    <row r="185" customFormat="false" ht="30" hidden="false" customHeight="true" outlineLevel="0" collapsed="false">
      <c r="B185" s="19"/>
      <c r="C185" s="38"/>
      <c r="D185" s="38"/>
      <c r="E185" s="23"/>
      <c r="F185" s="84"/>
      <c r="G185" s="24"/>
      <c r="H185" s="20"/>
      <c r="I185" s="20"/>
      <c r="J185" s="20"/>
      <c r="K185" s="20"/>
      <c r="L185" s="64"/>
      <c r="M185" s="20"/>
      <c r="N185" s="23"/>
      <c r="O185" s="25"/>
      <c r="P185" s="23"/>
      <c r="Q185" s="20"/>
      <c r="R185" s="20"/>
      <c r="S185" s="20"/>
      <c r="T185" s="20"/>
      <c r="X185" s="28"/>
      <c r="Y185" s="28"/>
    </row>
    <row r="186" customFormat="false" ht="30" hidden="false" customHeight="true" outlineLevel="0" collapsed="false">
      <c r="B186" s="19"/>
      <c r="C186" s="38"/>
      <c r="D186" s="38"/>
      <c r="E186" s="23"/>
      <c r="F186" s="84"/>
      <c r="G186" s="24"/>
      <c r="H186" s="20"/>
      <c r="I186" s="20"/>
      <c r="J186" s="20"/>
      <c r="K186" s="20"/>
      <c r="L186" s="64"/>
      <c r="M186" s="20"/>
      <c r="N186" s="23"/>
      <c r="O186" s="25"/>
      <c r="P186" s="23"/>
      <c r="Q186" s="20"/>
      <c r="R186" s="20"/>
      <c r="S186" s="20"/>
      <c r="T186" s="20"/>
      <c r="X186" s="28"/>
      <c r="Y186" s="28"/>
    </row>
    <row r="187" customFormat="false" ht="30" hidden="false" customHeight="true" outlineLevel="0" collapsed="false">
      <c r="B187" s="19"/>
      <c r="C187" s="38"/>
      <c r="D187" s="38"/>
      <c r="E187" s="23"/>
      <c r="F187" s="84"/>
      <c r="G187" s="24"/>
      <c r="H187" s="20"/>
      <c r="I187" s="20"/>
      <c r="J187" s="20"/>
      <c r="K187" s="20"/>
      <c r="L187" s="64"/>
      <c r="M187" s="20"/>
      <c r="N187" s="23"/>
      <c r="O187" s="25"/>
      <c r="P187" s="23"/>
      <c r="Q187" s="20"/>
      <c r="R187" s="20"/>
      <c r="S187" s="20"/>
      <c r="T187" s="20"/>
      <c r="X187" s="28"/>
      <c r="Y187" s="28"/>
    </row>
    <row r="188" customFormat="false" ht="30" hidden="false" customHeight="true" outlineLevel="0" collapsed="false">
      <c r="B188" s="19"/>
      <c r="C188" s="38"/>
      <c r="D188" s="38"/>
      <c r="E188" s="23"/>
      <c r="F188" s="84"/>
      <c r="G188" s="24"/>
      <c r="H188" s="20"/>
      <c r="I188" s="20"/>
      <c r="J188" s="20"/>
      <c r="K188" s="20"/>
      <c r="L188" s="64"/>
      <c r="M188" s="20"/>
      <c r="N188" s="23"/>
      <c r="O188" s="25"/>
      <c r="P188" s="23"/>
      <c r="Q188" s="20"/>
      <c r="R188" s="20"/>
      <c r="S188" s="20"/>
      <c r="T188" s="20"/>
      <c r="X188" s="28"/>
      <c r="Y188" s="28"/>
    </row>
    <row r="189" customFormat="false" ht="30" hidden="false" customHeight="true" outlineLevel="0" collapsed="false">
      <c r="B189" s="19"/>
      <c r="C189" s="38"/>
      <c r="D189" s="38"/>
      <c r="E189" s="23"/>
      <c r="F189" s="84"/>
      <c r="G189" s="24"/>
      <c r="H189" s="20"/>
      <c r="I189" s="20"/>
      <c r="J189" s="20"/>
      <c r="K189" s="20"/>
      <c r="L189" s="64"/>
      <c r="M189" s="20"/>
      <c r="N189" s="23"/>
      <c r="O189" s="25"/>
      <c r="P189" s="23"/>
      <c r="Q189" s="20"/>
      <c r="R189" s="20"/>
      <c r="S189" s="20"/>
      <c r="T189" s="20"/>
      <c r="X189" s="28"/>
      <c r="Y189" s="28"/>
    </row>
    <row r="190" customFormat="false" ht="30" hidden="false" customHeight="true" outlineLevel="0" collapsed="false">
      <c r="B190" s="19"/>
      <c r="C190" s="38"/>
      <c r="D190" s="38"/>
      <c r="E190" s="23"/>
      <c r="F190" s="84"/>
      <c r="G190" s="24"/>
      <c r="H190" s="20"/>
      <c r="I190" s="20"/>
      <c r="J190" s="20"/>
      <c r="K190" s="20"/>
      <c r="L190" s="64"/>
      <c r="M190" s="20"/>
      <c r="N190" s="23"/>
      <c r="O190" s="25"/>
      <c r="P190" s="23"/>
      <c r="Q190" s="20"/>
      <c r="R190" s="20"/>
      <c r="S190" s="20"/>
      <c r="T190" s="20"/>
      <c r="X190" s="28"/>
      <c r="Y190" s="28"/>
    </row>
    <row r="191" customFormat="false" ht="30" hidden="false" customHeight="true" outlineLevel="0" collapsed="false">
      <c r="B191" s="19"/>
      <c r="C191" s="38"/>
      <c r="D191" s="38"/>
      <c r="E191" s="23"/>
      <c r="F191" s="84"/>
      <c r="G191" s="24"/>
      <c r="H191" s="20"/>
      <c r="I191" s="20"/>
      <c r="J191" s="20"/>
      <c r="K191" s="20"/>
      <c r="L191" s="64"/>
      <c r="M191" s="20"/>
      <c r="N191" s="23"/>
      <c r="O191" s="25"/>
      <c r="P191" s="23"/>
      <c r="Q191" s="20"/>
      <c r="R191" s="20"/>
      <c r="S191" s="20"/>
      <c r="T191" s="20"/>
      <c r="X191" s="28"/>
      <c r="Y191" s="28"/>
    </row>
    <row r="192" customFormat="false" ht="30" hidden="false" customHeight="true" outlineLevel="0" collapsed="false">
      <c r="B192" s="19"/>
      <c r="C192" s="38"/>
      <c r="D192" s="38"/>
      <c r="E192" s="23"/>
      <c r="F192" s="84"/>
      <c r="G192" s="24"/>
      <c r="H192" s="20"/>
      <c r="I192" s="20"/>
      <c r="J192" s="20"/>
      <c r="K192" s="20"/>
      <c r="L192" s="64"/>
      <c r="M192" s="20"/>
      <c r="N192" s="23"/>
      <c r="O192" s="25"/>
      <c r="P192" s="23"/>
      <c r="Q192" s="20"/>
      <c r="R192" s="20"/>
      <c r="S192" s="20"/>
      <c r="T192" s="20"/>
      <c r="X192" s="28"/>
      <c r="Y192" s="28"/>
    </row>
    <row r="193" customFormat="false" ht="30" hidden="false" customHeight="true" outlineLevel="0" collapsed="false">
      <c r="B193" s="19"/>
      <c r="C193" s="38"/>
      <c r="D193" s="38"/>
      <c r="E193" s="23"/>
      <c r="F193" s="84"/>
      <c r="G193" s="24"/>
      <c r="H193" s="20"/>
      <c r="I193" s="20"/>
      <c r="J193" s="20"/>
      <c r="K193" s="20"/>
      <c r="L193" s="64"/>
      <c r="M193" s="20"/>
      <c r="N193" s="23"/>
      <c r="O193" s="25"/>
      <c r="P193" s="23"/>
      <c r="Q193" s="20"/>
      <c r="R193" s="20"/>
      <c r="S193" s="20"/>
      <c r="T193" s="20"/>
      <c r="X193" s="28"/>
      <c r="Y193" s="28"/>
    </row>
    <row r="194" customFormat="false" ht="30" hidden="false" customHeight="true" outlineLevel="0" collapsed="false">
      <c r="B194" s="19"/>
      <c r="C194" s="38"/>
      <c r="D194" s="38"/>
      <c r="E194" s="23"/>
      <c r="F194" s="84"/>
      <c r="G194" s="24"/>
      <c r="H194" s="20"/>
      <c r="I194" s="20"/>
      <c r="J194" s="20"/>
      <c r="K194" s="20"/>
      <c r="L194" s="64"/>
      <c r="M194" s="20"/>
      <c r="N194" s="23"/>
      <c r="O194" s="25"/>
      <c r="P194" s="23"/>
      <c r="Q194" s="20"/>
      <c r="R194" s="20"/>
      <c r="S194" s="20"/>
      <c r="T194" s="20"/>
      <c r="X194" s="28"/>
      <c r="Y194" s="28"/>
    </row>
    <row r="195" customFormat="false" ht="30" hidden="false" customHeight="true" outlineLevel="0" collapsed="false">
      <c r="B195" s="19"/>
      <c r="C195" s="38"/>
      <c r="D195" s="38"/>
      <c r="E195" s="23"/>
      <c r="F195" s="84"/>
      <c r="G195" s="24"/>
      <c r="H195" s="20"/>
      <c r="I195" s="20"/>
      <c r="J195" s="20"/>
      <c r="K195" s="20"/>
      <c r="L195" s="64"/>
      <c r="M195" s="20"/>
      <c r="N195" s="23"/>
      <c r="O195" s="25"/>
      <c r="P195" s="23"/>
      <c r="Q195" s="20"/>
      <c r="R195" s="20"/>
      <c r="S195" s="20"/>
      <c r="T195" s="20"/>
      <c r="X195" s="28"/>
      <c r="Y195" s="28"/>
    </row>
    <row r="196" customFormat="false" ht="30" hidden="false" customHeight="true" outlineLevel="0" collapsed="false">
      <c r="B196" s="19"/>
      <c r="C196" s="38"/>
      <c r="D196" s="38"/>
      <c r="E196" s="23"/>
      <c r="F196" s="84"/>
      <c r="G196" s="24"/>
      <c r="H196" s="20"/>
      <c r="I196" s="20"/>
      <c r="J196" s="20"/>
      <c r="K196" s="20"/>
      <c r="L196" s="64"/>
      <c r="M196" s="20"/>
      <c r="N196" s="23"/>
      <c r="O196" s="25"/>
      <c r="P196" s="23"/>
      <c r="Q196" s="20"/>
      <c r="R196" s="20"/>
      <c r="S196" s="20"/>
      <c r="T196" s="20"/>
      <c r="X196" s="28"/>
      <c r="Y196" s="28"/>
    </row>
    <row r="197" customFormat="false" ht="30" hidden="false" customHeight="true" outlineLevel="0" collapsed="false">
      <c r="B197" s="19"/>
      <c r="C197" s="38"/>
      <c r="D197" s="38"/>
      <c r="E197" s="23"/>
      <c r="F197" s="84"/>
      <c r="G197" s="24"/>
      <c r="H197" s="20"/>
      <c r="I197" s="20"/>
      <c r="J197" s="20"/>
      <c r="K197" s="20"/>
      <c r="L197" s="64"/>
      <c r="M197" s="20"/>
      <c r="N197" s="23"/>
      <c r="O197" s="25"/>
      <c r="P197" s="23"/>
      <c r="Q197" s="20"/>
      <c r="R197" s="20"/>
      <c r="S197" s="20"/>
      <c r="T197" s="20"/>
      <c r="X197" s="28"/>
      <c r="Y197" s="28"/>
    </row>
    <row r="198" customFormat="false" ht="30" hidden="false" customHeight="true" outlineLevel="0" collapsed="false">
      <c r="B198" s="19"/>
      <c r="C198" s="38"/>
      <c r="D198" s="38"/>
      <c r="E198" s="23"/>
      <c r="F198" s="84"/>
      <c r="G198" s="24"/>
      <c r="H198" s="20"/>
      <c r="I198" s="20"/>
      <c r="J198" s="20"/>
      <c r="K198" s="20"/>
      <c r="L198" s="64"/>
      <c r="M198" s="20"/>
      <c r="N198" s="23"/>
      <c r="O198" s="25"/>
      <c r="P198" s="23"/>
      <c r="Q198" s="20"/>
      <c r="R198" s="20"/>
      <c r="S198" s="20"/>
      <c r="T198" s="20"/>
      <c r="X198" s="28"/>
      <c r="Y198" s="28"/>
    </row>
    <row r="199" customFormat="false" ht="30" hidden="false" customHeight="true" outlineLevel="0" collapsed="false">
      <c r="B199" s="19"/>
      <c r="C199" s="38"/>
      <c r="D199" s="38"/>
      <c r="E199" s="23"/>
      <c r="F199" s="84"/>
      <c r="G199" s="24"/>
      <c r="H199" s="20"/>
      <c r="I199" s="20"/>
      <c r="J199" s="20"/>
      <c r="K199" s="20"/>
      <c r="L199" s="64"/>
      <c r="M199" s="20"/>
      <c r="N199" s="23"/>
      <c r="O199" s="25"/>
      <c r="P199" s="23"/>
      <c r="Q199" s="20"/>
      <c r="R199" s="20"/>
      <c r="S199" s="20"/>
      <c r="T199" s="20"/>
      <c r="X199" s="28"/>
      <c r="Y199" s="28"/>
    </row>
    <row r="200" customFormat="false" ht="30" hidden="false" customHeight="true" outlineLevel="0" collapsed="false">
      <c r="B200" s="19"/>
      <c r="C200" s="38"/>
      <c r="D200" s="38"/>
      <c r="E200" s="23"/>
      <c r="F200" s="48"/>
      <c r="G200" s="26"/>
      <c r="H200" s="20"/>
      <c r="I200" s="20"/>
      <c r="J200" s="20"/>
      <c r="K200" s="20"/>
      <c r="L200" s="64"/>
      <c r="M200" s="20"/>
      <c r="N200" s="23"/>
      <c r="O200" s="25"/>
      <c r="P200" s="23"/>
      <c r="Q200" s="20"/>
      <c r="R200" s="20"/>
      <c r="S200" s="20"/>
      <c r="T200" s="20"/>
      <c r="X200" s="28"/>
      <c r="Y200" s="28"/>
    </row>
    <row r="201" customFormat="false" ht="30" hidden="false" customHeight="true" outlineLevel="0" collapsed="false">
      <c r="B201" s="19"/>
      <c r="C201" s="38"/>
      <c r="D201" s="38"/>
      <c r="E201" s="23"/>
      <c r="F201" s="48"/>
      <c r="G201" s="26"/>
      <c r="H201" s="20"/>
      <c r="I201" s="20"/>
      <c r="J201" s="20"/>
      <c r="K201" s="20"/>
      <c r="L201" s="64"/>
      <c r="M201" s="20"/>
      <c r="N201" s="23"/>
      <c r="O201" s="25"/>
      <c r="P201" s="23"/>
      <c r="Q201" s="20"/>
      <c r="R201" s="20"/>
      <c r="S201" s="20"/>
      <c r="T201" s="20"/>
      <c r="X201" s="28"/>
      <c r="Y201" s="28"/>
    </row>
    <row r="202" customFormat="false" ht="61.5" hidden="false" customHeight="true" outlineLevel="0" collapsed="false">
      <c r="B202" s="19"/>
      <c r="C202" s="38"/>
      <c r="D202" s="38"/>
      <c r="E202" s="23"/>
      <c r="F202" s="85"/>
      <c r="G202" s="24"/>
      <c r="H202" s="20"/>
      <c r="I202" s="20"/>
      <c r="J202" s="20"/>
      <c r="K202" s="20"/>
      <c r="L202" s="64"/>
      <c r="M202" s="20"/>
      <c r="N202" s="23"/>
      <c r="O202" s="25"/>
      <c r="P202" s="23"/>
      <c r="Q202" s="20"/>
      <c r="R202" s="20"/>
      <c r="S202" s="20"/>
      <c r="T202" s="20"/>
      <c r="X202" s="28"/>
      <c r="Y202" s="28"/>
    </row>
  </sheetData>
  <autoFilter ref="B5:T202"/>
  <mergeCells count="25">
    <mergeCell ref="B1:T1"/>
    <mergeCell ref="B2:H2"/>
    <mergeCell ref="R2:T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P3"/>
    <mergeCell ref="Q3:T3"/>
    <mergeCell ref="M4:M5"/>
    <mergeCell ref="N4:N5"/>
    <mergeCell ref="O4:O5"/>
    <mergeCell ref="P4:P5"/>
    <mergeCell ref="Q4:R4"/>
    <mergeCell ref="S4:T4"/>
    <mergeCell ref="U16:V16"/>
    <mergeCell ref="U52:V52"/>
    <mergeCell ref="U53:V53"/>
  </mergeCells>
  <printOptions headings="false" gridLines="false" gridLinesSet="true" horizontalCentered="true" verticalCentered="true"/>
  <pageMargins left="0" right="0.196527777777778" top="0.39375" bottom="0.39375" header="0.144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AC202"/>
  <sheetViews>
    <sheetView showFormulas="false" showGridLines="true" showRowColHeaders="true" showZeros="true" rightToLeft="false" tabSelected="false" showOutlineSymbols="true" defaultGridColor="true" view="pageBreakPreview" topLeftCell="A1" colorId="64" zoomScale="85" zoomScaleNormal="75" zoomScalePageLayoutView="85" workbookViewId="0">
      <pane xSplit="0" ySplit="5" topLeftCell="A6" activePane="bottomLeft" state="frozen"/>
      <selection pane="topLeft" activeCell="A1" activeCellId="0" sqref="A1"/>
      <selection pane="bottomLeft" activeCell="H12" activeCellId="0" sqref="H12"/>
    </sheetView>
  </sheetViews>
  <sheetFormatPr defaultColWidth="8.7100" defaultRowHeight="13.5" zeroHeight="false" outlineLevelRow="0" outlineLevelCol="0"/>
  <cols>
    <col min="1" max="1" width="6.2188" customWidth="1"/>
    <col min="2" max="2" width="9.3320" customWidth="1"/>
    <col min="3" max="3" width="10.7773" customWidth="1"/>
    <col min="4" max="4" width="28.8867" customWidth="1"/>
    <col min="5" max="5" width="6.7773" customWidth="1"/>
    <col min="6" max="6" width="6.7773" customWidth="1"/>
    <col min="7" max="7" width="6.7773" customWidth="1"/>
    <col min="8" max="8" width="10.7773" customWidth="1"/>
    <col min="9" max="9" width="8.6641" customWidth="1"/>
    <col min="10" max="10" width="7.7773" customWidth="1"/>
    <col min="11" max="11" width="10.8867" customWidth="1"/>
    <col min="12" max="12" width="6.0000" customWidth="1" hidden="1"/>
    <col min="13" max="13" width="6.7773" customWidth="1" hidden="1"/>
    <col min="14" max="14" width="6.7773" customWidth="1" hidden="1"/>
    <col min="15" max="15" width="6.7773" customWidth="1" hidden="1"/>
    <col min="16" max="16" width="7.7773" customWidth="1" hidden="1"/>
    <col min="17" max="17" width="7.8867" customWidth="1" hidden="1"/>
    <col min="18" max="18" width="7.8867" customWidth="1" hidden="1"/>
    <col min="19" max="19" width="7.8867" customWidth="1" hidden="1"/>
    <col min="20" max="20" width="7.8867" customWidth="1" hidden="1"/>
    <col min="21" max="21" width="14.0000" customWidth="1"/>
    <col min="22" max="22" width="8.8867" customWidth="1"/>
    <col min="23" max="23" width="8.8867" customWidth="1"/>
    <col min="24" max="24" width="10.7773" customWidth="1"/>
    <col min="25" max="25" width="10.7773" customWidth="1"/>
    <col min="26" max="26" width="9.3320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54.75" hidden="false" customHeight="true" outlineLevel="0" collapsed="false">
      <c r="B1" s="9" t="s">
        <v>26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30"/>
    </row>
    <row r="2" customFormat="false" ht="29.25" hidden="false" customHeight="true" outlineLevel="0" collapsed="false">
      <c r="B2" s="10" t="s">
        <v>29</v>
      </c>
      <c r="C2" s="10"/>
      <c r="D2" s="10"/>
      <c r="E2" s="10"/>
      <c r="F2" s="10"/>
      <c r="G2" s="10"/>
      <c r="H2" s="10"/>
      <c r="I2" s="7"/>
      <c r="J2" s="7"/>
      <c r="K2" s="7"/>
      <c r="M2" s="32" t="n">
        <v>419</v>
      </c>
      <c r="N2" s="33"/>
      <c r="O2" s="34"/>
      <c r="P2" s="33"/>
      <c r="Q2" s="32"/>
      <c r="R2" s="35" t="s">
        <v>30</v>
      </c>
      <c r="S2" s="35"/>
      <c r="T2" s="35"/>
    </row>
    <row r="3" customFormat="false" ht="26.25" hidden="false" customHeight="true" outlineLevel="0" collapsed="false">
      <c r="B3" s="11" t="s">
        <v>2</v>
      </c>
      <c r="C3" s="36" t="s">
        <v>3</v>
      </c>
      <c r="D3" s="36" t="s">
        <v>35</v>
      </c>
      <c r="E3" s="15" t="s">
        <v>6</v>
      </c>
      <c r="F3" s="17" t="s">
        <v>7</v>
      </c>
      <c r="G3" s="17" t="s">
        <v>36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37</v>
      </c>
      <c r="M3" s="12" t="s">
        <v>14</v>
      </c>
      <c r="N3" s="12"/>
      <c r="O3" s="12"/>
      <c r="P3" s="12"/>
      <c r="Q3" s="12" t="s">
        <v>15</v>
      </c>
      <c r="R3" s="12"/>
      <c r="S3" s="12"/>
      <c r="T3" s="12"/>
      <c r="W3" s="19"/>
      <c r="X3" s="19" t="s">
        <v>43</v>
      </c>
      <c r="Y3" s="19" t="s">
        <v>39</v>
      </c>
      <c r="Z3" s="19"/>
      <c r="AA3" s="19"/>
      <c r="AB3" s="19"/>
      <c r="AC3" s="19"/>
    </row>
    <row r="4" customFormat="false" ht="26.25" hidden="false" customHeight="true" outlineLevel="0" collapsed="false">
      <c r="B4" s="11"/>
      <c r="C4" s="36"/>
      <c r="D4" s="36"/>
      <c r="E4" s="15"/>
      <c r="F4" s="17"/>
      <c r="G4" s="17"/>
      <c r="H4" s="17"/>
      <c r="I4" s="17"/>
      <c r="J4" s="17"/>
      <c r="K4" s="17"/>
      <c r="L4" s="17"/>
      <c r="M4" s="17" t="s">
        <v>16</v>
      </c>
      <c r="N4" s="15" t="s">
        <v>17</v>
      </c>
      <c r="O4" s="18" t="s">
        <v>18</v>
      </c>
      <c r="P4" s="15" t="s">
        <v>19</v>
      </c>
      <c r="Q4" s="12" t="s">
        <v>20</v>
      </c>
      <c r="R4" s="12"/>
      <c r="S4" s="12" t="s">
        <v>40</v>
      </c>
      <c r="T4" s="12"/>
      <c r="W4" s="19"/>
      <c r="X4" s="37"/>
      <c r="Y4" s="37" t="n">
        <v>1665</v>
      </c>
      <c r="Z4" s="37"/>
      <c r="AA4" s="19"/>
      <c r="AB4" s="19"/>
      <c r="AC4" s="19"/>
    </row>
    <row r="5" customFormat="false" ht="26.25" hidden="false" customHeight="true" outlineLevel="0" collapsed="false">
      <c r="B5" s="11"/>
      <c r="C5" s="36"/>
      <c r="D5" s="36"/>
      <c r="E5" s="15"/>
      <c r="F5" s="17"/>
      <c r="G5" s="17"/>
      <c r="H5" s="17"/>
      <c r="I5" s="17"/>
      <c r="J5" s="17"/>
      <c r="K5" s="17"/>
      <c r="L5" s="17"/>
      <c r="M5" s="17"/>
      <c r="N5" s="15"/>
      <c r="O5" s="18"/>
      <c r="P5" s="15"/>
      <c r="Q5" s="12" t="s">
        <v>22</v>
      </c>
      <c r="R5" s="12" t="s">
        <v>23</v>
      </c>
      <c r="S5" s="12" t="s">
        <v>22</v>
      </c>
      <c r="T5" s="12" t="s">
        <v>23</v>
      </c>
      <c r="U5" s="7"/>
      <c r="V5" s="7"/>
      <c r="W5" s="20"/>
      <c r="X5" s="20" t="s">
        <v>113</v>
      </c>
      <c r="Y5" s="19"/>
      <c r="Z5" s="19"/>
      <c r="AA5" s="19"/>
      <c r="AB5" s="19"/>
      <c r="AC5" s="19"/>
    </row>
    <row r="6" customFormat="false" ht="30" hidden="false" customHeight="true" outlineLevel="0" collapsed="false">
      <c r="B6" s="19" t="s">
        <v>114</v>
      </c>
      <c r="C6" s="38" t="n">
        <v>45572</v>
      </c>
      <c r="D6" s="38" t="s">
        <v>115</v>
      </c>
      <c r="E6" s="39"/>
      <c r="F6" s="40" t="n">
        <f aca="false">20*6</f>
        <v>120</v>
      </c>
      <c r="G6" s="41"/>
      <c r="H6" s="20" t="s">
        <v>39</v>
      </c>
      <c r="I6" s="20" t="s">
        <v>47</v>
      </c>
      <c r="J6" s="20" t="s">
        <v>111</v>
      </c>
      <c r="K6" s="20"/>
      <c r="L6" s="20" t="n">
        <v>15</v>
      </c>
      <c r="M6" s="20" t="n">
        <v>160</v>
      </c>
      <c r="N6" s="23" t="n">
        <v>4</v>
      </c>
      <c r="O6" s="25" t="n">
        <v>0.026</v>
      </c>
      <c r="P6" s="23"/>
      <c r="Q6" s="20" t="s">
        <v>49</v>
      </c>
      <c r="R6" s="20"/>
      <c r="S6" s="20" t="s">
        <v>50</v>
      </c>
      <c r="T6" s="20"/>
      <c r="W6" s="19"/>
      <c r="X6" s="42" t="s">
        <v>116</v>
      </c>
      <c r="Y6" s="42"/>
      <c r="Z6" s="42"/>
      <c r="AA6" s="43"/>
      <c r="AB6" s="43"/>
      <c r="AC6" s="43"/>
    </row>
    <row r="7" customFormat="false" ht="30" hidden="false" customHeight="true" outlineLevel="0" collapsed="false">
      <c r="B7" s="19" t="s">
        <v>114</v>
      </c>
      <c r="C7" s="38" t="n">
        <v>45595</v>
      </c>
      <c r="D7" s="38" t="s">
        <v>117</v>
      </c>
      <c r="E7" s="39"/>
      <c r="F7" s="40" t="n">
        <f aca="false">6*21</f>
        <v>126</v>
      </c>
      <c r="G7" s="41"/>
      <c r="H7" s="20" t="s">
        <v>39</v>
      </c>
      <c r="I7" s="20" t="s">
        <v>47</v>
      </c>
      <c r="J7" s="20" t="s">
        <v>111</v>
      </c>
      <c r="K7" s="20"/>
      <c r="L7" s="20" t="n">
        <v>14</v>
      </c>
      <c r="M7" s="20" t="n">
        <v>155</v>
      </c>
      <c r="N7" s="23" t="n">
        <v>4.4</v>
      </c>
      <c r="O7" s="25" t="n">
        <v>0.058</v>
      </c>
      <c r="P7" s="23"/>
      <c r="Q7" s="20" t="s">
        <v>49</v>
      </c>
      <c r="R7" s="20"/>
      <c r="S7" s="20" t="s">
        <v>50</v>
      </c>
      <c r="T7" s="20"/>
      <c r="V7" s="7"/>
      <c r="W7" s="19"/>
      <c r="X7" s="43"/>
      <c r="Y7" s="43"/>
      <c r="Z7" s="43"/>
      <c r="AA7" s="46"/>
      <c r="AB7" s="43"/>
      <c r="AC7" s="43"/>
    </row>
    <row r="8" customFormat="false" ht="30" hidden="false" customHeight="true" outlineLevel="0" collapsed="false">
      <c r="B8" s="19"/>
      <c r="C8" s="38"/>
      <c r="D8" s="38"/>
      <c r="E8" s="23"/>
      <c r="F8" s="40"/>
      <c r="G8" s="41"/>
      <c r="H8" s="20"/>
      <c r="I8" s="20"/>
      <c r="J8" s="20"/>
      <c r="K8" s="20"/>
      <c r="L8" s="20" t="n">
        <v>14</v>
      </c>
      <c r="M8" s="20" t="n">
        <v>150</v>
      </c>
      <c r="N8" s="23" t="n">
        <v>4</v>
      </c>
      <c r="O8" s="25" t="n">
        <v>0.031</v>
      </c>
      <c r="P8" s="23"/>
      <c r="Q8" s="20" t="s">
        <v>49</v>
      </c>
      <c r="R8" s="20"/>
      <c r="S8" s="20" t="s">
        <v>50</v>
      </c>
      <c r="T8" s="20"/>
      <c r="V8" s="47"/>
      <c r="X8" s="28"/>
      <c r="Y8" s="28"/>
    </row>
    <row r="9" customFormat="false" ht="30" hidden="false" customHeight="true" outlineLevel="0" collapsed="false">
      <c r="B9" s="19"/>
      <c r="C9" s="38"/>
      <c r="D9" s="38"/>
      <c r="E9" s="23"/>
      <c r="F9" s="48"/>
      <c r="G9" s="41"/>
      <c r="H9" s="20"/>
      <c r="I9" s="20"/>
      <c r="J9" s="20"/>
      <c r="K9" s="20"/>
      <c r="L9" s="20" t="n">
        <v>16</v>
      </c>
      <c r="M9" s="20" t="n">
        <v>165</v>
      </c>
      <c r="N9" s="23" t="n">
        <v>3.9</v>
      </c>
      <c r="O9" s="25" t="n">
        <v>0.038</v>
      </c>
      <c r="P9" s="23"/>
      <c r="Q9" s="20" t="s">
        <v>49</v>
      </c>
      <c r="R9" s="20"/>
      <c r="S9" s="20" t="s">
        <v>50</v>
      </c>
      <c r="T9" s="20"/>
      <c r="U9" s="49"/>
      <c r="V9" s="49"/>
      <c r="X9" s="28"/>
      <c r="Y9" s="50"/>
    </row>
    <row r="10" customFormat="false" ht="30" hidden="false" customHeight="true" outlineLevel="0" collapsed="false">
      <c r="B10" s="19"/>
      <c r="C10" s="38"/>
      <c r="D10" s="38"/>
      <c r="E10" s="23"/>
      <c r="F10" s="48"/>
      <c r="G10" s="41"/>
      <c r="H10" s="20"/>
      <c r="I10" s="20"/>
      <c r="J10" s="20"/>
      <c r="K10" s="20"/>
      <c r="L10" s="20" t="n">
        <v>13</v>
      </c>
      <c r="M10" s="20" t="n">
        <v>165</v>
      </c>
      <c r="N10" s="23" t="n">
        <v>4.1</v>
      </c>
      <c r="O10" s="25" t="n">
        <v>0.048</v>
      </c>
      <c r="P10" s="23"/>
      <c r="Q10" s="20" t="s">
        <v>49</v>
      </c>
      <c r="R10" s="20"/>
      <c r="S10" s="20" t="s">
        <v>50</v>
      </c>
      <c r="T10" s="20"/>
      <c r="U10" s="51"/>
      <c r="V10" s="50"/>
      <c r="X10" s="50"/>
      <c r="Y10" s="28"/>
    </row>
    <row r="11" customFormat="false" ht="30" hidden="false" customHeight="true" outlineLevel="0" collapsed="false">
      <c r="B11" s="19"/>
      <c r="C11" s="38"/>
      <c r="D11" s="38"/>
      <c r="E11" s="23"/>
      <c r="F11" s="48"/>
      <c r="G11" s="41"/>
      <c r="H11" s="20"/>
      <c r="I11" s="20"/>
      <c r="J11" s="20"/>
      <c r="K11" s="20"/>
      <c r="L11" s="20" t="n">
        <v>12</v>
      </c>
      <c r="M11" s="20" t="n">
        <v>150</v>
      </c>
      <c r="N11" s="23" t="n">
        <v>3.8</v>
      </c>
      <c r="O11" s="25" t="n">
        <v>0.051</v>
      </c>
      <c r="P11" s="23"/>
      <c r="Q11" s="20" t="s">
        <v>49</v>
      </c>
      <c r="R11" s="20"/>
      <c r="S11" s="20" t="s">
        <v>50</v>
      </c>
      <c r="T11" s="20"/>
      <c r="U11" s="52"/>
      <c r="X11" s="47"/>
      <c r="Y11" s="28"/>
    </row>
    <row r="12" customFormat="false" ht="30" hidden="false" customHeight="true" outlineLevel="0" collapsed="false">
      <c r="B12" s="19"/>
      <c r="C12" s="38"/>
      <c r="D12" s="38"/>
      <c r="E12" s="23"/>
      <c r="F12" s="48"/>
      <c r="G12" s="41"/>
      <c r="H12" s="20"/>
      <c r="I12" s="20"/>
      <c r="J12" s="20"/>
      <c r="K12" s="20"/>
      <c r="L12" s="20" t="n">
        <v>12</v>
      </c>
      <c r="M12" s="20" t="n">
        <v>160</v>
      </c>
      <c r="N12" s="23" t="n">
        <v>4.3</v>
      </c>
      <c r="O12" s="25" t="n">
        <v>0.033</v>
      </c>
      <c r="P12" s="23"/>
      <c r="Q12" s="20" t="s">
        <v>49</v>
      </c>
      <c r="R12" s="20"/>
      <c r="S12" s="20" t="s">
        <v>50</v>
      </c>
      <c r="T12" s="20"/>
      <c r="X12" s="28"/>
      <c r="Y12" s="28"/>
    </row>
    <row r="13" customFormat="false" ht="30" hidden="false" customHeight="true" outlineLevel="0" collapsed="false">
      <c r="A13" s="53"/>
      <c r="B13" s="19"/>
      <c r="C13" s="54"/>
      <c r="D13" s="54"/>
      <c r="E13" s="55"/>
      <c r="F13" s="56"/>
      <c r="G13" s="41"/>
      <c r="H13" s="20"/>
      <c r="I13" s="20"/>
      <c r="J13" s="20"/>
      <c r="K13" s="56"/>
      <c r="L13" s="56" t="n">
        <v>14</v>
      </c>
      <c r="M13" s="56" t="n">
        <v>155</v>
      </c>
      <c r="N13" s="57" t="n">
        <v>3.4</v>
      </c>
      <c r="O13" s="58" t="n">
        <v>0.045</v>
      </c>
      <c r="P13" s="57"/>
      <c r="Q13" s="56" t="s">
        <v>49</v>
      </c>
      <c r="R13" s="56"/>
      <c r="S13" s="56" t="s">
        <v>50</v>
      </c>
      <c r="T13" s="56"/>
      <c r="X13" s="28"/>
      <c r="Y13" s="28"/>
    </row>
    <row r="14" customFormat="false" ht="30" hidden="false" customHeight="true" outlineLevel="0" collapsed="false">
      <c r="A14" s="53"/>
      <c r="B14" s="19"/>
      <c r="C14" s="54"/>
      <c r="D14" s="54"/>
      <c r="E14" s="55"/>
      <c r="F14" s="57"/>
      <c r="G14" s="59"/>
      <c r="H14" s="20"/>
      <c r="I14" s="20"/>
      <c r="J14" s="20"/>
      <c r="K14" s="56"/>
      <c r="L14" s="56" t="n">
        <v>13</v>
      </c>
      <c r="M14" s="56" t="n">
        <v>80</v>
      </c>
      <c r="N14" s="57" t="n">
        <v>3.8</v>
      </c>
      <c r="O14" s="58" t="n">
        <v>0.029</v>
      </c>
      <c r="P14" s="57"/>
      <c r="Q14" s="56" t="s">
        <v>49</v>
      </c>
      <c r="R14" s="56"/>
      <c r="S14" s="56" t="s">
        <v>50</v>
      </c>
      <c r="T14" s="56"/>
      <c r="U14" s="52"/>
      <c r="X14" s="28"/>
      <c r="Y14" s="28"/>
    </row>
    <row r="15" customFormat="false" ht="30" hidden="false" customHeight="true" outlineLevel="0" collapsed="false">
      <c r="A15" s="53"/>
      <c r="B15" s="19"/>
      <c r="C15" s="54"/>
      <c r="D15" s="54"/>
      <c r="E15" s="55"/>
      <c r="F15" s="57"/>
      <c r="G15" s="59"/>
      <c r="H15" s="20"/>
      <c r="I15" s="20"/>
      <c r="J15" s="20"/>
      <c r="K15" s="56"/>
      <c r="L15" s="56" t="n">
        <v>14</v>
      </c>
      <c r="M15" s="56" t="n">
        <v>80</v>
      </c>
      <c r="N15" s="57" t="n">
        <v>4.1</v>
      </c>
      <c r="O15" s="58" t="n">
        <v>0.03</v>
      </c>
      <c r="P15" s="57"/>
      <c r="Q15" s="56" t="s">
        <v>49</v>
      </c>
      <c r="R15" s="56"/>
      <c r="S15" s="56" t="s">
        <v>63</v>
      </c>
      <c r="T15" s="56"/>
      <c r="U15" s="52"/>
      <c r="X15" s="28"/>
      <c r="Y15" s="28"/>
    </row>
    <row r="16" customFormat="false" ht="30" hidden="false" customHeight="true" outlineLevel="0" collapsed="false">
      <c r="A16" s="53"/>
      <c r="B16" s="65"/>
      <c r="C16" s="54"/>
      <c r="D16" s="54"/>
      <c r="E16" s="55"/>
      <c r="F16" s="57"/>
      <c r="G16" s="59"/>
      <c r="H16" s="56"/>
      <c r="I16" s="20"/>
      <c r="J16" s="56"/>
      <c r="K16" s="56"/>
      <c r="L16" s="56" t="n">
        <v>14</v>
      </c>
      <c r="M16" s="61" t="n">
        <v>85</v>
      </c>
      <c r="N16" s="62" t="n">
        <v>4</v>
      </c>
      <c r="O16" s="63" t="n">
        <v>0.065</v>
      </c>
      <c r="P16" s="62"/>
      <c r="Q16" s="56" t="s">
        <v>49</v>
      </c>
      <c r="R16" s="56"/>
      <c r="S16" s="56" t="s">
        <v>63</v>
      </c>
      <c r="T16" s="56"/>
      <c r="U16" s="86"/>
      <c r="V16" s="86"/>
      <c r="X16" s="28"/>
      <c r="Y16" s="28"/>
    </row>
    <row r="17" customFormat="false" ht="30" hidden="false" customHeight="true" outlineLevel="0" collapsed="false">
      <c r="A17" s="53"/>
      <c r="B17" s="65"/>
      <c r="C17" s="54"/>
      <c r="D17" s="54"/>
      <c r="E17" s="55"/>
      <c r="F17" s="48"/>
      <c r="G17" s="41"/>
      <c r="H17" s="48"/>
      <c r="I17" s="20"/>
      <c r="J17" s="20"/>
      <c r="K17" s="20"/>
      <c r="L17" s="64" t="s">
        <v>69</v>
      </c>
      <c r="M17" s="20" t="n">
        <v>90</v>
      </c>
      <c r="N17" s="23" t="n">
        <v>3.8</v>
      </c>
      <c r="O17" s="25" t="n">
        <v>0.048</v>
      </c>
      <c r="P17" s="23"/>
      <c r="Q17" s="48" t="s">
        <v>70</v>
      </c>
      <c r="R17" s="48"/>
      <c r="S17" s="48" t="s">
        <v>63</v>
      </c>
      <c r="T17" s="20"/>
      <c r="X17" s="28"/>
      <c r="Y17" s="28"/>
    </row>
    <row r="18" customFormat="false" ht="30" hidden="false" customHeight="true" outlineLevel="0" collapsed="false">
      <c r="A18" s="53"/>
      <c r="B18" s="65"/>
      <c r="C18" s="54"/>
      <c r="D18" s="54"/>
      <c r="E18" s="55"/>
      <c r="F18" s="48"/>
      <c r="G18" s="41"/>
      <c r="H18" s="48"/>
      <c r="I18" s="48"/>
      <c r="J18" s="48"/>
      <c r="K18" s="48"/>
      <c r="L18" s="64" t="s">
        <v>73</v>
      </c>
      <c r="M18" s="20" t="n">
        <v>85</v>
      </c>
      <c r="N18" s="23" t="n">
        <v>4.3</v>
      </c>
      <c r="O18" s="25" t="n">
        <v>0.058</v>
      </c>
      <c r="P18" s="23"/>
      <c r="Q18" s="48" t="s">
        <v>70</v>
      </c>
      <c r="R18" s="48"/>
      <c r="S18" s="48" t="s">
        <v>63</v>
      </c>
      <c r="T18" s="20"/>
      <c r="X18" s="28"/>
      <c r="Y18" s="28"/>
      <c r="Z18" s="52"/>
    </row>
    <row r="19" s="71" customFormat="true" ht="30" hidden="false" customHeight="true" outlineLevel="0" collapsed="false">
      <c r="A19" s="53"/>
      <c r="B19" s="65"/>
      <c r="C19" s="54"/>
      <c r="D19" s="54"/>
      <c r="E19" s="55"/>
      <c r="F19" s="48"/>
      <c r="G19" s="41"/>
      <c r="H19" s="48"/>
      <c r="I19" s="48"/>
      <c r="J19" s="48"/>
      <c r="K19" s="48"/>
      <c r="L19" s="66"/>
      <c r="M19" s="67"/>
      <c r="N19" s="68"/>
      <c r="O19" s="69"/>
      <c r="P19" s="68"/>
      <c r="Q19" s="67" t="s">
        <v>70</v>
      </c>
      <c r="R19" s="67"/>
      <c r="S19" s="67" t="s">
        <v>63</v>
      </c>
      <c r="T19" s="67"/>
      <c r="U19" s="70"/>
      <c r="X19" s="72"/>
      <c r="Y19" s="72"/>
      <c r="Z19" s="73"/>
    </row>
    <row r="20" s="71" customFormat="true" ht="30" hidden="false" customHeight="true" outlineLevel="0" collapsed="false">
      <c r="A20" s="53"/>
      <c r="B20" s="65"/>
      <c r="C20" s="54"/>
      <c r="D20" s="54"/>
      <c r="E20" s="55"/>
      <c r="F20" s="48"/>
      <c r="G20" s="41"/>
      <c r="H20" s="48"/>
      <c r="I20" s="48"/>
      <c r="J20" s="48"/>
      <c r="K20" s="48"/>
      <c r="L20" s="66"/>
      <c r="M20" s="67"/>
      <c r="N20" s="68"/>
      <c r="O20" s="69"/>
      <c r="P20" s="68"/>
      <c r="Q20" s="67" t="s">
        <v>70</v>
      </c>
      <c r="R20" s="67"/>
      <c r="S20" s="67" t="s">
        <v>63</v>
      </c>
      <c r="T20" s="67"/>
      <c r="U20" s="70"/>
      <c r="X20" s="72"/>
      <c r="Y20" s="72"/>
    </row>
    <row r="21" s="71" customFormat="true" ht="30" hidden="false" customHeight="true" outlineLevel="0" collapsed="false">
      <c r="A21" s="53"/>
      <c r="B21" s="65"/>
      <c r="C21" s="54"/>
      <c r="D21" s="54"/>
      <c r="E21" s="55"/>
      <c r="F21" s="48"/>
      <c r="G21" s="41"/>
      <c r="H21" s="48"/>
      <c r="I21" s="48"/>
      <c r="J21" s="48"/>
      <c r="K21" s="48"/>
      <c r="L21" s="66"/>
      <c r="M21" s="67"/>
      <c r="N21" s="68"/>
      <c r="O21" s="69"/>
      <c r="P21" s="68"/>
      <c r="Q21" s="67" t="s">
        <v>70</v>
      </c>
      <c r="R21" s="67"/>
      <c r="S21" s="67" t="s">
        <v>63</v>
      </c>
      <c r="T21" s="67"/>
      <c r="U21" s="74"/>
      <c r="X21" s="72"/>
      <c r="Y21" s="72"/>
    </row>
    <row r="22" s="71" customFormat="true" ht="30" hidden="false" customHeight="true" outlineLevel="0" collapsed="false">
      <c r="A22" s="53"/>
      <c r="B22" s="65"/>
      <c r="C22" s="54"/>
      <c r="D22" s="54"/>
      <c r="E22" s="55"/>
      <c r="F22" s="48"/>
      <c r="G22" s="41"/>
      <c r="H22" s="48"/>
      <c r="I22" s="48"/>
      <c r="J22" s="48"/>
      <c r="K22" s="48"/>
      <c r="L22" s="66"/>
      <c r="M22" s="67"/>
      <c r="N22" s="68"/>
      <c r="O22" s="69"/>
      <c r="P22" s="68"/>
      <c r="Q22" s="67" t="s">
        <v>70</v>
      </c>
      <c r="R22" s="67"/>
      <c r="S22" s="67" t="s">
        <v>63</v>
      </c>
      <c r="T22" s="67"/>
      <c r="U22" s="74"/>
      <c r="X22" s="72"/>
      <c r="Y22" s="72"/>
    </row>
    <row r="23" s="71" customFormat="true" ht="30" hidden="false" customHeight="true" outlineLevel="0" collapsed="false">
      <c r="A23" s="53"/>
      <c r="B23" s="65"/>
      <c r="C23" s="54"/>
      <c r="D23" s="54"/>
      <c r="E23" s="55"/>
      <c r="F23" s="48"/>
      <c r="G23" s="41"/>
      <c r="H23" s="48"/>
      <c r="I23" s="48"/>
      <c r="J23" s="48"/>
      <c r="K23" s="48"/>
      <c r="L23" s="66"/>
      <c r="M23" s="67"/>
      <c r="N23" s="68"/>
      <c r="O23" s="69"/>
      <c r="P23" s="68"/>
      <c r="Q23" s="67" t="s">
        <v>70</v>
      </c>
      <c r="R23" s="67"/>
      <c r="S23" s="67" t="s">
        <v>63</v>
      </c>
      <c r="T23" s="67"/>
      <c r="U23" s="74"/>
      <c r="X23" s="72"/>
      <c r="Y23" s="72"/>
    </row>
    <row r="24" customFormat="false" ht="30" hidden="false" customHeight="true" outlineLevel="0" collapsed="false">
      <c r="A24" s="53"/>
      <c r="B24" s="65"/>
      <c r="C24" s="54"/>
      <c r="D24" s="54"/>
      <c r="E24" s="55"/>
      <c r="F24" s="48"/>
      <c r="G24" s="41"/>
      <c r="H24" s="48"/>
      <c r="I24" s="48"/>
      <c r="J24" s="48"/>
      <c r="K24" s="48"/>
      <c r="L24" s="64" t="s">
        <v>82</v>
      </c>
      <c r="M24" s="20" t="n">
        <v>80</v>
      </c>
      <c r="N24" s="23" t="n">
        <v>4.3</v>
      </c>
      <c r="O24" s="25" t="n">
        <v>0.048</v>
      </c>
      <c r="P24" s="23"/>
      <c r="Q24" s="48" t="s">
        <v>70</v>
      </c>
      <c r="R24" s="48"/>
      <c r="S24" s="48" t="s">
        <v>63</v>
      </c>
      <c r="T24" s="20"/>
      <c r="X24" s="28"/>
      <c r="Y24" s="28"/>
    </row>
    <row r="25" customFormat="false" ht="30" hidden="false" customHeight="true" outlineLevel="0" collapsed="false">
      <c r="A25" s="53"/>
      <c r="B25" s="65"/>
      <c r="C25" s="54"/>
      <c r="D25" s="54"/>
      <c r="E25" s="55"/>
      <c r="F25" s="48"/>
      <c r="G25" s="41"/>
      <c r="H25" s="20"/>
      <c r="I25" s="20"/>
      <c r="J25" s="20"/>
      <c r="K25" s="20"/>
      <c r="L25" s="64" t="s">
        <v>85</v>
      </c>
      <c r="M25" s="20" t="n">
        <v>85</v>
      </c>
      <c r="N25" s="23" t="n">
        <v>3.7</v>
      </c>
      <c r="O25" s="25" t="n">
        <v>0.051</v>
      </c>
      <c r="P25" s="23"/>
      <c r="Q25" s="48" t="s">
        <v>70</v>
      </c>
      <c r="R25" s="48"/>
      <c r="S25" s="48" t="s">
        <v>63</v>
      </c>
      <c r="T25" s="20"/>
      <c r="X25" s="28"/>
      <c r="Y25" s="28"/>
    </row>
    <row r="26" customFormat="false" ht="30" hidden="false" customHeight="true" outlineLevel="0" collapsed="false">
      <c r="A26" s="53"/>
      <c r="B26" s="65"/>
      <c r="C26" s="54"/>
      <c r="D26" s="54"/>
      <c r="E26" s="55"/>
      <c r="F26" s="48"/>
      <c r="G26" s="41"/>
      <c r="H26" s="20"/>
      <c r="I26" s="20"/>
      <c r="J26" s="20"/>
      <c r="K26" s="20"/>
      <c r="L26" s="64" t="s">
        <v>87</v>
      </c>
      <c r="M26" s="20" t="n">
        <v>160</v>
      </c>
      <c r="N26" s="23" t="n">
        <v>4</v>
      </c>
      <c r="O26" s="25" t="n">
        <v>0.036</v>
      </c>
      <c r="P26" s="23"/>
      <c r="Q26" s="48" t="s">
        <v>70</v>
      </c>
      <c r="R26" s="48"/>
      <c r="S26" s="48" t="s">
        <v>63</v>
      </c>
      <c r="T26" s="20"/>
      <c r="X26" s="28"/>
      <c r="Y26" s="28"/>
    </row>
    <row r="27" customFormat="false" ht="30" hidden="false" customHeight="true" outlineLevel="0" collapsed="false">
      <c r="A27" s="53"/>
      <c r="B27" s="65"/>
      <c r="C27" s="54"/>
      <c r="D27" s="54"/>
      <c r="E27" s="55"/>
      <c r="F27" s="48"/>
      <c r="G27" s="41"/>
      <c r="H27" s="20"/>
      <c r="I27" s="20"/>
      <c r="J27" s="20"/>
      <c r="K27" s="20"/>
      <c r="L27" s="64" t="s">
        <v>89</v>
      </c>
      <c r="M27" s="37" t="n">
        <v>165</v>
      </c>
      <c r="N27" s="23" t="n">
        <v>3.8</v>
      </c>
      <c r="O27" s="25" t="n">
        <v>0.023</v>
      </c>
      <c r="P27" s="23"/>
      <c r="Q27" s="48" t="s">
        <v>70</v>
      </c>
      <c r="R27" s="48"/>
      <c r="S27" s="48" t="s">
        <v>63</v>
      </c>
      <c r="T27" s="20"/>
      <c r="X27" s="28"/>
      <c r="Y27" s="28"/>
    </row>
    <row r="28" customFormat="false" ht="30" hidden="false" customHeight="true" outlineLevel="0" collapsed="false">
      <c r="A28" s="53"/>
      <c r="B28" s="65"/>
      <c r="C28" s="54"/>
      <c r="D28" s="54"/>
      <c r="E28" s="55"/>
      <c r="F28" s="48"/>
      <c r="G28" s="41"/>
      <c r="H28" s="20"/>
      <c r="I28" s="20"/>
      <c r="J28" s="20"/>
      <c r="K28" s="20"/>
      <c r="L28" s="64"/>
      <c r="M28" s="20"/>
      <c r="N28" s="23"/>
      <c r="O28" s="25"/>
      <c r="P28" s="23"/>
      <c r="Q28" s="48"/>
      <c r="R28" s="48"/>
      <c r="S28" s="48"/>
      <c r="T28" s="20"/>
      <c r="X28" s="28"/>
      <c r="Y28" s="28"/>
    </row>
    <row r="29" customFormat="false" ht="30" hidden="false" customHeight="true" outlineLevel="0" collapsed="false">
      <c r="A29" s="53"/>
      <c r="B29" s="65"/>
      <c r="C29" s="54"/>
      <c r="D29" s="54"/>
      <c r="E29" s="55"/>
      <c r="F29" s="48"/>
      <c r="G29" s="41"/>
      <c r="H29" s="20"/>
      <c r="I29" s="20"/>
      <c r="J29" s="20"/>
      <c r="K29" s="20"/>
      <c r="L29" s="64"/>
      <c r="M29" s="20"/>
      <c r="N29" s="23"/>
      <c r="O29" s="25"/>
      <c r="P29" s="23"/>
      <c r="Q29" s="48"/>
      <c r="R29" s="48"/>
      <c r="S29" s="48"/>
      <c r="T29" s="20"/>
      <c r="X29" s="28"/>
      <c r="Y29" s="28"/>
    </row>
    <row r="30" customFormat="false" ht="30" hidden="false" customHeight="true" outlineLevel="0" collapsed="false">
      <c r="B30" s="65"/>
      <c r="C30" s="38"/>
      <c r="D30" s="54"/>
      <c r="E30" s="23"/>
      <c r="F30" s="48"/>
      <c r="G30" s="41"/>
      <c r="H30" s="20"/>
      <c r="I30" s="20"/>
      <c r="J30" s="20"/>
      <c r="K30" s="20"/>
      <c r="L30" s="64"/>
      <c r="M30" s="20"/>
      <c r="N30" s="23"/>
      <c r="O30" s="25"/>
      <c r="P30" s="23"/>
      <c r="Q30" s="48"/>
      <c r="R30" s="48"/>
      <c r="S30" s="48"/>
      <c r="T30" s="20"/>
      <c r="X30" s="28"/>
      <c r="Y30" s="28"/>
    </row>
    <row r="31" customFormat="false" ht="30" hidden="false" customHeight="true" outlineLevel="0" collapsed="false">
      <c r="B31" s="19"/>
      <c r="C31" s="38"/>
      <c r="D31" s="38"/>
      <c r="E31" s="23"/>
      <c r="F31" s="48"/>
      <c r="G31" s="41"/>
      <c r="H31" s="20"/>
      <c r="I31" s="20"/>
      <c r="J31" s="20"/>
      <c r="K31" s="20"/>
      <c r="L31" s="64"/>
      <c r="M31" s="20"/>
      <c r="N31" s="23"/>
      <c r="O31" s="25"/>
      <c r="P31" s="23"/>
      <c r="Q31" s="20"/>
      <c r="R31" s="20"/>
      <c r="S31" s="20"/>
      <c r="T31" s="20"/>
      <c r="X31" s="28"/>
      <c r="Y31" s="28"/>
    </row>
    <row r="32" customFormat="false" ht="30" hidden="false" customHeight="true" outlineLevel="0" collapsed="false">
      <c r="B32" s="19"/>
      <c r="C32" s="38"/>
      <c r="D32" s="38"/>
      <c r="E32" s="23"/>
      <c r="F32" s="48" t="n">
        <f aca="false">SUM(F6:F31)</f>
        <v>246</v>
      </c>
      <c r="G32" s="41" t="n">
        <f aca="false">SUM(G6:G31)</f>
        <v>0</v>
      </c>
      <c r="H32" s="20"/>
      <c r="I32" s="20"/>
      <c r="J32" s="20"/>
      <c r="K32" s="20"/>
      <c r="L32" s="20"/>
      <c r="M32" s="20"/>
      <c r="N32" s="23"/>
      <c r="O32" s="25"/>
      <c r="P32" s="23"/>
      <c r="Q32" s="20"/>
      <c r="R32" s="20"/>
      <c r="S32" s="20"/>
      <c r="T32" s="20"/>
      <c r="X32" s="28"/>
      <c r="Y32" s="28"/>
    </row>
    <row r="33" customFormat="false" ht="30" hidden="false" customHeight="true" outlineLevel="0" collapsed="false">
      <c r="B33" s="19"/>
      <c r="C33" s="38"/>
      <c r="D33" s="38"/>
      <c r="E33" s="23"/>
      <c r="F33" s="48"/>
      <c r="G33" s="41"/>
      <c r="H33" s="20"/>
      <c r="I33" s="20"/>
      <c r="J33" s="20"/>
      <c r="K33" s="20"/>
      <c r="L33" s="20"/>
      <c r="M33" s="20"/>
      <c r="N33" s="23"/>
      <c r="O33" s="25"/>
      <c r="P33" s="23"/>
      <c r="Q33" s="20"/>
      <c r="R33" s="20"/>
      <c r="S33" s="20"/>
      <c r="T33" s="20"/>
      <c r="X33" s="28"/>
      <c r="Y33" s="28"/>
    </row>
    <row r="34" customFormat="false" ht="30" hidden="false" customHeight="true" outlineLevel="0" collapsed="false">
      <c r="B34" s="19"/>
      <c r="C34" s="38"/>
      <c r="D34" s="38"/>
      <c r="E34" s="23"/>
      <c r="F34" s="48"/>
      <c r="G34" s="41"/>
      <c r="H34" s="20"/>
      <c r="I34" s="20"/>
      <c r="J34" s="20"/>
      <c r="K34" s="20"/>
      <c r="L34" s="20"/>
      <c r="M34" s="20"/>
      <c r="N34" s="23"/>
      <c r="O34" s="25"/>
      <c r="P34" s="23"/>
      <c r="Q34" s="20"/>
      <c r="R34" s="20"/>
      <c r="S34" s="20"/>
      <c r="T34" s="20"/>
      <c r="X34" s="28"/>
      <c r="Y34" s="28"/>
    </row>
    <row r="35" customFormat="false" ht="30" hidden="false" customHeight="true" outlineLevel="0" collapsed="false">
      <c r="B35" s="19"/>
      <c r="C35" s="38"/>
      <c r="D35" s="38"/>
      <c r="E35" s="23"/>
      <c r="F35" s="48"/>
      <c r="G35" s="41"/>
      <c r="H35" s="20"/>
      <c r="I35" s="20"/>
      <c r="J35" s="20"/>
      <c r="K35" s="20"/>
      <c r="L35" s="20"/>
      <c r="M35" s="20"/>
      <c r="N35" s="23"/>
      <c r="O35" s="25"/>
      <c r="P35" s="23"/>
      <c r="Q35" s="20"/>
      <c r="R35" s="20"/>
      <c r="S35" s="20"/>
      <c r="T35" s="20"/>
      <c r="X35" s="28"/>
      <c r="Y35" s="28"/>
    </row>
    <row r="36" customFormat="false" ht="30" hidden="false" customHeight="true" outlineLevel="0" collapsed="false">
      <c r="B36" s="19"/>
      <c r="C36" s="38"/>
      <c r="D36" s="38"/>
      <c r="E36" s="23"/>
      <c r="F36" s="48"/>
      <c r="G36" s="41"/>
      <c r="H36" s="20"/>
      <c r="I36" s="20"/>
      <c r="J36" s="20"/>
      <c r="K36" s="20"/>
      <c r="L36" s="20"/>
      <c r="M36" s="20"/>
      <c r="N36" s="23"/>
      <c r="O36" s="25"/>
      <c r="P36" s="23"/>
      <c r="Q36" s="20"/>
      <c r="R36" s="20"/>
      <c r="S36" s="20"/>
      <c r="T36" s="20"/>
      <c r="X36" s="28"/>
      <c r="Y36" s="28"/>
    </row>
    <row r="37" customFormat="false" ht="30" hidden="false" customHeight="true" outlineLevel="0" collapsed="false">
      <c r="B37" s="19"/>
      <c r="C37" s="38"/>
      <c r="D37" s="38"/>
      <c r="E37" s="23"/>
      <c r="F37" s="48"/>
      <c r="G37" s="41"/>
      <c r="H37" s="20"/>
      <c r="I37" s="20"/>
      <c r="J37" s="20"/>
      <c r="K37" s="20"/>
      <c r="L37" s="20"/>
      <c r="M37" s="20"/>
      <c r="N37" s="23"/>
      <c r="O37" s="25"/>
      <c r="P37" s="23"/>
      <c r="Q37" s="20"/>
      <c r="R37" s="20"/>
      <c r="S37" s="20"/>
      <c r="T37" s="20"/>
      <c r="X37" s="28"/>
      <c r="Y37" s="28"/>
    </row>
    <row r="38" customFormat="false" ht="30" hidden="false" customHeight="true" outlineLevel="0" collapsed="false">
      <c r="B38" s="19"/>
      <c r="C38" s="38"/>
      <c r="D38" s="38"/>
      <c r="E38" s="23"/>
      <c r="F38" s="48"/>
      <c r="G38" s="41"/>
      <c r="H38" s="20"/>
      <c r="I38" s="20"/>
      <c r="J38" s="20"/>
      <c r="K38" s="20"/>
      <c r="L38" s="20"/>
      <c r="M38" s="20"/>
      <c r="N38" s="23"/>
      <c r="O38" s="25"/>
      <c r="P38" s="23"/>
      <c r="Q38" s="20"/>
      <c r="R38" s="20"/>
      <c r="S38" s="20"/>
      <c r="T38" s="20"/>
      <c r="X38" s="28"/>
      <c r="Y38" s="28"/>
    </row>
    <row r="39" customFormat="false" ht="30" hidden="false" customHeight="true" outlineLevel="0" collapsed="false">
      <c r="B39" s="19"/>
      <c r="C39" s="38"/>
      <c r="D39" s="38"/>
      <c r="E39" s="23"/>
      <c r="F39" s="48"/>
      <c r="G39" s="41"/>
      <c r="H39" s="20"/>
      <c r="I39" s="20"/>
      <c r="J39" s="20"/>
      <c r="K39" s="20"/>
      <c r="L39" s="64"/>
      <c r="M39" s="20"/>
      <c r="N39" s="23"/>
      <c r="O39" s="25"/>
      <c r="P39" s="23"/>
      <c r="Q39" s="20"/>
      <c r="R39" s="20"/>
      <c r="S39" s="20"/>
      <c r="T39" s="20"/>
      <c r="X39" s="28"/>
      <c r="Y39" s="28"/>
    </row>
    <row r="40" customFormat="false" ht="30" hidden="false" customHeight="true" outlineLevel="0" collapsed="false">
      <c r="B40" s="19"/>
      <c r="C40" s="38"/>
      <c r="D40" s="38"/>
      <c r="E40" s="23"/>
      <c r="F40" s="48"/>
      <c r="G40" s="41"/>
      <c r="H40" s="20"/>
      <c r="I40" s="20"/>
      <c r="J40" s="20"/>
      <c r="K40" s="20"/>
      <c r="L40" s="64"/>
      <c r="M40" s="20"/>
      <c r="N40" s="23"/>
      <c r="O40" s="25"/>
      <c r="P40" s="23"/>
      <c r="Q40" s="20"/>
      <c r="R40" s="20"/>
      <c r="S40" s="20"/>
      <c r="T40" s="20"/>
      <c r="X40" s="28"/>
      <c r="Y40" s="28"/>
    </row>
    <row r="41" customFormat="false" ht="30" hidden="false" customHeight="true" outlineLevel="0" collapsed="false">
      <c r="B41" s="19"/>
      <c r="C41" s="38"/>
      <c r="D41" s="38"/>
      <c r="E41" s="23"/>
      <c r="F41" s="48"/>
      <c r="G41" s="41"/>
      <c r="H41" s="20"/>
      <c r="I41" s="20"/>
      <c r="J41" s="20"/>
      <c r="K41" s="20"/>
      <c r="L41" s="64"/>
      <c r="M41" s="20"/>
      <c r="N41" s="23"/>
      <c r="O41" s="25"/>
      <c r="P41" s="23"/>
      <c r="Q41" s="20"/>
      <c r="R41" s="20"/>
      <c r="S41" s="20"/>
      <c r="T41" s="20"/>
      <c r="X41" s="28"/>
      <c r="Y41" s="28"/>
    </row>
    <row r="42" customFormat="false" ht="30" hidden="false" customHeight="true" outlineLevel="0" collapsed="false">
      <c r="B42" s="19"/>
      <c r="C42" s="38"/>
      <c r="D42" s="38"/>
      <c r="E42" s="23"/>
      <c r="F42" s="48"/>
      <c r="G42" s="41"/>
      <c r="H42" s="20"/>
      <c r="I42" s="20"/>
      <c r="J42" s="20"/>
      <c r="K42" s="20"/>
      <c r="L42" s="64"/>
      <c r="M42" s="79"/>
      <c r="N42" s="80"/>
      <c r="O42" s="81"/>
      <c r="P42" s="80"/>
      <c r="Q42" s="20"/>
      <c r="R42" s="20"/>
      <c r="S42" s="20"/>
      <c r="T42" s="20"/>
      <c r="X42" s="28"/>
      <c r="Y42" s="28"/>
    </row>
    <row r="43" customFormat="false" ht="30" hidden="false" customHeight="true" outlineLevel="0" collapsed="false">
      <c r="B43" s="19"/>
      <c r="C43" s="38"/>
      <c r="D43" s="38"/>
      <c r="E43" s="23"/>
      <c r="F43" s="48"/>
      <c r="G43" s="41"/>
      <c r="H43" s="20"/>
      <c r="I43" s="20"/>
      <c r="J43" s="20"/>
      <c r="K43" s="20"/>
      <c r="L43" s="64"/>
      <c r="M43" s="20"/>
      <c r="N43" s="23"/>
      <c r="O43" s="25"/>
      <c r="P43" s="23"/>
      <c r="Q43" s="20"/>
      <c r="R43" s="20"/>
      <c r="S43" s="20"/>
      <c r="T43" s="20"/>
      <c r="X43" s="28"/>
      <c r="Y43" s="28"/>
    </row>
    <row r="44" customFormat="false" ht="30" hidden="false" customHeight="true" outlineLevel="0" collapsed="false">
      <c r="B44" s="19"/>
      <c r="C44" s="38"/>
      <c r="D44" s="38"/>
      <c r="E44" s="23"/>
      <c r="F44" s="48"/>
      <c r="G44" s="41"/>
      <c r="H44" s="20"/>
      <c r="I44" s="20"/>
      <c r="J44" s="20"/>
      <c r="K44" s="20"/>
      <c r="L44" s="64"/>
      <c r="M44" s="20"/>
      <c r="N44" s="23"/>
      <c r="O44" s="25"/>
      <c r="P44" s="23"/>
      <c r="Q44" s="20"/>
      <c r="R44" s="20"/>
      <c r="S44" s="20"/>
      <c r="T44" s="20"/>
      <c r="X44" s="28"/>
      <c r="Y44" s="28"/>
    </row>
    <row r="45" customFormat="false" ht="30" hidden="false" customHeight="true" outlineLevel="0" collapsed="false">
      <c r="B45" s="19"/>
      <c r="C45" s="38"/>
      <c r="D45" s="38"/>
      <c r="E45" s="23"/>
      <c r="F45" s="48"/>
      <c r="G45" s="41"/>
      <c r="H45" s="20"/>
      <c r="I45" s="20"/>
      <c r="J45" s="20"/>
      <c r="K45" s="20"/>
      <c r="L45" s="64"/>
      <c r="M45" s="20"/>
      <c r="N45" s="23"/>
      <c r="O45" s="25"/>
      <c r="P45" s="23"/>
      <c r="Q45" s="20"/>
      <c r="R45" s="20"/>
      <c r="S45" s="20"/>
      <c r="T45" s="20"/>
      <c r="X45" s="28"/>
      <c r="Y45" s="28"/>
    </row>
    <row r="46" customFormat="false" ht="30" hidden="false" customHeight="true" outlineLevel="0" collapsed="false">
      <c r="B46" s="19"/>
      <c r="C46" s="38"/>
      <c r="D46" s="38"/>
      <c r="E46" s="23"/>
      <c r="F46" s="48"/>
      <c r="G46" s="41"/>
      <c r="H46" s="20"/>
      <c r="I46" s="20"/>
      <c r="J46" s="20"/>
      <c r="K46" s="20"/>
      <c r="L46" s="64"/>
      <c r="M46" s="20"/>
      <c r="N46" s="23"/>
      <c r="O46" s="25"/>
      <c r="P46" s="23"/>
      <c r="Q46" s="20"/>
      <c r="R46" s="20"/>
      <c r="S46" s="20"/>
      <c r="T46" s="20"/>
      <c r="X46" s="28"/>
      <c r="Y46" s="28"/>
    </row>
    <row r="47" customFormat="false" ht="30" hidden="false" customHeight="true" outlineLevel="0" collapsed="false">
      <c r="B47" s="19"/>
      <c r="C47" s="38"/>
      <c r="D47" s="38"/>
      <c r="E47" s="23"/>
      <c r="F47" s="48"/>
      <c r="G47" s="41"/>
      <c r="H47" s="20"/>
      <c r="I47" s="20"/>
      <c r="J47" s="20"/>
      <c r="K47" s="20"/>
      <c r="L47" s="64"/>
      <c r="M47" s="20"/>
      <c r="N47" s="23"/>
      <c r="O47" s="25"/>
      <c r="P47" s="23"/>
      <c r="Q47" s="20"/>
      <c r="R47" s="20"/>
      <c r="S47" s="20"/>
      <c r="T47" s="20"/>
      <c r="X47" s="28"/>
      <c r="Y47" s="28"/>
    </row>
    <row r="48" customFormat="false" ht="30" hidden="false" customHeight="true" outlineLevel="0" collapsed="false">
      <c r="B48" s="19"/>
      <c r="C48" s="38"/>
      <c r="D48" s="38"/>
      <c r="E48" s="23"/>
      <c r="F48" s="48"/>
      <c r="G48" s="41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X48" s="28"/>
      <c r="Y48" s="28"/>
    </row>
    <row r="49" customFormat="false" ht="30" hidden="false" customHeight="true" outlineLevel="0" collapsed="false">
      <c r="B49" s="19"/>
      <c r="C49" s="38"/>
      <c r="D49" s="38"/>
      <c r="E49" s="23"/>
      <c r="F49" s="48"/>
      <c r="G49" s="41"/>
      <c r="H49" s="20"/>
      <c r="I49" s="20"/>
      <c r="J49" s="20"/>
      <c r="K49" s="20"/>
      <c r="L49" s="64"/>
      <c r="M49" s="20"/>
      <c r="N49" s="23"/>
      <c r="O49" s="25"/>
      <c r="P49" s="23"/>
      <c r="Q49" s="20"/>
      <c r="R49" s="20"/>
      <c r="S49" s="20"/>
      <c r="T49" s="20"/>
      <c r="X49" s="28"/>
      <c r="Y49" s="28"/>
    </row>
    <row r="50" customFormat="false" ht="30" hidden="false" customHeight="true" outlineLevel="0" collapsed="false">
      <c r="B50" s="19"/>
      <c r="C50" s="38"/>
      <c r="D50" s="38"/>
      <c r="E50" s="23"/>
      <c r="F50" s="48"/>
      <c r="G50" s="41"/>
      <c r="H50" s="20"/>
      <c r="I50" s="20"/>
      <c r="J50" s="20"/>
      <c r="K50" s="20"/>
      <c r="L50" s="64"/>
      <c r="M50" s="79"/>
      <c r="N50" s="80"/>
      <c r="O50" s="81"/>
      <c r="P50" s="80"/>
      <c r="Q50" s="20"/>
      <c r="R50" s="20"/>
      <c r="S50" s="20"/>
      <c r="T50" s="20"/>
      <c r="X50" s="28"/>
      <c r="Y50" s="28"/>
    </row>
    <row r="51" customFormat="false" ht="30" hidden="false" customHeight="true" outlineLevel="0" collapsed="false">
      <c r="B51" s="19"/>
      <c r="C51" s="38"/>
      <c r="D51" s="38"/>
      <c r="E51" s="39"/>
      <c r="F51" s="40"/>
      <c r="G51" s="41"/>
      <c r="H51" s="20"/>
      <c r="I51" s="20"/>
      <c r="J51" s="20"/>
      <c r="K51" s="20"/>
      <c r="L51" s="20"/>
      <c r="M51" s="20"/>
      <c r="N51" s="23"/>
      <c r="O51" s="25"/>
      <c r="P51" s="23"/>
      <c r="Q51" s="20"/>
      <c r="R51" s="20"/>
      <c r="S51" s="20"/>
      <c r="T51" s="20"/>
      <c r="X51" s="28"/>
      <c r="Y51" s="28"/>
    </row>
    <row r="52" customFormat="false" ht="30" hidden="false" customHeight="true" outlineLevel="0" collapsed="false">
      <c r="B52" s="19"/>
      <c r="C52" s="38"/>
      <c r="D52" s="38"/>
      <c r="E52" s="23"/>
      <c r="F52" s="40"/>
      <c r="G52" s="41"/>
      <c r="H52" s="20"/>
      <c r="I52" s="20"/>
      <c r="J52" s="20"/>
      <c r="K52" s="20"/>
      <c r="L52" s="20"/>
      <c r="M52" s="20"/>
      <c r="N52" s="23"/>
      <c r="O52" s="25"/>
      <c r="P52" s="23"/>
      <c r="Q52" s="20"/>
      <c r="R52" s="20"/>
      <c r="S52" s="20"/>
      <c r="T52" s="20"/>
      <c r="U52" s="83"/>
      <c r="V52" s="83"/>
      <c r="X52" s="28"/>
      <c r="Y52" s="28"/>
    </row>
    <row r="53" customFormat="false" ht="30" hidden="false" customHeight="true" outlineLevel="0" collapsed="false">
      <c r="B53" s="19"/>
      <c r="C53" s="38"/>
      <c r="D53" s="38"/>
      <c r="E53" s="23"/>
      <c r="F53" s="55"/>
      <c r="G53" s="41"/>
      <c r="H53" s="20"/>
      <c r="I53" s="20"/>
      <c r="J53" s="20"/>
      <c r="K53" s="20"/>
      <c r="L53" s="20"/>
      <c r="M53" s="20"/>
      <c r="N53" s="23"/>
      <c r="O53" s="25"/>
      <c r="P53" s="23"/>
      <c r="Q53" s="20"/>
      <c r="R53" s="20"/>
      <c r="S53" s="20"/>
      <c r="T53" s="20"/>
      <c r="U53" s="83"/>
      <c r="V53" s="83"/>
      <c r="X53" s="28"/>
      <c r="Y53" s="28"/>
    </row>
    <row r="54" customFormat="false" ht="30" hidden="false" customHeight="true" outlineLevel="0" collapsed="false">
      <c r="B54" s="19"/>
      <c r="C54" s="38"/>
      <c r="D54" s="38"/>
      <c r="E54" s="23"/>
      <c r="F54" s="48"/>
      <c r="G54" s="41"/>
      <c r="H54" s="20"/>
      <c r="I54" s="20"/>
      <c r="J54" s="20"/>
      <c r="K54" s="20"/>
      <c r="L54" s="64"/>
      <c r="M54" s="20"/>
      <c r="N54" s="23"/>
      <c r="O54" s="25"/>
      <c r="P54" s="23"/>
      <c r="Q54" s="20"/>
      <c r="R54" s="20"/>
      <c r="S54" s="20"/>
      <c r="T54" s="20"/>
      <c r="X54" s="28"/>
      <c r="Y54" s="28"/>
    </row>
    <row r="55" customFormat="false" ht="30" hidden="false" customHeight="true" outlineLevel="0" collapsed="false">
      <c r="B55" s="19"/>
      <c r="C55" s="38"/>
      <c r="D55" s="38"/>
      <c r="E55" s="23"/>
      <c r="F55" s="48"/>
      <c r="G55" s="41"/>
      <c r="H55" s="20"/>
      <c r="I55" s="20"/>
      <c r="J55" s="20"/>
      <c r="K55" s="20"/>
      <c r="L55" s="64"/>
      <c r="M55" s="20"/>
      <c r="N55" s="23"/>
      <c r="O55" s="25"/>
      <c r="P55" s="23"/>
      <c r="Q55" s="20"/>
      <c r="R55" s="20"/>
      <c r="S55" s="20"/>
      <c r="T55" s="20"/>
      <c r="X55" s="28"/>
      <c r="Y55" s="28"/>
    </row>
    <row r="56" customFormat="false" ht="30" hidden="false" customHeight="true" outlineLevel="0" collapsed="false">
      <c r="B56" s="19"/>
      <c r="C56" s="38"/>
      <c r="D56" s="38"/>
      <c r="E56" s="23"/>
      <c r="F56" s="48"/>
      <c r="G56" s="41"/>
      <c r="H56" s="20"/>
      <c r="I56" s="20"/>
      <c r="J56" s="20"/>
      <c r="K56" s="20"/>
      <c r="L56" s="64"/>
      <c r="M56" s="20"/>
      <c r="N56" s="23"/>
      <c r="O56" s="25"/>
      <c r="P56" s="23" t="s">
        <v>108</v>
      </c>
      <c r="Q56" s="20"/>
      <c r="R56" s="20"/>
      <c r="S56" s="20"/>
      <c r="T56" s="20"/>
      <c r="X56" s="28"/>
      <c r="Y56" s="28"/>
    </row>
    <row r="57" customFormat="false" ht="30" hidden="false" customHeight="true" outlineLevel="0" collapsed="false">
      <c r="B57" s="19"/>
      <c r="C57" s="38"/>
      <c r="D57" s="38"/>
      <c r="E57" s="23"/>
      <c r="F57" s="84"/>
      <c r="G57" s="24"/>
      <c r="H57" s="20"/>
      <c r="I57" s="20"/>
      <c r="J57" s="20"/>
      <c r="K57" s="20"/>
      <c r="L57" s="64"/>
      <c r="M57" s="20"/>
      <c r="N57" s="23"/>
      <c r="O57" s="25"/>
      <c r="P57" s="23"/>
      <c r="Q57" s="20"/>
      <c r="R57" s="20"/>
      <c r="S57" s="20"/>
      <c r="T57" s="20"/>
      <c r="X57" s="28"/>
      <c r="Y57" s="28"/>
    </row>
    <row r="58" customFormat="false" ht="30" hidden="false" customHeight="true" outlineLevel="0" collapsed="false">
      <c r="B58" s="19"/>
      <c r="C58" s="38"/>
      <c r="D58" s="38"/>
      <c r="E58" s="23"/>
      <c r="F58" s="84"/>
      <c r="G58" s="24"/>
      <c r="H58" s="20"/>
      <c r="I58" s="20"/>
      <c r="J58" s="20"/>
      <c r="K58" s="20"/>
      <c r="L58" s="64"/>
      <c r="M58" s="20"/>
      <c r="N58" s="23"/>
      <c r="O58" s="25"/>
      <c r="P58" s="23"/>
      <c r="Q58" s="20"/>
      <c r="R58" s="20"/>
      <c r="S58" s="20"/>
      <c r="T58" s="20"/>
      <c r="X58" s="28"/>
      <c r="Y58" s="28"/>
    </row>
    <row r="59" customFormat="false" ht="30" hidden="false" customHeight="true" outlineLevel="0" collapsed="false">
      <c r="B59" s="19"/>
      <c r="C59" s="38"/>
      <c r="D59" s="38"/>
      <c r="E59" s="23"/>
      <c r="F59" s="84"/>
      <c r="G59" s="24"/>
      <c r="H59" s="20"/>
      <c r="I59" s="20"/>
      <c r="J59" s="20"/>
      <c r="K59" s="20"/>
      <c r="L59" s="64"/>
      <c r="M59" s="20"/>
      <c r="N59" s="23"/>
      <c r="O59" s="25"/>
      <c r="P59" s="23"/>
      <c r="Q59" s="20"/>
      <c r="R59" s="20"/>
      <c r="S59" s="20"/>
      <c r="T59" s="20"/>
      <c r="X59" s="28"/>
      <c r="Y59" s="28"/>
    </row>
    <row r="60" customFormat="false" ht="30" hidden="false" customHeight="true" outlineLevel="0" collapsed="false">
      <c r="B60" s="19"/>
      <c r="C60" s="38"/>
      <c r="D60" s="38"/>
      <c r="E60" s="23"/>
      <c r="F60" s="84"/>
      <c r="G60" s="24"/>
      <c r="H60" s="20"/>
      <c r="I60" s="20"/>
      <c r="J60" s="20"/>
      <c r="K60" s="20"/>
      <c r="L60" s="64"/>
      <c r="M60" s="20"/>
      <c r="N60" s="23"/>
      <c r="O60" s="25"/>
      <c r="P60" s="23"/>
      <c r="Q60" s="20"/>
      <c r="R60" s="20"/>
      <c r="S60" s="20"/>
      <c r="T60" s="20"/>
      <c r="X60" s="28"/>
      <c r="Y60" s="28"/>
    </row>
    <row r="61" customFormat="false" ht="30" hidden="false" customHeight="true" outlineLevel="0" collapsed="false">
      <c r="B61" s="19"/>
      <c r="C61" s="38"/>
      <c r="D61" s="38"/>
      <c r="E61" s="23"/>
      <c r="F61" s="84"/>
      <c r="G61" s="24"/>
      <c r="H61" s="20"/>
      <c r="I61" s="20"/>
      <c r="J61" s="20"/>
      <c r="K61" s="20"/>
      <c r="L61" s="64"/>
      <c r="M61" s="20"/>
      <c r="N61" s="23"/>
      <c r="O61" s="25"/>
      <c r="P61" s="23"/>
      <c r="Q61" s="20"/>
      <c r="R61" s="20"/>
      <c r="S61" s="20"/>
      <c r="T61" s="20"/>
      <c r="X61" s="28"/>
      <c r="Y61" s="28"/>
    </row>
    <row r="62" customFormat="false" ht="30" hidden="false" customHeight="true" outlineLevel="0" collapsed="false">
      <c r="B62" s="19"/>
      <c r="C62" s="38"/>
      <c r="D62" s="38"/>
      <c r="E62" s="23"/>
      <c r="F62" s="84"/>
      <c r="G62" s="24"/>
      <c r="H62" s="20"/>
      <c r="I62" s="20"/>
      <c r="J62" s="20"/>
      <c r="K62" s="20"/>
      <c r="L62" s="64"/>
      <c r="M62" s="20"/>
      <c r="N62" s="23"/>
      <c r="O62" s="25"/>
      <c r="P62" s="23"/>
      <c r="Q62" s="20"/>
      <c r="R62" s="20"/>
      <c r="S62" s="20"/>
      <c r="T62" s="20"/>
      <c r="X62" s="28"/>
      <c r="Y62" s="28"/>
    </row>
    <row r="63" customFormat="false" ht="30" hidden="false" customHeight="true" outlineLevel="0" collapsed="false">
      <c r="B63" s="19"/>
      <c r="C63" s="38"/>
      <c r="D63" s="38"/>
      <c r="E63" s="23"/>
      <c r="F63" s="84"/>
      <c r="G63" s="24"/>
      <c r="H63" s="20"/>
      <c r="I63" s="20"/>
      <c r="J63" s="20"/>
      <c r="K63" s="20"/>
      <c r="L63" s="64"/>
      <c r="M63" s="20"/>
      <c r="N63" s="23"/>
      <c r="O63" s="25"/>
      <c r="P63" s="23"/>
      <c r="Q63" s="20"/>
      <c r="R63" s="20"/>
      <c r="S63" s="20"/>
      <c r="T63" s="20"/>
      <c r="X63" s="28"/>
      <c r="Y63" s="28"/>
    </row>
    <row r="64" customFormat="false" ht="30" hidden="false" customHeight="true" outlineLevel="0" collapsed="false">
      <c r="B64" s="19"/>
      <c r="C64" s="38"/>
      <c r="D64" s="38"/>
      <c r="E64" s="23"/>
      <c r="F64" s="84"/>
      <c r="G64" s="24"/>
      <c r="H64" s="20"/>
      <c r="I64" s="20"/>
      <c r="J64" s="20"/>
      <c r="K64" s="20"/>
      <c r="L64" s="64"/>
      <c r="M64" s="20"/>
      <c r="N64" s="23"/>
      <c r="O64" s="25"/>
      <c r="P64" s="23"/>
      <c r="Q64" s="20"/>
      <c r="R64" s="20"/>
      <c r="S64" s="20"/>
      <c r="T64" s="20"/>
      <c r="X64" s="28"/>
      <c r="Y64" s="28"/>
    </row>
    <row r="65" customFormat="false" ht="30" hidden="false" customHeight="true" outlineLevel="0" collapsed="false">
      <c r="B65" s="19"/>
      <c r="C65" s="38"/>
      <c r="D65" s="38"/>
      <c r="E65" s="23"/>
      <c r="F65" s="84"/>
      <c r="G65" s="24"/>
      <c r="H65" s="20"/>
      <c r="I65" s="20"/>
      <c r="J65" s="20"/>
      <c r="K65" s="20"/>
      <c r="L65" s="64"/>
      <c r="M65" s="20"/>
      <c r="N65" s="23"/>
      <c r="O65" s="25"/>
      <c r="P65" s="23"/>
      <c r="Q65" s="20"/>
      <c r="R65" s="20"/>
      <c r="S65" s="20"/>
      <c r="T65" s="20"/>
      <c r="X65" s="28"/>
      <c r="Y65" s="28"/>
    </row>
    <row r="66" customFormat="false" ht="30" hidden="false" customHeight="true" outlineLevel="0" collapsed="false">
      <c r="B66" s="19"/>
      <c r="C66" s="38"/>
      <c r="D66" s="38"/>
      <c r="E66" s="23"/>
      <c r="F66" s="84"/>
      <c r="G66" s="24"/>
      <c r="H66" s="20"/>
      <c r="I66" s="20"/>
      <c r="J66" s="20"/>
      <c r="K66" s="20"/>
      <c r="L66" s="64"/>
      <c r="M66" s="20"/>
      <c r="N66" s="23"/>
      <c r="O66" s="25"/>
      <c r="P66" s="23"/>
      <c r="Q66" s="20"/>
      <c r="R66" s="20"/>
      <c r="S66" s="20"/>
      <c r="T66" s="20"/>
      <c r="X66" s="28"/>
      <c r="Y66" s="28"/>
    </row>
    <row r="67" customFormat="false" ht="30" hidden="false" customHeight="true" outlineLevel="0" collapsed="false">
      <c r="B67" s="19"/>
      <c r="C67" s="38"/>
      <c r="D67" s="38"/>
      <c r="E67" s="23"/>
      <c r="F67" s="84"/>
      <c r="G67" s="24"/>
      <c r="H67" s="20"/>
      <c r="I67" s="20"/>
      <c r="J67" s="20"/>
      <c r="K67" s="20"/>
      <c r="L67" s="64"/>
      <c r="M67" s="20"/>
      <c r="N67" s="23"/>
      <c r="O67" s="25"/>
      <c r="P67" s="23"/>
      <c r="Q67" s="20"/>
      <c r="R67" s="20"/>
      <c r="S67" s="20"/>
      <c r="T67" s="20"/>
      <c r="X67" s="28"/>
      <c r="Y67" s="28"/>
    </row>
    <row r="68" customFormat="false" ht="30" hidden="false" customHeight="true" outlineLevel="0" collapsed="false">
      <c r="B68" s="19"/>
      <c r="C68" s="38"/>
      <c r="D68" s="38"/>
      <c r="E68" s="23"/>
      <c r="F68" s="84"/>
      <c r="G68" s="24"/>
      <c r="H68" s="20"/>
      <c r="I68" s="20"/>
      <c r="J68" s="20"/>
      <c r="K68" s="20"/>
      <c r="L68" s="64"/>
      <c r="M68" s="20"/>
      <c r="N68" s="23"/>
      <c r="O68" s="25"/>
      <c r="P68" s="23"/>
      <c r="Q68" s="20"/>
      <c r="R68" s="20"/>
      <c r="S68" s="20"/>
      <c r="T68" s="20"/>
      <c r="X68" s="28"/>
      <c r="Y68" s="28"/>
    </row>
    <row r="69" customFormat="false" ht="30" hidden="false" customHeight="true" outlineLevel="0" collapsed="false">
      <c r="B69" s="19"/>
      <c r="C69" s="38"/>
      <c r="D69" s="38"/>
      <c r="E69" s="23"/>
      <c r="F69" s="84"/>
      <c r="G69" s="24"/>
      <c r="H69" s="20"/>
      <c r="I69" s="20"/>
      <c r="J69" s="20"/>
      <c r="K69" s="20"/>
      <c r="L69" s="64"/>
      <c r="M69" s="20"/>
      <c r="N69" s="23"/>
      <c r="O69" s="25"/>
      <c r="P69" s="23"/>
      <c r="Q69" s="20"/>
      <c r="R69" s="20"/>
      <c r="S69" s="20"/>
      <c r="T69" s="20"/>
      <c r="X69" s="28"/>
      <c r="Y69" s="28"/>
    </row>
    <row r="70" customFormat="false" ht="30" hidden="false" customHeight="true" outlineLevel="0" collapsed="false">
      <c r="B70" s="19"/>
      <c r="C70" s="38"/>
      <c r="D70" s="38"/>
      <c r="E70" s="23"/>
      <c r="F70" s="84"/>
      <c r="G70" s="24"/>
      <c r="H70" s="20"/>
      <c r="I70" s="20"/>
      <c r="J70" s="20"/>
      <c r="K70" s="20"/>
      <c r="L70" s="64"/>
      <c r="M70" s="20"/>
      <c r="N70" s="23"/>
      <c r="O70" s="25"/>
      <c r="P70" s="23"/>
      <c r="Q70" s="20"/>
      <c r="R70" s="20"/>
      <c r="S70" s="20"/>
      <c r="T70" s="20"/>
      <c r="X70" s="28"/>
      <c r="Y70" s="28"/>
    </row>
    <row r="71" customFormat="false" ht="30" hidden="false" customHeight="true" outlineLevel="0" collapsed="false">
      <c r="B71" s="19"/>
      <c r="C71" s="38"/>
      <c r="D71" s="38"/>
      <c r="E71" s="23"/>
      <c r="F71" s="84"/>
      <c r="G71" s="24"/>
      <c r="H71" s="20"/>
      <c r="I71" s="20"/>
      <c r="J71" s="20"/>
      <c r="K71" s="20"/>
      <c r="L71" s="64"/>
      <c r="M71" s="20"/>
      <c r="N71" s="23"/>
      <c r="O71" s="25"/>
      <c r="P71" s="23"/>
      <c r="Q71" s="20"/>
      <c r="R71" s="20"/>
      <c r="S71" s="20"/>
      <c r="T71" s="20"/>
      <c r="X71" s="28"/>
      <c r="Y71" s="28"/>
    </row>
    <row r="72" customFormat="false" ht="30" hidden="false" customHeight="true" outlineLevel="0" collapsed="false">
      <c r="B72" s="19"/>
      <c r="C72" s="38"/>
      <c r="D72" s="38"/>
      <c r="E72" s="23"/>
      <c r="F72" s="84"/>
      <c r="G72" s="24"/>
      <c r="H72" s="20"/>
      <c r="I72" s="20"/>
      <c r="J72" s="20"/>
      <c r="K72" s="20"/>
      <c r="L72" s="64"/>
      <c r="M72" s="20"/>
      <c r="N72" s="23"/>
      <c r="O72" s="25"/>
      <c r="P72" s="23"/>
      <c r="Q72" s="20"/>
      <c r="R72" s="20"/>
      <c r="S72" s="20"/>
      <c r="T72" s="20"/>
      <c r="X72" s="28"/>
      <c r="Y72" s="28"/>
    </row>
    <row r="73" customFormat="false" ht="30" hidden="false" customHeight="true" outlineLevel="0" collapsed="false">
      <c r="B73" s="19"/>
      <c r="C73" s="38"/>
      <c r="D73" s="38"/>
      <c r="E73" s="23"/>
      <c r="F73" s="84"/>
      <c r="G73" s="24"/>
      <c r="H73" s="20"/>
      <c r="I73" s="20"/>
      <c r="J73" s="20"/>
      <c r="K73" s="20"/>
      <c r="L73" s="64"/>
      <c r="M73" s="20"/>
      <c r="N73" s="23"/>
      <c r="O73" s="25"/>
      <c r="P73" s="23"/>
      <c r="Q73" s="20"/>
      <c r="R73" s="20"/>
      <c r="S73" s="20"/>
      <c r="T73" s="20"/>
      <c r="X73" s="28"/>
      <c r="Y73" s="28"/>
    </row>
    <row r="74" customFormat="false" ht="30" hidden="false" customHeight="true" outlineLevel="0" collapsed="false">
      <c r="B74" s="19"/>
      <c r="C74" s="38"/>
      <c r="D74" s="38"/>
      <c r="E74" s="23"/>
      <c r="F74" s="84"/>
      <c r="G74" s="24"/>
      <c r="H74" s="20"/>
      <c r="I74" s="20"/>
      <c r="J74" s="20"/>
      <c r="K74" s="20"/>
      <c r="L74" s="64"/>
      <c r="M74" s="20"/>
      <c r="N74" s="23"/>
      <c r="O74" s="25"/>
      <c r="P74" s="23"/>
      <c r="Q74" s="20"/>
      <c r="R74" s="20"/>
      <c r="S74" s="20"/>
      <c r="T74" s="20"/>
      <c r="X74" s="28"/>
      <c r="Y74" s="28"/>
    </row>
    <row r="75" customFormat="false" ht="30" hidden="false" customHeight="true" outlineLevel="0" collapsed="false">
      <c r="B75" s="19"/>
      <c r="C75" s="38"/>
      <c r="D75" s="38"/>
      <c r="E75" s="23"/>
      <c r="F75" s="84"/>
      <c r="G75" s="24"/>
      <c r="H75" s="20"/>
      <c r="I75" s="20"/>
      <c r="J75" s="20"/>
      <c r="K75" s="20"/>
      <c r="L75" s="64"/>
      <c r="M75" s="20"/>
      <c r="N75" s="23"/>
      <c r="O75" s="25"/>
      <c r="P75" s="23"/>
      <c r="Q75" s="20"/>
      <c r="R75" s="20"/>
      <c r="S75" s="20"/>
      <c r="T75" s="20"/>
      <c r="X75" s="28"/>
      <c r="Y75" s="28"/>
    </row>
    <row r="76" customFormat="false" ht="30" hidden="false" customHeight="true" outlineLevel="0" collapsed="false">
      <c r="B76" s="19"/>
      <c r="C76" s="38"/>
      <c r="D76" s="38"/>
      <c r="E76" s="23"/>
      <c r="F76" s="84"/>
      <c r="G76" s="24"/>
      <c r="H76" s="20"/>
      <c r="I76" s="20"/>
      <c r="J76" s="20"/>
      <c r="K76" s="20"/>
      <c r="L76" s="64"/>
      <c r="M76" s="20"/>
      <c r="N76" s="23"/>
      <c r="O76" s="25"/>
      <c r="P76" s="23"/>
      <c r="Q76" s="20"/>
      <c r="R76" s="20"/>
      <c r="S76" s="20"/>
      <c r="T76" s="20"/>
      <c r="X76" s="28"/>
      <c r="Y76" s="28"/>
    </row>
    <row r="77" customFormat="false" ht="30" hidden="false" customHeight="true" outlineLevel="0" collapsed="false">
      <c r="B77" s="19"/>
      <c r="C77" s="38"/>
      <c r="D77" s="38"/>
      <c r="E77" s="23"/>
      <c r="F77" s="84"/>
      <c r="G77" s="24"/>
      <c r="H77" s="20"/>
      <c r="I77" s="20"/>
      <c r="J77" s="20"/>
      <c r="K77" s="20"/>
      <c r="L77" s="64"/>
      <c r="M77" s="20"/>
      <c r="N77" s="23"/>
      <c r="O77" s="25"/>
      <c r="P77" s="23"/>
      <c r="Q77" s="20"/>
      <c r="R77" s="20"/>
      <c r="S77" s="20"/>
      <c r="T77" s="20"/>
      <c r="X77" s="28"/>
      <c r="Y77" s="28"/>
    </row>
    <row r="78" customFormat="false" ht="30" hidden="false" customHeight="true" outlineLevel="0" collapsed="false">
      <c r="B78" s="19"/>
      <c r="C78" s="38"/>
      <c r="D78" s="38"/>
      <c r="E78" s="23"/>
      <c r="F78" s="84"/>
      <c r="G78" s="24"/>
      <c r="H78" s="20"/>
      <c r="I78" s="20"/>
      <c r="J78" s="20"/>
      <c r="K78" s="20"/>
      <c r="L78" s="64"/>
      <c r="M78" s="20"/>
      <c r="N78" s="23"/>
      <c r="O78" s="25"/>
      <c r="P78" s="23"/>
      <c r="Q78" s="20"/>
      <c r="R78" s="20"/>
      <c r="S78" s="20"/>
      <c r="T78" s="20"/>
      <c r="X78" s="28"/>
      <c r="Y78" s="28"/>
    </row>
    <row r="79" customFormat="false" ht="30" hidden="false" customHeight="true" outlineLevel="0" collapsed="false">
      <c r="B79" s="19"/>
      <c r="C79" s="38"/>
      <c r="D79" s="38"/>
      <c r="E79" s="23"/>
      <c r="F79" s="84"/>
      <c r="G79" s="24"/>
      <c r="H79" s="20"/>
      <c r="I79" s="20"/>
      <c r="J79" s="20"/>
      <c r="K79" s="20"/>
      <c r="L79" s="64"/>
      <c r="M79" s="20"/>
      <c r="N79" s="23"/>
      <c r="O79" s="25"/>
      <c r="P79" s="23"/>
      <c r="Q79" s="20"/>
      <c r="R79" s="20"/>
      <c r="S79" s="20"/>
      <c r="T79" s="20"/>
      <c r="X79" s="28"/>
      <c r="Y79" s="28"/>
    </row>
    <row r="80" customFormat="false" ht="30" hidden="false" customHeight="true" outlineLevel="0" collapsed="false">
      <c r="B80" s="19"/>
      <c r="C80" s="38"/>
      <c r="D80" s="38"/>
      <c r="E80" s="23"/>
      <c r="F80" s="84"/>
      <c r="G80" s="24"/>
      <c r="H80" s="20"/>
      <c r="I80" s="20"/>
      <c r="J80" s="20"/>
      <c r="K80" s="20"/>
      <c r="L80" s="64"/>
      <c r="M80" s="20"/>
      <c r="N80" s="23"/>
      <c r="O80" s="25"/>
      <c r="P80" s="23"/>
      <c r="Q80" s="20"/>
      <c r="R80" s="20"/>
      <c r="S80" s="20"/>
      <c r="T80" s="20"/>
      <c r="X80" s="28"/>
      <c r="Y80" s="28"/>
    </row>
    <row r="81" customFormat="false" ht="30" hidden="false" customHeight="true" outlineLevel="0" collapsed="false">
      <c r="B81" s="19"/>
      <c r="C81" s="38"/>
      <c r="D81" s="38"/>
      <c r="E81" s="23"/>
      <c r="F81" s="84"/>
      <c r="G81" s="24"/>
      <c r="H81" s="20"/>
      <c r="I81" s="20"/>
      <c r="J81" s="20"/>
      <c r="K81" s="20"/>
      <c r="L81" s="64"/>
      <c r="M81" s="20"/>
      <c r="N81" s="23"/>
      <c r="O81" s="25"/>
      <c r="P81" s="23"/>
      <c r="Q81" s="20"/>
      <c r="R81" s="20"/>
      <c r="S81" s="20"/>
      <c r="T81" s="20"/>
      <c r="X81" s="28"/>
      <c r="Y81" s="28"/>
    </row>
    <row r="82" customFormat="false" ht="30" hidden="false" customHeight="true" outlineLevel="0" collapsed="false">
      <c r="B82" s="19"/>
      <c r="C82" s="38"/>
      <c r="D82" s="38"/>
      <c r="E82" s="23"/>
      <c r="F82" s="84"/>
      <c r="G82" s="24"/>
      <c r="H82" s="20"/>
      <c r="I82" s="20"/>
      <c r="J82" s="20"/>
      <c r="K82" s="20"/>
      <c r="L82" s="64"/>
      <c r="M82" s="20"/>
      <c r="N82" s="23"/>
      <c r="O82" s="25"/>
      <c r="P82" s="23"/>
      <c r="Q82" s="20"/>
      <c r="R82" s="20"/>
      <c r="S82" s="20"/>
      <c r="T82" s="20"/>
      <c r="X82" s="28"/>
      <c r="Y82" s="28"/>
    </row>
    <row r="83" customFormat="false" ht="30" hidden="false" customHeight="true" outlineLevel="0" collapsed="false">
      <c r="B83" s="19"/>
      <c r="C83" s="38"/>
      <c r="D83" s="38"/>
      <c r="E83" s="23"/>
      <c r="F83" s="84"/>
      <c r="G83" s="24"/>
      <c r="H83" s="20"/>
      <c r="I83" s="20"/>
      <c r="J83" s="20"/>
      <c r="K83" s="20"/>
      <c r="L83" s="64"/>
      <c r="M83" s="20"/>
      <c r="N83" s="23"/>
      <c r="O83" s="25"/>
      <c r="P83" s="23"/>
      <c r="Q83" s="20"/>
      <c r="R83" s="20"/>
      <c r="S83" s="20"/>
      <c r="T83" s="20"/>
      <c r="X83" s="28"/>
      <c r="Y83" s="28"/>
    </row>
    <row r="84" customFormat="false" ht="30" hidden="false" customHeight="true" outlineLevel="0" collapsed="false">
      <c r="B84" s="19"/>
      <c r="C84" s="38"/>
      <c r="D84" s="38"/>
      <c r="E84" s="23"/>
      <c r="F84" s="84"/>
      <c r="G84" s="24"/>
      <c r="H84" s="20"/>
      <c r="I84" s="20"/>
      <c r="J84" s="20"/>
      <c r="K84" s="20"/>
      <c r="L84" s="64"/>
      <c r="M84" s="20"/>
      <c r="N84" s="23"/>
      <c r="O84" s="25"/>
      <c r="P84" s="23"/>
      <c r="Q84" s="20"/>
      <c r="R84" s="20"/>
      <c r="S84" s="20"/>
      <c r="T84" s="20"/>
      <c r="X84" s="28"/>
      <c r="Y84" s="28"/>
    </row>
    <row r="85" customFormat="false" ht="30" hidden="false" customHeight="true" outlineLevel="0" collapsed="false">
      <c r="B85" s="19"/>
      <c r="C85" s="38"/>
      <c r="D85" s="38"/>
      <c r="E85" s="23"/>
      <c r="F85" s="84"/>
      <c r="G85" s="24"/>
      <c r="H85" s="20"/>
      <c r="I85" s="20"/>
      <c r="J85" s="20"/>
      <c r="K85" s="20"/>
      <c r="L85" s="64"/>
      <c r="M85" s="20"/>
      <c r="N85" s="23"/>
      <c r="O85" s="25"/>
      <c r="P85" s="23"/>
      <c r="Q85" s="20"/>
      <c r="R85" s="20"/>
      <c r="S85" s="20"/>
      <c r="T85" s="20"/>
      <c r="X85" s="28"/>
      <c r="Y85" s="28"/>
    </row>
    <row r="86" customFormat="false" ht="30" hidden="false" customHeight="true" outlineLevel="0" collapsed="false">
      <c r="B86" s="19"/>
      <c r="C86" s="38"/>
      <c r="D86" s="38"/>
      <c r="E86" s="23"/>
      <c r="F86" s="84"/>
      <c r="G86" s="24"/>
      <c r="H86" s="20"/>
      <c r="I86" s="20"/>
      <c r="J86" s="20"/>
      <c r="K86" s="20"/>
      <c r="L86" s="64"/>
      <c r="M86" s="20"/>
      <c r="N86" s="23"/>
      <c r="O86" s="25"/>
      <c r="P86" s="23"/>
      <c r="Q86" s="20"/>
      <c r="R86" s="20"/>
      <c r="S86" s="20"/>
      <c r="T86" s="20"/>
      <c r="X86" s="28"/>
      <c r="Y86" s="28"/>
    </row>
    <row r="87" customFormat="false" ht="30" hidden="false" customHeight="true" outlineLevel="0" collapsed="false">
      <c r="B87" s="19"/>
      <c r="C87" s="38"/>
      <c r="D87" s="38"/>
      <c r="E87" s="23"/>
      <c r="F87" s="84"/>
      <c r="G87" s="24"/>
      <c r="H87" s="20"/>
      <c r="I87" s="20"/>
      <c r="J87" s="20"/>
      <c r="K87" s="20"/>
      <c r="L87" s="64"/>
      <c r="M87" s="20"/>
      <c r="N87" s="23"/>
      <c r="O87" s="25"/>
      <c r="P87" s="23"/>
      <c r="Q87" s="20"/>
      <c r="R87" s="20"/>
      <c r="S87" s="20"/>
      <c r="T87" s="20"/>
      <c r="X87" s="28"/>
      <c r="Y87" s="28"/>
    </row>
    <row r="88" customFormat="false" ht="30" hidden="false" customHeight="true" outlineLevel="0" collapsed="false">
      <c r="B88" s="19"/>
      <c r="C88" s="38"/>
      <c r="D88" s="38"/>
      <c r="E88" s="23"/>
      <c r="F88" s="84"/>
      <c r="G88" s="24"/>
      <c r="H88" s="20"/>
      <c r="I88" s="20"/>
      <c r="J88" s="20"/>
      <c r="K88" s="20"/>
      <c r="L88" s="64"/>
      <c r="M88" s="20"/>
      <c r="N88" s="23"/>
      <c r="O88" s="25"/>
      <c r="P88" s="23"/>
      <c r="Q88" s="20"/>
      <c r="R88" s="20"/>
      <c r="S88" s="20"/>
      <c r="T88" s="20"/>
      <c r="X88" s="28"/>
      <c r="Y88" s="28"/>
    </row>
    <row r="89" customFormat="false" ht="30" hidden="false" customHeight="true" outlineLevel="0" collapsed="false">
      <c r="B89" s="19"/>
      <c r="C89" s="38"/>
      <c r="D89" s="38"/>
      <c r="E89" s="23"/>
      <c r="F89" s="84"/>
      <c r="G89" s="24"/>
      <c r="H89" s="20"/>
      <c r="I89" s="20"/>
      <c r="J89" s="20"/>
      <c r="K89" s="20"/>
      <c r="L89" s="64"/>
      <c r="M89" s="20"/>
      <c r="N89" s="23"/>
      <c r="O89" s="25"/>
      <c r="P89" s="23"/>
      <c r="Q89" s="20"/>
      <c r="R89" s="20"/>
      <c r="S89" s="20"/>
      <c r="T89" s="20"/>
      <c r="X89" s="28"/>
      <c r="Y89" s="28"/>
    </row>
    <row r="90" customFormat="false" ht="30" hidden="false" customHeight="true" outlineLevel="0" collapsed="false">
      <c r="B90" s="19"/>
      <c r="C90" s="38"/>
      <c r="D90" s="38"/>
      <c r="E90" s="23"/>
      <c r="F90" s="84"/>
      <c r="G90" s="24"/>
      <c r="H90" s="20"/>
      <c r="I90" s="20"/>
      <c r="J90" s="20"/>
      <c r="K90" s="20"/>
      <c r="L90" s="64"/>
      <c r="M90" s="20"/>
      <c r="N90" s="23"/>
      <c r="O90" s="25"/>
      <c r="P90" s="23"/>
      <c r="Q90" s="20"/>
      <c r="R90" s="20"/>
      <c r="S90" s="20"/>
      <c r="T90" s="20"/>
      <c r="X90" s="28"/>
      <c r="Y90" s="28"/>
    </row>
    <row r="91" customFormat="false" ht="30" hidden="false" customHeight="true" outlineLevel="0" collapsed="false">
      <c r="B91" s="19"/>
      <c r="C91" s="38"/>
      <c r="D91" s="38"/>
      <c r="E91" s="23"/>
      <c r="F91" s="84"/>
      <c r="G91" s="24"/>
      <c r="H91" s="20"/>
      <c r="I91" s="20"/>
      <c r="J91" s="20"/>
      <c r="K91" s="20"/>
      <c r="L91" s="64"/>
      <c r="M91" s="20"/>
      <c r="N91" s="23"/>
      <c r="O91" s="25"/>
      <c r="P91" s="23"/>
      <c r="Q91" s="20"/>
      <c r="R91" s="20"/>
      <c r="S91" s="20"/>
      <c r="T91" s="20"/>
      <c r="X91" s="28"/>
      <c r="Y91" s="28"/>
    </row>
    <row r="92" customFormat="false" ht="30" hidden="false" customHeight="true" outlineLevel="0" collapsed="false">
      <c r="B92" s="19"/>
      <c r="C92" s="38"/>
      <c r="D92" s="38"/>
      <c r="E92" s="23"/>
      <c r="F92" s="84"/>
      <c r="G92" s="24"/>
      <c r="H92" s="20"/>
      <c r="I92" s="20"/>
      <c r="J92" s="20"/>
      <c r="K92" s="20"/>
      <c r="L92" s="64"/>
      <c r="M92" s="20"/>
      <c r="N92" s="23"/>
      <c r="O92" s="25"/>
      <c r="P92" s="23"/>
      <c r="Q92" s="20"/>
      <c r="R92" s="20"/>
      <c r="S92" s="20"/>
      <c r="T92" s="20"/>
      <c r="X92" s="28"/>
      <c r="Y92" s="28"/>
    </row>
    <row r="93" customFormat="false" ht="30" hidden="false" customHeight="true" outlineLevel="0" collapsed="false">
      <c r="B93" s="19"/>
      <c r="C93" s="38"/>
      <c r="D93" s="38"/>
      <c r="E93" s="23"/>
      <c r="F93" s="84"/>
      <c r="G93" s="24"/>
      <c r="H93" s="20"/>
      <c r="I93" s="20"/>
      <c r="J93" s="20"/>
      <c r="K93" s="20"/>
      <c r="L93" s="64"/>
      <c r="M93" s="20"/>
      <c r="N93" s="23"/>
      <c r="O93" s="25"/>
      <c r="P93" s="23"/>
      <c r="Q93" s="20"/>
      <c r="R93" s="20"/>
      <c r="S93" s="20"/>
      <c r="T93" s="20"/>
      <c r="X93" s="28"/>
      <c r="Y93" s="28"/>
    </row>
    <row r="94" customFormat="false" ht="30" hidden="false" customHeight="true" outlineLevel="0" collapsed="false">
      <c r="B94" s="19"/>
      <c r="C94" s="38"/>
      <c r="D94" s="38"/>
      <c r="E94" s="23"/>
      <c r="F94" s="84"/>
      <c r="G94" s="24"/>
      <c r="H94" s="20"/>
      <c r="I94" s="20"/>
      <c r="J94" s="20"/>
      <c r="K94" s="20"/>
      <c r="L94" s="64"/>
      <c r="M94" s="20"/>
      <c r="N94" s="23"/>
      <c r="O94" s="25"/>
      <c r="P94" s="23"/>
      <c r="Q94" s="20"/>
      <c r="R94" s="20"/>
      <c r="S94" s="20"/>
      <c r="T94" s="20"/>
      <c r="X94" s="28"/>
      <c r="Y94" s="28"/>
    </row>
    <row r="95" customFormat="false" ht="30" hidden="false" customHeight="true" outlineLevel="0" collapsed="false">
      <c r="B95" s="19"/>
      <c r="C95" s="38"/>
      <c r="D95" s="38"/>
      <c r="E95" s="23"/>
      <c r="F95" s="84"/>
      <c r="G95" s="24"/>
      <c r="H95" s="20"/>
      <c r="I95" s="20"/>
      <c r="J95" s="20"/>
      <c r="K95" s="20"/>
      <c r="L95" s="64"/>
      <c r="M95" s="20"/>
      <c r="N95" s="23"/>
      <c r="O95" s="25"/>
      <c r="P95" s="23"/>
      <c r="Q95" s="20"/>
      <c r="R95" s="20"/>
      <c r="S95" s="20"/>
      <c r="T95" s="20"/>
      <c r="X95" s="28"/>
      <c r="Y95" s="28"/>
    </row>
    <row r="96" customFormat="false" ht="30" hidden="false" customHeight="true" outlineLevel="0" collapsed="false">
      <c r="B96" s="19"/>
      <c r="C96" s="38"/>
      <c r="D96" s="38"/>
      <c r="E96" s="23"/>
      <c r="F96" s="84"/>
      <c r="G96" s="24"/>
      <c r="H96" s="20"/>
      <c r="I96" s="20"/>
      <c r="J96" s="20"/>
      <c r="K96" s="20"/>
      <c r="L96" s="64"/>
      <c r="M96" s="20"/>
      <c r="N96" s="23"/>
      <c r="O96" s="25"/>
      <c r="P96" s="23"/>
      <c r="Q96" s="20"/>
      <c r="R96" s="20"/>
      <c r="S96" s="20"/>
      <c r="T96" s="20"/>
      <c r="X96" s="28"/>
      <c r="Y96" s="28"/>
    </row>
    <row r="97" customFormat="false" ht="30" hidden="false" customHeight="true" outlineLevel="0" collapsed="false">
      <c r="B97" s="19"/>
      <c r="C97" s="38"/>
      <c r="D97" s="38"/>
      <c r="E97" s="23"/>
      <c r="F97" s="84"/>
      <c r="G97" s="24"/>
      <c r="H97" s="20"/>
      <c r="I97" s="20"/>
      <c r="J97" s="20"/>
      <c r="K97" s="20"/>
      <c r="L97" s="64"/>
      <c r="M97" s="20"/>
      <c r="N97" s="23"/>
      <c r="O97" s="25"/>
      <c r="P97" s="23"/>
      <c r="Q97" s="20"/>
      <c r="R97" s="20"/>
      <c r="S97" s="20"/>
      <c r="T97" s="20"/>
      <c r="X97" s="28"/>
      <c r="Y97" s="28"/>
    </row>
    <row r="98" customFormat="false" ht="30" hidden="false" customHeight="true" outlineLevel="0" collapsed="false">
      <c r="B98" s="19"/>
      <c r="C98" s="38"/>
      <c r="D98" s="38"/>
      <c r="E98" s="23"/>
      <c r="F98" s="84"/>
      <c r="G98" s="24"/>
      <c r="H98" s="20"/>
      <c r="I98" s="20"/>
      <c r="J98" s="20"/>
      <c r="K98" s="20"/>
      <c r="L98" s="64"/>
      <c r="M98" s="20"/>
      <c r="N98" s="23"/>
      <c r="O98" s="25"/>
      <c r="P98" s="23"/>
      <c r="Q98" s="20"/>
      <c r="R98" s="20"/>
      <c r="S98" s="20"/>
      <c r="T98" s="20"/>
      <c r="X98" s="28"/>
      <c r="Y98" s="28"/>
    </row>
    <row r="99" customFormat="false" ht="30" hidden="false" customHeight="true" outlineLevel="0" collapsed="false">
      <c r="B99" s="19"/>
      <c r="C99" s="38"/>
      <c r="D99" s="38"/>
      <c r="E99" s="23"/>
      <c r="F99" s="84"/>
      <c r="G99" s="24"/>
      <c r="H99" s="20"/>
      <c r="I99" s="20"/>
      <c r="J99" s="20"/>
      <c r="K99" s="20"/>
      <c r="L99" s="64"/>
      <c r="M99" s="20"/>
      <c r="N99" s="23"/>
      <c r="O99" s="25"/>
      <c r="P99" s="23"/>
      <c r="Q99" s="20"/>
      <c r="R99" s="20"/>
      <c r="S99" s="20"/>
      <c r="T99" s="20"/>
      <c r="X99" s="28"/>
      <c r="Y99" s="28"/>
    </row>
    <row r="100" customFormat="false" ht="30" hidden="false" customHeight="true" outlineLevel="0" collapsed="false">
      <c r="B100" s="19"/>
      <c r="C100" s="38"/>
      <c r="D100" s="38"/>
      <c r="E100" s="23"/>
      <c r="F100" s="84"/>
      <c r="G100" s="24"/>
      <c r="H100" s="20"/>
      <c r="I100" s="20"/>
      <c r="J100" s="20"/>
      <c r="K100" s="20"/>
      <c r="L100" s="64"/>
      <c r="M100" s="20"/>
      <c r="N100" s="23"/>
      <c r="O100" s="25"/>
      <c r="P100" s="23"/>
      <c r="Q100" s="20"/>
      <c r="R100" s="20"/>
      <c r="S100" s="20"/>
      <c r="T100" s="20"/>
      <c r="X100" s="28"/>
      <c r="Y100" s="28"/>
    </row>
    <row r="101" customFormat="false" ht="30" hidden="false" customHeight="true" outlineLevel="0" collapsed="false">
      <c r="B101" s="19"/>
      <c r="C101" s="38"/>
      <c r="D101" s="38"/>
      <c r="E101" s="23"/>
      <c r="F101" s="84"/>
      <c r="G101" s="24"/>
      <c r="H101" s="20"/>
      <c r="I101" s="20"/>
      <c r="J101" s="20"/>
      <c r="K101" s="20"/>
      <c r="L101" s="64"/>
      <c r="M101" s="20"/>
      <c r="N101" s="23"/>
      <c r="O101" s="25"/>
      <c r="P101" s="23"/>
      <c r="Q101" s="20"/>
      <c r="R101" s="20"/>
      <c r="S101" s="20"/>
      <c r="T101" s="20"/>
      <c r="X101" s="28"/>
      <c r="Y101" s="28"/>
    </row>
    <row r="102" customFormat="false" ht="30" hidden="false" customHeight="true" outlineLevel="0" collapsed="false">
      <c r="B102" s="19"/>
      <c r="C102" s="38"/>
      <c r="D102" s="38"/>
      <c r="E102" s="23"/>
      <c r="F102" s="84"/>
      <c r="G102" s="24"/>
      <c r="H102" s="20"/>
      <c r="I102" s="20"/>
      <c r="J102" s="20"/>
      <c r="K102" s="20"/>
      <c r="L102" s="64"/>
      <c r="M102" s="20"/>
      <c r="N102" s="23"/>
      <c r="O102" s="25"/>
      <c r="P102" s="23"/>
      <c r="Q102" s="20"/>
      <c r="R102" s="20"/>
      <c r="S102" s="20"/>
      <c r="T102" s="20"/>
      <c r="X102" s="28"/>
      <c r="Y102" s="28"/>
    </row>
    <row r="103" customFormat="false" ht="30" hidden="false" customHeight="true" outlineLevel="0" collapsed="false">
      <c r="B103" s="19"/>
      <c r="C103" s="38"/>
      <c r="D103" s="38"/>
      <c r="E103" s="23"/>
      <c r="F103" s="84"/>
      <c r="G103" s="24"/>
      <c r="H103" s="20"/>
      <c r="I103" s="20"/>
      <c r="J103" s="20"/>
      <c r="K103" s="20"/>
      <c r="L103" s="64"/>
      <c r="M103" s="20"/>
      <c r="N103" s="23"/>
      <c r="O103" s="25"/>
      <c r="P103" s="23"/>
      <c r="Q103" s="20"/>
      <c r="R103" s="20"/>
      <c r="S103" s="20"/>
      <c r="T103" s="20"/>
      <c r="X103" s="28"/>
      <c r="Y103" s="28"/>
    </row>
    <row r="104" customFormat="false" ht="30" hidden="false" customHeight="true" outlineLevel="0" collapsed="false">
      <c r="B104" s="19"/>
      <c r="C104" s="38"/>
      <c r="D104" s="38"/>
      <c r="E104" s="23"/>
      <c r="F104" s="84"/>
      <c r="G104" s="24"/>
      <c r="H104" s="20"/>
      <c r="I104" s="20"/>
      <c r="J104" s="20"/>
      <c r="K104" s="20"/>
      <c r="L104" s="64"/>
      <c r="M104" s="20"/>
      <c r="N104" s="23"/>
      <c r="O104" s="25"/>
      <c r="P104" s="23"/>
      <c r="Q104" s="20"/>
      <c r="R104" s="20"/>
      <c r="S104" s="20"/>
      <c r="T104" s="20"/>
      <c r="X104" s="28"/>
      <c r="Y104" s="28"/>
    </row>
    <row r="105" customFormat="false" ht="30" hidden="false" customHeight="true" outlineLevel="0" collapsed="false">
      <c r="B105" s="19"/>
      <c r="C105" s="38"/>
      <c r="D105" s="38"/>
      <c r="E105" s="23"/>
      <c r="F105" s="84"/>
      <c r="G105" s="24"/>
      <c r="H105" s="20"/>
      <c r="I105" s="20"/>
      <c r="J105" s="20"/>
      <c r="K105" s="20"/>
      <c r="L105" s="64"/>
      <c r="M105" s="20"/>
      <c r="N105" s="23"/>
      <c r="O105" s="25"/>
      <c r="P105" s="23"/>
      <c r="Q105" s="20"/>
      <c r="R105" s="20"/>
      <c r="S105" s="20"/>
      <c r="T105" s="20"/>
      <c r="X105" s="28"/>
      <c r="Y105" s="28"/>
    </row>
    <row r="106" customFormat="false" ht="30" hidden="false" customHeight="true" outlineLevel="0" collapsed="false">
      <c r="B106" s="19"/>
      <c r="C106" s="38"/>
      <c r="D106" s="38"/>
      <c r="E106" s="23"/>
      <c r="F106" s="84"/>
      <c r="G106" s="24"/>
      <c r="H106" s="20"/>
      <c r="I106" s="20"/>
      <c r="J106" s="20"/>
      <c r="K106" s="20"/>
      <c r="L106" s="64"/>
      <c r="M106" s="20"/>
      <c r="N106" s="23"/>
      <c r="O106" s="25"/>
      <c r="P106" s="23"/>
      <c r="Q106" s="20"/>
      <c r="R106" s="20"/>
      <c r="S106" s="20"/>
      <c r="T106" s="20"/>
      <c r="X106" s="28"/>
      <c r="Y106" s="28"/>
    </row>
    <row r="107" customFormat="false" ht="30" hidden="false" customHeight="true" outlineLevel="0" collapsed="false">
      <c r="B107" s="19"/>
      <c r="C107" s="38"/>
      <c r="D107" s="38"/>
      <c r="E107" s="23"/>
      <c r="F107" s="84"/>
      <c r="G107" s="24"/>
      <c r="H107" s="20"/>
      <c r="I107" s="20"/>
      <c r="J107" s="20"/>
      <c r="K107" s="20"/>
      <c r="L107" s="64"/>
      <c r="M107" s="20"/>
      <c r="N107" s="23"/>
      <c r="O107" s="25"/>
      <c r="P107" s="23"/>
      <c r="Q107" s="20"/>
      <c r="R107" s="20"/>
      <c r="S107" s="20"/>
      <c r="T107" s="20"/>
      <c r="X107" s="28"/>
      <c r="Y107" s="28"/>
    </row>
    <row r="108" customFormat="false" ht="30" hidden="false" customHeight="true" outlineLevel="0" collapsed="false">
      <c r="B108" s="19"/>
      <c r="C108" s="38"/>
      <c r="D108" s="38"/>
      <c r="E108" s="23"/>
      <c r="F108" s="84"/>
      <c r="G108" s="24"/>
      <c r="H108" s="20"/>
      <c r="I108" s="20"/>
      <c r="J108" s="20"/>
      <c r="K108" s="20"/>
      <c r="L108" s="64"/>
      <c r="M108" s="20"/>
      <c r="N108" s="23"/>
      <c r="O108" s="25"/>
      <c r="P108" s="23"/>
      <c r="Q108" s="20"/>
      <c r="R108" s="20"/>
      <c r="S108" s="20"/>
      <c r="T108" s="20"/>
      <c r="X108" s="28"/>
      <c r="Y108" s="28"/>
    </row>
    <row r="109" customFormat="false" ht="30" hidden="false" customHeight="true" outlineLevel="0" collapsed="false">
      <c r="B109" s="19"/>
      <c r="C109" s="38"/>
      <c r="D109" s="38"/>
      <c r="E109" s="23"/>
      <c r="F109" s="84"/>
      <c r="G109" s="24"/>
      <c r="H109" s="20"/>
      <c r="I109" s="20"/>
      <c r="J109" s="20"/>
      <c r="K109" s="20"/>
      <c r="L109" s="64"/>
      <c r="M109" s="20"/>
      <c r="N109" s="23"/>
      <c r="O109" s="25"/>
      <c r="P109" s="23"/>
      <c r="Q109" s="20"/>
      <c r="R109" s="20"/>
      <c r="S109" s="20"/>
      <c r="T109" s="20"/>
      <c r="X109" s="28"/>
      <c r="Y109" s="28"/>
    </row>
    <row r="110" customFormat="false" ht="30" hidden="false" customHeight="true" outlineLevel="0" collapsed="false">
      <c r="B110" s="19"/>
      <c r="C110" s="38"/>
      <c r="D110" s="38"/>
      <c r="E110" s="23"/>
      <c r="F110" s="84"/>
      <c r="G110" s="24"/>
      <c r="H110" s="20"/>
      <c r="I110" s="20"/>
      <c r="J110" s="20"/>
      <c r="K110" s="20"/>
      <c r="L110" s="64"/>
      <c r="M110" s="20"/>
      <c r="N110" s="23"/>
      <c r="O110" s="25"/>
      <c r="P110" s="23"/>
      <c r="Q110" s="20"/>
      <c r="R110" s="20"/>
      <c r="S110" s="20"/>
      <c r="T110" s="20"/>
      <c r="X110" s="28"/>
      <c r="Y110" s="28"/>
    </row>
    <row r="111" customFormat="false" ht="30" hidden="false" customHeight="true" outlineLevel="0" collapsed="false">
      <c r="B111" s="19"/>
      <c r="C111" s="38"/>
      <c r="D111" s="38"/>
      <c r="E111" s="23"/>
      <c r="F111" s="84"/>
      <c r="G111" s="24"/>
      <c r="H111" s="20"/>
      <c r="I111" s="20"/>
      <c r="J111" s="20"/>
      <c r="K111" s="20"/>
      <c r="L111" s="64"/>
      <c r="M111" s="20"/>
      <c r="N111" s="23"/>
      <c r="O111" s="25"/>
      <c r="P111" s="23"/>
      <c r="Q111" s="20"/>
      <c r="R111" s="20"/>
      <c r="S111" s="20"/>
      <c r="T111" s="20"/>
      <c r="X111" s="28"/>
      <c r="Y111" s="28"/>
    </row>
    <row r="112" customFormat="false" ht="30" hidden="false" customHeight="true" outlineLevel="0" collapsed="false">
      <c r="B112" s="19"/>
      <c r="C112" s="38"/>
      <c r="D112" s="38"/>
      <c r="E112" s="23"/>
      <c r="F112" s="84"/>
      <c r="G112" s="24"/>
      <c r="H112" s="20"/>
      <c r="I112" s="20"/>
      <c r="J112" s="20"/>
      <c r="K112" s="20"/>
      <c r="L112" s="64"/>
      <c r="M112" s="20"/>
      <c r="N112" s="23"/>
      <c r="O112" s="25"/>
      <c r="P112" s="23"/>
      <c r="Q112" s="20"/>
      <c r="R112" s="20"/>
      <c r="S112" s="20"/>
      <c r="T112" s="20"/>
      <c r="X112" s="28"/>
      <c r="Y112" s="28"/>
    </row>
    <row r="113" customFormat="false" ht="30" hidden="false" customHeight="true" outlineLevel="0" collapsed="false">
      <c r="B113" s="19"/>
      <c r="C113" s="38"/>
      <c r="D113" s="38"/>
      <c r="E113" s="23"/>
      <c r="F113" s="84"/>
      <c r="G113" s="24"/>
      <c r="H113" s="20"/>
      <c r="I113" s="20"/>
      <c r="J113" s="20"/>
      <c r="K113" s="20"/>
      <c r="L113" s="64"/>
      <c r="M113" s="20"/>
      <c r="N113" s="23"/>
      <c r="O113" s="25"/>
      <c r="P113" s="23"/>
      <c r="Q113" s="20"/>
      <c r="R113" s="20"/>
      <c r="S113" s="20"/>
      <c r="T113" s="20"/>
      <c r="X113" s="28"/>
      <c r="Y113" s="28"/>
    </row>
    <row r="114" customFormat="false" ht="30" hidden="false" customHeight="true" outlineLevel="0" collapsed="false">
      <c r="B114" s="19"/>
      <c r="C114" s="38"/>
      <c r="D114" s="38"/>
      <c r="E114" s="23"/>
      <c r="F114" s="84"/>
      <c r="G114" s="24"/>
      <c r="H114" s="20"/>
      <c r="I114" s="20"/>
      <c r="J114" s="20"/>
      <c r="K114" s="20"/>
      <c r="L114" s="64"/>
      <c r="M114" s="20"/>
      <c r="N114" s="23"/>
      <c r="O114" s="25"/>
      <c r="P114" s="23"/>
      <c r="Q114" s="20"/>
      <c r="R114" s="20"/>
      <c r="S114" s="20"/>
      <c r="T114" s="20"/>
      <c r="X114" s="28"/>
      <c r="Y114" s="28"/>
    </row>
    <row r="115" customFormat="false" ht="30" hidden="false" customHeight="true" outlineLevel="0" collapsed="false">
      <c r="B115" s="19"/>
      <c r="C115" s="38"/>
      <c r="D115" s="38"/>
      <c r="E115" s="23"/>
      <c r="F115" s="84"/>
      <c r="G115" s="24"/>
      <c r="H115" s="20"/>
      <c r="I115" s="20"/>
      <c r="J115" s="20"/>
      <c r="K115" s="20"/>
      <c r="L115" s="64"/>
      <c r="M115" s="20"/>
      <c r="N115" s="23"/>
      <c r="O115" s="25"/>
      <c r="P115" s="23"/>
      <c r="Q115" s="20"/>
      <c r="R115" s="20"/>
      <c r="S115" s="20"/>
      <c r="T115" s="20"/>
      <c r="X115" s="28"/>
      <c r="Y115" s="28"/>
    </row>
    <row r="116" customFormat="false" ht="30" hidden="false" customHeight="true" outlineLevel="0" collapsed="false">
      <c r="B116" s="19"/>
      <c r="C116" s="38"/>
      <c r="D116" s="38"/>
      <c r="E116" s="23"/>
      <c r="F116" s="84"/>
      <c r="G116" s="24"/>
      <c r="H116" s="20"/>
      <c r="I116" s="20"/>
      <c r="J116" s="20"/>
      <c r="K116" s="20"/>
      <c r="L116" s="64"/>
      <c r="M116" s="20"/>
      <c r="N116" s="23"/>
      <c r="O116" s="25"/>
      <c r="P116" s="23"/>
      <c r="Q116" s="20"/>
      <c r="R116" s="20"/>
      <c r="S116" s="20"/>
      <c r="T116" s="20"/>
      <c r="X116" s="28"/>
      <c r="Y116" s="28"/>
    </row>
    <row r="117" customFormat="false" ht="30" hidden="false" customHeight="true" outlineLevel="0" collapsed="false">
      <c r="B117" s="19"/>
      <c r="C117" s="38"/>
      <c r="D117" s="38"/>
      <c r="E117" s="23"/>
      <c r="F117" s="84"/>
      <c r="G117" s="24"/>
      <c r="H117" s="20"/>
      <c r="I117" s="20"/>
      <c r="J117" s="20"/>
      <c r="K117" s="20"/>
      <c r="L117" s="64"/>
      <c r="M117" s="20"/>
      <c r="N117" s="23"/>
      <c r="O117" s="25"/>
      <c r="P117" s="23"/>
      <c r="Q117" s="20"/>
      <c r="R117" s="20"/>
      <c r="S117" s="20"/>
      <c r="T117" s="20"/>
      <c r="X117" s="28"/>
      <c r="Y117" s="28"/>
    </row>
    <row r="118" customFormat="false" ht="30" hidden="false" customHeight="true" outlineLevel="0" collapsed="false">
      <c r="B118" s="19"/>
      <c r="C118" s="38"/>
      <c r="D118" s="38"/>
      <c r="E118" s="23"/>
      <c r="F118" s="84"/>
      <c r="G118" s="24"/>
      <c r="H118" s="20"/>
      <c r="I118" s="20"/>
      <c r="J118" s="20"/>
      <c r="K118" s="20"/>
      <c r="L118" s="64"/>
      <c r="M118" s="20"/>
      <c r="N118" s="23"/>
      <c r="O118" s="25"/>
      <c r="P118" s="23"/>
      <c r="Q118" s="20"/>
      <c r="R118" s="20"/>
      <c r="S118" s="20"/>
      <c r="T118" s="20"/>
      <c r="X118" s="28"/>
      <c r="Y118" s="28"/>
    </row>
    <row r="119" customFormat="false" ht="30" hidden="false" customHeight="true" outlineLevel="0" collapsed="false">
      <c r="B119" s="19"/>
      <c r="C119" s="38"/>
      <c r="D119" s="38"/>
      <c r="E119" s="23"/>
      <c r="F119" s="84"/>
      <c r="G119" s="24"/>
      <c r="H119" s="20"/>
      <c r="I119" s="20"/>
      <c r="J119" s="20"/>
      <c r="K119" s="20"/>
      <c r="L119" s="64"/>
      <c r="M119" s="20"/>
      <c r="N119" s="23"/>
      <c r="O119" s="25"/>
      <c r="P119" s="23"/>
      <c r="Q119" s="20"/>
      <c r="R119" s="20"/>
      <c r="S119" s="20"/>
      <c r="T119" s="20"/>
      <c r="X119" s="28"/>
      <c r="Y119" s="28"/>
    </row>
    <row r="120" customFormat="false" ht="30" hidden="false" customHeight="true" outlineLevel="0" collapsed="false">
      <c r="B120" s="19"/>
      <c r="C120" s="38"/>
      <c r="D120" s="38"/>
      <c r="E120" s="23"/>
      <c r="F120" s="84"/>
      <c r="G120" s="24"/>
      <c r="H120" s="20"/>
      <c r="I120" s="20"/>
      <c r="J120" s="20"/>
      <c r="K120" s="20"/>
      <c r="L120" s="64"/>
      <c r="M120" s="20"/>
      <c r="N120" s="23"/>
      <c r="O120" s="25"/>
      <c r="P120" s="23"/>
      <c r="Q120" s="20"/>
      <c r="R120" s="20"/>
      <c r="S120" s="20"/>
      <c r="T120" s="20"/>
      <c r="X120" s="28"/>
      <c r="Y120" s="28"/>
    </row>
    <row r="121" customFormat="false" ht="30" hidden="false" customHeight="true" outlineLevel="0" collapsed="false">
      <c r="B121" s="19"/>
      <c r="C121" s="38"/>
      <c r="D121" s="38"/>
      <c r="E121" s="23"/>
      <c r="F121" s="84"/>
      <c r="G121" s="24"/>
      <c r="H121" s="20"/>
      <c r="I121" s="20"/>
      <c r="J121" s="20"/>
      <c r="K121" s="20"/>
      <c r="L121" s="64"/>
      <c r="M121" s="20"/>
      <c r="N121" s="23"/>
      <c r="O121" s="25"/>
      <c r="P121" s="23"/>
      <c r="Q121" s="20"/>
      <c r="R121" s="20"/>
      <c r="S121" s="20"/>
      <c r="T121" s="20"/>
      <c r="X121" s="28"/>
      <c r="Y121" s="28"/>
    </row>
    <row r="122" customFormat="false" ht="30" hidden="false" customHeight="true" outlineLevel="0" collapsed="false">
      <c r="B122" s="19"/>
      <c r="C122" s="38"/>
      <c r="D122" s="38"/>
      <c r="E122" s="23"/>
      <c r="F122" s="84"/>
      <c r="G122" s="24"/>
      <c r="H122" s="20"/>
      <c r="I122" s="20"/>
      <c r="J122" s="20"/>
      <c r="K122" s="20"/>
      <c r="L122" s="64"/>
      <c r="M122" s="20"/>
      <c r="N122" s="23"/>
      <c r="O122" s="25"/>
      <c r="P122" s="23"/>
      <c r="Q122" s="20"/>
      <c r="R122" s="20"/>
      <c r="S122" s="20"/>
      <c r="T122" s="20"/>
      <c r="X122" s="28"/>
      <c r="Y122" s="28"/>
    </row>
    <row r="123" customFormat="false" ht="30" hidden="false" customHeight="true" outlineLevel="0" collapsed="false">
      <c r="B123" s="19"/>
      <c r="C123" s="38"/>
      <c r="D123" s="38"/>
      <c r="E123" s="23"/>
      <c r="F123" s="84"/>
      <c r="G123" s="24"/>
      <c r="H123" s="20"/>
      <c r="I123" s="20"/>
      <c r="J123" s="20"/>
      <c r="K123" s="20"/>
      <c r="L123" s="64"/>
      <c r="M123" s="20"/>
      <c r="N123" s="23"/>
      <c r="O123" s="25"/>
      <c r="P123" s="23"/>
      <c r="Q123" s="20"/>
      <c r="R123" s="20"/>
      <c r="S123" s="20"/>
      <c r="T123" s="20"/>
      <c r="X123" s="28"/>
      <c r="Y123" s="28"/>
    </row>
    <row r="124" customFormat="false" ht="30" hidden="false" customHeight="true" outlineLevel="0" collapsed="false">
      <c r="B124" s="19"/>
      <c r="C124" s="38"/>
      <c r="D124" s="38"/>
      <c r="E124" s="23"/>
      <c r="F124" s="84"/>
      <c r="G124" s="24"/>
      <c r="H124" s="20"/>
      <c r="I124" s="20"/>
      <c r="J124" s="20"/>
      <c r="K124" s="20"/>
      <c r="L124" s="64"/>
      <c r="M124" s="20"/>
      <c r="N124" s="23"/>
      <c r="O124" s="25"/>
      <c r="P124" s="23"/>
      <c r="Q124" s="20"/>
      <c r="R124" s="20"/>
      <c r="S124" s="20"/>
      <c r="T124" s="20"/>
      <c r="X124" s="28"/>
      <c r="Y124" s="28"/>
    </row>
    <row r="125" customFormat="false" ht="30" hidden="false" customHeight="true" outlineLevel="0" collapsed="false">
      <c r="B125" s="19"/>
      <c r="C125" s="38"/>
      <c r="D125" s="38"/>
      <c r="E125" s="23"/>
      <c r="F125" s="84"/>
      <c r="G125" s="24"/>
      <c r="H125" s="20"/>
      <c r="I125" s="20"/>
      <c r="J125" s="20"/>
      <c r="K125" s="20"/>
      <c r="L125" s="64"/>
      <c r="M125" s="20"/>
      <c r="N125" s="23"/>
      <c r="O125" s="25"/>
      <c r="P125" s="23"/>
      <c r="Q125" s="20"/>
      <c r="R125" s="20"/>
      <c r="S125" s="20"/>
      <c r="T125" s="20"/>
      <c r="X125" s="28"/>
      <c r="Y125" s="28"/>
    </row>
    <row r="126" customFormat="false" ht="30" hidden="false" customHeight="true" outlineLevel="0" collapsed="false">
      <c r="B126" s="19"/>
      <c r="C126" s="38"/>
      <c r="D126" s="38"/>
      <c r="E126" s="23"/>
      <c r="F126" s="84"/>
      <c r="G126" s="24"/>
      <c r="H126" s="20"/>
      <c r="I126" s="20"/>
      <c r="J126" s="20"/>
      <c r="K126" s="20"/>
      <c r="L126" s="64"/>
      <c r="M126" s="20"/>
      <c r="N126" s="23"/>
      <c r="O126" s="25"/>
      <c r="P126" s="23"/>
      <c r="Q126" s="20"/>
      <c r="R126" s="20"/>
      <c r="S126" s="20"/>
      <c r="T126" s="20"/>
      <c r="X126" s="28"/>
      <c r="Y126" s="28"/>
    </row>
    <row r="127" customFormat="false" ht="30" hidden="false" customHeight="true" outlineLevel="0" collapsed="false">
      <c r="B127" s="19"/>
      <c r="C127" s="38"/>
      <c r="D127" s="38"/>
      <c r="E127" s="23"/>
      <c r="F127" s="84"/>
      <c r="G127" s="24"/>
      <c r="H127" s="20"/>
      <c r="I127" s="20"/>
      <c r="J127" s="20"/>
      <c r="K127" s="20"/>
      <c r="L127" s="64"/>
      <c r="M127" s="20"/>
      <c r="N127" s="23"/>
      <c r="O127" s="25"/>
      <c r="P127" s="23"/>
      <c r="Q127" s="20"/>
      <c r="R127" s="20"/>
      <c r="S127" s="20"/>
      <c r="T127" s="20"/>
      <c r="X127" s="28"/>
      <c r="Y127" s="28"/>
    </row>
    <row r="128" customFormat="false" ht="30" hidden="false" customHeight="true" outlineLevel="0" collapsed="false">
      <c r="B128" s="19"/>
      <c r="C128" s="38"/>
      <c r="D128" s="38"/>
      <c r="E128" s="23"/>
      <c r="F128" s="84"/>
      <c r="G128" s="24"/>
      <c r="H128" s="20"/>
      <c r="I128" s="20"/>
      <c r="J128" s="20"/>
      <c r="K128" s="20"/>
      <c r="L128" s="64"/>
      <c r="M128" s="20"/>
      <c r="N128" s="23"/>
      <c r="O128" s="25"/>
      <c r="P128" s="23"/>
      <c r="Q128" s="20"/>
      <c r="R128" s="20"/>
      <c r="S128" s="20"/>
      <c r="T128" s="20"/>
      <c r="X128" s="28"/>
      <c r="Y128" s="28"/>
    </row>
    <row r="129" customFormat="false" ht="30" hidden="false" customHeight="true" outlineLevel="0" collapsed="false">
      <c r="B129" s="19"/>
      <c r="C129" s="38"/>
      <c r="D129" s="38"/>
      <c r="E129" s="23"/>
      <c r="F129" s="84"/>
      <c r="G129" s="24"/>
      <c r="H129" s="20"/>
      <c r="I129" s="20"/>
      <c r="J129" s="20"/>
      <c r="K129" s="20"/>
      <c r="L129" s="64"/>
      <c r="M129" s="20"/>
      <c r="N129" s="23"/>
      <c r="O129" s="25"/>
      <c r="P129" s="23"/>
      <c r="Q129" s="20"/>
      <c r="R129" s="20"/>
      <c r="S129" s="20"/>
      <c r="T129" s="20"/>
      <c r="X129" s="28"/>
      <c r="Y129" s="28"/>
    </row>
    <row r="130" customFormat="false" ht="30" hidden="false" customHeight="true" outlineLevel="0" collapsed="false">
      <c r="B130" s="19"/>
      <c r="C130" s="38"/>
      <c r="D130" s="38"/>
      <c r="E130" s="23"/>
      <c r="F130" s="84"/>
      <c r="G130" s="24"/>
      <c r="H130" s="20"/>
      <c r="I130" s="20"/>
      <c r="J130" s="20"/>
      <c r="K130" s="20"/>
      <c r="L130" s="64"/>
      <c r="M130" s="20"/>
      <c r="N130" s="23"/>
      <c r="O130" s="25"/>
      <c r="P130" s="23"/>
      <c r="Q130" s="20"/>
      <c r="R130" s="20"/>
      <c r="S130" s="20"/>
      <c r="T130" s="20"/>
      <c r="X130" s="28"/>
      <c r="Y130" s="28"/>
    </row>
    <row r="131" customFormat="false" ht="30" hidden="false" customHeight="true" outlineLevel="0" collapsed="false">
      <c r="B131" s="19"/>
      <c r="C131" s="38"/>
      <c r="D131" s="38"/>
      <c r="E131" s="23"/>
      <c r="F131" s="84"/>
      <c r="G131" s="24"/>
      <c r="H131" s="20"/>
      <c r="I131" s="20"/>
      <c r="J131" s="20"/>
      <c r="K131" s="20"/>
      <c r="L131" s="64"/>
      <c r="M131" s="20"/>
      <c r="N131" s="23"/>
      <c r="O131" s="25"/>
      <c r="P131" s="23"/>
      <c r="Q131" s="20"/>
      <c r="R131" s="20"/>
      <c r="S131" s="20"/>
      <c r="T131" s="20"/>
      <c r="X131" s="28"/>
      <c r="Y131" s="28"/>
    </row>
    <row r="132" customFormat="false" ht="30" hidden="false" customHeight="true" outlineLevel="0" collapsed="false">
      <c r="B132" s="19"/>
      <c r="C132" s="38"/>
      <c r="D132" s="38"/>
      <c r="E132" s="23"/>
      <c r="F132" s="84"/>
      <c r="G132" s="24"/>
      <c r="H132" s="20"/>
      <c r="I132" s="20"/>
      <c r="J132" s="20"/>
      <c r="K132" s="20"/>
      <c r="L132" s="64"/>
      <c r="M132" s="20"/>
      <c r="N132" s="23"/>
      <c r="O132" s="25"/>
      <c r="P132" s="23"/>
      <c r="Q132" s="20"/>
      <c r="R132" s="20"/>
      <c r="S132" s="20"/>
      <c r="T132" s="20"/>
      <c r="X132" s="28"/>
      <c r="Y132" s="28"/>
    </row>
    <row r="133" customFormat="false" ht="30" hidden="false" customHeight="true" outlineLevel="0" collapsed="false">
      <c r="B133" s="19"/>
      <c r="C133" s="38"/>
      <c r="D133" s="38"/>
      <c r="E133" s="23"/>
      <c r="F133" s="84"/>
      <c r="G133" s="24"/>
      <c r="H133" s="20"/>
      <c r="I133" s="20"/>
      <c r="J133" s="20"/>
      <c r="K133" s="20"/>
      <c r="L133" s="64"/>
      <c r="M133" s="20"/>
      <c r="N133" s="23"/>
      <c r="O133" s="25"/>
      <c r="P133" s="23"/>
      <c r="Q133" s="20"/>
      <c r="R133" s="20"/>
      <c r="S133" s="20"/>
      <c r="T133" s="20"/>
      <c r="X133" s="28"/>
      <c r="Y133" s="28"/>
    </row>
    <row r="134" customFormat="false" ht="30" hidden="false" customHeight="true" outlineLevel="0" collapsed="false">
      <c r="B134" s="19"/>
      <c r="C134" s="38"/>
      <c r="D134" s="38"/>
      <c r="E134" s="23"/>
      <c r="F134" s="84"/>
      <c r="G134" s="24"/>
      <c r="H134" s="20"/>
      <c r="I134" s="20"/>
      <c r="J134" s="20"/>
      <c r="K134" s="20"/>
      <c r="L134" s="64"/>
      <c r="M134" s="20"/>
      <c r="N134" s="23"/>
      <c r="O134" s="25"/>
      <c r="P134" s="23"/>
      <c r="Q134" s="20"/>
      <c r="R134" s="20"/>
      <c r="S134" s="20"/>
      <c r="T134" s="20"/>
      <c r="X134" s="28"/>
      <c r="Y134" s="28"/>
    </row>
    <row r="135" customFormat="false" ht="30" hidden="false" customHeight="true" outlineLevel="0" collapsed="false">
      <c r="B135" s="19"/>
      <c r="C135" s="38"/>
      <c r="D135" s="38"/>
      <c r="E135" s="23"/>
      <c r="F135" s="84"/>
      <c r="G135" s="24"/>
      <c r="H135" s="20"/>
      <c r="I135" s="20"/>
      <c r="J135" s="20"/>
      <c r="K135" s="20"/>
      <c r="L135" s="64"/>
      <c r="M135" s="20"/>
      <c r="N135" s="23"/>
      <c r="O135" s="25"/>
      <c r="P135" s="23"/>
      <c r="Q135" s="20"/>
      <c r="R135" s="20"/>
      <c r="S135" s="20"/>
      <c r="T135" s="20"/>
      <c r="X135" s="28"/>
      <c r="Y135" s="28"/>
    </row>
    <row r="136" customFormat="false" ht="30" hidden="false" customHeight="true" outlineLevel="0" collapsed="false">
      <c r="B136" s="19"/>
      <c r="C136" s="38"/>
      <c r="D136" s="38"/>
      <c r="E136" s="23"/>
      <c r="F136" s="84"/>
      <c r="G136" s="24"/>
      <c r="H136" s="20"/>
      <c r="I136" s="20"/>
      <c r="J136" s="20"/>
      <c r="K136" s="20"/>
      <c r="L136" s="64"/>
      <c r="M136" s="20"/>
      <c r="N136" s="23"/>
      <c r="O136" s="25"/>
      <c r="P136" s="23"/>
      <c r="Q136" s="20"/>
      <c r="R136" s="20"/>
      <c r="S136" s="20"/>
      <c r="T136" s="20"/>
      <c r="X136" s="28"/>
      <c r="Y136" s="28"/>
    </row>
    <row r="137" customFormat="false" ht="30" hidden="false" customHeight="true" outlineLevel="0" collapsed="false">
      <c r="B137" s="19"/>
      <c r="C137" s="38"/>
      <c r="D137" s="38"/>
      <c r="E137" s="23"/>
      <c r="F137" s="84"/>
      <c r="G137" s="24"/>
      <c r="H137" s="20"/>
      <c r="I137" s="20"/>
      <c r="J137" s="20"/>
      <c r="K137" s="20"/>
      <c r="L137" s="64"/>
      <c r="M137" s="20"/>
      <c r="N137" s="23"/>
      <c r="O137" s="25"/>
      <c r="P137" s="23"/>
      <c r="Q137" s="20"/>
      <c r="R137" s="20"/>
      <c r="S137" s="20"/>
      <c r="T137" s="20"/>
      <c r="X137" s="28"/>
      <c r="Y137" s="28"/>
    </row>
    <row r="138" customFormat="false" ht="30" hidden="false" customHeight="true" outlineLevel="0" collapsed="false">
      <c r="B138" s="19"/>
      <c r="C138" s="38"/>
      <c r="D138" s="38"/>
      <c r="E138" s="23"/>
      <c r="F138" s="84"/>
      <c r="G138" s="24"/>
      <c r="H138" s="20"/>
      <c r="I138" s="20"/>
      <c r="J138" s="20"/>
      <c r="K138" s="20"/>
      <c r="L138" s="64"/>
      <c r="M138" s="20"/>
      <c r="N138" s="23"/>
      <c r="O138" s="25"/>
      <c r="P138" s="23"/>
      <c r="Q138" s="20"/>
      <c r="R138" s="20"/>
      <c r="S138" s="20"/>
      <c r="T138" s="20"/>
      <c r="X138" s="28"/>
      <c r="Y138" s="28"/>
    </row>
    <row r="139" customFormat="false" ht="30" hidden="false" customHeight="true" outlineLevel="0" collapsed="false">
      <c r="B139" s="19"/>
      <c r="C139" s="38"/>
      <c r="D139" s="38"/>
      <c r="E139" s="23"/>
      <c r="F139" s="84"/>
      <c r="G139" s="24"/>
      <c r="H139" s="20"/>
      <c r="I139" s="20"/>
      <c r="J139" s="20"/>
      <c r="K139" s="20"/>
      <c r="L139" s="64"/>
      <c r="M139" s="20"/>
      <c r="N139" s="23"/>
      <c r="O139" s="25"/>
      <c r="P139" s="23"/>
      <c r="Q139" s="20"/>
      <c r="R139" s="20"/>
      <c r="S139" s="20"/>
      <c r="T139" s="20"/>
      <c r="X139" s="28"/>
      <c r="Y139" s="28"/>
    </row>
    <row r="140" customFormat="false" ht="30" hidden="false" customHeight="true" outlineLevel="0" collapsed="false">
      <c r="B140" s="19"/>
      <c r="C140" s="38"/>
      <c r="D140" s="38"/>
      <c r="E140" s="23"/>
      <c r="F140" s="84"/>
      <c r="G140" s="24"/>
      <c r="H140" s="20"/>
      <c r="I140" s="20"/>
      <c r="J140" s="20"/>
      <c r="K140" s="20"/>
      <c r="L140" s="64"/>
      <c r="M140" s="20"/>
      <c r="N140" s="23"/>
      <c r="O140" s="25"/>
      <c r="P140" s="23"/>
      <c r="Q140" s="20"/>
      <c r="R140" s="20"/>
      <c r="S140" s="20"/>
      <c r="T140" s="20"/>
      <c r="X140" s="28"/>
      <c r="Y140" s="28"/>
    </row>
    <row r="141" customFormat="false" ht="30" hidden="false" customHeight="true" outlineLevel="0" collapsed="false">
      <c r="B141" s="19"/>
      <c r="C141" s="38"/>
      <c r="D141" s="38"/>
      <c r="E141" s="23"/>
      <c r="F141" s="84"/>
      <c r="G141" s="24"/>
      <c r="H141" s="20"/>
      <c r="I141" s="20"/>
      <c r="J141" s="20"/>
      <c r="K141" s="20"/>
      <c r="L141" s="64"/>
      <c r="M141" s="20"/>
      <c r="N141" s="23"/>
      <c r="O141" s="25"/>
      <c r="P141" s="23"/>
      <c r="Q141" s="20"/>
      <c r="R141" s="20"/>
      <c r="S141" s="20"/>
      <c r="T141" s="20"/>
      <c r="X141" s="28"/>
      <c r="Y141" s="28"/>
    </row>
    <row r="142" customFormat="false" ht="30" hidden="false" customHeight="true" outlineLevel="0" collapsed="false">
      <c r="B142" s="19"/>
      <c r="C142" s="38"/>
      <c r="D142" s="38"/>
      <c r="E142" s="23"/>
      <c r="F142" s="84"/>
      <c r="G142" s="24"/>
      <c r="H142" s="20"/>
      <c r="I142" s="20"/>
      <c r="J142" s="20"/>
      <c r="K142" s="20"/>
      <c r="L142" s="64"/>
      <c r="M142" s="20"/>
      <c r="N142" s="23"/>
      <c r="O142" s="25"/>
      <c r="P142" s="23"/>
      <c r="Q142" s="20"/>
      <c r="R142" s="20"/>
      <c r="S142" s="20"/>
      <c r="T142" s="20"/>
      <c r="X142" s="28"/>
      <c r="Y142" s="28"/>
    </row>
    <row r="143" customFormat="false" ht="30" hidden="false" customHeight="true" outlineLevel="0" collapsed="false">
      <c r="B143" s="19"/>
      <c r="C143" s="38"/>
      <c r="D143" s="38"/>
      <c r="E143" s="23"/>
      <c r="F143" s="84"/>
      <c r="G143" s="24"/>
      <c r="H143" s="20"/>
      <c r="I143" s="20"/>
      <c r="J143" s="20"/>
      <c r="K143" s="20"/>
      <c r="L143" s="64"/>
      <c r="M143" s="20"/>
      <c r="N143" s="23"/>
      <c r="O143" s="25"/>
      <c r="P143" s="23"/>
      <c r="Q143" s="20"/>
      <c r="R143" s="20"/>
      <c r="S143" s="20"/>
      <c r="T143" s="20"/>
      <c r="X143" s="28"/>
      <c r="Y143" s="28"/>
    </row>
    <row r="144" customFormat="false" ht="30" hidden="false" customHeight="true" outlineLevel="0" collapsed="false">
      <c r="B144" s="19"/>
      <c r="C144" s="38"/>
      <c r="D144" s="38"/>
      <c r="E144" s="23"/>
      <c r="F144" s="84"/>
      <c r="G144" s="24"/>
      <c r="H144" s="20"/>
      <c r="I144" s="20"/>
      <c r="J144" s="20"/>
      <c r="K144" s="20"/>
      <c r="L144" s="64"/>
      <c r="M144" s="20"/>
      <c r="N144" s="23"/>
      <c r="O144" s="25"/>
      <c r="P144" s="23"/>
      <c r="Q144" s="20"/>
      <c r="R144" s="20"/>
      <c r="S144" s="20"/>
      <c r="T144" s="20"/>
      <c r="X144" s="28"/>
      <c r="Y144" s="28"/>
    </row>
    <row r="145" customFormat="false" ht="30" hidden="false" customHeight="true" outlineLevel="0" collapsed="false">
      <c r="B145" s="19"/>
      <c r="C145" s="38"/>
      <c r="D145" s="38"/>
      <c r="E145" s="23"/>
      <c r="F145" s="84"/>
      <c r="G145" s="24"/>
      <c r="H145" s="20"/>
      <c r="I145" s="20"/>
      <c r="J145" s="20"/>
      <c r="K145" s="20"/>
      <c r="L145" s="64"/>
      <c r="M145" s="20"/>
      <c r="N145" s="23"/>
      <c r="O145" s="25"/>
      <c r="P145" s="23"/>
      <c r="Q145" s="20"/>
      <c r="R145" s="20"/>
      <c r="S145" s="20"/>
      <c r="T145" s="20"/>
      <c r="X145" s="28"/>
      <c r="Y145" s="28"/>
    </row>
    <row r="146" customFormat="false" ht="30" hidden="false" customHeight="true" outlineLevel="0" collapsed="false">
      <c r="B146" s="19"/>
      <c r="C146" s="38"/>
      <c r="D146" s="38"/>
      <c r="E146" s="23"/>
      <c r="F146" s="84"/>
      <c r="G146" s="24"/>
      <c r="H146" s="20"/>
      <c r="I146" s="20"/>
      <c r="J146" s="20"/>
      <c r="K146" s="20"/>
      <c r="L146" s="64"/>
      <c r="M146" s="20"/>
      <c r="N146" s="23"/>
      <c r="O146" s="25"/>
      <c r="P146" s="23"/>
      <c r="Q146" s="20"/>
      <c r="R146" s="20"/>
      <c r="S146" s="20"/>
      <c r="T146" s="20"/>
      <c r="X146" s="28"/>
      <c r="Y146" s="28"/>
    </row>
    <row r="147" customFormat="false" ht="30" hidden="false" customHeight="true" outlineLevel="0" collapsed="false">
      <c r="B147" s="19"/>
      <c r="C147" s="38"/>
      <c r="D147" s="38"/>
      <c r="E147" s="23"/>
      <c r="F147" s="84"/>
      <c r="G147" s="24"/>
      <c r="H147" s="20"/>
      <c r="I147" s="20"/>
      <c r="J147" s="20"/>
      <c r="K147" s="20"/>
      <c r="L147" s="64"/>
      <c r="M147" s="20"/>
      <c r="N147" s="23"/>
      <c r="O147" s="25"/>
      <c r="P147" s="23"/>
      <c r="Q147" s="20"/>
      <c r="R147" s="20"/>
      <c r="S147" s="20"/>
      <c r="T147" s="20"/>
      <c r="X147" s="28"/>
      <c r="Y147" s="28"/>
    </row>
    <row r="148" customFormat="false" ht="30" hidden="false" customHeight="true" outlineLevel="0" collapsed="false">
      <c r="B148" s="19"/>
      <c r="C148" s="38"/>
      <c r="D148" s="38"/>
      <c r="E148" s="23"/>
      <c r="F148" s="84"/>
      <c r="G148" s="24"/>
      <c r="H148" s="20"/>
      <c r="I148" s="20"/>
      <c r="J148" s="20"/>
      <c r="K148" s="20"/>
      <c r="L148" s="64"/>
      <c r="M148" s="20"/>
      <c r="N148" s="23"/>
      <c r="O148" s="25"/>
      <c r="P148" s="23"/>
      <c r="Q148" s="20"/>
      <c r="R148" s="20"/>
      <c r="S148" s="20"/>
      <c r="T148" s="20"/>
      <c r="X148" s="28"/>
      <c r="Y148" s="28"/>
    </row>
    <row r="149" customFormat="false" ht="30" hidden="false" customHeight="true" outlineLevel="0" collapsed="false">
      <c r="B149" s="19"/>
      <c r="C149" s="38"/>
      <c r="D149" s="38"/>
      <c r="E149" s="23"/>
      <c r="F149" s="84"/>
      <c r="G149" s="24"/>
      <c r="H149" s="20"/>
      <c r="I149" s="20"/>
      <c r="J149" s="20"/>
      <c r="K149" s="20"/>
      <c r="L149" s="64"/>
      <c r="M149" s="20"/>
      <c r="N149" s="23"/>
      <c r="O149" s="25"/>
      <c r="P149" s="23"/>
      <c r="Q149" s="20"/>
      <c r="R149" s="20"/>
      <c r="S149" s="20"/>
      <c r="T149" s="20"/>
      <c r="X149" s="28"/>
      <c r="Y149" s="28"/>
    </row>
    <row r="150" customFormat="false" ht="30" hidden="false" customHeight="true" outlineLevel="0" collapsed="false">
      <c r="B150" s="19"/>
      <c r="C150" s="38"/>
      <c r="D150" s="38"/>
      <c r="E150" s="23"/>
      <c r="F150" s="84"/>
      <c r="G150" s="24"/>
      <c r="H150" s="20"/>
      <c r="I150" s="20"/>
      <c r="J150" s="20"/>
      <c r="K150" s="20"/>
      <c r="L150" s="64"/>
      <c r="M150" s="20"/>
      <c r="N150" s="23"/>
      <c r="O150" s="25"/>
      <c r="P150" s="23"/>
      <c r="Q150" s="20"/>
      <c r="R150" s="20"/>
      <c r="S150" s="20"/>
      <c r="T150" s="20"/>
      <c r="X150" s="28"/>
      <c r="Y150" s="28"/>
    </row>
    <row r="151" customFormat="false" ht="30" hidden="false" customHeight="true" outlineLevel="0" collapsed="false">
      <c r="B151" s="19"/>
      <c r="C151" s="38"/>
      <c r="D151" s="38"/>
      <c r="E151" s="23"/>
      <c r="F151" s="84"/>
      <c r="G151" s="24"/>
      <c r="H151" s="20"/>
      <c r="I151" s="20"/>
      <c r="J151" s="20"/>
      <c r="K151" s="20"/>
      <c r="L151" s="64"/>
      <c r="M151" s="20"/>
      <c r="N151" s="23"/>
      <c r="O151" s="25"/>
      <c r="P151" s="23"/>
      <c r="Q151" s="20"/>
      <c r="R151" s="20"/>
      <c r="S151" s="20"/>
      <c r="T151" s="20"/>
      <c r="X151" s="28"/>
      <c r="Y151" s="28"/>
    </row>
    <row r="152" customFormat="false" ht="30" hidden="false" customHeight="true" outlineLevel="0" collapsed="false">
      <c r="B152" s="19"/>
      <c r="C152" s="38"/>
      <c r="D152" s="38"/>
      <c r="E152" s="23"/>
      <c r="F152" s="84"/>
      <c r="G152" s="24"/>
      <c r="H152" s="20"/>
      <c r="I152" s="20"/>
      <c r="J152" s="20"/>
      <c r="K152" s="20"/>
      <c r="L152" s="64"/>
      <c r="M152" s="20"/>
      <c r="N152" s="23"/>
      <c r="O152" s="25"/>
      <c r="P152" s="23"/>
      <c r="Q152" s="20"/>
      <c r="R152" s="20"/>
      <c r="S152" s="20"/>
      <c r="T152" s="20"/>
      <c r="X152" s="28"/>
      <c r="Y152" s="28"/>
    </row>
    <row r="153" customFormat="false" ht="30" hidden="false" customHeight="true" outlineLevel="0" collapsed="false">
      <c r="B153" s="19"/>
      <c r="C153" s="38"/>
      <c r="D153" s="38"/>
      <c r="E153" s="23"/>
      <c r="F153" s="84"/>
      <c r="G153" s="24"/>
      <c r="H153" s="20"/>
      <c r="I153" s="20"/>
      <c r="J153" s="20"/>
      <c r="K153" s="20"/>
      <c r="L153" s="64"/>
      <c r="M153" s="20"/>
      <c r="N153" s="23"/>
      <c r="O153" s="25"/>
      <c r="P153" s="23"/>
      <c r="Q153" s="20"/>
      <c r="R153" s="20"/>
      <c r="S153" s="20"/>
      <c r="T153" s="20"/>
      <c r="X153" s="28"/>
      <c r="Y153" s="28"/>
    </row>
    <row r="154" customFormat="false" ht="30" hidden="false" customHeight="true" outlineLevel="0" collapsed="false">
      <c r="B154" s="19"/>
      <c r="C154" s="38"/>
      <c r="D154" s="38"/>
      <c r="E154" s="23"/>
      <c r="F154" s="84"/>
      <c r="G154" s="24"/>
      <c r="H154" s="20"/>
      <c r="I154" s="20"/>
      <c r="J154" s="20"/>
      <c r="K154" s="20"/>
      <c r="L154" s="64"/>
      <c r="M154" s="20"/>
      <c r="N154" s="23"/>
      <c r="O154" s="25"/>
      <c r="P154" s="23"/>
      <c r="Q154" s="20"/>
      <c r="R154" s="20"/>
      <c r="S154" s="20"/>
      <c r="T154" s="20"/>
      <c r="X154" s="28"/>
      <c r="Y154" s="28"/>
    </row>
    <row r="155" customFormat="false" ht="30" hidden="false" customHeight="true" outlineLevel="0" collapsed="false">
      <c r="B155" s="19"/>
      <c r="C155" s="38"/>
      <c r="D155" s="38"/>
      <c r="E155" s="23"/>
      <c r="F155" s="84"/>
      <c r="G155" s="24"/>
      <c r="H155" s="20"/>
      <c r="I155" s="20"/>
      <c r="J155" s="20"/>
      <c r="K155" s="20"/>
      <c r="L155" s="64"/>
      <c r="M155" s="20"/>
      <c r="N155" s="23"/>
      <c r="O155" s="25"/>
      <c r="P155" s="23"/>
      <c r="Q155" s="20"/>
      <c r="R155" s="20"/>
      <c r="S155" s="20"/>
      <c r="T155" s="20"/>
      <c r="X155" s="28"/>
      <c r="Y155" s="28"/>
    </row>
    <row r="156" customFormat="false" ht="30" hidden="false" customHeight="true" outlineLevel="0" collapsed="false">
      <c r="B156" s="19"/>
      <c r="C156" s="38"/>
      <c r="D156" s="38"/>
      <c r="E156" s="23"/>
      <c r="F156" s="84"/>
      <c r="G156" s="24"/>
      <c r="H156" s="20"/>
      <c r="I156" s="20"/>
      <c r="J156" s="20"/>
      <c r="K156" s="20"/>
      <c r="L156" s="64"/>
      <c r="M156" s="20"/>
      <c r="N156" s="23"/>
      <c r="O156" s="25"/>
      <c r="P156" s="23"/>
      <c r="Q156" s="20"/>
      <c r="R156" s="20"/>
      <c r="S156" s="20"/>
      <c r="T156" s="20"/>
      <c r="X156" s="28"/>
      <c r="Y156" s="28"/>
    </row>
    <row r="157" customFormat="false" ht="30" hidden="false" customHeight="true" outlineLevel="0" collapsed="false">
      <c r="B157" s="19"/>
      <c r="C157" s="38"/>
      <c r="D157" s="38"/>
      <c r="E157" s="23"/>
      <c r="F157" s="84"/>
      <c r="G157" s="24"/>
      <c r="H157" s="20"/>
      <c r="I157" s="20"/>
      <c r="J157" s="20"/>
      <c r="K157" s="20"/>
      <c r="L157" s="64"/>
      <c r="M157" s="20"/>
      <c r="N157" s="23"/>
      <c r="O157" s="25"/>
      <c r="P157" s="23"/>
      <c r="Q157" s="20"/>
      <c r="R157" s="20"/>
      <c r="S157" s="20"/>
      <c r="T157" s="20"/>
      <c r="X157" s="28"/>
      <c r="Y157" s="28"/>
    </row>
    <row r="158" customFormat="false" ht="30" hidden="false" customHeight="true" outlineLevel="0" collapsed="false">
      <c r="B158" s="19"/>
      <c r="C158" s="38"/>
      <c r="D158" s="38"/>
      <c r="E158" s="23"/>
      <c r="F158" s="84"/>
      <c r="G158" s="24"/>
      <c r="H158" s="20"/>
      <c r="I158" s="20"/>
      <c r="J158" s="20"/>
      <c r="K158" s="20"/>
      <c r="L158" s="64"/>
      <c r="M158" s="20"/>
      <c r="N158" s="23"/>
      <c r="O158" s="25"/>
      <c r="P158" s="23"/>
      <c r="Q158" s="20"/>
      <c r="R158" s="20"/>
      <c r="S158" s="20"/>
      <c r="T158" s="20"/>
      <c r="X158" s="28"/>
      <c r="Y158" s="28"/>
    </row>
    <row r="159" customFormat="false" ht="30" hidden="false" customHeight="true" outlineLevel="0" collapsed="false">
      <c r="B159" s="19"/>
      <c r="C159" s="38"/>
      <c r="D159" s="38"/>
      <c r="E159" s="23"/>
      <c r="F159" s="84"/>
      <c r="G159" s="24"/>
      <c r="H159" s="20"/>
      <c r="I159" s="20"/>
      <c r="J159" s="20"/>
      <c r="K159" s="20"/>
      <c r="L159" s="64"/>
      <c r="M159" s="20"/>
      <c r="N159" s="23"/>
      <c r="O159" s="25"/>
      <c r="P159" s="23"/>
      <c r="Q159" s="20"/>
      <c r="R159" s="20"/>
      <c r="S159" s="20"/>
      <c r="T159" s="20"/>
      <c r="X159" s="28"/>
      <c r="Y159" s="28"/>
    </row>
    <row r="160" customFormat="false" ht="30" hidden="false" customHeight="true" outlineLevel="0" collapsed="false">
      <c r="B160" s="19"/>
      <c r="C160" s="38"/>
      <c r="D160" s="38"/>
      <c r="E160" s="23"/>
      <c r="F160" s="84"/>
      <c r="G160" s="24"/>
      <c r="H160" s="20"/>
      <c r="I160" s="20"/>
      <c r="J160" s="20"/>
      <c r="K160" s="20"/>
      <c r="L160" s="64"/>
      <c r="M160" s="20"/>
      <c r="N160" s="23"/>
      <c r="O160" s="25"/>
      <c r="P160" s="23"/>
      <c r="Q160" s="20"/>
      <c r="R160" s="20"/>
      <c r="S160" s="20"/>
      <c r="T160" s="20"/>
      <c r="X160" s="28"/>
      <c r="Y160" s="28"/>
    </row>
    <row r="161" customFormat="false" ht="30" hidden="false" customHeight="true" outlineLevel="0" collapsed="false">
      <c r="B161" s="19"/>
      <c r="C161" s="38"/>
      <c r="D161" s="38"/>
      <c r="E161" s="23"/>
      <c r="F161" s="84"/>
      <c r="G161" s="24"/>
      <c r="H161" s="20"/>
      <c r="I161" s="20"/>
      <c r="J161" s="20"/>
      <c r="K161" s="20"/>
      <c r="L161" s="64"/>
      <c r="M161" s="20"/>
      <c r="N161" s="23"/>
      <c r="O161" s="25"/>
      <c r="P161" s="23"/>
      <c r="Q161" s="20"/>
      <c r="R161" s="20"/>
      <c r="S161" s="20"/>
      <c r="T161" s="20"/>
      <c r="X161" s="28"/>
      <c r="Y161" s="28"/>
    </row>
    <row r="162" customFormat="false" ht="30" hidden="false" customHeight="true" outlineLevel="0" collapsed="false">
      <c r="B162" s="19"/>
      <c r="C162" s="38"/>
      <c r="D162" s="38"/>
      <c r="E162" s="23"/>
      <c r="F162" s="84"/>
      <c r="G162" s="24"/>
      <c r="H162" s="20"/>
      <c r="I162" s="20"/>
      <c r="J162" s="20"/>
      <c r="K162" s="20"/>
      <c r="L162" s="64"/>
      <c r="M162" s="20"/>
      <c r="N162" s="23"/>
      <c r="O162" s="25"/>
      <c r="P162" s="23"/>
      <c r="Q162" s="20"/>
      <c r="R162" s="20"/>
      <c r="S162" s="20"/>
      <c r="T162" s="20"/>
      <c r="X162" s="28"/>
      <c r="Y162" s="28"/>
    </row>
    <row r="163" customFormat="false" ht="30" hidden="false" customHeight="true" outlineLevel="0" collapsed="false">
      <c r="B163" s="19"/>
      <c r="C163" s="38"/>
      <c r="D163" s="38"/>
      <c r="E163" s="23"/>
      <c r="F163" s="84"/>
      <c r="G163" s="24"/>
      <c r="H163" s="20"/>
      <c r="I163" s="20"/>
      <c r="J163" s="20"/>
      <c r="K163" s="20"/>
      <c r="L163" s="64"/>
      <c r="M163" s="20"/>
      <c r="N163" s="23"/>
      <c r="O163" s="25"/>
      <c r="P163" s="23"/>
      <c r="Q163" s="20"/>
      <c r="R163" s="20"/>
      <c r="S163" s="20"/>
      <c r="T163" s="20"/>
      <c r="X163" s="28"/>
      <c r="Y163" s="28"/>
    </row>
    <row r="164" customFormat="false" ht="30" hidden="false" customHeight="true" outlineLevel="0" collapsed="false">
      <c r="B164" s="19"/>
      <c r="C164" s="38"/>
      <c r="D164" s="38"/>
      <c r="E164" s="23"/>
      <c r="F164" s="84"/>
      <c r="G164" s="24"/>
      <c r="H164" s="20"/>
      <c r="I164" s="20"/>
      <c r="J164" s="20"/>
      <c r="K164" s="20"/>
      <c r="L164" s="64"/>
      <c r="M164" s="20"/>
      <c r="N164" s="23"/>
      <c r="O164" s="25"/>
      <c r="P164" s="23"/>
      <c r="Q164" s="20"/>
      <c r="R164" s="20"/>
      <c r="S164" s="20"/>
      <c r="T164" s="20"/>
      <c r="X164" s="28"/>
      <c r="Y164" s="28"/>
    </row>
    <row r="165" customFormat="false" ht="30" hidden="false" customHeight="true" outlineLevel="0" collapsed="false">
      <c r="B165" s="19"/>
      <c r="C165" s="38"/>
      <c r="D165" s="38"/>
      <c r="E165" s="23"/>
      <c r="F165" s="84"/>
      <c r="G165" s="24"/>
      <c r="H165" s="20"/>
      <c r="I165" s="20"/>
      <c r="J165" s="20"/>
      <c r="K165" s="20"/>
      <c r="L165" s="64"/>
      <c r="M165" s="20"/>
      <c r="N165" s="23"/>
      <c r="O165" s="25"/>
      <c r="P165" s="23"/>
      <c r="Q165" s="20"/>
      <c r="R165" s="20"/>
      <c r="S165" s="20"/>
      <c r="T165" s="20"/>
      <c r="X165" s="28"/>
      <c r="Y165" s="28"/>
    </row>
    <row r="166" customFormat="false" ht="30" hidden="false" customHeight="true" outlineLevel="0" collapsed="false">
      <c r="B166" s="19"/>
      <c r="C166" s="38"/>
      <c r="D166" s="38"/>
      <c r="E166" s="23"/>
      <c r="F166" s="84"/>
      <c r="G166" s="24"/>
      <c r="H166" s="20"/>
      <c r="I166" s="20"/>
      <c r="J166" s="20"/>
      <c r="K166" s="20"/>
      <c r="L166" s="64"/>
      <c r="M166" s="20"/>
      <c r="N166" s="23"/>
      <c r="O166" s="25"/>
      <c r="P166" s="23"/>
      <c r="Q166" s="20"/>
      <c r="R166" s="20"/>
      <c r="S166" s="20"/>
      <c r="T166" s="20"/>
      <c r="X166" s="28"/>
      <c r="Y166" s="28"/>
    </row>
    <row r="167" customFormat="false" ht="30" hidden="false" customHeight="true" outlineLevel="0" collapsed="false">
      <c r="B167" s="19"/>
      <c r="C167" s="38"/>
      <c r="D167" s="38"/>
      <c r="E167" s="23"/>
      <c r="F167" s="84"/>
      <c r="G167" s="24"/>
      <c r="H167" s="20"/>
      <c r="I167" s="20"/>
      <c r="J167" s="20"/>
      <c r="K167" s="20"/>
      <c r="L167" s="64"/>
      <c r="M167" s="20"/>
      <c r="N167" s="23"/>
      <c r="O167" s="25"/>
      <c r="P167" s="23"/>
      <c r="Q167" s="20"/>
      <c r="R167" s="20"/>
      <c r="S167" s="20"/>
      <c r="T167" s="20"/>
      <c r="X167" s="28"/>
      <c r="Y167" s="28"/>
    </row>
    <row r="168" customFormat="false" ht="30" hidden="false" customHeight="true" outlineLevel="0" collapsed="false">
      <c r="B168" s="19"/>
      <c r="C168" s="38"/>
      <c r="D168" s="38"/>
      <c r="E168" s="23"/>
      <c r="F168" s="84"/>
      <c r="G168" s="24"/>
      <c r="H168" s="20"/>
      <c r="I168" s="20"/>
      <c r="J168" s="20"/>
      <c r="K168" s="20"/>
      <c r="L168" s="64"/>
      <c r="M168" s="20"/>
      <c r="N168" s="23"/>
      <c r="O168" s="25"/>
      <c r="P168" s="23"/>
      <c r="Q168" s="20"/>
      <c r="R168" s="20"/>
      <c r="S168" s="20"/>
      <c r="T168" s="20"/>
      <c r="X168" s="28"/>
      <c r="Y168" s="28"/>
    </row>
    <row r="169" customFormat="false" ht="30" hidden="false" customHeight="true" outlineLevel="0" collapsed="false">
      <c r="B169" s="19"/>
      <c r="C169" s="38"/>
      <c r="D169" s="38"/>
      <c r="E169" s="23"/>
      <c r="F169" s="84"/>
      <c r="G169" s="24"/>
      <c r="H169" s="20"/>
      <c r="I169" s="20"/>
      <c r="J169" s="20"/>
      <c r="K169" s="20"/>
      <c r="L169" s="64"/>
      <c r="M169" s="20"/>
      <c r="N169" s="23"/>
      <c r="O169" s="25"/>
      <c r="P169" s="23"/>
      <c r="Q169" s="20"/>
      <c r="R169" s="20"/>
      <c r="S169" s="20"/>
      <c r="T169" s="20"/>
      <c r="X169" s="28"/>
      <c r="Y169" s="28"/>
    </row>
    <row r="170" customFormat="false" ht="30" hidden="false" customHeight="true" outlineLevel="0" collapsed="false">
      <c r="B170" s="19"/>
      <c r="C170" s="38"/>
      <c r="D170" s="38"/>
      <c r="E170" s="23"/>
      <c r="F170" s="84"/>
      <c r="G170" s="24"/>
      <c r="H170" s="20"/>
      <c r="I170" s="20"/>
      <c r="J170" s="20"/>
      <c r="K170" s="20"/>
      <c r="L170" s="64"/>
      <c r="M170" s="20"/>
      <c r="N170" s="23"/>
      <c r="O170" s="25"/>
      <c r="P170" s="23"/>
      <c r="Q170" s="20"/>
      <c r="R170" s="20"/>
      <c r="S170" s="20"/>
      <c r="T170" s="20"/>
      <c r="X170" s="28"/>
      <c r="Y170" s="28"/>
    </row>
    <row r="171" customFormat="false" ht="30" hidden="false" customHeight="true" outlineLevel="0" collapsed="false">
      <c r="B171" s="19"/>
      <c r="C171" s="38"/>
      <c r="D171" s="38"/>
      <c r="E171" s="23"/>
      <c r="F171" s="84"/>
      <c r="G171" s="24"/>
      <c r="H171" s="20"/>
      <c r="I171" s="20"/>
      <c r="J171" s="20"/>
      <c r="K171" s="20"/>
      <c r="L171" s="64"/>
      <c r="M171" s="20"/>
      <c r="N171" s="23"/>
      <c r="O171" s="25"/>
      <c r="P171" s="23"/>
      <c r="Q171" s="20"/>
      <c r="R171" s="20"/>
      <c r="S171" s="20"/>
      <c r="T171" s="20"/>
      <c r="X171" s="28"/>
      <c r="Y171" s="28"/>
    </row>
    <row r="172" customFormat="false" ht="30" hidden="false" customHeight="true" outlineLevel="0" collapsed="false">
      <c r="B172" s="19"/>
      <c r="C172" s="38"/>
      <c r="D172" s="38"/>
      <c r="E172" s="23"/>
      <c r="F172" s="84"/>
      <c r="G172" s="24"/>
      <c r="H172" s="20"/>
      <c r="I172" s="20"/>
      <c r="J172" s="20"/>
      <c r="K172" s="20"/>
      <c r="L172" s="64"/>
      <c r="M172" s="20"/>
      <c r="N172" s="23"/>
      <c r="O172" s="25"/>
      <c r="P172" s="23"/>
      <c r="Q172" s="20"/>
      <c r="R172" s="20"/>
      <c r="S172" s="20"/>
      <c r="T172" s="20"/>
      <c r="X172" s="28"/>
      <c r="Y172" s="28"/>
    </row>
    <row r="173" customFormat="false" ht="30" hidden="false" customHeight="true" outlineLevel="0" collapsed="false">
      <c r="B173" s="19"/>
      <c r="C173" s="38"/>
      <c r="D173" s="38"/>
      <c r="E173" s="23"/>
      <c r="F173" s="84"/>
      <c r="G173" s="24"/>
      <c r="H173" s="20"/>
      <c r="I173" s="20"/>
      <c r="J173" s="20"/>
      <c r="K173" s="20"/>
      <c r="L173" s="64"/>
      <c r="M173" s="20"/>
      <c r="N173" s="23"/>
      <c r="O173" s="25"/>
      <c r="P173" s="23"/>
      <c r="Q173" s="20"/>
      <c r="R173" s="20"/>
      <c r="S173" s="20"/>
      <c r="T173" s="20"/>
      <c r="X173" s="28"/>
      <c r="Y173" s="28"/>
    </row>
    <row r="174" customFormat="false" ht="30" hidden="false" customHeight="true" outlineLevel="0" collapsed="false">
      <c r="B174" s="19"/>
      <c r="C174" s="38"/>
      <c r="D174" s="38"/>
      <c r="E174" s="23"/>
      <c r="F174" s="84"/>
      <c r="G174" s="24"/>
      <c r="H174" s="20"/>
      <c r="I174" s="20"/>
      <c r="J174" s="20"/>
      <c r="K174" s="20"/>
      <c r="L174" s="64"/>
      <c r="M174" s="20"/>
      <c r="N174" s="23"/>
      <c r="O174" s="25"/>
      <c r="P174" s="23"/>
      <c r="Q174" s="20"/>
      <c r="R174" s="20"/>
      <c r="S174" s="20"/>
      <c r="T174" s="20"/>
      <c r="X174" s="28"/>
      <c r="Y174" s="28"/>
    </row>
    <row r="175" customFormat="false" ht="30" hidden="false" customHeight="true" outlineLevel="0" collapsed="false">
      <c r="B175" s="19"/>
      <c r="C175" s="38"/>
      <c r="D175" s="38"/>
      <c r="E175" s="23"/>
      <c r="F175" s="84"/>
      <c r="G175" s="24"/>
      <c r="H175" s="20"/>
      <c r="I175" s="20"/>
      <c r="J175" s="20"/>
      <c r="K175" s="20"/>
      <c r="L175" s="64"/>
      <c r="M175" s="20"/>
      <c r="N175" s="23"/>
      <c r="O175" s="25"/>
      <c r="P175" s="23"/>
      <c r="Q175" s="20"/>
      <c r="R175" s="20"/>
      <c r="S175" s="20"/>
      <c r="T175" s="20"/>
      <c r="X175" s="28"/>
      <c r="Y175" s="28"/>
    </row>
    <row r="176" customFormat="false" ht="30" hidden="false" customHeight="true" outlineLevel="0" collapsed="false">
      <c r="B176" s="19"/>
      <c r="C176" s="38"/>
      <c r="D176" s="38"/>
      <c r="E176" s="23"/>
      <c r="F176" s="84"/>
      <c r="G176" s="24"/>
      <c r="H176" s="20"/>
      <c r="I176" s="20"/>
      <c r="J176" s="20"/>
      <c r="K176" s="20"/>
      <c r="L176" s="64"/>
      <c r="M176" s="20"/>
      <c r="N176" s="23"/>
      <c r="O176" s="25"/>
      <c r="P176" s="23"/>
      <c r="Q176" s="20"/>
      <c r="R176" s="20"/>
      <c r="S176" s="20"/>
      <c r="T176" s="20"/>
      <c r="X176" s="28"/>
      <c r="Y176" s="28"/>
    </row>
    <row r="177" customFormat="false" ht="30" hidden="false" customHeight="true" outlineLevel="0" collapsed="false">
      <c r="B177" s="19"/>
      <c r="C177" s="38"/>
      <c r="D177" s="38"/>
      <c r="E177" s="23"/>
      <c r="F177" s="84"/>
      <c r="G177" s="24"/>
      <c r="H177" s="20"/>
      <c r="I177" s="20"/>
      <c r="J177" s="20"/>
      <c r="K177" s="20"/>
      <c r="L177" s="64"/>
      <c r="M177" s="20"/>
      <c r="N177" s="23"/>
      <c r="O177" s="25"/>
      <c r="P177" s="23"/>
      <c r="Q177" s="20"/>
      <c r="R177" s="20"/>
      <c r="S177" s="20"/>
      <c r="T177" s="20"/>
      <c r="X177" s="28"/>
      <c r="Y177" s="28"/>
    </row>
    <row r="178" customFormat="false" ht="30" hidden="false" customHeight="true" outlineLevel="0" collapsed="false">
      <c r="B178" s="19"/>
      <c r="C178" s="38"/>
      <c r="D178" s="38"/>
      <c r="E178" s="23"/>
      <c r="F178" s="84"/>
      <c r="G178" s="24"/>
      <c r="H178" s="20"/>
      <c r="I178" s="20"/>
      <c r="J178" s="20"/>
      <c r="K178" s="20"/>
      <c r="L178" s="64"/>
      <c r="M178" s="20"/>
      <c r="N178" s="23"/>
      <c r="O178" s="25"/>
      <c r="P178" s="23"/>
      <c r="Q178" s="20"/>
      <c r="R178" s="20"/>
      <c r="S178" s="20"/>
      <c r="T178" s="20"/>
      <c r="X178" s="28"/>
      <c r="Y178" s="28"/>
    </row>
    <row r="179" customFormat="false" ht="30" hidden="false" customHeight="true" outlineLevel="0" collapsed="false">
      <c r="B179" s="19"/>
      <c r="C179" s="38"/>
      <c r="D179" s="38"/>
      <c r="E179" s="23"/>
      <c r="F179" s="84"/>
      <c r="G179" s="24"/>
      <c r="H179" s="20"/>
      <c r="I179" s="20"/>
      <c r="J179" s="20"/>
      <c r="K179" s="20"/>
      <c r="L179" s="64"/>
      <c r="M179" s="20"/>
      <c r="N179" s="23"/>
      <c r="O179" s="25"/>
      <c r="P179" s="23"/>
      <c r="Q179" s="20"/>
      <c r="R179" s="20"/>
      <c r="S179" s="20"/>
      <c r="T179" s="20"/>
      <c r="X179" s="28"/>
      <c r="Y179" s="28"/>
    </row>
    <row r="180" customFormat="false" ht="30" hidden="false" customHeight="true" outlineLevel="0" collapsed="false">
      <c r="B180" s="19"/>
      <c r="C180" s="38"/>
      <c r="D180" s="38"/>
      <c r="E180" s="23"/>
      <c r="F180" s="84"/>
      <c r="G180" s="24"/>
      <c r="H180" s="20"/>
      <c r="I180" s="20"/>
      <c r="J180" s="20"/>
      <c r="K180" s="20"/>
      <c r="L180" s="64"/>
      <c r="M180" s="20"/>
      <c r="N180" s="23"/>
      <c r="O180" s="25"/>
      <c r="P180" s="23"/>
      <c r="Q180" s="20"/>
      <c r="R180" s="20"/>
      <c r="S180" s="20"/>
      <c r="T180" s="20"/>
      <c r="X180" s="28"/>
      <c r="Y180" s="28"/>
    </row>
    <row r="181" customFormat="false" ht="30" hidden="false" customHeight="true" outlineLevel="0" collapsed="false">
      <c r="B181" s="19"/>
      <c r="C181" s="38"/>
      <c r="D181" s="38"/>
      <c r="E181" s="23"/>
      <c r="F181" s="84"/>
      <c r="G181" s="24"/>
      <c r="H181" s="20"/>
      <c r="I181" s="20"/>
      <c r="J181" s="20"/>
      <c r="K181" s="20"/>
      <c r="L181" s="64"/>
      <c r="M181" s="20"/>
      <c r="N181" s="23"/>
      <c r="O181" s="25"/>
      <c r="P181" s="23"/>
      <c r="Q181" s="20"/>
      <c r="R181" s="20"/>
      <c r="S181" s="20"/>
      <c r="T181" s="20"/>
      <c r="X181" s="28"/>
      <c r="Y181" s="28"/>
    </row>
    <row r="182" customFormat="false" ht="30" hidden="false" customHeight="true" outlineLevel="0" collapsed="false">
      <c r="B182" s="19"/>
      <c r="C182" s="38"/>
      <c r="D182" s="38"/>
      <c r="E182" s="23"/>
      <c r="F182" s="84"/>
      <c r="G182" s="24"/>
      <c r="H182" s="20"/>
      <c r="I182" s="20"/>
      <c r="J182" s="20"/>
      <c r="K182" s="20"/>
      <c r="L182" s="64"/>
      <c r="M182" s="20"/>
      <c r="N182" s="23"/>
      <c r="O182" s="25"/>
      <c r="P182" s="23"/>
      <c r="Q182" s="20"/>
      <c r="R182" s="20"/>
      <c r="S182" s="20"/>
      <c r="T182" s="20"/>
      <c r="X182" s="28"/>
      <c r="Y182" s="28"/>
    </row>
    <row r="183" customFormat="false" ht="30" hidden="false" customHeight="true" outlineLevel="0" collapsed="false">
      <c r="B183" s="19"/>
      <c r="C183" s="38"/>
      <c r="D183" s="38"/>
      <c r="E183" s="23"/>
      <c r="F183" s="84"/>
      <c r="G183" s="24"/>
      <c r="H183" s="20"/>
      <c r="I183" s="20"/>
      <c r="J183" s="20"/>
      <c r="K183" s="20"/>
      <c r="L183" s="64"/>
      <c r="M183" s="20"/>
      <c r="N183" s="23"/>
      <c r="O183" s="25"/>
      <c r="P183" s="23"/>
      <c r="Q183" s="20"/>
      <c r="R183" s="20"/>
      <c r="S183" s="20"/>
      <c r="T183" s="20"/>
      <c r="X183" s="28"/>
      <c r="Y183" s="28"/>
    </row>
    <row r="184" customFormat="false" ht="30" hidden="false" customHeight="true" outlineLevel="0" collapsed="false">
      <c r="B184" s="19"/>
      <c r="C184" s="38"/>
      <c r="D184" s="38"/>
      <c r="E184" s="23"/>
      <c r="F184" s="84"/>
      <c r="G184" s="24"/>
      <c r="H184" s="20"/>
      <c r="I184" s="20"/>
      <c r="J184" s="20"/>
      <c r="K184" s="20"/>
      <c r="L184" s="64"/>
      <c r="M184" s="20"/>
      <c r="N184" s="23"/>
      <c r="O184" s="25"/>
      <c r="P184" s="23"/>
      <c r="Q184" s="20"/>
      <c r="R184" s="20"/>
      <c r="S184" s="20"/>
      <c r="T184" s="20"/>
      <c r="X184" s="28"/>
      <c r="Y184" s="28"/>
    </row>
    <row r="185" customFormat="false" ht="30" hidden="false" customHeight="true" outlineLevel="0" collapsed="false">
      <c r="B185" s="19"/>
      <c r="C185" s="38"/>
      <c r="D185" s="38"/>
      <c r="E185" s="23"/>
      <c r="F185" s="84"/>
      <c r="G185" s="24"/>
      <c r="H185" s="20"/>
      <c r="I185" s="20"/>
      <c r="J185" s="20"/>
      <c r="K185" s="20"/>
      <c r="L185" s="64"/>
      <c r="M185" s="20"/>
      <c r="N185" s="23"/>
      <c r="O185" s="25"/>
      <c r="P185" s="23"/>
      <c r="Q185" s="20"/>
      <c r="R185" s="20"/>
      <c r="S185" s="20"/>
      <c r="T185" s="20"/>
      <c r="X185" s="28"/>
      <c r="Y185" s="28"/>
    </row>
    <row r="186" customFormat="false" ht="30" hidden="false" customHeight="true" outlineLevel="0" collapsed="false">
      <c r="B186" s="19"/>
      <c r="C186" s="38"/>
      <c r="D186" s="38"/>
      <c r="E186" s="23"/>
      <c r="F186" s="84"/>
      <c r="G186" s="24"/>
      <c r="H186" s="20"/>
      <c r="I186" s="20"/>
      <c r="J186" s="20"/>
      <c r="K186" s="20"/>
      <c r="L186" s="64"/>
      <c r="M186" s="20"/>
      <c r="N186" s="23"/>
      <c r="O186" s="25"/>
      <c r="P186" s="23"/>
      <c r="Q186" s="20"/>
      <c r="R186" s="20"/>
      <c r="S186" s="20"/>
      <c r="T186" s="20"/>
      <c r="X186" s="28"/>
      <c r="Y186" s="28"/>
    </row>
    <row r="187" customFormat="false" ht="30" hidden="false" customHeight="true" outlineLevel="0" collapsed="false">
      <c r="B187" s="19"/>
      <c r="C187" s="38"/>
      <c r="D187" s="38"/>
      <c r="E187" s="23"/>
      <c r="F187" s="84"/>
      <c r="G187" s="24"/>
      <c r="H187" s="20"/>
      <c r="I187" s="20"/>
      <c r="J187" s="20"/>
      <c r="K187" s="20"/>
      <c r="L187" s="64"/>
      <c r="M187" s="20"/>
      <c r="N187" s="23"/>
      <c r="O187" s="25"/>
      <c r="P187" s="23"/>
      <c r="Q187" s="20"/>
      <c r="R187" s="20"/>
      <c r="S187" s="20"/>
      <c r="T187" s="20"/>
      <c r="X187" s="28"/>
      <c r="Y187" s="28"/>
    </row>
    <row r="188" customFormat="false" ht="30" hidden="false" customHeight="true" outlineLevel="0" collapsed="false">
      <c r="B188" s="19"/>
      <c r="C188" s="38"/>
      <c r="D188" s="38"/>
      <c r="E188" s="23"/>
      <c r="F188" s="84"/>
      <c r="G188" s="24"/>
      <c r="H188" s="20"/>
      <c r="I188" s="20"/>
      <c r="J188" s="20"/>
      <c r="K188" s="20"/>
      <c r="L188" s="64"/>
      <c r="M188" s="20"/>
      <c r="N188" s="23"/>
      <c r="O188" s="25"/>
      <c r="P188" s="23"/>
      <c r="Q188" s="20"/>
      <c r="R188" s="20"/>
      <c r="S188" s="20"/>
      <c r="T188" s="20"/>
      <c r="X188" s="28"/>
      <c r="Y188" s="28"/>
    </row>
    <row r="189" customFormat="false" ht="30" hidden="false" customHeight="true" outlineLevel="0" collapsed="false">
      <c r="B189" s="19"/>
      <c r="C189" s="38"/>
      <c r="D189" s="38"/>
      <c r="E189" s="23"/>
      <c r="F189" s="84"/>
      <c r="G189" s="24"/>
      <c r="H189" s="20"/>
      <c r="I189" s="20"/>
      <c r="J189" s="20"/>
      <c r="K189" s="20"/>
      <c r="L189" s="64"/>
      <c r="M189" s="20"/>
      <c r="N189" s="23"/>
      <c r="O189" s="25"/>
      <c r="P189" s="23"/>
      <c r="Q189" s="20"/>
      <c r="R189" s="20"/>
      <c r="S189" s="20"/>
      <c r="T189" s="20"/>
      <c r="X189" s="28"/>
      <c r="Y189" s="28"/>
    </row>
    <row r="190" customFormat="false" ht="30" hidden="false" customHeight="true" outlineLevel="0" collapsed="false">
      <c r="B190" s="19"/>
      <c r="C190" s="38"/>
      <c r="D190" s="38"/>
      <c r="E190" s="23"/>
      <c r="F190" s="84"/>
      <c r="G190" s="24"/>
      <c r="H190" s="20"/>
      <c r="I190" s="20"/>
      <c r="J190" s="20"/>
      <c r="K190" s="20"/>
      <c r="L190" s="64"/>
      <c r="M190" s="20"/>
      <c r="N190" s="23"/>
      <c r="O190" s="25"/>
      <c r="P190" s="23"/>
      <c r="Q190" s="20"/>
      <c r="R190" s="20"/>
      <c r="S190" s="20"/>
      <c r="T190" s="20"/>
      <c r="X190" s="28"/>
      <c r="Y190" s="28"/>
    </row>
    <row r="191" customFormat="false" ht="30" hidden="false" customHeight="true" outlineLevel="0" collapsed="false">
      <c r="B191" s="19"/>
      <c r="C191" s="38"/>
      <c r="D191" s="38"/>
      <c r="E191" s="23"/>
      <c r="F191" s="84"/>
      <c r="G191" s="24"/>
      <c r="H191" s="20"/>
      <c r="I191" s="20"/>
      <c r="J191" s="20"/>
      <c r="K191" s="20"/>
      <c r="L191" s="64"/>
      <c r="M191" s="20"/>
      <c r="N191" s="23"/>
      <c r="O191" s="25"/>
      <c r="P191" s="23"/>
      <c r="Q191" s="20"/>
      <c r="R191" s="20"/>
      <c r="S191" s="20"/>
      <c r="T191" s="20"/>
      <c r="X191" s="28"/>
      <c r="Y191" s="28"/>
    </row>
    <row r="192" customFormat="false" ht="30" hidden="false" customHeight="true" outlineLevel="0" collapsed="false">
      <c r="B192" s="19"/>
      <c r="C192" s="38"/>
      <c r="D192" s="38"/>
      <c r="E192" s="23"/>
      <c r="F192" s="84"/>
      <c r="G192" s="24"/>
      <c r="H192" s="20"/>
      <c r="I192" s="20"/>
      <c r="J192" s="20"/>
      <c r="K192" s="20"/>
      <c r="L192" s="64"/>
      <c r="M192" s="20"/>
      <c r="N192" s="23"/>
      <c r="O192" s="25"/>
      <c r="P192" s="23"/>
      <c r="Q192" s="20"/>
      <c r="R192" s="20"/>
      <c r="S192" s="20"/>
      <c r="T192" s="20"/>
      <c r="X192" s="28"/>
      <c r="Y192" s="28"/>
    </row>
    <row r="193" customFormat="false" ht="30" hidden="false" customHeight="true" outlineLevel="0" collapsed="false">
      <c r="B193" s="19"/>
      <c r="C193" s="38"/>
      <c r="D193" s="38"/>
      <c r="E193" s="23"/>
      <c r="F193" s="84"/>
      <c r="G193" s="24"/>
      <c r="H193" s="20"/>
      <c r="I193" s="20"/>
      <c r="J193" s="20"/>
      <c r="K193" s="20"/>
      <c r="L193" s="64"/>
      <c r="M193" s="20"/>
      <c r="N193" s="23"/>
      <c r="O193" s="25"/>
      <c r="P193" s="23"/>
      <c r="Q193" s="20"/>
      <c r="R193" s="20"/>
      <c r="S193" s="20"/>
      <c r="T193" s="20"/>
      <c r="X193" s="28"/>
      <c r="Y193" s="28"/>
    </row>
    <row r="194" customFormat="false" ht="30" hidden="false" customHeight="true" outlineLevel="0" collapsed="false">
      <c r="B194" s="19"/>
      <c r="C194" s="38"/>
      <c r="D194" s="38"/>
      <c r="E194" s="23"/>
      <c r="F194" s="84"/>
      <c r="G194" s="24"/>
      <c r="H194" s="20"/>
      <c r="I194" s="20"/>
      <c r="J194" s="20"/>
      <c r="K194" s="20"/>
      <c r="L194" s="64"/>
      <c r="M194" s="20"/>
      <c r="N194" s="23"/>
      <c r="O194" s="25"/>
      <c r="P194" s="23"/>
      <c r="Q194" s="20"/>
      <c r="R194" s="20"/>
      <c r="S194" s="20"/>
      <c r="T194" s="20"/>
      <c r="X194" s="28"/>
      <c r="Y194" s="28"/>
    </row>
    <row r="195" customFormat="false" ht="30" hidden="false" customHeight="true" outlineLevel="0" collapsed="false">
      <c r="B195" s="19"/>
      <c r="C195" s="38"/>
      <c r="D195" s="38"/>
      <c r="E195" s="23"/>
      <c r="F195" s="84"/>
      <c r="G195" s="24"/>
      <c r="H195" s="20"/>
      <c r="I195" s="20"/>
      <c r="J195" s="20"/>
      <c r="K195" s="20"/>
      <c r="L195" s="64"/>
      <c r="M195" s="20"/>
      <c r="N195" s="23"/>
      <c r="O195" s="25"/>
      <c r="P195" s="23"/>
      <c r="Q195" s="20"/>
      <c r="R195" s="20"/>
      <c r="S195" s="20"/>
      <c r="T195" s="20"/>
      <c r="X195" s="28"/>
      <c r="Y195" s="28"/>
    </row>
    <row r="196" customFormat="false" ht="30" hidden="false" customHeight="true" outlineLevel="0" collapsed="false">
      <c r="B196" s="19"/>
      <c r="C196" s="38"/>
      <c r="D196" s="38"/>
      <c r="E196" s="23"/>
      <c r="F196" s="84"/>
      <c r="G196" s="24"/>
      <c r="H196" s="20"/>
      <c r="I196" s="20"/>
      <c r="J196" s="20"/>
      <c r="K196" s="20"/>
      <c r="L196" s="64"/>
      <c r="M196" s="20"/>
      <c r="N196" s="23"/>
      <c r="O196" s="25"/>
      <c r="P196" s="23"/>
      <c r="Q196" s="20"/>
      <c r="R196" s="20"/>
      <c r="S196" s="20"/>
      <c r="T196" s="20"/>
      <c r="X196" s="28"/>
      <c r="Y196" s="28"/>
    </row>
    <row r="197" customFormat="false" ht="30" hidden="false" customHeight="true" outlineLevel="0" collapsed="false">
      <c r="B197" s="19"/>
      <c r="C197" s="38"/>
      <c r="D197" s="38"/>
      <c r="E197" s="23"/>
      <c r="F197" s="84"/>
      <c r="G197" s="24"/>
      <c r="H197" s="20"/>
      <c r="I197" s="20"/>
      <c r="J197" s="20"/>
      <c r="K197" s="20"/>
      <c r="L197" s="64"/>
      <c r="M197" s="20"/>
      <c r="N197" s="23"/>
      <c r="O197" s="25"/>
      <c r="P197" s="23"/>
      <c r="Q197" s="20"/>
      <c r="R197" s="20"/>
      <c r="S197" s="20"/>
      <c r="T197" s="20"/>
      <c r="X197" s="28"/>
      <c r="Y197" s="28"/>
    </row>
    <row r="198" customFormat="false" ht="30" hidden="false" customHeight="true" outlineLevel="0" collapsed="false">
      <c r="B198" s="19"/>
      <c r="C198" s="38"/>
      <c r="D198" s="38"/>
      <c r="E198" s="23"/>
      <c r="F198" s="84"/>
      <c r="G198" s="24"/>
      <c r="H198" s="20"/>
      <c r="I198" s="20"/>
      <c r="J198" s="20"/>
      <c r="K198" s="20"/>
      <c r="L198" s="64"/>
      <c r="M198" s="20"/>
      <c r="N198" s="23"/>
      <c r="O198" s="25"/>
      <c r="P198" s="23"/>
      <c r="Q198" s="20"/>
      <c r="R198" s="20"/>
      <c r="S198" s="20"/>
      <c r="T198" s="20"/>
      <c r="X198" s="28"/>
      <c r="Y198" s="28"/>
    </row>
    <row r="199" customFormat="false" ht="30" hidden="false" customHeight="true" outlineLevel="0" collapsed="false">
      <c r="B199" s="19"/>
      <c r="C199" s="38"/>
      <c r="D199" s="38"/>
      <c r="E199" s="23"/>
      <c r="F199" s="84"/>
      <c r="G199" s="24"/>
      <c r="H199" s="20"/>
      <c r="I199" s="20"/>
      <c r="J199" s="20"/>
      <c r="K199" s="20"/>
      <c r="L199" s="64"/>
      <c r="M199" s="20"/>
      <c r="N199" s="23"/>
      <c r="O199" s="25"/>
      <c r="P199" s="23"/>
      <c r="Q199" s="20"/>
      <c r="R199" s="20"/>
      <c r="S199" s="20"/>
      <c r="T199" s="20"/>
      <c r="X199" s="28"/>
      <c r="Y199" s="28"/>
    </row>
    <row r="200" customFormat="false" ht="30" hidden="false" customHeight="true" outlineLevel="0" collapsed="false">
      <c r="B200" s="19"/>
      <c r="C200" s="38"/>
      <c r="D200" s="38"/>
      <c r="E200" s="23"/>
      <c r="F200" s="48"/>
      <c r="G200" s="26"/>
      <c r="H200" s="20"/>
      <c r="I200" s="20"/>
      <c r="J200" s="20"/>
      <c r="K200" s="20"/>
      <c r="L200" s="64"/>
      <c r="M200" s="20"/>
      <c r="N200" s="23"/>
      <c r="O200" s="25"/>
      <c r="P200" s="23"/>
      <c r="Q200" s="20"/>
      <c r="R200" s="20"/>
      <c r="S200" s="20"/>
      <c r="T200" s="20"/>
      <c r="X200" s="28"/>
      <c r="Y200" s="28"/>
    </row>
    <row r="201" customFormat="false" ht="30" hidden="false" customHeight="true" outlineLevel="0" collapsed="false">
      <c r="B201" s="19"/>
      <c r="C201" s="38"/>
      <c r="D201" s="38"/>
      <c r="E201" s="23"/>
      <c r="F201" s="48"/>
      <c r="G201" s="26"/>
      <c r="H201" s="20"/>
      <c r="I201" s="20"/>
      <c r="J201" s="20"/>
      <c r="K201" s="20"/>
      <c r="L201" s="64"/>
      <c r="M201" s="20"/>
      <c r="N201" s="23"/>
      <c r="O201" s="25"/>
      <c r="P201" s="23"/>
      <c r="Q201" s="20"/>
      <c r="R201" s="20"/>
      <c r="S201" s="20"/>
      <c r="T201" s="20"/>
      <c r="X201" s="28"/>
      <c r="Y201" s="28"/>
    </row>
    <row r="202" customFormat="false" ht="61.5" hidden="false" customHeight="true" outlineLevel="0" collapsed="false">
      <c r="B202" s="19"/>
      <c r="C202" s="38"/>
      <c r="D202" s="38"/>
      <c r="E202" s="23"/>
      <c r="F202" s="85"/>
      <c r="G202" s="24"/>
      <c r="H202" s="20"/>
      <c r="I202" s="20"/>
      <c r="J202" s="20"/>
      <c r="K202" s="20"/>
      <c r="L202" s="64"/>
      <c r="M202" s="20"/>
      <c r="N202" s="23"/>
      <c r="O202" s="25"/>
      <c r="P202" s="23"/>
      <c r="Q202" s="20"/>
      <c r="R202" s="20"/>
      <c r="S202" s="20"/>
      <c r="T202" s="20"/>
      <c r="X202" s="28"/>
      <c r="Y202" s="28"/>
    </row>
  </sheetData>
  <autoFilter ref="B5:T202"/>
  <mergeCells count="25">
    <mergeCell ref="B1:T1"/>
    <mergeCell ref="B2:H2"/>
    <mergeCell ref="R2:T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P3"/>
    <mergeCell ref="Q3:T3"/>
    <mergeCell ref="M4:M5"/>
    <mergeCell ref="N4:N5"/>
    <mergeCell ref="O4:O5"/>
    <mergeCell ref="P4:P5"/>
    <mergeCell ref="Q4:R4"/>
    <mergeCell ref="S4:T4"/>
    <mergeCell ref="U16:V16"/>
    <mergeCell ref="U52:V52"/>
    <mergeCell ref="U53:V53"/>
  </mergeCells>
  <printOptions headings="false" gridLines="false" gridLinesSet="true" horizontalCentered="true" verticalCentered="true"/>
  <pageMargins left="0" right="0.196527777777778" top="0.39375" bottom="0.39375" header="0.144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E202"/>
  <sheetViews>
    <sheetView showFormulas="false" showGridLines="true" showRowColHeaders="true" showZeros="true" rightToLeft="false" tabSelected="true" showOutlineSymbols="true" defaultGridColor="true" view="pageBreakPreview" topLeftCell="A1" colorId="64" zoomScale="85" zoomScaleNormal="75" zoomScalePageLayoutView="85" workbookViewId="0">
      <pane xSplit="0" ySplit="5" topLeftCell="A102" activePane="bottomLeft" state="frozen"/>
      <selection pane="topLeft" activeCell="A1" activeCellId="0" sqref="A1"/>
      <selection pane="bottomLeft" activeCell="U115" activeCellId="0" sqref="U115"/>
    </sheetView>
  </sheetViews>
  <sheetFormatPr defaultColWidth="8.7100" defaultRowHeight="13.5" zeroHeight="false" outlineLevelRow="0" outlineLevelCol="0"/>
  <cols>
    <col min="1" max="1" width="6.2188" customWidth="1"/>
    <col min="2" max="2" width="9.3320" customWidth="1"/>
    <col min="3" max="3" width="10.7773" customWidth="1"/>
    <col min="4" max="4" width="28.8867" customWidth="1"/>
    <col min="5" max="5" width="6.7773" customWidth="1"/>
    <col min="6" max="6" width="6.7773" customWidth="1"/>
    <col min="7" max="7" width="6.7773" customWidth="1"/>
    <col min="8" max="8" width="10.7773" customWidth="1"/>
    <col min="9" max="9" width="8.6641" customWidth="1"/>
    <col min="10" max="10" width="7.7773" customWidth="1"/>
    <col min="11" max="11" width="10.8867" customWidth="1"/>
    <col min="12" max="12" width="6.0000" customWidth="1" hidden="1"/>
    <col min="13" max="13" width="6.7773" customWidth="1" hidden="1"/>
    <col min="14" max="14" width="6.7773" customWidth="1" hidden="1"/>
    <col min="15" max="15" width="6.7773" customWidth="1" hidden="1"/>
    <col min="16" max="16" width="7.7773" customWidth="1" hidden="1"/>
    <col min="17" max="17" width="7.8867" customWidth="1" hidden="1"/>
    <col min="18" max="18" width="7.8867" customWidth="1" hidden="1"/>
    <col min="19" max="19" width="7.8867" customWidth="1" hidden="1"/>
    <col min="20" max="20" width="7.8867" customWidth="1" hidden="1"/>
    <col min="21" max="21" width="14.0000" customWidth="1"/>
    <col min="22" max="22" width="8.8867" customWidth="1"/>
    <col min="23" max="23" width="16.1094" customWidth="1"/>
    <col min="24" max="24" width="10.7773" customWidth="1"/>
    <col min="25" max="25" width="10.7773" customWidth="1"/>
    <col min="26" max="26" width="9.3320" customWidth="1"/>
    <col min="27" max="27" width="8.8867" customWidth="1"/>
    <col min="28" max="28" width="8.8867" customWidth="1"/>
    <col min="29" max="29" width="9.3320" customWidth="1"/>
    <col min="30" max="30" width="17.1094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54.75" hidden="false" customHeight="true" outlineLevel="0" collapsed="false">
      <c r="B1" s="9" t="s">
        <v>118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30" t="s">
        <v>27</v>
      </c>
    </row>
    <row r="2" customFormat="false" ht="29.25" hidden="false" customHeight="true" outlineLevel="0" collapsed="false">
      <c r="B2" s="10" t="s">
        <v>29</v>
      </c>
      <c r="C2" s="10"/>
      <c r="D2" s="10"/>
      <c r="E2" s="10"/>
      <c r="F2" s="10"/>
      <c r="G2" s="10"/>
      <c r="H2" s="10"/>
      <c r="I2" s="7"/>
      <c r="J2" s="7"/>
      <c r="K2" s="7"/>
      <c r="M2" s="32" t="n">
        <v>419</v>
      </c>
      <c r="N2" s="33"/>
      <c r="O2" s="34"/>
      <c r="P2" s="33"/>
      <c r="Q2" s="32"/>
      <c r="R2" s="35" t="s">
        <v>30</v>
      </c>
      <c r="S2" s="35"/>
      <c r="T2" s="35"/>
      <c r="X2" s="1" t="s">
        <v>31</v>
      </c>
      <c r="Y2" s="1" t="s">
        <v>32</v>
      </c>
      <c r="Z2" s="1" t="s">
        <v>33</v>
      </c>
      <c r="AB2" s="1" t="s">
        <v>34</v>
      </c>
    </row>
    <row r="3" customFormat="false" ht="26.25" hidden="false" customHeight="true" outlineLevel="0" collapsed="false">
      <c r="B3" s="11" t="s">
        <v>2</v>
      </c>
      <c r="C3" s="36" t="s">
        <v>3</v>
      </c>
      <c r="D3" s="36" t="s">
        <v>35</v>
      </c>
      <c r="E3" s="15" t="s">
        <v>6</v>
      </c>
      <c r="F3" s="17" t="s">
        <v>7</v>
      </c>
      <c r="G3" s="17" t="s">
        <v>36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37</v>
      </c>
      <c r="M3" s="12" t="s">
        <v>14</v>
      </c>
      <c r="N3" s="12"/>
      <c r="O3" s="12"/>
      <c r="P3" s="12"/>
      <c r="Q3" s="12" t="s">
        <v>15</v>
      </c>
      <c r="R3" s="12"/>
      <c r="S3" s="12"/>
      <c r="T3" s="12"/>
      <c r="W3" s="19"/>
      <c r="X3" s="19" t="s">
        <v>38</v>
      </c>
      <c r="Y3" s="19" t="s">
        <v>39</v>
      </c>
      <c r="Z3" s="19" t="s">
        <v>39</v>
      </c>
      <c r="AA3" s="19"/>
      <c r="AB3" s="19"/>
      <c r="AC3" s="19"/>
    </row>
    <row r="4" customFormat="false" ht="26.25" hidden="false" customHeight="true" outlineLevel="0" collapsed="false">
      <c r="B4" s="11"/>
      <c r="C4" s="36"/>
      <c r="D4" s="36"/>
      <c r="E4" s="15"/>
      <c r="F4" s="17"/>
      <c r="G4" s="17"/>
      <c r="H4" s="17"/>
      <c r="I4" s="17"/>
      <c r="J4" s="17"/>
      <c r="K4" s="17"/>
      <c r="L4" s="17"/>
      <c r="M4" s="17" t="s">
        <v>16</v>
      </c>
      <c r="N4" s="15" t="s">
        <v>17</v>
      </c>
      <c r="O4" s="18" t="s">
        <v>18</v>
      </c>
      <c r="P4" s="15" t="s">
        <v>19</v>
      </c>
      <c r="Q4" s="12" t="s">
        <v>20</v>
      </c>
      <c r="R4" s="12"/>
      <c r="S4" s="12" t="s">
        <v>40</v>
      </c>
      <c r="T4" s="12"/>
      <c r="U4" s="1" t="s">
        <v>41</v>
      </c>
      <c r="V4" s="1" t="s">
        <v>42</v>
      </c>
      <c r="W4" s="19" t="s">
        <v>43</v>
      </c>
      <c r="X4" s="37" t="n">
        <v>2137</v>
      </c>
      <c r="Y4" s="37" t="n">
        <v>1665</v>
      </c>
      <c r="Z4" s="37" t="n">
        <v>110</v>
      </c>
      <c r="AA4" s="19"/>
      <c r="AB4" s="19" t="n">
        <v>12123</v>
      </c>
      <c r="AC4" s="19"/>
    </row>
    <row r="5" customFormat="false" ht="26.25" hidden="false" customHeight="true" outlineLevel="0" collapsed="false">
      <c r="B5" s="11"/>
      <c r="C5" s="36"/>
      <c r="D5" s="36"/>
      <c r="E5" s="15"/>
      <c r="F5" s="17"/>
      <c r="G5" s="17"/>
      <c r="H5" s="17"/>
      <c r="I5" s="17"/>
      <c r="J5" s="17"/>
      <c r="K5" s="17"/>
      <c r="L5" s="17"/>
      <c r="M5" s="17"/>
      <c r="N5" s="15"/>
      <c r="O5" s="18"/>
      <c r="P5" s="15"/>
      <c r="Q5" s="12" t="s">
        <v>22</v>
      </c>
      <c r="R5" s="12" t="s">
        <v>23</v>
      </c>
      <c r="S5" s="12" t="s">
        <v>22</v>
      </c>
      <c r="T5" s="12" t="s">
        <v>23</v>
      </c>
      <c r="U5" s="7" t="n">
        <f aca="false">SUM(E6:E202)+220</f>
        <v>220</v>
      </c>
      <c r="V5" s="7" t="n">
        <f aca="false">X5</f>
        <v>552</v>
      </c>
      <c r="W5" s="20" t="s">
        <v>44</v>
      </c>
      <c r="X5" s="20" t="n">
        <f aca="false">F32+210</f>
        <v>552</v>
      </c>
      <c r="Y5" s="19"/>
      <c r="Z5" s="19"/>
      <c r="AA5" s="19"/>
      <c r="AB5" s="19" t="n">
        <v>8000</v>
      </c>
      <c r="AC5" s="19"/>
      <c r="AD5" s="1" t="s">
        <v>119</v>
      </c>
      <c r="AE5" s="1" t="s">
        <v>120</v>
      </c>
    </row>
    <row r="6" customFormat="false" ht="30" hidden="false" customHeight="true" outlineLevel="0" collapsed="false">
      <c r="B6" s="19" t="s">
        <v>121</v>
      </c>
      <c r="C6" s="38" t="n">
        <v>45579</v>
      </c>
      <c r="D6" s="38" t="s">
        <v>122</v>
      </c>
      <c r="E6" s="39"/>
      <c r="F6" s="40" t="n">
        <v>6</v>
      </c>
      <c r="G6" s="41"/>
      <c r="H6" s="20" t="s">
        <v>123</v>
      </c>
      <c r="I6" s="20" t="s">
        <v>47</v>
      </c>
      <c r="J6" s="20" t="s">
        <v>111</v>
      </c>
      <c r="K6" s="20"/>
      <c r="L6" s="20" t="n">
        <v>15</v>
      </c>
      <c r="M6" s="20" t="n">
        <v>160</v>
      </c>
      <c r="N6" s="23" t="n">
        <v>4</v>
      </c>
      <c r="O6" s="25" t="n">
        <v>0.026</v>
      </c>
      <c r="P6" s="23"/>
      <c r="Q6" s="20" t="s">
        <v>49</v>
      </c>
      <c r="R6" s="20"/>
      <c r="S6" s="20" t="s">
        <v>50</v>
      </c>
      <c r="T6" s="20"/>
      <c r="W6" s="19" t="s">
        <v>51</v>
      </c>
      <c r="X6" s="42" t="n">
        <f aca="false">X4-X5</f>
        <v>1585</v>
      </c>
      <c r="Y6" s="42" t="n">
        <f aca="false">Y4-Y5</f>
        <v>1665</v>
      </c>
      <c r="Z6" s="42" t="n">
        <f aca="false">Z4-Z5</f>
        <v>110</v>
      </c>
      <c r="AA6" s="43"/>
      <c r="AB6" s="43" t="n">
        <f aca="false">AB4-AB5</f>
        <v>4123</v>
      </c>
      <c r="AC6" s="43"/>
    </row>
    <row r="7" customFormat="false" ht="30" hidden="false" customHeight="true" outlineLevel="0" collapsed="false">
      <c r="B7" s="19" t="s">
        <v>121</v>
      </c>
      <c r="C7" s="38" t="n">
        <v>45580</v>
      </c>
      <c r="D7" s="38" t="s">
        <v>122</v>
      </c>
      <c r="E7" s="39"/>
      <c r="F7" s="40" t="n">
        <v>15</v>
      </c>
      <c r="G7" s="41"/>
      <c r="H7" s="20" t="s">
        <v>123</v>
      </c>
      <c r="I7" s="20" t="s">
        <v>47</v>
      </c>
      <c r="J7" s="20" t="s">
        <v>111</v>
      </c>
      <c r="K7" s="20"/>
      <c r="L7" s="20" t="n">
        <v>14</v>
      </c>
      <c r="M7" s="20" t="n">
        <v>155</v>
      </c>
      <c r="N7" s="23" t="n">
        <v>4.4</v>
      </c>
      <c r="O7" s="25" t="n">
        <v>0.058</v>
      </c>
      <c r="P7" s="23"/>
      <c r="Q7" s="20" t="s">
        <v>49</v>
      </c>
      <c r="R7" s="20"/>
      <c r="S7" s="20" t="s">
        <v>50</v>
      </c>
      <c r="T7" s="20"/>
      <c r="V7" s="7" t="n">
        <f aca="false">V5-U5</f>
        <v>332</v>
      </c>
      <c r="W7" s="19"/>
      <c r="X7" s="43"/>
      <c r="Y7" s="43"/>
      <c r="Z7" s="43"/>
      <c r="AA7" s="46"/>
      <c r="AB7" s="43"/>
      <c r="AC7" s="43"/>
    </row>
    <row r="8" customFormat="false" ht="30" hidden="false" customHeight="true" outlineLevel="0" collapsed="false">
      <c r="B8" s="19" t="s">
        <v>121</v>
      </c>
      <c r="C8" s="38" t="n">
        <v>45581</v>
      </c>
      <c r="D8" s="38" t="s">
        <v>122</v>
      </c>
      <c r="E8" s="23"/>
      <c r="F8" s="40" t="n">
        <v>17</v>
      </c>
      <c r="G8" s="41"/>
      <c r="H8" s="20" t="s">
        <v>123</v>
      </c>
      <c r="I8" s="20" t="s">
        <v>47</v>
      </c>
      <c r="J8" s="20" t="s">
        <v>111</v>
      </c>
      <c r="K8" s="20"/>
      <c r="L8" s="20" t="n">
        <v>14</v>
      </c>
      <c r="M8" s="20" t="n">
        <v>150</v>
      </c>
      <c r="N8" s="23" t="n">
        <v>4</v>
      </c>
      <c r="O8" s="25" t="n">
        <v>0.031</v>
      </c>
      <c r="P8" s="23"/>
      <c r="Q8" s="20" t="s">
        <v>49</v>
      </c>
      <c r="R8" s="20"/>
      <c r="S8" s="20" t="s">
        <v>50</v>
      </c>
      <c r="T8" s="20"/>
      <c r="V8" s="47"/>
      <c r="X8" s="28"/>
      <c r="Y8" s="28"/>
    </row>
    <row r="9" customFormat="false" ht="30" hidden="false" customHeight="true" outlineLevel="0" collapsed="false">
      <c r="B9" s="19" t="s">
        <v>121</v>
      </c>
      <c r="C9" s="38" t="n">
        <v>45582</v>
      </c>
      <c r="D9" s="38" t="s">
        <v>122</v>
      </c>
      <c r="E9" s="23"/>
      <c r="F9" s="48" t="n">
        <v>18</v>
      </c>
      <c r="G9" s="41"/>
      <c r="H9" s="20" t="s">
        <v>123</v>
      </c>
      <c r="I9" s="20" t="s">
        <v>47</v>
      </c>
      <c r="J9" s="20" t="s">
        <v>111</v>
      </c>
      <c r="K9" s="20"/>
      <c r="L9" s="20" t="n">
        <v>16</v>
      </c>
      <c r="M9" s="20" t="n">
        <v>165</v>
      </c>
      <c r="N9" s="23" t="n">
        <v>3.9</v>
      </c>
      <c r="O9" s="25" t="n">
        <v>0.038</v>
      </c>
      <c r="P9" s="23"/>
      <c r="Q9" s="20" t="s">
        <v>49</v>
      </c>
      <c r="R9" s="20"/>
      <c r="S9" s="20" t="s">
        <v>50</v>
      </c>
      <c r="T9" s="20"/>
      <c r="U9" s="49" t="s">
        <v>124</v>
      </c>
      <c r="V9" s="49"/>
      <c r="X9" s="28" t="s">
        <v>125</v>
      </c>
      <c r="Y9" s="50" t="n">
        <v>1470</v>
      </c>
    </row>
    <row r="10" customFormat="false" ht="30" hidden="false" customHeight="true" outlineLevel="0" collapsed="false">
      <c r="B10" s="19" t="s">
        <v>121</v>
      </c>
      <c r="C10" s="38" t="n">
        <v>45583</v>
      </c>
      <c r="D10" s="38" t="s">
        <v>122</v>
      </c>
      <c r="E10" s="23"/>
      <c r="F10" s="48" t="n">
        <v>6</v>
      </c>
      <c r="G10" s="41"/>
      <c r="H10" s="20" t="s">
        <v>123</v>
      </c>
      <c r="I10" s="20" t="s">
        <v>47</v>
      </c>
      <c r="J10" s="20" t="s">
        <v>111</v>
      </c>
      <c r="K10" s="20"/>
      <c r="L10" s="20" t="n">
        <v>13</v>
      </c>
      <c r="M10" s="20" t="n">
        <v>165</v>
      </c>
      <c r="N10" s="23" t="n">
        <v>4.1</v>
      </c>
      <c r="O10" s="25" t="n">
        <v>0.048</v>
      </c>
      <c r="P10" s="23"/>
      <c r="Q10" s="20" t="s">
        <v>49</v>
      </c>
      <c r="R10" s="20"/>
      <c r="S10" s="20" t="s">
        <v>50</v>
      </c>
      <c r="T10" s="20"/>
      <c r="U10" s="51" t="n">
        <v>45233</v>
      </c>
      <c r="V10" s="50" t="n">
        <f aca="false">1410-220</f>
        <v>1190</v>
      </c>
      <c r="X10" s="50" t="n">
        <f aca="false">Y9-X5</f>
        <v>918</v>
      </c>
      <c r="Y10" s="28"/>
    </row>
    <row r="11" customFormat="false" ht="30" hidden="false" customHeight="true" outlineLevel="0" collapsed="false">
      <c r="B11" s="19" t="s">
        <v>120</v>
      </c>
      <c r="C11" s="38" t="n">
        <v>45586</v>
      </c>
      <c r="D11" s="38" t="s">
        <v>122</v>
      </c>
      <c r="E11" s="23"/>
      <c r="F11" s="48" t="n">
        <v>60</v>
      </c>
      <c r="G11" s="41"/>
      <c r="H11" s="20" t="s">
        <v>123</v>
      </c>
      <c r="I11" s="20" t="s">
        <v>47</v>
      </c>
      <c r="J11" s="20" t="s">
        <v>111</v>
      </c>
      <c r="K11" s="20"/>
      <c r="L11" s="20" t="n">
        <v>12</v>
      </c>
      <c r="M11" s="20" t="n">
        <v>150</v>
      </c>
      <c r="N11" s="23" t="n">
        <v>3.8</v>
      </c>
      <c r="O11" s="25" t="n">
        <v>0.051</v>
      </c>
      <c r="P11" s="23"/>
      <c r="Q11" s="20" t="s">
        <v>49</v>
      </c>
      <c r="R11" s="20"/>
      <c r="S11" s="20" t="s">
        <v>50</v>
      </c>
      <c r="T11" s="20"/>
      <c r="U11" s="52"/>
      <c r="X11" s="47"/>
      <c r="Y11" s="28"/>
      <c r="AC11" s="1" t="s">
        <v>126</v>
      </c>
    </row>
    <row r="12" customFormat="false" ht="30" hidden="false" customHeight="true" outlineLevel="0" collapsed="false">
      <c r="B12" s="19" t="s">
        <v>120</v>
      </c>
      <c r="C12" s="38" t="n">
        <v>45587</v>
      </c>
      <c r="D12" s="38" t="s">
        <v>127</v>
      </c>
      <c r="E12" s="23"/>
      <c r="F12" s="48" t="n">
        <v>58</v>
      </c>
      <c r="G12" s="41"/>
      <c r="H12" s="20" t="s">
        <v>123</v>
      </c>
      <c r="I12" s="20" t="s">
        <v>47</v>
      </c>
      <c r="J12" s="20" t="s">
        <v>111</v>
      </c>
      <c r="K12" s="20"/>
      <c r="L12" s="20" t="n">
        <v>12</v>
      </c>
      <c r="M12" s="20" t="n">
        <v>160</v>
      </c>
      <c r="N12" s="23" t="n">
        <v>4.3</v>
      </c>
      <c r="O12" s="25" t="n">
        <v>0.033</v>
      </c>
      <c r="P12" s="23"/>
      <c r="Q12" s="20" t="s">
        <v>49</v>
      </c>
      <c r="R12" s="20"/>
      <c r="S12" s="20" t="s">
        <v>50</v>
      </c>
      <c r="T12" s="20"/>
      <c r="V12" s="1" t="n">
        <f aca="false">14*6</f>
        <v>84</v>
      </c>
      <c r="X12" s="28"/>
      <c r="Y12" s="28"/>
      <c r="AC12" s="1" t="n">
        <f aca="false">30.29+31.83+31.06+31.54+29.85+29.49+29.21+29.64+28.89+31.12+27.03+25.86+26.47+28.47+30.03+24.02</f>
        <v>464.8</v>
      </c>
    </row>
    <row r="13" customFormat="false" ht="30" hidden="false" customHeight="true" outlineLevel="0" collapsed="false">
      <c r="A13" s="53"/>
      <c r="B13" s="19" t="s">
        <v>120</v>
      </c>
      <c r="C13" s="54" t="n">
        <v>45588</v>
      </c>
      <c r="D13" s="38" t="s">
        <v>127</v>
      </c>
      <c r="E13" s="55"/>
      <c r="F13" s="56" t="n">
        <v>60</v>
      </c>
      <c r="G13" s="41"/>
      <c r="H13" s="20" t="s">
        <v>123</v>
      </c>
      <c r="I13" s="20" t="s">
        <v>47</v>
      </c>
      <c r="J13" s="20" t="s">
        <v>111</v>
      </c>
      <c r="K13" s="56"/>
      <c r="L13" s="56" t="n">
        <v>14</v>
      </c>
      <c r="M13" s="56" t="n">
        <v>155</v>
      </c>
      <c r="N13" s="57" t="n">
        <v>3.4</v>
      </c>
      <c r="O13" s="58" t="n">
        <v>0.045</v>
      </c>
      <c r="P13" s="57"/>
      <c r="Q13" s="56" t="s">
        <v>49</v>
      </c>
      <c r="R13" s="56"/>
      <c r="S13" s="56" t="s">
        <v>50</v>
      </c>
      <c r="T13" s="56"/>
      <c r="X13" s="28" t="n">
        <f aca="false">6*14</f>
        <v>84</v>
      </c>
      <c r="Y13" s="28"/>
    </row>
    <row r="14" customFormat="false" ht="30" hidden="false" customHeight="true" outlineLevel="0" collapsed="false">
      <c r="A14" s="53"/>
      <c r="B14" s="19" t="s">
        <v>119</v>
      </c>
      <c r="C14" s="54" t="n">
        <v>45589</v>
      </c>
      <c r="D14" s="54" t="s">
        <v>128</v>
      </c>
      <c r="E14" s="55"/>
      <c r="F14" s="57" t="n">
        <v>18</v>
      </c>
      <c r="G14" s="59"/>
      <c r="H14" s="20" t="s">
        <v>123</v>
      </c>
      <c r="I14" s="20" t="s">
        <v>47</v>
      </c>
      <c r="J14" s="20" t="s">
        <v>111</v>
      </c>
      <c r="K14" s="56"/>
      <c r="L14" s="56" t="n">
        <v>13</v>
      </c>
      <c r="M14" s="56" t="n">
        <v>80</v>
      </c>
      <c r="N14" s="57" t="n">
        <v>3.8</v>
      </c>
      <c r="O14" s="58" t="n">
        <v>0.029</v>
      </c>
      <c r="P14" s="57"/>
      <c r="Q14" s="56" t="s">
        <v>49</v>
      </c>
      <c r="R14" s="56"/>
      <c r="S14" s="56" t="s">
        <v>50</v>
      </c>
      <c r="T14" s="56"/>
      <c r="U14" s="52"/>
      <c r="V14" s="1" t="n">
        <v>84</v>
      </c>
      <c r="X14" s="28"/>
      <c r="Y14" s="28"/>
    </row>
    <row r="15" customFormat="false" ht="30" hidden="false" customHeight="true" outlineLevel="0" collapsed="false">
      <c r="A15" s="53"/>
      <c r="B15" s="19" t="s">
        <v>119</v>
      </c>
      <c r="C15" s="54" t="n">
        <v>45590</v>
      </c>
      <c r="D15" s="54" t="s">
        <v>122</v>
      </c>
      <c r="E15" s="55"/>
      <c r="F15" s="57" t="n">
        <v>12</v>
      </c>
      <c r="G15" s="59"/>
      <c r="H15" s="20" t="s">
        <v>123</v>
      </c>
      <c r="I15" s="20" t="s">
        <v>47</v>
      </c>
      <c r="J15" s="20" t="s">
        <v>111</v>
      </c>
      <c r="K15" s="56"/>
      <c r="L15" s="56" t="n">
        <v>14</v>
      </c>
      <c r="M15" s="56" t="n">
        <v>80</v>
      </c>
      <c r="N15" s="57" t="n">
        <v>4.1</v>
      </c>
      <c r="O15" s="58" t="n">
        <v>0.03</v>
      </c>
      <c r="P15" s="57"/>
      <c r="Q15" s="56" t="s">
        <v>49</v>
      </c>
      <c r="R15" s="56"/>
      <c r="S15" s="56" t="s">
        <v>63</v>
      </c>
      <c r="T15" s="56"/>
      <c r="U15" s="52"/>
      <c r="X15" s="28"/>
      <c r="Y15" s="28"/>
    </row>
    <row r="16" customFormat="false" ht="30" hidden="false" customHeight="true" outlineLevel="0" collapsed="false">
      <c r="A16" s="53"/>
      <c r="B16" s="19" t="s">
        <v>120</v>
      </c>
      <c r="C16" s="54" t="n">
        <v>45593</v>
      </c>
      <c r="D16" s="54" t="s">
        <v>129</v>
      </c>
      <c r="E16" s="55"/>
      <c r="F16" s="57" t="n">
        <f aca="false">12*6</f>
        <v>72</v>
      </c>
      <c r="G16" s="59"/>
      <c r="H16" s="20" t="s">
        <v>123</v>
      </c>
      <c r="I16" s="20" t="s">
        <v>47</v>
      </c>
      <c r="J16" s="20" t="s">
        <v>111</v>
      </c>
      <c r="K16" s="56"/>
      <c r="L16" s="56" t="n">
        <v>14</v>
      </c>
      <c r="M16" s="61" t="n">
        <v>85</v>
      </c>
      <c r="N16" s="62" t="n">
        <v>4</v>
      </c>
      <c r="O16" s="63" t="n">
        <v>0.065</v>
      </c>
      <c r="P16" s="62"/>
      <c r="Q16" s="56" t="s">
        <v>49</v>
      </c>
      <c r="R16" s="56"/>
      <c r="S16" s="56" t="s">
        <v>63</v>
      </c>
      <c r="T16" s="56"/>
      <c r="U16" s="86"/>
      <c r="V16" s="86"/>
      <c r="W16" s="1" t="s">
        <v>130</v>
      </c>
      <c r="X16" s="28" t="s">
        <v>131</v>
      </c>
      <c r="Y16" s="28" t="s">
        <v>132</v>
      </c>
      <c r="Z16" s="1" t="s">
        <v>133</v>
      </c>
      <c r="AA16" s="1" t="s">
        <v>134</v>
      </c>
    </row>
    <row r="17" customFormat="false" ht="30" hidden="false" customHeight="true" outlineLevel="0" collapsed="false">
      <c r="A17" s="53"/>
      <c r="B17" s="65"/>
      <c r="C17" s="54"/>
      <c r="D17" s="54"/>
      <c r="E17" s="55"/>
      <c r="F17" s="48"/>
      <c r="G17" s="41"/>
      <c r="H17" s="48"/>
      <c r="I17" s="20"/>
      <c r="J17" s="20"/>
      <c r="K17" s="20"/>
      <c r="L17" s="64" t="s">
        <v>69</v>
      </c>
      <c r="M17" s="20" t="n">
        <v>90</v>
      </c>
      <c r="N17" s="23" t="n">
        <v>3.8</v>
      </c>
      <c r="O17" s="25" t="n">
        <v>0.048</v>
      </c>
      <c r="P17" s="23"/>
      <c r="Q17" s="48" t="s">
        <v>70</v>
      </c>
      <c r="R17" s="48"/>
      <c r="S17" s="48" t="s">
        <v>63</v>
      </c>
      <c r="T17" s="20"/>
      <c r="W17" s="52"/>
    </row>
    <row r="18" customFormat="false" ht="30" hidden="false" customHeight="true" outlineLevel="0" collapsed="false">
      <c r="A18" s="53"/>
      <c r="B18" s="65"/>
      <c r="C18" s="54"/>
      <c r="D18" s="54"/>
      <c r="E18" s="55"/>
      <c r="F18" s="48"/>
      <c r="G18" s="41"/>
      <c r="H18" s="48"/>
      <c r="I18" s="48"/>
      <c r="J18" s="48"/>
      <c r="K18" s="48"/>
      <c r="L18" s="64" t="s">
        <v>73</v>
      </c>
      <c r="M18" s="20" t="n">
        <v>85</v>
      </c>
      <c r="N18" s="23" t="n">
        <v>4.3</v>
      </c>
      <c r="O18" s="25" t="n">
        <v>0.058</v>
      </c>
      <c r="P18" s="23"/>
      <c r="Q18" s="48" t="s">
        <v>70</v>
      </c>
      <c r="R18" s="48"/>
      <c r="S18" s="48" t="s">
        <v>63</v>
      </c>
      <c r="T18" s="20"/>
      <c r="W18" s="52"/>
      <c r="Y18" s="28"/>
      <c r="Z18" s="52"/>
    </row>
    <row r="19" s="71" customFormat="true" ht="30" hidden="false" customHeight="true" outlineLevel="0" collapsed="false">
      <c r="A19" s="53"/>
      <c r="B19" s="65"/>
      <c r="C19" s="54"/>
      <c r="D19" s="54"/>
      <c r="E19" s="55"/>
      <c r="F19" s="48"/>
      <c r="G19" s="41"/>
      <c r="H19" s="48"/>
      <c r="I19" s="48"/>
      <c r="J19" s="48"/>
      <c r="K19" s="48"/>
      <c r="L19" s="66"/>
      <c r="M19" s="67"/>
      <c r="N19" s="68"/>
      <c r="O19" s="69"/>
      <c r="P19" s="68"/>
      <c r="Q19" s="67" t="s">
        <v>70</v>
      </c>
      <c r="R19" s="67"/>
      <c r="S19" s="67" t="s">
        <v>63</v>
      </c>
      <c r="T19" s="67"/>
      <c r="U19" s="70"/>
      <c r="W19" s="87" t="n">
        <v>45589</v>
      </c>
      <c r="X19" s="1" t="n">
        <v>338</v>
      </c>
      <c r="Y19" s="72"/>
      <c r="Z19" s="73"/>
    </row>
    <row r="20" s="71" customFormat="true" ht="30" hidden="false" customHeight="true" outlineLevel="0" collapsed="false">
      <c r="A20" s="53"/>
      <c r="B20" s="65"/>
      <c r="C20" s="54"/>
      <c r="D20" s="54"/>
      <c r="E20" s="55"/>
      <c r="F20" s="48"/>
      <c r="G20" s="41"/>
      <c r="H20" s="48"/>
      <c r="I20" s="48"/>
      <c r="J20" s="48"/>
      <c r="K20" s="48"/>
      <c r="L20" s="66"/>
      <c r="M20" s="67"/>
      <c r="N20" s="68"/>
      <c r="O20" s="69"/>
      <c r="P20" s="68"/>
      <c r="Q20" s="67" t="s">
        <v>70</v>
      </c>
      <c r="R20" s="67"/>
      <c r="S20" s="67" t="s">
        <v>63</v>
      </c>
      <c r="T20" s="67"/>
      <c r="U20" s="70"/>
      <c r="W20" s="73" t="n">
        <v>45590</v>
      </c>
      <c r="X20" s="1" t="n">
        <v>213</v>
      </c>
      <c r="Y20" s="1"/>
    </row>
    <row r="21" s="71" customFormat="true" ht="30" hidden="false" customHeight="true" outlineLevel="0" collapsed="false">
      <c r="A21" s="53"/>
      <c r="B21" s="65"/>
      <c r="C21" s="54"/>
      <c r="D21" s="54"/>
      <c r="E21" s="55"/>
      <c r="F21" s="48"/>
      <c r="G21" s="41"/>
      <c r="H21" s="48"/>
      <c r="I21" s="48"/>
      <c r="J21" s="48"/>
      <c r="K21" s="48"/>
      <c r="L21" s="66"/>
      <c r="M21" s="67"/>
      <c r="N21" s="68"/>
      <c r="O21" s="69"/>
      <c r="P21" s="68"/>
      <c r="Q21" s="67" t="s">
        <v>70</v>
      </c>
      <c r="R21" s="67"/>
      <c r="S21" s="67" t="s">
        <v>63</v>
      </c>
      <c r="T21" s="67"/>
      <c r="U21" s="74"/>
      <c r="W21" s="73" t="n">
        <v>45594</v>
      </c>
      <c r="X21" s="1" t="n">
        <v>288</v>
      </c>
      <c r="Y21" s="1"/>
    </row>
    <row r="22" s="71" customFormat="true" ht="30" hidden="false" customHeight="true" outlineLevel="0" collapsed="false">
      <c r="A22" s="53"/>
      <c r="B22" s="65"/>
      <c r="C22" s="54"/>
      <c r="D22" s="54"/>
      <c r="E22" s="55"/>
      <c r="F22" s="48"/>
      <c r="G22" s="41"/>
      <c r="H22" s="48"/>
      <c r="I22" s="48"/>
      <c r="J22" s="48"/>
      <c r="K22" s="48"/>
      <c r="L22" s="66"/>
      <c r="M22" s="67"/>
      <c r="N22" s="68"/>
      <c r="O22" s="69"/>
      <c r="P22" s="68"/>
      <c r="Q22" s="67" t="s">
        <v>70</v>
      </c>
      <c r="R22" s="67"/>
      <c r="S22" s="67" t="s">
        <v>63</v>
      </c>
      <c r="T22" s="67"/>
      <c r="U22" s="74" t="n">
        <f aca="false">3177+294+60+96+40+56+115</f>
        <v>3838</v>
      </c>
      <c r="W22" s="73" t="n">
        <v>45595</v>
      </c>
      <c r="X22" s="1" t="n">
        <v>256</v>
      </c>
      <c r="Y22" s="1"/>
      <c r="Z22" s="71" t="n">
        <v>360</v>
      </c>
    </row>
    <row r="23" s="71" customFormat="true" ht="30" hidden="false" customHeight="true" outlineLevel="0" collapsed="false">
      <c r="A23" s="53"/>
      <c r="B23" s="65"/>
      <c r="C23" s="54"/>
      <c r="D23" s="54"/>
      <c r="E23" s="55"/>
      <c r="F23" s="48"/>
      <c r="G23" s="41"/>
      <c r="H23" s="48"/>
      <c r="I23" s="48"/>
      <c r="J23" s="48"/>
      <c r="K23" s="48"/>
      <c r="L23" s="66"/>
      <c r="M23" s="67"/>
      <c r="N23" s="68"/>
      <c r="O23" s="69"/>
      <c r="P23" s="68"/>
      <c r="Q23" s="67" t="s">
        <v>70</v>
      </c>
      <c r="R23" s="67"/>
      <c r="S23" s="67" t="s">
        <v>63</v>
      </c>
      <c r="T23" s="67"/>
      <c r="U23" s="74"/>
      <c r="W23" s="73" t="n">
        <v>45596</v>
      </c>
      <c r="X23" s="1" t="n">
        <v>478</v>
      </c>
      <c r="Y23" s="1"/>
    </row>
    <row r="24" customFormat="false" ht="30" hidden="false" customHeight="true" outlineLevel="0" collapsed="false">
      <c r="A24" s="53"/>
      <c r="B24" s="65"/>
      <c r="C24" s="54"/>
      <c r="D24" s="54"/>
      <c r="E24" s="55"/>
      <c r="F24" s="48"/>
      <c r="G24" s="41"/>
      <c r="H24" s="48"/>
      <c r="I24" s="48"/>
      <c r="J24" s="48"/>
      <c r="K24" s="48"/>
      <c r="L24" s="64" t="s">
        <v>82</v>
      </c>
      <c r="M24" s="20" t="n">
        <v>80</v>
      </c>
      <c r="N24" s="23" t="n">
        <v>4.3</v>
      </c>
      <c r="O24" s="25" t="n">
        <v>0.048</v>
      </c>
      <c r="P24" s="23"/>
      <c r="Q24" s="48" t="s">
        <v>70</v>
      </c>
      <c r="R24" s="48"/>
      <c r="S24" s="48" t="s">
        <v>63</v>
      </c>
      <c r="T24" s="20"/>
      <c r="W24" s="52" t="n">
        <v>45597</v>
      </c>
      <c r="X24" s="1" t="n">
        <v>534</v>
      </c>
      <c r="Z24" s="71"/>
    </row>
    <row r="25" customFormat="false" ht="30" hidden="false" customHeight="true" outlineLevel="0" collapsed="false">
      <c r="A25" s="53"/>
      <c r="B25" s="65"/>
      <c r="C25" s="54"/>
      <c r="D25" s="54"/>
      <c r="E25" s="55"/>
      <c r="F25" s="48"/>
      <c r="G25" s="41"/>
      <c r="H25" s="20"/>
      <c r="I25" s="20"/>
      <c r="J25" s="20"/>
      <c r="K25" s="20"/>
      <c r="L25" s="64" t="s">
        <v>85</v>
      </c>
      <c r="M25" s="20" t="n">
        <v>85</v>
      </c>
      <c r="N25" s="23" t="n">
        <v>3.7</v>
      </c>
      <c r="O25" s="25" t="n">
        <v>0.051</v>
      </c>
      <c r="P25" s="23"/>
      <c r="Q25" s="48" t="s">
        <v>70</v>
      </c>
      <c r="R25" s="48"/>
      <c r="S25" s="48" t="s">
        <v>63</v>
      </c>
      <c r="T25" s="20"/>
      <c r="W25" s="52" t="n">
        <v>45600</v>
      </c>
      <c r="X25" s="1" t="n">
        <v>46</v>
      </c>
      <c r="Z25" s="71"/>
    </row>
    <row r="26" customFormat="false" ht="30" hidden="false" customHeight="true" outlineLevel="0" collapsed="false">
      <c r="A26" s="53"/>
      <c r="B26" s="65"/>
      <c r="C26" s="54"/>
      <c r="D26" s="54"/>
      <c r="E26" s="55"/>
      <c r="F26" s="48"/>
      <c r="G26" s="41"/>
      <c r="H26" s="20"/>
      <c r="I26" s="20"/>
      <c r="J26" s="20"/>
      <c r="K26" s="20"/>
      <c r="L26" s="64" t="s">
        <v>87</v>
      </c>
      <c r="M26" s="20" t="n">
        <v>160</v>
      </c>
      <c r="N26" s="23" t="n">
        <v>4</v>
      </c>
      <c r="O26" s="25" t="n">
        <v>0.036</v>
      </c>
      <c r="P26" s="23"/>
      <c r="Q26" s="48" t="s">
        <v>70</v>
      </c>
      <c r="R26" s="48"/>
      <c r="S26" s="48" t="s">
        <v>63</v>
      </c>
      <c r="T26" s="20"/>
      <c r="W26" s="52" t="n">
        <v>45601</v>
      </c>
      <c r="X26" s="1" t="n">
        <v>286</v>
      </c>
      <c r="Z26" s="71"/>
    </row>
    <row r="27" customFormat="false" ht="30" hidden="false" customHeight="true" outlineLevel="0" collapsed="false">
      <c r="A27" s="53"/>
      <c r="B27" s="65"/>
      <c r="C27" s="54"/>
      <c r="D27" s="54"/>
      <c r="E27" s="55"/>
      <c r="F27" s="48"/>
      <c r="G27" s="41"/>
      <c r="H27" s="20"/>
      <c r="I27" s="20"/>
      <c r="J27" s="20"/>
      <c r="K27" s="20"/>
      <c r="L27" s="64" t="s">
        <v>89</v>
      </c>
      <c r="M27" s="37" t="n">
        <v>165</v>
      </c>
      <c r="N27" s="23" t="n">
        <v>3.8</v>
      </c>
      <c r="O27" s="25" t="n">
        <v>0.023</v>
      </c>
      <c r="P27" s="23"/>
      <c r="Q27" s="48" t="s">
        <v>70</v>
      </c>
      <c r="R27" s="48"/>
      <c r="S27" s="48" t="s">
        <v>63</v>
      </c>
      <c r="T27" s="20"/>
      <c r="W27" s="52" t="n">
        <v>45602</v>
      </c>
      <c r="X27" s="1" t="n">
        <v>280</v>
      </c>
      <c r="Z27" s="71"/>
    </row>
    <row r="28" customFormat="false" ht="30" hidden="false" customHeight="true" outlineLevel="0" collapsed="false">
      <c r="A28" s="53"/>
      <c r="B28" s="65"/>
      <c r="C28" s="54"/>
      <c r="D28" s="54"/>
      <c r="E28" s="55"/>
      <c r="F28" s="48"/>
      <c r="G28" s="41"/>
      <c r="H28" s="20"/>
      <c r="I28" s="20"/>
      <c r="J28" s="20"/>
      <c r="K28" s="20"/>
      <c r="L28" s="64"/>
      <c r="M28" s="20"/>
      <c r="N28" s="23"/>
      <c r="O28" s="25"/>
      <c r="P28" s="23"/>
      <c r="Q28" s="48"/>
      <c r="R28" s="48"/>
      <c r="S28" s="48"/>
      <c r="T28" s="20"/>
      <c r="W28" s="52" t="n">
        <v>45603</v>
      </c>
      <c r="X28" s="1" t="n">
        <v>250</v>
      </c>
      <c r="Z28" s="71"/>
    </row>
    <row r="29" customFormat="false" ht="30" hidden="false" customHeight="true" outlineLevel="0" collapsed="false">
      <c r="A29" s="53"/>
      <c r="B29" s="65"/>
      <c r="C29" s="54"/>
      <c r="D29" s="54"/>
      <c r="E29" s="55"/>
      <c r="F29" s="48"/>
      <c r="G29" s="41"/>
      <c r="H29" s="20"/>
      <c r="I29" s="20"/>
      <c r="J29" s="20"/>
      <c r="K29" s="20"/>
      <c r="L29" s="64"/>
      <c r="M29" s="20"/>
      <c r="N29" s="23"/>
      <c r="O29" s="25"/>
      <c r="P29" s="23"/>
      <c r="Q29" s="48"/>
      <c r="R29" s="48"/>
      <c r="S29" s="48"/>
      <c r="T29" s="20"/>
      <c r="W29" s="73" t="n">
        <v>45607</v>
      </c>
      <c r="X29" s="1" t="n">
        <v>118</v>
      </c>
      <c r="Y29" s="1" t="n">
        <v>28</v>
      </c>
      <c r="Z29" s="71"/>
    </row>
    <row r="30" customFormat="false" ht="30" hidden="false" customHeight="true" outlineLevel="0" collapsed="false">
      <c r="B30" s="65"/>
      <c r="C30" s="38"/>
      <c r="D30" s="54"/>
      <c r="E30" s="23"/>
      <c r="F30" s="48"/>
      <c r="G30" s="41"/>
      <c r="H30" s="20"/>
      <c r="I30" s="20"/>
      <c r="J30" s="20"/>
      <c r="K30" s="20"/>
      <c r="L30" s="64"/>
      <c r="M30" s="20"/>
      <c r="N30" s="23"/>
      <c r="O30" s="25"/>
      <c r="P30" s="23"/>
      <c r="Q30" s="48"/>
      <c r="R30" s="48"/>
      <c r="S30" s="48"/>
      <c r="T30" s="20"/>
      <c r="W30" s="73" t="n">
        <v>45608</v>
      </c>
      <c r="X30" s="1" t="n">
        <v>280</v>
      </c>
      <c r="Z30" s="71"/>
    </row>
    <row r="31" customFormat="false" ht="30" hidden="false" customHeight="true" outlineLevel="0" collapsed="false">
      <c r="B31" s="19"/>
      <c r="C31" s="38"/>
      <c r="D31" s="38"/>
      <c r="E31" s="23"/>
      <c r="F31" s="48"/>
      <c r="G31" s="41"/>
      <c r="H31" s="20"/>
      <c r="I31" s="20"/>
      <c r="J31" s="20"/>
      <c r="K31" s="20"/>
      <c r="L31" s="64"/>
      <c r="M31" s="20"/>
      <c r="N31" s="23"/>
      <c r="O31" s="25"/>
      <c r="P31" s="23"/>
      <c r="Q31" s="20"/>
      <c r="R31" s="20"/>
      <c r="S31" s="20"/>
      <c r="T31" s="20"/>
      <c r="W31" s="73" t="n">
        <v>45609</v>
      </c>
      <c r="X31" s="1" t="n">
        <v>267</v>
      </c>
      <c r="Y31" s="1" t="n">
        <v>13</v>
      </c>
      <c r="Z31" s="71" t="n">
        <v>392</v>
      </c>
    </row>
    <row r="32" customFormat="false" ht="30" hidden="false" customHeight="true" outlineLevel="0" collapsed="false">
      <c r="B32" s="19"/>
      <c r="C32" s="38"/>
      <c r="D32" s="38"/>
      <c r="E32" s="23"/>
      <c r="F32" s="48" t="n">
        <f aca="false">SUM(F6:F31)</f>
        <v>342</v>
      </c>
      <c r="G32" s="41" t="n">
        <f aca="false">SUM(G6:G31)</f>
        <v>0</v>
      </c>
      <c r="H32" s="20"/>
      <c r="I32" s="20"/>
      <c r="J32" s="20"/>
      <c r="K32" s="20"/>
      <c r="L32" s="20"/>
      <c r="M32" s="20"/>
      <c r="N32" s="23"/>
      <c r="O32" s="25"/>
      <c r="P32" s="23"/>
      <c r="Q32" s="20"/>
      <c r="R32" s="20"/>
      <c r="S32" s="20"/>
      <c r="T32" s="20"/>
      <c r="W32" s="73" t="n">
        <v>45610</v>
      </c>
      <c r="X32" s="1" t="n">
        <v>35</v>
      </c>
      <c r="Z32" s="71"/>
    </row>
    <row r="33" customFormat="false" ht="30" hidden="false" customHeight="true" outlineLevel="0" collapsed="false">
      <c r="B33" s="19"/>
      <c r="C33" s="38"/>
      <c r="D33" s="38"/>
      <c r="E33" s="23"/>
      <c r="F33" s="48"/>
      <c r="G33" s="41"/>
      <c r="H33" s="20"/>
      <c r="I33" s="20"/>
      <c r="J33" s="20"/>
      <c r="K33" s="20"/>
      <c r="L33" s="20"/>
      <c r="M33" s="20"/>
      <c r="N33" s="23"/>
      <c r="O33" s="25"/>
      <c r="P33" s="23"/>
      <c r="Q33" s="20"/>
      <c r="R33" s="20"/>
      <c r="S33" s="20"/>
      <c r="T33" s="20"/>
      <c r="W33" s="52" t="n">
        <v>45611</v>
      </c>
      <c r="X33" s="1" t="n">
        <v>149</v>
      </c>
      <c r="Y33" s="28"/>
    </row>
    <row r="34" customFormat="false" ht="30" hidden="false" customHeight="true" outlineLevel="0" collapsed="false">
      <c r="B34" s="19"/>
      <c r="C34" s="38"/>
      <c r="D34" s="38"/>
      <c r="E34" s="23"/>
      <c r="F34" s="48"/>
      <c r="G34" s="41"/>
      <c r="H34" s="20"/>
      <c r="I34" s="20"/>
      <c r="J34" s="20"/>
      <c r="K34" s="20"/>
      <c r="L34" s="20"/>
      <c r="M34" s="20"/>
      <c r="N34" s="23"/>
      <c r="O34" s="25"/>
      <c r="P34" s="23"/>
      <c r="Q34" s="20"/>
      <c r="R34" s="20"/>
      <c r="S34" s="20"/>
      <c r="T34" s="20"/>
      <c r="W34" s="52" t="n">
        <v>45614</v>
      </c>
      <c r="X34" s="1" t="n">
        <v>63</v>
      </c>
      <c r="Z34" s="1" t="n">
        <v>77</v>
      </c>
    </row>
    <row r="35" customFormat="false" ht="30" hidden="false" customHeight="true" outlineLevel="0" collapsed="false">
      <c r="B35" s="19"/>
      <c r="C35" s="38"/>
      <c r="D35" s="38"/>
      <c r="E35" s="23"/>
      <c r="F35" s="48"/>
      <c r="G35" s="41"/>
      <c r="H35" s="20"/>
      <c r="I35" s="20"/>
      <c r="J35" s="20"/>
      <c r="K35" s="20"/>
      <c r="L35" s="20"/>
      <c r="M35" s="20"/>
      <c r="N35" s="23"/>
      <c r="O35" s="25"/>
      <c r="P35" s="23"/>
      <c r="Q35" s="20"/>
      <c r="R35" s="20"/>
      <c r="S35" s="20"/>
      <c r="T35" s="20"/>
      <c r="W35" s="52" t="n">
        <v>45618</v>
      </c>
      <c r="X35" s="1" t="n">
        <v>134</v>
      </c>
      <c r="Y35" s="28"/>
    </row>
    <row r="36" customFormat="false" ht="30" hidden="false" customHeight="true" outlineLevel="0" collapsed="false">
      <c r="B36" s="19"/>
      <c r="C36" s="38"/>
      <c r="D36" s="38"/>
      <c r="E36" s="23"/>
      <c r="F36" s="48"/>
      <c r="G36" s="41"/>
      <c r="H36" s="20"/>
      <c r="I36" s="20"/>
      <c r="J36" s="20"/>
      <c r="K36" s="20"/>
      <c r="L36" s="20"/>
      <c r="M36" s="20"/>
      <c r="N36" s="23"/>
      <c r="O36" s="25"/>
      <c r="P36" s="23"/>
      <c r="Q36" s="20"/>
      <c r="R36" s="20"/>
      <c r="S36" s="20"/>
      <c r="T36" s="20"/>
      <c r="W36" s="52" t="n">
        <v>45621</v>
      </c>
      <c r="X36" s="1" t="n">
        <v>300</v>
      </c>
      <c r="Y36" s="28"/>
      <c r="Z36" s="1" t="n">
        <v>400</v>
      </c>
    </row>
    <row r="37" customFormat="false" ht="30" hidden="false" customHeight="true" outlineLevel="0" collapsed="false">
      <c r="B37" s="19"/>
      <c r="C37" s="38"/>
      <c r="D37" s="38"/>
      <c r="E37" s="23"/>
      <c r="F37" s="48"/>
      <c r="G37" s="41"/>
      <c r="H37" s="20"/>
      <c r="I37" s="20"/>
      <c r="J37" s="20"/>
      <c r="K37" s="20"/>
      <c r="L37" s="20"/>
      <c r="M37" s="20"/>
      <c r="N37" s="23"/>
      <c r="O37" s="25"/>
      <c r="P37" s="23"/>
      <c r="Q37" s="20"/>
      <c r="R37" s="20"/>
      <c r="S37" s="20"/>
      <c r="T37" s="20"/>
      <c r="W37" s="52" t="n">
        <v>45623</v>
      </c>
      <c r="X37" s="1" t="n">
        <v>80</v>
      </c>
      <c r="Z37" s="1" t="n">
        <v>400</v>
      </c>
    </row>
    <row r="38" customFormat="false" ht="30" hidden="false" customHeight="true" outlineLevel="0" collapsed="false">
      <c r="B38" s="19"/>
      <c r="C38" s="38"/>
      <c r="D38" s="38"/>
      <c r="E38" s="23"/>
      <c r="F38" s="48"/>
      <c r="G38" s="41"/>
      <c r="H38" s="20"/>
      <c r="I38" s="20"/>
      <c r="J38" s="20"/>
      <c r="K38" s="20"/>
      <c r="L38" s="20"/>
      <c r="M38" s="20"/>
      <c r="N38" s="23"/>
      <c r="O38" s="25"/>
      <c r="P38" s="23"/>
      <c r="Q38" s="20"/>
      <c r="R38" s="20"/>
      <c r="S38" s="20"/>
      <c r="T38" s="20"/>
      <c r="W38" s="52" t="n">
        <v>45624</v>
      </c>
      <c r="X38" s="1" t="n">
        <v>352</v>
      </c>
      <c r="Y38" s="28"/>
      <c r="Z38" s="52"/>
    </row>
    <row r="39" customFormat="false" ht="30" hidden="false" customHeight="true" outlineLevel="0" collapsed="false">
      <c r="B39" s="19"/>
      <c r="C39" s="38"/>
      <c r="D39" s="38"/>
      <c r="E39" s="23"/>
      <c r="F39" s="48"/>
      <c r="G39" s="41"/>
      <c r="H39" s="20"/>
      <c r="I39" s="20"/>
      <c r="J39" s="20"/>
      <c r="K39" s="20"/>
      <c r="L39" s="64"/>
      <c r="M39" s="20"/>
      <c r="N39" s="23"/>
      <c r="O39" s="25"/>
      <c r="P39" s="23"/>
      <c r="Q39" s="20"/>
      <c r="R39" s="20"/>
      <c r="S39" s="20"/>
      <c r="T39" s="20"/>
      <c r="W39" s="87" t="n">
        <v>45625</v>
      </c>
      <c r="Y39" s="72"/>
      <c r="Z39" s="1" t="n">
        <v>470</v>
      </c>
    </row>
    <row r="40" customFormat="false" ht="30" hidden="false" customHeight="true" outlineLevel="0" collapsed="false">
      <c r="B40" s="19"/>
      <c r="C40" s="38"/>
      <c r="D40" s="38"/>
      <c r="E40" s="23"/>
      <c r="F40" s="48"/>
      <c r="G40" s="41"/>
      <c r="H40" s="20"/>
      <c r="I40" s="20"/>
      <c r="J40" s="20"/>
      <c r="K40" s="20"/>
      <c r="L40" s="64"/>
      <c r="M40" s="20"/>
      <c r="N40" s="23"/>
      <c r="O40" s="25"/>
      <c r="P40" s="23"/>
      <c r="Q40" s="20"/>
      <c r="R40" s="20"/>
      <c r="S40" s="20"/>
      <c r="T40" s="20"/>
      <c r="W40" s="73" t="n">
        <v>45628</v>
      </c>
      <c r="X40" s="1" t="n">
        <v>26</v>
      </c>
      <c r="Z40" s="71" t="n">
        <v>120</v>
      </c>
      <c r="AA40" s="1" t="n">
        <v>360</v>
      </c>
    </row>
    <row r="41" customFormat="false" ht="30" hidden="false" customHeight="true" outlineLevel="0" collapsed="false">
      <c r="B41" s="19"/>
      <c r="C41" s="38"/>
      <c r="D41" s="38"/>
      <c r="E41" s="23"/>
      <c r="F41" s="48"/>
      <c r="G41" s="41"/>
      <c r="H41" s="20"/>
      <c r="I41" s="20"/>
      <c r="J41" s="20"/>
      <c r="K41" s="20"/>
      <c r="L41" s="64"/>
      <c r="M41" s="20"/>
      <c r="N41" s="23"/>
      <c r="O41" s="25"/>
      <c r="P41" s="23"/>
      <c r="Q41" s="20"/>
      <c r="R41" s="20"/>
      <c r="S41" s="20"/>
      <c r="T41" s="20"/>
      <c r="W41" s="73" t="n">
        <v>45629</v>
      </c>
      <c r="Z41" s="71" t="n">
        <v>292</v>
      </c>
      <c r="AA41" s="1" t="n">
        <v>400</v>
      </c>
    </row>
    <row r="42" customFormat="false" ht="30" hidden="false" customHeight="true" outlineLevel="0" collapsed="false">
      <c r="B42" s="19"/>
      <c r="C42" s="38"/>
      <c r="D42" s="38"/>
      <c r="E42" s="23"/>
      <c r="F42" s="48"/>
      <c r="G42" s="41"/>
      <c r="H42" s="20"/>
      <c r="I42" s="20"/>
      <c r="J42" s="20"/>
      <c r="K42" s="20"/>
      <c r="L42" s="64"/>
      <c r="M42" s="79"/>
      <c r="N42" s="80"/>
      <c r="O42" s="81"/>
      <c r="P42" s="80"/>
      <c r="Q42" s="20"/>
      <c r="R42" s="20"/>
      <c r="S42" s="20"/>
      <c r="T42" s="20"/>
      <c r="W42" s="73" t="n">
        <v>45630</v>
      </c>
      <c r="Z42" s="71" t="n">
        <v>420</v>
      </c>
      <c r="AA42" s="1" t="n">
        <v>400</v>
      </c>
    </row>
    <row r="43" customFormat="false" ht="30" hidden="false" customHeight="true" outlineLevel="0" collapsed="false">
      <c r="B43" s="19"/>
      <c r="C43" s="38"/>
      <c r="D43" s="38"/>
      <c r="E43" s="23"/>
      <c r="F43" s="48"/>
      <c r="G43" s="41"/>
      <c r="H43" s="20"/>
      <c r="I43" s="20"/>
      <c r="J43" s="20"/>
      <c r="K43" s="20"/>
      <c r="L43" s="64"/>
      <c r="M43" s="20"/>
      <c r="N43" s="23"/>
      <c r="O43" s="25"/>
      <c r="P43" s="23"/>
      <c r="Q43" s="20"/>
      <c r="R43" s="20"/>
      <c r="S43" s="20"/>
      <c r="T43" s="20"/>
      <c r="W43" s="73" t="n">
        <v>45631</v>
      </c>
      <c r="Z43" s="71" t="n">
        <v>410</v>
      </c>
      <c r="AA43" s="1" t="n">
        <v>470</v>
      </c>
    </row>
    <row r="44" customFormat="false" ht="30" hidden="false" customHeight="true" outlineLevel="0" collapsed="false">
      <c r="B44" s="19"/>
      <c r="C44" s="38"/>
      <c r="D44" s="38"/>
      <c r="E44" s="23"/>
      <c r="F44" s="48"/>
      <c r="G44" s="41"/>
      <c r="H44" s="20"/>
      <c r="I44" s="20"/>
      <c r="J44" s="20"/>
      <c r="K44" s="20"/>
      <c r="L44" s="64"/>
      <c r="M44" s="20"/>
      <c r="N44" s="23"/>
      <c r="O44" s="25"/>
      <c r="P44" s="23"/>
      <c r="Q44" s="20"/>
      <c r="R44" s="20"/>
      <c r="S44" s="20"/>
      <c r="T44" s="20"/>
      <c r="W44" s="52" t="n">
        <v>45632</v>
      </c>
      <c r="Y44" s="28"/>
      <c r="Z44" s="1" t="n">
        <v>432</v>
      </c>
      <c r="AA44" s="1" t="n">
        <v>450</v>
      </c>
    </row>
    <row r="45" customFormat="false" ht="30" hidden="false" customHeight="true" outlineLevel="0" collapsed="false">
      <c r="B45" s="19"/>
      <c r="C45" s="38"/>
      <c r="D45" s="38"/>
      <c r="E45" s="23"/>
      <c r="F45" s="48"/>
      <c r="G45" s="41"/>
      <c r="H45" s="20"/>
      <c r="I45" s="20"/>
      <c r="J45" s="20"/>
      <c r="K45" s="20"/>
      <c r="L45" s="64"/>
      <c r="M45" s="20"/>
      <c r="N45" s="23"/>
      <c r="O45" s="25"/>
      <c r="P45" s="23"/>
      <c r="Q45" s="20"/>
      <c r="R45" s="20"/>
      <c r="S45" s="20"/>
      <c r="T45" s="20"/>
      <c r="W45" s="52" t="n">
        <v>45633</v>
      </c>
      <c r="AA45" s="1" t="n">
        <v>450</v>
      </c>
    </row>
    <row r="46" customFormat="false" ht="30" hidden="false" customHeight="true" outlineLevel="0" collapsed="false">
      <c r="B46" s="19"/>
      <c r="C46" s="38"/>
      <c r="D46" s="38"/>
      <c r="E46" s="23"/>
      <c r="F46" s="48"/>
      <c r="G46" s="41"/>
      <c r="H46" s="20"/>
      <c r="I46" s="20"/>
      <c r="J46" s="20"/>
      <c r="K46" s="20"/>
      <c r="L46" s="64"/>
      <c r="M46" s="20"/>
      <c r="N46" s="23"/>
      <c r="O46" s="25"/>
      <c r="P46" s="23"/>
      <c r="Q46" s="20"/>
      <c r="R46" s="20"/>
      <c r="S46" s="20"/>
      <c r="T46" s="20"/>
      <c r="W46" s="52" t="n">
        <v>45635</v>
      </c>
      <c r="X46" s="28"/>
      <c r="Y46" s="28"/>
      <c r="Z46" s="1" t="n">
        <v>426</v>
      </c>
      <c r="AA46" s="1" t="n">
        <v>374</v>
      </c>
    </row>
    <row r="47" customFormat="false" ht="30" hidden="false" customHeight="true" outlineLevel="0" collapsed="false">
      <c r="B47" s="19"/>
      <c r="C47" s="38"/>
      <c r="D47" s="38"/>
      <c r="E47" s="23"/>
      <c r="F47" s="48"/>
      <c r="G47" s="41"/>
      <c r="H47" s="20"/>
      <c r="I47" s="20"/>
      <c r="J47" s="20"/>
      <c r="K47" s="20"/>
      <c r="L47" s="64"/>
      <c r="M47" s="20"/>
      <c r="N47" s="23"/>
      <c r="O47" s="25"/>
      <c r="P47" s="23"/>
      <c r="Q47" s="20"/>
      <c r="R47" s="20"/>
      <c r="S47" s="20"/>
      <c r="T47" s="20"/>
      <c r="W47" s="52" t="n">
        <v>45636</v>
      </c>
      <c r="X47" s="28"/>
      <c r="Y47" s="28"/>
      <c r="Z47" s="1" t="n">
        <v>411</v>
      </c>
      <c r="AA47" s="1" t="n">
        <v>450</v>
      </c>
    </row>
    <row r="48" customFormat="false" ht="30" hidden="false" customHeight="true" outlineLevel="0" collapsed="false">
      <c r="B48" s="19"/>
      <c r="C48" s="38"/>
      <c r="D48" s="38"/>
      <c r="E48" s="23"/>
      <c r="F48" s="48"/>
      <c r="G48" s="41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W48" s="52" t="n">
        <v>45637</v>
      </c>
      <c r="X48" s="28"/>
      <c r="Y48" s="28"/>
      <c r="AA48" s="1" t="n">
        <v>390</v>
      </c>
    </row>
    <row r="49" customFormat="false" ht="30" hidden="false" customHeight="true" outlineLevel="0" collapsed="false">
      <c r="B49" s="19"/>
      <c r="C49" s="38"/>
      <c r="D49" s="38"/>
      <c r="E49" s="23"/>
      <c r="F49" s="48"/>
      <c r="G49" s="41"/>
      <c r="H49" s="20"/>
      <c r="I49" s="20"/>
      <c r="J49" s="20"/>
      <c r="K49" s="20"/>
      <c r="L49" s="64"/>
      <c r="M49" s="20"/>
      <c r="N49" s="23"/>
      <c r="O49" s="25"/>
      <c r="P49" s="23"/>
      <c r="Q49" s="20"/>
      <c r="R49" s="20"/>
      <c r="S49" s="20"/>
      <c r="T49" s="20"/>
      <c r="W49" s="52" t="n">
        <v>45638</v>
      </c>
      <c r="X49" s="28"/>
      <c r="Y49" s="28"/>
      <c r="Z49" s="1" t="n">
        <v>330</v>
      </c>
      <c r="AA49" s="1" t="n">
        <v>440</v>
      </c>
    </row>
    <row r="50" customFormat="false" ht="30" hidden="false" customHeight="true" outlineLevel="0" collapsed="false">
      <c r="B50" s="19"/>
      <c r="C50" s="38"/>
      <c r="D50" s="38"/>
      <c r="E50" s="23"/>
      <c r="F50" s="48"/>
      <c r="G50" s="41"/>
      <c r="H50" s="20"/>
      <c r="I50" s="20"/>
      <c r="J50" s="20"/>
      <c r="K50" s="20"/>
      <c r="L50" s="64"/>
      <c r="M50" s="79"/>
      <c r="N50" s="80"/>
      <c r="O50" s="81"/>
      <c r="P50" s="80"/>
      <c r="Q50" s="20"/>
      <c r="R50" s="20"/>
      <c r="S50" s="20"/>
      <c r="T50" s="20"/>
      <c r="U50" s="1" t="s">
        <v>135</v>
      </c>
      <c r="W50" s="52" t="n">
        <v>45639</v>
      </c>
      <c r="X50" s="28"/>
      <c r="Y50" s="28"/>
      <c r="AA50" s="1" t="n">
        <v>400</v>
      </c>
    </row>
    <row r="51" customFormat="false" ht="30" hidden="false" customHeight="true" outlineLevel="0" collapsed="false">
      <c r="B51" s="19"/>
      <c r="C51" s="38"/>
      <c r="D51" s="38"/>
      <c r="E51" s="39"/>
      <c r="F51" s="40"/>
      <c r="G51" s="41"/>
      <c r="H51" s="20"/>
      <c r="I51" s="20"/>
      <c r="J51" s="20"/>
      <c r="K51" s="20"/>
      <c r="L51" s="20"/>
      <c r="M51" s="20"/>
      <c r="N51" s="23"/>
      <c r="O51" s="25"/>
      <c r="P51" s="23"/>
      <c r="Q51" s="20"/>
      <c r="R51" s="20"/>
      <c r="S51" s="20"/>
      <c r="T51" s="20"/>
      <c r="W51" s="52" t="n">
        <v>45640</v>
      </c>
      <c r="X51" s="28"/>
      <c r="Y51" s="28"/>
      <c r="AA51" s="1" t="n">
        <v>400</v>
      </c>
    </row>
    <row r="52" customFormat="false" ht="30" hidden="false" customHeight="true" outlineLevel="0" collapsed="false">
      <c r="B52" s="19"/>
      <c r="C52" s="38"/>
      <c r="D52" s="38"/>
      <c r="E52" s="23"/>
      <c r="F52" s="40"/>
      <c r="G52" s="41"/>
      <c r="H52" s="20"/>
      <c r="I52" s="20"/>
      <c r="J52" s="20"/>
      <c r="K52" s="20"/>
      <c r="L52" s="20"/>
      <c r="M52" s="20"/>
      <c r="N52" s="23"/>
      <c r="O52" s="25"/>
      <c r="P52" s="23"/>
      <c r="Q52" s="20"/>
      <c r="R52" s="20"/>
      <c r="S52" s="20"/>
      <c r="T52" s="20"/>
      <c r="U52" s="83" t="s">
        <v>136</v>
      </c>
      <c r="V52" s="83"/>
      <c r="W52" s="52" t="n">
        <v>45642</v>
      </c>
      <c r="X52" s="28"/>
      <c r="Y52" s="28"/>
      <c r="Z52" s="1" t="n">
        <v>329</v>
      </c>
      <c r="AA52" s="1" t="n">
        <v>400</v>
      </c>
    </row>
    <row r="53" customFormat="false" ht="30" hidden="false" customHeight="true" outlineLevel="0" collapsed="false">
      <c r="B53" s="19"/>
      <c r="C53" s="38"/>
      <c r="D53" s="38"/>
      <c r="E53" s="23"/>
      <c r="F53" s="55"/>
      <c r="G53" s="41"/>
      <c r="H53" s="20"/>
      <c r="I53" s="20"/>
      <c r="J53" s="20"/>
      <c r="K53" s="20"/>
      <c r="L53" s="20"/>
      <c r="M53" s="20"/>
      <c r="N53" s="23"/>
      <c r="O53" s="25"/>
      <c r="P53" s="23"/>
      <c r="Q53" s="20"/>
      <c r="R53" s="20"/>
      <c r="S53" s="20"/>
      <c r="T53" s="20"/>
      <c r="U53" s="83" t="s">
        <v>136</v>
      </c>
      <c r="V53" s="83"/>
      <c r="W53" s="52" t="n">
        <v>45643</v>
      </c>
      <c r="X53" s="28"/>
      <c r="Y53" s="28"/>
      <c r="Z53" s="1" t="n">
        <v>286</v>
      </c>
      <c r="AA53" s="1" t="n">
        <v>370</v>
      </c>
    </row>
    <row r="54" customFormat="false" ht="30" hidden="false" customHeight="true" outlineLevel="0" collapsed="false">
      <c r="B54" s="19"/>
      <c r="C54" s="38"/>
      <c r="D54" s="38"/>
      <c r="E54" s="23"/>
      <c r="F54" s="48"/>
      <c r="G54" s="41"/>
      <c r="H54" s="20"/>
      <c r="I54" s="20"/>
      <c r="J54" s="20"/>
      <c r="K54" s="20"/>
      <c r="L54" s="64"/>
      <c r="M54" s="20"/>
      <c r="N54" s="23"/>
      <c r="O54" s="25"/>
      <c r="P54" s="23"/>
      <c r="Q54" s="20"/>
      <c r="R54" s="20"/>
      <c r="S54" s="20"/>
      <c r="T54" s="20"/>
      <c r="W54" s="52" t="n">
        <v>45644</v>
      </c>
      <c r="X54" s="1" t="n">
        <v>276</v>
      </c>
      <c r="Y54" s="28"/>
      <c r="AA54" s="1" t="n">
        <v>380</v>
      </c>
    </row>
    <row r="55" customFormat="false" ht="30" hidden="false" customHeight="true" outlineLevel="0" collapsed="false">
      <c r="B55" s="19"/>
      <c r="C55" s="38"/>
      <c r="D55" s="38"/>
      <c r="E55" s="23"/>
      <c r="F55" s="48"/>
      <c r="G55" s="41"/>
      <c r="H55" s="20"/>
      <c r="I55" s="20"/>
      <c r="J55" s="20"/>
      <c r="K55" s="20"/>
      <c r="L55" s="64"/>
      <c r="M55" s="20"/>
      <c r="N55" s="23"/>
      <c r="O55" s="25"/>
      <c r="P55" s="23"/>
      <c r="Q55" s="20"/>
      <c r="R55" s="20"/>
      <c r="S55" s="20"/>
      <c r="T55" s="20"/>
      <c r="W55" s="52" t="n">
        <v>45645</v>
      </c>
      <c r="X55" s="1" t="n">
        <v>176</v>
      </c>
      <c r="Y55" s="28"/>
      <c r="AA55" s="1" t="n">
        <v>376</v>
      </c>
    </row>
    <row r="56" customFormat="false" ht="30" hidden="false" customHeight="true" outlineLevel="0" collapsed="false">
      <c r="B56" s="19"/>
      <c r="C56" s="38"/>
      <c r="D56" s="38"/>
      <c r="E56" s="23"/>
      <c r="F56" s="48"/>
      <c r="G56" s="41"/>
      <c r="H56" s="20"/>
      <c r="I56" s="20"/>
      <c r="J56" s="20"/>
      <c r="K56" s="20"/>
      <c r="L56" s="64"/>
      <c r="M56" s="20"/>
      <c r="N56" s="23"/>
      <c r="O56" s="25"/>
      <c r="P56" s="23" t="s">
        <v>108</v>
      </c>
      <c r="Q56" s="20"/>
      <c r="R56" s="20"/>
      <c r="S56" s="20"/>
      <c r="T56" s="20"/>
      <c r="W56" s="52" t="n">
        <v>45646</v>
      </c>
      <c r="X56" s="47"/>
      <c r="Y56" s="28"/>
    </row>
    <row r="57" customFormat="false" ht="30" hidden="false" customHeight="true" outlineLevel="0" collapsed="false">
      <c r="B57" s="19"/>
      <c r="C57" s="38"/>
      <c r="D57" s="38"/>
      <c r="E57" s="23"/>
      <c r="F57" s="84"/>
      <c r="G57" s="24"/>
      <c r="H57" s="20"/>
      <c r="I57" s="20"/>
      <c r="J57" s="20"/>
      <c r="K57" s="20"/>
      <c r="L57" s="64"/>
      <c r="M57" s="20"/>
      <c r="N57" s="23"/>
      <c r="O57" s="25"/>
      <c r="P57" s="23"/>
      <c r="Q57" s="20"/>
      <c r="R57" s="20"/>
      <c r="S57" s="20"/>
      <c r="T57" s="20"/>
      <c r="X57" s="47"/>
      <c r="Y57" s="47"/>
      <c r="Z57" s="47"/>
      <c r="AA57" s="47"/>
      <c r="AB57" s="47"/>
    </row>
    <row r="58" customFormat="false" ht="30" hidden="false" customHeight="true" outlineLevel="0" collapsed="false">
      <c r="B58" s="19"/>
      <c r="C58" s="38"/>
      <c r="D58" s="38"/>
      <c r="E58" s="23"/>
      <c r="F58" s="84"/>
      <c r="G58" s="24"/>
      <c r="H58" s="20"/>
      <c r="I58" s="20"/>
      <c r="J58" s="20"/>
      <c r="K58" s="20"/>
      <c r="L58" s="64"/>
      <c r="M58" s="20"/>
      <c r="N58" s="23"/>
      <c r="O58" s="25"/>
      <c r="P58" s="23"/>
      <c r="Q58" s="20"/>
      <c r="R58" s="20"/>
      <c r="S58" s="20"/>
      <c r="T58" s="20"/>
      <c r="W58" s="52" t="n">
        <v>46014</v>
      </c>
      <c r="X58" s="28"/>
      <c r="Y58" s="28"/>
      <c r="Z58" s="1" t="n">
        <v>444</v>
      </c>
      <c r="AA58" s="1" t="n">
        <v>400</v>
      </c>
      <c r="AC58" s="52" t="s">
        <v>137</v>
      </c>
    </row>
    <row r="59" customFormat="false" ht="30" hidden="false" customHeight="true" outlineLevel="0" collapsed="false">
      <c r="B59" s="19"/>
      <c r="C59" s="38"/>
      <c r="D59" s="38"/>
      <c r="E59" s="23"/>
      <c r="F59" s="84"/>
      <c r="G59" s="24"/>
      <c r="H59" s="20"/>
      <c r="I59" s="20"/>
      <c r="J59" s="20"/>
      <c r="K59" s="20"/>
      <c r="L59" s="64"/>
      <c r="M59" s="20"/>
      <c r="N59" s="23"/>
      <c r="O59" s="25"/>
      <c r="P59" s="23"/>
      <c r="Q59" s="20"/>
      <c r="R59" s="20"/>
      <c r="S59" s="20"/>
      <c r="T59" s="20"/>
      <c r="W59" s="52" t="n">
        <v>46015</v>
      </c>
      <c r="X59" s="28"/>
      <c r="Y59" s="28"/>
      <c r="Z59" s="1" t="n">
        <v>453</v>
      </c>
      <c r="AA59" s="1" t="n">
        <v>400</v>
      </c>
    </row>
    <row r="60" customFormat="false" ht="30" hidden="false" customHeight="true" outlineLevel="0" collapsed="false">
      <c r="B60" s="19"/>
      <c r="C60" s="38"/>
      <c r="D60" s="38"/>
      <c r="E60" s="23"/>
      <c r="F60" s="84"/>
      <c r="G60" s="24"/>
      <c r="H60" s="20"/>
      <c r="I60" s="20"/>
      <c r="J60" s="20"/>
      <c r="K60" s="20"/>
      <c r="L60" s="64"/>
      <c r="M60" s="20"/>
      <c r="N60" s="23"/>
      <c r="O60" s="25"/>
      <c r="P60" s="23"/>
      <c r="Q60" s="20"/>
      <c r="R60" s="20"/>
      <c r="S60" s="20"/>
      <c r="T60" s="20"/>
      <c r="W60" s="52" t="n">
        <v>46016</v>
      </c>
      <c r="X60" s="28"/>
      <c r="Y60" s="28"/>
      <c r="AA60" s="1" t="n">
        <v>430</v>
      </c>
    </row>
    <row r="61" customFormat="false" ht="30" hidden="false" customHeight="true" outlineLevel="0" collapsed="false">
      <c r="B61" s="19"/>
      <c r="C61" s="38"/>
      <c r="D61" s="38"/>
      <c r="E61" s="23"/>
      <c r="F61" s="84"/>
      <c r="G61" s="24"/>
      <c r="H61" s="20"/>
      <c r="I61" s="20"/>
      <c r="J61" s="20"/>
      <c r="K61" s="20"/>
      <c r="L61" s="64"/>
      <c r="M61" s="20"/>
      <c r="N61" s="23"/>
      <c r="O61" s="25"/>
      <c r="P61" s="23"/>
      <c r="Q61" s="20"/>
      <c r="R61" s="20"/>
      <c r="S61" s="20"/>
      <c r="T61" s="20"/>
      <c r="W61" s="52" t="n">
        <v>46017</v>
      </c>
      <c r="X61" s="28"/>
      <c r="Y61" s="28"/>
      <c r="Z61" s="1" t="n">
        <v>150</v>
      </c>
      <c r="AA61" s="1" t="n">
        <v>400</v>
      </c>
    </row>
    <row r="62" customFormat="false" ht="30" hidden="false" customHeight="true" outlineLevel="0" collapsed="false">
      <c r="B62" s="19"/>
      <c r="C62" s="38"/>
      <c r="D62" s="38"/>
      <c r="E62" s="23"/>
      <c r="F62" s="84"/>
      <c r="G62" s="24"/>
      <c r="H62" s="20"/>
      <c r="I62" s="20"/>
      <c r="J62" s="20"/>
      <c r="K62" s="20"/>
      <c r="L62" s="64"/>
      <c r="M62" s="20"/>
      <c r="N62" s="23"/>
      <c r="O62" s="25"/>
      <c r="P62" s="23"/>
      <c r="Q62" s="20"/>
      <c r="R62" s="20"/>
      <c r="S62" s="20"/>
      <c r="T62" s="20"/>
      <c r="X62" s="28"/>
      <c r="Y62" s="28"/>
    </row>
    <row r="63" customFormat="false" ht="30" hidden="false" customHeight="true" outlineLevel="0" collapsed="false">
      <c r="B63" s="19"/>
      <c r="C63" s="38"/>
      <c r="D63" s="38"/>
      <c r="E63" s="23"/>
      <c r="F63" s="84"/>
      <c r="G63" s="24"/>
      <c r="H63" s="20"/>
      <c r="I63" s="20"/>
      <c r="J63" s="20"/>
      <c r="K63" s="20"/>
      <c r="L63" s="64"/>
      <c r="M63" s="20"/>
      <c r="N63" s="23"/>
      <c r="O63" s="25"/>
      <c r="P63" s="23"/>
      <c r="Q63" s="20"/>
      <c r="R63" s="20"/>
      <c r="S63" s="20"/>
      <c r="T63" s="20"/>
      <c r="W63" s="52" t="n">
        <v>45660</v>
      </c>
      <c r="X63" s="28"/>
      <c r="Y63" s="28"/>
      <c r="Z63" s="1" t="n">
        <v>410</v>
      </c>
      <c r="AA63" s="1" t="n">
        <v>400</v>
      </c>
      <c r="AC63" s="1" t="s">
        <v>138</v>
      </c>
    </row>
    <row r="64" customFormat="false" ht="30" hidden="false" customHeight="true" outlineLevel="0" collapsed="false">
      <c r="B64" s="19"/>
      <c r="C64" s="38"/>
      <c r="D64" s="38"/>
      <c r="E64" s="23"/>
      <c r="F64" s="84"/>
      <c r="G64" s="24"/>
      <c r="H64" s="20"/>
      <c r="I64" s="20"/>
      <c r="J64" s="20"/>
      <c r="K64" s="20"/>
      <c r="L64" s="64"/>
      <c r="M64" s="20"/>
      <c r="N64" s="23"/>
      <c r="O64" s="25"/>
      <c r="P64" s="23"/>
      <c r="Q64" s="20"/>
      <c r="R64" s="20"/>
      <c r="S64" s="20"/>
      <c r="T64" s="20"/>
      <c r="W64" s="52" t="n">
        <v>45661</v>
      </c>
      <c r="X64" s="28"/>
      <c r="Y64" s="28"/>
      <c r="AA64" s="1" t="n">
        <v>440</v>
      </c>
    </row>
    <row r="65" customFormat="false" ht="30" hidden="false" customHeight="true" outlineLevel="0" collapsed="false">
      <c r="B65" s="19"/>
      <c r="C65" s="38"/>
      <c r="D65" s="38"/>
      <c r="E65" s="23"/>
      <c r="F65" s="84"/>
      <c r="G65" s="24"/>
      <c r="H65" s="20"/>
      <c r="I65" s="20"/>
      <c r="J65" s="20"/>
      <c r="K65" s="20"/>
      <c r="L65" s="64"/>
      <c r="M65" s="20"/>
      <c r="N65" s="23"/>
      <c r="O65" s="25"/>
      <c r="P65" s="23"/>
      <c r="Q65" s="20"/>
      <c r="R65" s="20"/>
      <c r="S65" s="20"/>
      <c r="T65" s="20"/>
      <c r="W65" s="52" t="n">
        <v>45663</v>
      </c>
      <c r="X65" s="28"/>
      <c r="Y65" s="1" t="n">
        <v>135</v>
      </c>
      <c r="AA65" s="1" t="n">
        <v>510</v>
      </c>
    </row>
    <row r="66" customFormat="false" ht="30" hidden="false" customHeight="true" outlineLevel="0" collapsed="false">
      <c r="B66" s="19"/>
      <c r="C66" s="38"/>
      <c r="D66" s="38"/>
      <c r="E66" s="23"/>
      <c r="F66" s="84"/>
      <c r="G66" s="24"/>
      <c r="H66" s="20"/>
      <c r="I66" s="20"/>
      <c r="J66" s="20"/>
      <c r="K66" s="20"/>
      <c r="L66" s="64"/>
      <c r="M66" s="20"/>
      <c r="N66" s="23"/>
      <c r="O66" s="25"/>
      <c r="P66" s="23"/>
      <c r="Q66" s="20"/>
      <c r="R66" s="20"/>
      <c r="S66" s="20"/>
      <c r="T66" s="20"/>
      <c r="W66" s="52" t="n">
        <v>45664</v>
      </c>
      <c r="X66" s="28"/>
      <c r="Y66" s="28"/>
      <c r="AA66" s="1" t="n">
        <v>430</v>
      </c>
    </row>
    <row r="67" customFormat="false" ht="30" hidden="false" customHeight="true" outlineLevel="0" collapsed="false">
      <c r="B67" s="19"/>
      <c r="C67" s="38"/>
      <c r="D67" s="38"/>
      <c r="E67" s="23"/>
      <c r="F67" s="84"/>
      <c r="G67" s="24"/>
      <c r="H67" s="20"/>
      <c r="I67" s="20"/>
      <c r="J67" s="20"/>
      <c r="K67" s="20"/>
      <c r="L67" s="64"/>
      <c r="M67" s="20"/>
      <c r="N67" s="23"/>
      <c r="O67" s="25"/>
      <c r="P67" s="23"/>
      <c r="Q67" s="20"/>
      <c r="R67" s="20"/>
      <c r="S67" s="20"/>
      <c r="T67" s="20"/>
      <c r="W67" s="52" t="n">
        <v>45665</v>
      </c>
      <c r="X67" s="28"/>
      <c r="Y67" s="28"/>
      <c r="AA67" s="1" t="n">
        <v>200</v>
      </c>
    </row>
    <row r="68" customFormat="false" ht="30" hidden="false" customHeight="true" outlineLevel="0" collapsed="false">
      <c r="B68" s="19"/>
      <c r="C68" s="38"/>
      <c r="D68" s="38"/>
      <c r="E68" s="23"/>
      <c r="F68" s="84"/>
      <c r="G68" s="24"/>
      <c r="H68" s="20"/>
      <c r="I68" s="20"/>
      <c r="J68" s="20"/>
      <c r="K68" s="20"/>
      <c r="L68" s="64"/>
      <c r="M68" s="20"/>
      <c r="N68" s="23"/>
      <c r="O68" s="25"/>
      <c r="P68" s="23"/>
      <c r="Q68" s="20"/>
      <c r="R68" s="20"/>
      <c r="S68" s="20"/>
      <c r="T68" s="20"/>
      <c r="X68" s="28"/>
      <c r="Y68" s="28"/>
    </row>
    <row r="69" customFormat="false" ht="30" hidden="false" customHeight="true" outlineLevel="0" collapsed="false">
      <c r="B69" s="19"/>
      <c r="C69" s="38"/>
      <c r="D69" s="38"/>
      <c r="E69" s="23"/>
      <c r="F69" s="84"/>
      <c r="G69" s="24"/>
      <c r="H69" s="20"/>
      <c r="I69" s="20"/>
      <c r="J69" s="20"/>
      <c r="K69" s="20"/>
      <c r="L69" s="64"/>
      <c r="M69" s="20"/>
      <c r="N69" s="23"/>
      <c r="O69" s="25"/>
      <c r="P69" s="23"/>
      <c r="Q69" s="20"/>
      <c r="R69" s="20"/>
      <c r="S69" s="20"/>
      <c r="T69" s="20"/>
      <c r="W69" s="52" t="n">
        <v>45670</v>
      </c>
      <c r="X69" s="28"/>
      <c r="Y69" s="28"/>
      <c r="AA69" s="1" t="n">
        <v>400</v>
      </c>
    </row>
    <row r="70" customFormat="false" ht="30" hidden="false" customHeight="true" outlineLevel="0" collapsed="false">
      <c r="B70" s="19"/>
      <c r="C70" s="38"/>
      <c r="D70" s="38"/>
      <c r="E70" s="23"/>
      <c r="F70" s="84"/>
      <c r="G70" s="24"/>
      <c r="H70" s="20"/>
      <c r="I70" s="20"/>
      <c r="J70" s="20"/>
      <c r="K70" s="20"/>
      <c r="L70" s="64"/>
      <c r="M70" s="20"/>
      <c r="N70" s="23"/>
      <c r="O70" s="25"/>
      <c r="P70" s="23"/>
      <c r="Q70" s="20"/>
      <c r="R70" s="20"/>
      <c r="S70" s="20"/>
      <c r="T70" s="20"/>
      <c r="U70" s="1" t="n">
        <f aca="false">100+200+400+270+200+380</f>
        <v>1550</v>
      </c>
      <c r="X70" s="28"/>
      <c r="Y70" s="28"/>
    </row>
    <row r="71" customFormat="false" ht="30" hidden="false" customHeight="true" outlineLevel="0" collapsed="false">
      <c r="B71" s="19"/>
      <c r="C71" s="38"/>
      <c r="D71" s="38"/>
      <c r="E71" s="23"/>
      <c r="F71" s="84"/>
      <c r="G71" s="24"/>
      <c r="H71" s="20"/>
      <c r="I71" s="20"/>
      <c r="J71" s="20"/>
      <c r="K71" s="20"/>
      <c r="L71" s="64"/>
      <c r="M71" s="20"/>
      <c r="N71" s="23"/>
      <c r="O71" s="25"/>
      <c r="P71" s="23"/>
      <c r="Q71" s="20"/>
      <c r="R71" s="20"/>
      <c r="S71" s="20"/>
      <c r="T71" s="20"/>
      <c r="X71" s="47"/>
      <c r="Y71" s="7" t="n">
        <f aca="false">SUM(Y58:Y70)</f>
        <v>135</v>
      </c>
      <c r="Z71" s="7" t="n">
        <f aca="false">SUM(Z58:Z70)</f>
        <v>1457</v>
      </c>
      <c r="AA71" s="7" t="n">
        <f aca="false">SUM(AA58:AA70)</f>
        <v>4010</v>
      </c>
    </row>
    <row r="72" customFormat="false" ht="30" hidden="false" customHeight="true" outlineLevel="0" collapsed="false">
      <c r="B72" s="19"/>
      <c r="C72" s="38"/>
      <c r="D72" s="38"/>
      <c r="E72" s="23"/>
      <c r="F72" s="84"/>
      <c r="G72" s="24"/>
      <c r="H72" s="20"/>
      <c r="I72" s="20"/>
      <c r="J72" s="20"/>
      <c r="K72" s="20"/>
      <c r="L72" s="64"/>
      <c r="M72" s="20"/>
      <c r="N72" s="23"/>
      <c r="O72" s="25"/>
      <c r="P72" s="23"/>
      <c r="Q72" s="20"/>
      <c r="R72" s="20"/>
      <c r="S72" s="20"/>
      <c r="T72" s="20"/>
      <c r="X72" s="28"/>
      <c r="Y72" s="28"/>
    </row>
    <row r="73" customFormat="false" ht="30" hidden="false" customHeight="true" outlineLevel="0" collapsed="false">
      <c r="B73" s="19"/>
      <c r="C73" s="38"/>
      <c r="D73" s="38"/>
      <c r="E73" s="23"/>
      <c r="F73" s="84"/>
      <c r="G73" s="24"/>
      <c r="H73" s="20"/>
      <c r="I73" s="20"/>
      <c r="J73" s="20"/>
      <c r="K73" s="20"/>
      <c r="L73" s="64"/>
      <c r="M73" s="20"/>
      <c r="N73" s="23"/>
      <c r="O73" s="25"/>
      <c r="P73" s="23"/>
      <c r="Q73" s="20"/>
      <c r="R73" s="20"/>
      <c r="S73" s="20"/>
      <c r="T73" s="20"/>
      <c r="W73" s="51" t="n">
        <v>45677</v>
      </c>
      <c r="X73" s="88" t="n">
        <v>33</v>
      </c>
      <c r="Y73" s="88"/>
      <c r="Z73" s="88" t="n">
        <v>363</v>
      </c>
      <c r="AA73" s="88" t="n">
        <v>260</v>
      </c>
    </row>
    <row r="74" customFormat="false" ht="30" hidden="false" customHeight="true" outlineLevel="0" collapsed="false">
      <c r="B74" s="19"/>
      <c r="C74" s="38"/>
      <c r="D74" s="38"/>
      <c r="E74" s="23"/>
      <c r="F74" s="84"/>
      <c r="G74" s="24"/>
      <c r="H74" s="20"/>
      <c r="I74" s="20"/>
      <c r="J74" s="20"/>
      <c r="K74" s="20"/>
      <c r="L74" s="64"/>
      <c r="M74" s="20"/>
      <c r="N74" s="23"/>
      <c r="O74" s="25"/>
      <c r="P74" s="23"/>
      <c r="Q74" s="20"/>
      <c r="R74" s="20"/>
      <c r="S74" s="20"/>
      <c r="T74" s="20"/>
      <c r="W74" s="52" t="n">
        <v>45678</v>
      </c>
      <c r="X74" s="47" t="n">
        <v>43</v>
      </c>
      <c r="Y74" s="47"/>
      <c r="Z74" s="47" t="n">
        <v>310</v>
      </c>
      <c r="AA74" s="47"/>
    </row>
    <row r="75" customFormat="false" ht="30" hidden="false" customHeight="true" outlineLevel="0" collapsed="false">
      <c r="B75" s="19"/>
      <c r="C75" s="38"/>
      <c r="D75" s="38"/>
      <c r="E75" s="23"/>
      <c r="F75" s="84"/>
      <c r="G75" s="24"/>
      <c r="H75" s="20"/>
      <c r="I75" s="20"/>
      <c r="J75" s="20"/>
      <c r="K75" s="20"/>
      <c r="L75" s="64"/>
      <c r="M75" s="20"/>
      <c r="N75" s="23"/>
      <c r="O75" s="25"/>
      <c r="P75" s="23"/>
      <c r="Q75" s="20"/>
      <c r="R75" s="20"/>
      <c r="S75" s="20"/>
      <c r="T75" s="20"/>
      <c r="W75" s="52" t="n">
        <v>45679</v>
      </c>
      <c r="X75" s="47" t="n">
        <v>27</v>
      </c>
      <c r="Y75" s="47" t="n">
        <v>393</v>
      </c>
      <c r="Z75" s="47" t="n">
        <v>272</v>
      </c>
      <c r="AA75" s="47"/>
    </row>
    <row r="76" customFormat="false" ht="30" hidden="false" customHeight="true" outlineLevel="0" collapsed="false">
      <c r="B76" s="19"/>
      <c r="C76" s="38"/>
      <c r="D76" s="38"/>
      <c r="E76" s="23"/>
      <c r="F76" s="84"/>
      <c r="G76" s="24"/>
      <c r="H76" s="20"/>
      <c r="I76" s="20"/>
      <c r="J76" s="20"/>
      <c r="K76" s="20"/>
      <c r="L76" s="64"/>
      <c r="M76" s="20"/>
      <c r="N76" s="23"/>
      <c r="O76" s="25"/>
      <c r="P76" s="23"/>
      <c r="Q76" s="20"/>
      <c r="R76" s="20"/>
      <c r="S76" s="20"/>
      <c r="T76" s="20"/>
      <c r="W76" s="52" t="n">
        <v>45680</v>
      </c>
      <c r="X76" s="47" t="n">
        <v>32</v>
      </c>
      <c r="Y76" s="47"/>
      <c r="Z76" s="47" t="n">
        <v>715</v>
      </c>
      <c r="AA76" s="47"/>
      <c r="AC76" s="1" t="s">
        <v>139</v>
      </c>
    </row>
    <row r="77" customFormat="false" ht="30" hidden="false" customHeight="true" outlineLevel="0" collapsed="false">
      <c r="B77" s="19"/>
      <c r="C77" s="38"/>
      <c r="D77" s="38"/>
      <c r="E77" s="23"/>
      <c r="F77" s="84"/>
      <c r="G77" s="24"/>
      <c r="H77" s="20"/>
      <c r="I77" s="20"/>
      <c r="J77" s="20"/>
      <c r="K77" s="20"/>
      <c r="L77" s="64"/>
      <c r="M77" s="20"/>
      <c r="N77" s="23"/>
      <c r="O77" s="25"/>
      <c r="P77" s="23"/>
      <c r="Q77" s="20"/>
      <c r="R77" s="20"/>
      <c r="S77" s="20"/>
      <c r="T77" s="20"/>
      <c r="W77" s="52" t="n">
        <v>45681</v>
      </c>
      <c r="X77" s="47" t="n">
        <v>277</v>
      </c>
      <c r="Y77" s="47"/>
      <c r="Z77" s="47" t="n">
        <v>15</v>
      </c>
      <c r="AA77" s="47"/>
    </row>
    <row r="78" customFormat="false" ht="30" hidden="false" customHeight="true" outlineLevel="0" collapsed="false">
      <c r="B78" s="19"/>
      <c r="C78" s="38"/>
      <c r="D78" s="38"/>
      <c r="E78" s="23"/>
      <c r="F78" s="84"/>
      <c r="G78" s="24"/>
      <c r="H78" s="20"/>
      <c r="I78" s="20"/>
      <c r="J78" s="20"/>
      <c r="K78" s="20"/>
      <c r="L78" s="64"/>
      <c r="M78" s="20"/>
      <c r="N78" s="23"/>
      <c r="O78" s="25"/>
      <c r="P78" s="23"/>
      <c r="Q78" s="20"/>
      <c r="R78" s="20"/>
      <c r="S78" s="20"/>
      <c r="T78" s="20"/>
      <c r="W78" s="52" t="n">
        <v>45687</v>
      </c>
      <c r="X78" s="47"/>
      <c r="Y78" s="47"/>
      <c r="Z78" s="47"/>
      <c r="AA78" s="47" t="n">
        <v>370</v>
      </c>
    </row>
    <row r="79" customFormat="false" ht="30" hidden="false" customHeight="true" outlineLevel="0" collapsed="false">
      <c r="B79" s="19"/>
      <c r="C79" s="38"/>
      <c r="D79" s="38"/>
      <c r="E79" s="23"/>
      <c r="F79" s="84"/>
      <c r="G79" s="24"/>
      <c r="H79" s="20"/>
      <c r="I79" s="20"/>
      <c r="J79" s="20"/>
      <c r="K79" s="20"/>
      <c r="L79" s="64"/>
      <c r="M79" s="20"/>
      <c r="N79" s="23"/>
      <c r="O79" s="25"/>
      <c r="P79" s="23"/>
      <c r="Q79" s="20"/>
      <c r="R79" s="20"/>
      <c r="S79" s="20"/>
      <c r="T79" s="20"/>
      <c r="W79" s="52" t="n">
        <v>45692</v>
      </c>
      <c r="X79" s="47"/>
      <c r="Y79" s="47"/>
      <c r="Z79" s="47" t="n">
        <v>384</v>
      </c>
      <c r="AA79" s="47" t="n">
        <v>456</v>
      </c>
    </row>
    <row r="80" customFormat="false" ht="30" hidden="false" customHeight="true" outlineLevel="0" collapsed="false">
      <c r="B80" s="19"/>
      <c r="C80" s="38"/>
      <c r="D80" s="38"/>
      <c r="E80" s="23"/>
      <c r="F80" s="84"/>
      <c r="G80" s="24"/>
      <c r="H80" s="20"/>
      <c r="I80" s="20"/>
      <c r="J80" s="20"/>
      <c r="K80" s="20"/>
      <c r="L80" s="64"/>
      <c r="M80" s="20"/>
      <c r="N80" s="23"/>
      <c r="O80" s="25"/>
      <c r="P80" s="23"/>
      <c r="Q80" s="20"/>
      <c r="R80" s="20"/>
      <c r="S80" s="20"/>
      <c r="T80" s="20"/>
      <c r="W80" s="52" t="n">
        <v>45693</v>
      </c>
      <c r="X80" s="47"/>
      <c r="Y80" s="47"/>
      <c r="Z80" s="47" t="n">
        <v>240</v>
      </c>
      <c r="AA80" s="47" t="n">
        <v>470</v>
      </c>
    </row>
    <row r="81" customFormat="false" ht="30" hidden="false" customHeight="true" outlineLevel="0" collapsed="false">
      <c r="B81" s="19"/>
      <c r="C81" s="38"/>
      <c r="D81" s="38"/>
      <c r="E81" s="23"/>
      <c r="F81" s="84"/>
      <c r="G81" s="24"/>
      <c r="H81" s="20"/>
      <c r="I81" s="20"/>
      <c r="J81" s="20"/>
      <c r="K81" s="20"/>
      <c r="L81" s="64"/>
      <c r="M81" s="20"/>
      <c r="N81" s="23"/>
      <c r="O81" s="25"/>
      <c r="P81" s="23"/>
      <c r="Q81" s="20"/>
      <c r="R81" s="20"/>
      <c r="S81" s="20"/>
      <c r="T81" s="20"/>
      <c r="W81" s="52" t="n">
        <v>45694</v>
      </c>
      <c r="X81" s="47" t="n">
        <v>43</v>
      </c>
      <c r="Y81" s="47"/>
      <c r="Z81" s="47" t="n">
        <v>276</v>
      </c>
      <c r="AA81" s="47" t="n">
        <v>450</v>
      </c>
    </row>
    <row r="82" customFormat="false" ht="30" hidden="false" customHeight="true" outlineLevel="0" collapsed="false">
      <c r="B82" s="19"/>
      <c r="C82" s="38"/>
      <c r="D82" s="38"/>
      <c r="E82" s="23"/>
      <c r="F82" s="84"/>
      <c r="G82" s="24"/>
      <c r="H82" s="20"/>
      <c r="I82" s="20"/>
      <c r="J82" s="20"/>
      <c r="K82" s="20"/>
      <c r="L82" s="64"/>
      <c r="M82" s="20"/>
      <c r="N82" s="23"/>
      <c r="O82" s="25"/>
      <c r="P82" s="23"/>
      <c r="Q82" s="20"/>
      <c r="R82" s="20"/>
      <c r="S82" s="20"/>
      <c r="T82" s="20"/>
      <c r="W82" s="52" t="n">
        <v>45695</v>
      </c>
      <c r="X82" s="47" t="n">
        <v>98</v>
      </c>
      <c r="Y82" s="47"/>
      <c r="Z82" s="47"/>
      <c r="AA82" s="47"/>
    </row>
    <row r="83" customFormat="false" ht="30" hidden="false" customHeight="true" outlineLevel="0" collapsed="false">
      <c r="B83" s="19"/>
      <c r="C83" s="38"/>
      <c r="D83" s="38"/>
      <c r="E83" s="23"/>
      <c r="F83" s="84"/>
      <c r="G83" s="24"/>
      <c r="H83" s="20"/>
      <c r="I83" s="20"/>
      <c r="J83" s="20"/>
      <c r="K83" s="20"/>
      <c r="L83" s="64"/>
      <c r="M83" s="20"/>
      <c r="N83" s="23"/>
      <c r="O83" s="25"/>
      <c r="P83" s="23"/>
      <c r="Q83" s="20"/>
      <c r="R83" s="20"/>
      <c r="S83" s="20"/>
      <c r="T83" s="20"/>
      <c r="W83" s="52" t="n">
        <v>45698</v>
      </c>
      <c r="X83" s="47" t="n">
        <v>355</v>
      </c>
      <c r="Y83" s="47"/>
      <c r="Z83" s="47"/>
      <c r="AA83" s="47"/>
    </row>
    <row r="84" customFormat="false" ht="30" hidden="false" customHeight="true" outlineLevel="0" collapsed="false">
      <c r="B84" s="19"/>
      <c r="C84" s="38"/>
      <c r="D84" s="38"/>
      <c r="E84" s="23"/>
      <c r="F84" s="84"/>
      <c r="G84" s="24"/>
      <c r="H84" s="20"/>
      <c r="I84" s="20"/>
      <c r="J84" s="20"/>
      <c r="K84" s="20"/>
      <c r="L84" s="64"/>
      <c r="M84" s="20"/>
      <c r="N84" s="23"/>
      <c r="O84" s="25"/>
      <c r="P84" s="23"/>
      <c r="Q84" s="20"/>
      <c r="R84" s="20"/>
      <c r="S84" s="20"/>
      <c r="T84" s="20"/>
      <c r="W84" s="52" t="n">
        <v>45699</v>
      </c>
      <c r="X84" s="47" t="n">
        <v>115</v>
      </c>
      <c r="Y84" s="47"/>
      <c r="Z84" s="47" t="n">
        <v>196</v>
      </c>
      <c r="AA84" s="47" t="n">
        <v>470</v>
      </c>
    </row>
    <row r="85" customFormat="false" ht="30" hidden="false" customHeight="true" outlineLevel="0" collapsed="false">
      <c r="B85" s="19"/>
      <c r="C85" s="38"/>
      <c r="D85" s="38"/>
      <c r="E85" s="23"/>
      <c r="F85" s="84"/>
      <c r="G85" s="24"/>
      <c r="H85" s="20"/>
      <c r="I85" s="20"/>
      <c r="J85" s="20"/>
      <c r="K85" s="20"/>
      <c r="L85" s="64"/>
      <c r="M85" s="20"/>
      <c r="N85" s="23"/>
      <c r="O85" s="25"/>
      <c r="P85" s="23"/>
      <c r="Q85" s="20"/>
      <c r="R85" s="20"/>
      <c r="S85" s="20"/>
      <c r="T85" s="20"/>
      <c r="W85" s="52" t="n">
        <v>45701</v>
      </c>
      <c r="X85" s="47"/>
      <c r="Y85" s="47"/>
      <c r="Z85" s="47"/>
      <c r="AA85" s="47" t="n">
        <v>450</v>
      </c>
    </row>
    <row r="86" customFormat="false" ht="30" hidden="false" customHeight="true" outlineLevel="0" collapsed="false">
      <c r="B86" s="19"/>
      <c r="C86" s="38"/>
      <c r="D86" s="38"/>
      <c r="E86" s="23"/>
      <c r="F86" s="84"/>
      <c r="G86" s="24"/>
      <c r="H86" s="20"/>
      <c r="I86" s="20"/>
      <c r="J86" s="20"/>
      <c r="K86" s="20"/>
      <c r="L86" s="64"/>
      <c r="M86" s="20"/>
      <c r="N86" s="23"/>
      <c r="O86" s="25"/>
      <c r="P86" s="23"/>
      <c r="Q86" s="20"/>
      <c r="R86" s="20"/>
      <c r="S86" s="20"/>
      <c r="T86" s="20"/>
      <c r="W86" s="52" t="n">
        <v>45702</v>
      </c>
      <c r="X86" s="47"/>
      <c r="Y86" s="47"/>
      <c r="Z86" s="47"/>
      <c r="AA86" s="47"/>
    </row>
    <row r="87" customFormat="false" ht="30" hidden="false" customHeight="true" outlineLevel="0" collapsed="false">
      <c r="B87" s="19"/>
      <c r="C87" s="38"/>
      <c r="D87" s="38"/>
      <c r="E87" s="23"/>
      <c r="F87" s="84"/>
      <c r="G87" s="24"/>
      <c r="H87" s="20"/>
      <c r="I87" s="20"/>
      <c r="J87" s="20"/>
      <c r="K87" s="20"/>
      <c r="L87" s="64"/>
      <c r="M87" s="20"/>
      <c r="N87" s="23"/>
      <c r="O87" s="25"/>
      <c r="P87" s="23"/>
      <c r="Q87" s="20"/>
      <c r="R87" s="20"/>
      <c r="S87" s="20"/>
      <c r="T87" s="20"/>
      <c r="W87" s="52" t="n">
        <v>45703</v>
      </c>
      <c r="X87" s="47"/>
      <c r="Y87" s="47"/>
      <c r="Z87" s="47"/>
      <c r="AA87" s="47"/>
    </row>
    <row r="88" customFormat="false" ht="30" hidden="false" customHeight="true" outlineLevel="0" collapsed="false">
      <c r="B88" s="19"/>
      <c r="C88" s="38"/>
      <c r="D88" s="38"/>
      <c r="E88" s="23"/>
      <c r="F88" s="84"/>
      <c r="G88" s="24"/>
      <c r="H88" s="20"/>
      <c r="I88" s="20"/>
      <c r="J88" s="20"/>
      <c r="K88" s="20"/>
      <c r="L88" s="64"/>
      <c r="M88" s="20"/>
      <c r="N88" s="23"/>
      <c r="O88" s="25"/>
      <c r="P88" s="23"/>
      <c r="Q88" s="20"/>
      <c r="R88" s="20"/>
      <c r="S88" s="20"/>
      <c r="T88" s="20"/>
      <c r="W88" s="52" t="n">
        <v>45704</v>
      </c>
      <c r="X88" s="47"/>
      <c r="Y88" s="47"/>
      <c r="Z88" s="47"/>
      <c r="AA88" s="47"/>
    </row>
    <row r="89" customFormat="false" ht="30" hidden="false" customHeight="true" outlineLevel="0" collapsed="false">
      <c r="B89" s="19"/>
      <c r="C89" s="38"/>
      <c r="D89" s="38"/>
      <c r="E89" s="23"/>
      <c r="F89" s="84"/>
      <c r="G89" s="24"/>
      <c r="H89" s="20"/>
      <c r="I89" s="20"/>
      <c r="J89" s="20"/>
      <c r="K89" s="20"/>
      <c r="L89" s="64"/>
      <c r="M89" s="20"/>
      <c r="N89" s="23"/>
      <c r="O89" s="25"/>
      <c r="P89" s="23"/>
      <c r="Q89" s="20"/>
      <c r="R89" s="20"/>
      <c r="S89" s="20"/>
      <c r="T89" s="20"/>
      <c r="W89" s="52" t="n">
        <v>45705</v>
      </c>
      <c r="X89" s="47"/>
      <c r="Y89" s="47"/>
      <c r="Z89" s="47"/>
      <c r="AA89" s="47"/>
    </row>
    <row r="90" customFormat="false" ht="30" hidden="false" customHeight="true" outlineLevel="0" collapsed="false">
      <c r="B90" s="19"/>
      <c r="C90" s="38"/>
      <c r="D90" s="38"/>
      <c r="E90" s="23"/>
      <c r="F90" s="84"/>
      <c r="G90" s="24"/>
      <c r="H90" s="20"/>
      <c r="I90" s="20"/>
      <c r="J90" s="20"/>
      <c r="K90" s="20"/>
      <c r="L90" s="64"/>
      <c r="M90" s="20"/>
      <c r="N90" s="23"/>
      <c r="O90" s="25"/>
      <c r="P90" s="23"/>
      <c r="Q90" s="20"/>
      <c r="R90" s="20"/>
      <c r="S90" s="20"/>
      <c r="T90" s="20"/>
      <c r="W90" s="52" t="n">
        <v>45706</v>
      </c>
      <c r="X90" s="47"/>
      <c r="Y90" s="47"/>
      <c r="Z90" s="47" t="n">
        <v>300</v>
      </c>
      <c r="AA90" s="47"/>
    </row>
    <row r="91" customFormat="false" ht="30" hidden="false" customHeight="true" outlineLevel="0" collapsed="false">
      <c r="B91" s="19"/>
      <c r="C91" s="38"/>
      <c r="D91" s="38"/>
      <c r="E91" s="23"/>
      <c r="F91" s="84"/>
      <c r="G91" s="24"/>
      <c r="H91" s="20"/>
      <c r="I91" s="20"/>
      <c r="J91" s="20"/>
      <c r="K91" s="20"/>
      <c r="L91" s="64"/>
      <c r="M91" s="20"/>
      <c r="N91" s="23"/>
      <c r="O91" s="25"/>
      <c r="P91" s="23"/>
      <c r="Q91" s="20"/>
      <c r="R91" s="20"/>
      <c r="S91" s="20"/>
      <c r="T91" s="20"/>
      <c r="W91" s="52" t="n">
        <v>45707</v>
      </c>
      <c r="X91" s="47" t="n">
        <v>240</v>
      </c>
      <c r="Y91" s="47"/>
      <c r="Z91" s="47" t="n">
        <v>352</v>
      </c>
      <c r="AA91" s="47"/>
    </row>
    <row r="92" customFormat="false" ht="30" hidden="false" customHeight="true" outlineLevel="0" collapsed="false">
      <c r="B92" s="19"/>
      <c r="C92" s="38"/>
      <c r="D92" s="38"/>
      <c r="E92" s="23"/>
      <c r="F92" s="84"/>
      <c r="G92" s="24"/>
      <c r="H92" s="20"/>
      <c r="I92" s="20"/>
      <c r="J92" s="20"/>
      <c r="K92" s="20"/>
      <c r="L92" s="64"/>
      <c r="M92" s="20"/>
      <c r="N92" s="23"/>
      <c r="O92" s="25"/>
      <c r="P92" s="23"/>
      <c r="Q92" s="20"/>
      <c r="R92" s="20"/>
      <c r="S92" s="20"/>
      <c r="T92" s="20"/>
      <c r="W92" s="52" t="n">
        <v>45708</v>
      </c>
      <c r="X92" s="47" t="n">
        <v>240</v>
      </c>
      <c r="Y92" s="47"/>
      <c r="Z92" s="47"/>
      <c r="AA92" s="47"/>
    </row>
    <row r="93" customFormat="false" ht="30" hidden="false" customHeight="true" outlineLevel="0" collapsed="false">
      <c r="B93" s="19"/>
      <c r="C93" s="38"/>
      <c r="D93" s="38"/>
      <c r="E93" s="23"/>
      <c r="F93" s="84"/>
      <c r="G93" s="24"/>
      <c r="H93" s="20"/>
      <c r="I93" s="20"/>
      <c r="J93" s="20"/>
      <c r="K93" s="20"/>
      <c r="L93" s="64"/>
      <c r="M93" s="20"/>
      <c r="N93" s="23"/>
      <c r="O93" s="25"/>
      <c r="P93" s="23"/>
      <c r="Q93" s="20"/>
      <c r="R93" s="20"/>
      <c r="S93" s="20"/>
      <c r="T93" s="20"/>
      <c r="X93" s="47"/>
      <c r="Y93" s="47"/>
      <c r="Z93" s="47"/>
      <c r="AA93" s="47"/>
    </row>
    <row r="94" customFormat="false" ht="30" hidden="false" customHeight="true" outlineLevel="0" collapsed="false">
      <c r="B94" s="19"/>
      <c r="C94" s="38"/>
      <c r="D94" s="38"/>
      <c r="E94" s="23"/>
      <c r="F94" s="84"/>
      <c r="G94" s="24"/>
      <c r="H94" s="20"/>
      <c r="I94" s="20"/>
      <c r="J94" s="20"/>
      <c r="K94" s="20"/>
      <c r="L94" s="64"/>
      <c r="M94" s="20"/>
      <c r="N94" s="23"/>
      <c r="O94" s="25"/>
      <c r="P94" s="23"/>
      <c r="Q94" s="20"/>
      <c r="R94" s="20"/>
      <c r="S94" s="20"/>
      <c r="T94" s="20"/>
      <c r="W94" s="52" t="n">
        <v>45709</v>
      </c>
      <c r="X94" s="88"/>
      <c r="Y94" s="88"/>
      <c r="Z94" s="88" t="n">
        <v>114</v>
      </c>
      <c r="AA94" s="88"/>
      <c r="AD94" s="1" t="s">
        <v>140</v>
      </c>
    </row>
    <row r="95" customFormat="false" ht="30" hidden="false" customHeight="true" outlineLevel="0" collapsed="false">
      <c r="B95" s="19"/>
      <c r="C95" s="38"/>
      <c r="D95" s="38"/>
      <c r="E95" s="23"/>
      <c r="F95" s="84"/>
      <c r="G95" s="24"/>
      <c r="H95" s="20"/>
      <c r="I95" s="20"/>
      <c r="J95" s="20"/>
      <c r="K95" s="20"/>
      <c r="L95" s="64"/>
      <c r="M95" s="20"/>
      <c r="N95" s="23"/>
      <c r="O95" s="25"/>
      <c r="P95" s="23"/>
      <c r="Q95" s="20"/>
      <c r="R95" s="20"/>
      <c r="S95" s="20"/>
      <c r="T95" s="20"/>
      <c r="W95" s="52" t="n">
        <v>45712</v>
      </c>
      <c r="X95" s="88"/>
      <c r="Y95" s="88"/>
      <c r="Z95" s="88"/>
      <c r="AA95" s="88"/>
      <c r="AD95" s="1" t="s">
        <v>141</v>
      </c>
    </row>
    <row r="96" customFormat="false" ht="30" hidden="false" customHeight="true" outlineLevel="0" collapsed="false">
      <c r="B96" s="19"/>
      <c r="C96" s="38"/>
      <c r="D96" s="38"/>
      <c r="E96" s="23"/>
      <c r="F96" s="84"/>
      <c r="G96" s="24"/>
      <c r="H96" s="20"/>
      <c r="I96" s="20"/>
      <c r="J96" s="20"/>
      <c r="K96" s="20"/>
      <c r="L96" s="64"/>
      <c r="M96" s="20"/>
      <c r="N96" s="23"/>
      <c r="O96" s="25"/>
      <c r="P96" s="23"/>
      <c r="Q96" s="20"/>
      <c r="R96" s="20"/>
      <c r="S96" s="20"/>
      <c r="T96" s="20"/>
      <c r="W96" s="52" t="n">
        <v>45713</v>
      </c>
      <c r="X96" s="88" t="n">
        <v>25</v>
      </c>
      <c r="Y96" s="88"/>
      <c r="Z96" s="88" t="n">
        <v>47</v>
      </c>
      <c r="AA96" s="88" t="n">
        <v>500</v>
      </c>
    </row>
    <row r="97" customFormat="false" ht="30" hidden="false" customHeight="true" outlineLevel="0" collapsed="false">
      <c r="B97" s="19"/>
      <c r="C97" s="38"/>
      <c r="D97" s="38"/>
      <c r="E97" s="23"/>
      <c r="F97" s="84"/>
      <c r="G97" s="24"/>
      <c r="H97" s="20"/>
      <c r="I97" s="20"/>
      <c r="J97" s="20"/>
      <c r="K97" s="20"/>
      <c r="L97" s="64"/>
      <c r="M97" s="20"/>
      <c r="N97" s="23"/>
      <c r="O97" s="25"/>
      <c r="P97" s="23"/>
      <c r="Q97" s="20"/>
      <c r="R97" s="20"/>
      <c r="S97" s="20"/>
      <c r="T97" s="20"/>
      <c r="W97" s="52" t="n">
        <v>45714</v>
      </c>
      <c r="X97" s="88"/>
      <c r="Y97" s="88"/>
      <c r="Z97" s="88"/>
      <c r="AA97" s="88" t="n">
        <v>510</v>
      </c>
    </row>
    <row r="98" customFormat="false" ht="30" hidden="false" customHeight="true" outlineLevel="0" collapsed="false">
      <c r="B98" s="19"/>
      <c r="C98" s="38"/>
      <c r="D98" s="38"/>
      <c r="E98" s="23"/>
      <c r="F98" s="84"/>
      <c r="G98" s="24"/>
      <c r="H98" s="20"/>
      <c r="I98" s="20"/>
      <c r="J98" s="20"/>
      <c r="K98" s="20"/>
      <c r="L98" s="64"/>
      <c r="M98" s="20"/>
      <c r="N98" s="23"/>
      <c r="O98" s="25"/>
      <c r="P98" s="23"/>
      <c r="Q98" s="20"/>
      <c r="R98" s="20"/>
      <c r="S98" s="20"/>
      <c r="T98" s="20"/>
      <c r="W98" s="52" t="n">
        <v>45715</v>
      </c>
      <c r="X98" s="88" t="n">
        <v>128</v>
      </c>
      <c r="Y98" s="88"/>
      <c r="Z98" s="88" t="n">
        <v>118</v>
      </c>
      <c r="AA98" s="88"/>
      <c r="AD98" s="1" t="s">
        <v>142</v>
      </c>
    </row>
    <row r="99" customFormat="false" ht="30" hidden="false" customHeight="true" outlineLevel="0" collapsed="false">
      <c r="B99" s="19"/>
      <c r="C99" s="38"/>
      <c r="D99" s="38"/>
      <c r="E99" s="23"/>
      <c r="F99" s="84"/>
      <c r="G99" s="24"/>
      <c r="H99" s="20"/>
      <c r="I99" s="20"/>
      <c r="J99" s="20"/>
      <c r="K99" s="20"/>
      <c r="L99" s="64"/>
      <c r="M99" s="20"/>
      <c r="N99" s="23"/>
      <c r="O99" s="25"/>
      <c r="P99" s="23"/>
      <c r="Q99" s="20"/>
      <c r="R99" s="20"/>
      <c r="S99" s="20"/>
      <c r="T99" s="20"/>
      <c r="W99" s="52" t="n">
        <v>45716</v>
      </c>
      <c r="X99" s="88" t="n">
        <v>110</v>
      </c>
      <c r="Y99" s="88" t="n">
        <v>40</v>
      </c>
      <c r="Z99" s="88" t="n">
        <v>27</v>
      </c>
      <c r="AA99" s="88"/>
      <c r="AD99" s="1" t="s">
        <v>143</v>
      </c>
    </row>
    <row r="100" customFormat="false" ht="30" hidden="false" customHeight="true" outlineLevel="0" collapsed="false">
      <c r="B100" s="19"/>
      <c r="C100" s="38"/>
      <c r="D100" s="38"/>
      <c r="E100" s="23"/>
      <c r="F100" s="84"/>
      <c r="G100" s="24"/>
      <c r="H100" s="20"/>
      <c r="I100" s="20"/>
      <c r="J100" s="20"/>
      <c r="K100" s="20"/>
      <c r="L100" s="64"/>
      <c r="M100" s="20"/>
      <c r="N100" s="23"/>
      <c r="O100" s="25"/>
      <c r="P100" s="23"/>
      <c r="Q100" s="20"/>
      <c r="R100" s="20"/>
      <c r="S100" s="20"/>
      <c r="T100" s="20"/>
      <c r="W100" s="52" t="n">
        <v>45720</v>
      </c>
      <c r="X100" s="88" t="n">
        <v>2</v>
      </c>
      <c r="Y100" s="88"/>
      <c r="Z100" s="88" t="n">
        <v>210</v>
      </c>
      <c r="AA100" s="88"/>
      <c r="AD100" s="1" t="s">
        <v>144</v>
      </c>
    </row>
    <row r="101" customFormat="false" ht="30" hidden="false" customHeight="true" outlineLevel="0" collapsed="false">
      <c r="B101" s="19"/>
      <c r="C101" s="38"/>
      <c r="D101" s="38"/>
      <c r="E101" s="23"/>
      <c r="F101" s="84"/>
      <c r="G101" s="24"/>
      <c r="H101" s="20"/>
      <c r="I101" s="20"/>
      <c r="J101" s="20"/>
      <c r="K101" s="20"/>
      <c r="L101" s="64"/>
      <c r="M101" s="20"/>
      <c r="N101" s="23"/>
      <c r="O101" s="25"/>
      <c r="P101" s="23"/>
      <c r="Q101" s="20"/>
      <c r="R101" s="20"/>
      <c r="S101" s="20"/>
      <c r="T101" s="20"/>
      <c r="W101" s="52" t="n">
        <v>45721</v>
      </c>
      <c r="X101" s="88"/>
      <c r="Y101" s="88"/>
      <c r="Z101" s="88" t="n">
        <v>470</v>
      </c>
      <c r="AA101" s="88"/>
      <c r="AD101" s="1" t="s">
        <v>145</v>
      </c>
    </row>
    <row r="102" customFormat="false" ht="30" hidden="false" customHeight="true" outlineLevel="0" collapsed="false">
      <c r="B102" s="19"/>
      <c r="C102" s="38"/>
      <c r="D102" s="38"/>
      <c r="E102" s="23"/>
      <c r="F102" s="84"/>
      <c r="G102" s="24"/>
      <c r="H102" s="20"/>
      <c r="I102" s="20"/>
      <c r="J102" s="20"/>
      <c r="K102" s="20"/>
      <c r="L102" s="64"/>
      <c r="M102" s="20"/>
      <c r="N102" s="23"/>
      <c r="O102" s="25"/>
      <c r="P102" s="23"/>
      <c r="Q102" s="20"/>
      <c r="R102" s="20"/>
      <c r="S102" s="20"/>
      <c r="T102" s="20"/>
      <c r="W102" s="52" t="n">
        <v>45722</v>
      </c>
      <c r="X102" s="88" t="n">
        <v>146</v>
      </c>
      <c r="Y102" s="88"/>
      <c r="Z102" s="88" t="n">
        <v>210</v>
      </c>
      <c r="AA102" s="88"/>
      <c r="AD102" s="1" t="s">
        <v>146</v>
      </c>
    </row>
    <row r="103" customFormat="false" ht="30" hidden="false" customHeight="true" outlineLevel="0" collapsed="false">
      <c r="B103" s="19"/>
      <c r="C103" s="38"/>
      <c r="D103" s="38"/>
      <c r="E103" s="23"/>
      <c r="F103" s="84"/>
      <c r="G103" s="24"/>
      <c r="H103" s="20"/>
      <c r="I103" s="20"/>
      <c r="J103" s="20"/>
      <c r="K103" s="20"/>
      <c r="L103" s="64"/>
      <c r="M103" s="20"/>
      <c r="N103" s="23"/>
      <c r="O103" s="25"/>
      <c r="P103" s="23"/>
      <c r="Q103" s="20"/>
      <c r="R103" s="20"/>
      <c r="S103" s="20"/>
      <c r="T103" s="20"/>
      <c r="W103" s="52" t="n">
        <v>45723</v>
      </c>
      <c r="X103" s="88" t="n">
        <v>40</v>
      </c>
      <c r="Y103" s="88"/>
      <c r="Z103" s="88" t="n">
        <v>151</v>
      </c>
      <c r="AA103" s="88"/>
    </row>
    <row r="104" customFormat="false" ht="30" hidden="false" customHeight="true" outlineLevel="0" collapsed="false">
      <c r="B104" s="19"/>
      <c r="C104" s="38"/>
      <c r="D104" s="38"/>
      <c r="E104" s="23"/>
      <c r="F104" s="84"/>
      <c r="G104" s="24"/>
      <c r="H104" s="20"/>
      <c r="I104" s="20"/>
      <c r="J104" s="20"/>
      <c r="K104" s="20"/>
      <c r="L104" s="64"/>
      <c r="M104" s="20"/>
      <c r="N104" s="23"/>
      <c r="O104" s="25"/>
      <c r="P104" s="23"/>
      <c r="Q104" s="20"/>
      <c r="R104" s="20"/>
      <c r="S104" s="20"/>
      <c r="T104" s="20"/>
      <c r="W104" s="52" t="n">
        <v>45724</v>
      </c>
      <c r="X104" s="88"/>
      <c r="Y104" s="88"/>
      <c r="Z104" s="88"/>
      <c r="AA104" s="88"/>
    </row>
    <row r="105" customFormat="false" ht="30" hidden="false" customHeight="true" outlineLevel="0" collapsed="false">
      <c r="B105" s="19"/>
      <c r="C105" s="38"/>
      <c r="D105" s="38"/>
      <c r="E105" s="23"/>
      <c r="F105" s="84"/>
      <c r="G105" s="24"/>
      <c r="H105" s="20"/>
      <c r="I105" s="20"/>
      <c r="J105" s="20"/>
      <c r="K105" s="20"/>
      <c r="L105" s="64"/>
      <c r="M105" s="20"/>
      <c r="N105" s="23"/>
      <c r="O105" s="25"/>
      <c r="P105" s="23"/>
      <c r="Q105" s="20"/>
      <c r="R105" s="20"/>
      <c r="S105" s="20"/>
      <c r="T105" s="20"/>
      <c r="W105" s="52" t="n">
        <v>45726</v>
      </c>
      <c r="X105" s="88" t="n">
        <v>176</v>
      </c>
      <c r="Y105" s="88" t="n">
        <v>172</v>
      </c>
      <c r="Z105" s="88"/>
      <c r="AA105" s="88"/>
      <c r="AD105" s="1" t="s">
        <v>147</v>
      </c>
    </row>
    <row r="106" customFormat="false" ht="30" hidden="false" customHeight="true" outlineLevel="0" collapsed="false">
      <c r="B106" s="19"/>
      <c r="C106" s="38"/>
      <c r="D106" s="38"/>
      <c r="E106" s="23"/>
      <c r="F106" s="84"/>
      <c r="G106" s="24"/>
      <c r="H106" s="20"/>
      <c r="I106" s="20"/>
      <c r="J106" s="20"/>
      <c r="K106" s="20"/>
      <c r="L106" s="64"/>
      <c r="M106" s="20"/>
      <c r="N106" s="23"/>
      <c r="O106" s="25"/>
      <c r="P106" s="23"/>
      <c r="Q106" s="20"/>
      <c r="R106" s="20"/>
      <c r="S106" s="20"/>
      <c r="T106" s="20"/>
      <c r="W106" s="52" t="n">
        <v>45727</v>
      </c>
      <c r="X106" s="88"/>
      <c r="Y106" s="88" t="n">
        <v>347</v>
      </c>
      <c r="Z106" s="88"/>
      <c r="AA106" s="88"/>
      <c r="AD106" s="1" t="s">
        <v>148</v>
      </c>
    </row>
    <row r="107" customFormat="false" ht="30" hidden="false" customHeight="true" outlineLevel="0" collapsed="false">
      <c r="B107" s="19"/>
      <c r="C107" s="38"/>
      <c r="D107" s="38"/>
      <c r="E107" s="23"/>
      <c r="F107" s="84"/>
      <c r="G107" s="24"/>
      <c r="H107" s="20"/>
      <c r="I107" s="20"/>
      <c r="J107" s="20"/>
      <c r="K107" s="20"/>
      <c r="L107" s="64"/>
      <c r="M107" s="20"/>
      <c r="N107" s="23"/>
      <c r="O107" s="25"/>
      <c r="P107" s="23"/>
      <c r="Q107" s="20"/>
      <c r="R107" s="20"/>
      <c r="S107" s="20"/>
      <c r="T107" s="20"/>
      <c r="W107" s="52" t="n">
        <v>45728</v>
      </c>
      <c r="X107" s="88" t="n">
        <v>20</v>
      </c>
      <c r="Y107" s="88" t="n">
        <v>342</v>
      </c>
      <c r="Z107" s="88"/>
      <c r="AA107" s="88"/>
      <c r="AD107" s="1" t="s">
        <v>148</v>
      </c>
    </row>
    <row r="108" customFormat="false" ht="30" hidden="false" customHeight="true" outlineLevel="0" collapsed="false">
      <c r="B108" s="19"/>
      <c r="C108" s="38"/>
      <c r="D108" s="38"/>
      <c r="E108" s="23"/>
      <c r="F108" s="84"/>
      <c r="G108" s="24"/>
      <c r="H108" s="20"/>
      <c r="I108" s="20"/>
      <c r="J108" s="20"/>
      <c r="K108" s="20"/>
      <c r="L108" s="64"/>
      <c r="M108" s="20"/>
      <c r="N108" s="23"/>
      <c r="O108" s="25"/>
      <c r="P108" s="23"/>
      <c r="Q108" s="20"/>
      <c r="R108" s="20"/>
      <c r="S108" s="20"/>
      <c r="T108" s="20"/>
      <c r="W108" s="52" t="n">
        <v>45729</v>
      </c>
      <c r="X108" s="88" t="n">
        <v>152</v>
      </c>
      <c r="Y108" s="88" t="n">
        <v>174</v>
      </c>
      <c r="Z108" s="88"/>
      <c r="AA108" s="88"/>
      <c r="AD108" s="1" t="s">
        <v>149</v>
      </c>
    </row>
    <row r="109" customFormat="false" ht="30" hidden="false" customHeight="true" outlineLevel="0" collapsed="false">
      <c r="B109" s="19"/>
      <c r="C109" s="38"/>
      <c r="D109" s="38"/>
      <c r="E109" s="23"/>
      <c r="F109" s="84"/>
      <c r="G109" s="24"/>
      <c r="H109" s="20"/>
      <c r="I109" s="20"/>
      <c r="J109" s="20"/>
      <c r="K109" s="20"/>
      <c r="L109" s="64"/>
      <c r="M109" s="20"/>
      <c r="N109" s="23"/>
      <c r="O109" s="25"/>
      <c r="P109" s="23"/>
      <c r="Q109" s="20"/>
      <c r="R109" s="20"/>
      <c r="S109" s="20"/>
      <c r="T109" s="20"/>
      <c r="W109" s="52" t="n">
        <v>45731</v>
      </c>
      <c r="X109" s="47"/>
      <c r="Y109" s="47"/>
      <c r="Z109" s="47"/>
      <c r="AA109" s="47" t="n">
        <v>400</v>
      </c>
    </row>
    <row r="110" customFormat="false" ht="30" hidden="false" customHeight="true" outlineLevel="0" collapsed="false">
      <c r="B110" s="19"/>
      <c r="C110" s="38"/>
      <c r="D110" s="38"/>
      <c r="E110" s="23"/>
      <c r="F110" s="84"/>
      <c r="G110" s="24"/>
      <c r="H110" s="20"/>
      <c r="I110" s="20"/>
      <c r="J110" s="20"/>
      <c r="K110" s="20"/>
      <c r="L110" s="64"/>
      <c r="M110" s="20"/>
      <c r="N110" s="23"/>
      <c r="O110" s="25"/>
      <c r="P110" s="23"/>
      <c r="Q110" s="20"/>
      <c r="R110" s="20"/>
      <c r="S110" s="20"/>
      <c r="T110" s="20"/>
      <c r="X110" s="47"/>
      <c r="Y110" s="47"/>
      <c r="Z110" s="47"/>
      <c r="AA110" s="47"/>
    </row>
    <row r="111" customFormat="false" ht="30" hidden="false" customHeight="true" outlineLevel="0" collapsed="false">
      <c r="B111" s="19"/>
      <c r="C111" s="38"/>
      <c r="D111" s="38"/>
      <c r="E111" s="23"/>
      <c r="F111" s="84"/>
      <c r="G111" s="24"/>
      <c r="H111" s="20"/>
      <c r="I111" s="20"/>
      <c r="J111" s="20"/>
      <c r="K111" s="20"/>
      <c r="L111" s="64"/>
      <c r="M111" s="20"/>
      <c r="N111" s="23"/>
      <c r="O111" s="25"/>
      <c r="P111" s="23"/>
      <c r="Q111" s="20"/>
      <c r="R111" s="20"/>
      <c r="S111" s="20"/>
      <c r="T111" s="20"/>
      <c r="X111" s="47"/>
      <c r="Y111" s="47"/>
      <c r="Z111" s="47"/>
      <c r="AA111" s="47"/>
    </row>
    <row r="112" customFormat="false" ht="30" hidden="false" customHeight="true" outlineLevel="0" collapsed="false">
      <c r="B112" s="19"/>
      <c r="C112" s="38"/>
      <c r="D112" s="38"/>
      <c r="E112" s="23"/>
      <c r="F112" s="84"/>
      <c r="G112" s="24"/>
      <c r="H112" s="20"/>
      <c r="I112" s="20"/>
      <c r="J112" s="20"/>
      <c r="K112" s="20"/>
      <c r="L112" s="64"/>
      <c r="M112" s="20"/>
      <c r="N112" s="23"/>
      <c r="O112" s="25"/>
      <c r="P112" s="23"/>
      <c r="Q112" s="20"/>
      <c r="R112" s="20"/>
      <c r="S112" s="20"/>
      <c r="T112" s="20"/>
      <c r="X112" s="47" t="n">
        <f aca="false">SUM(X94:X111)</f>
        <v>799</v>
      </c>
      <c r="Y112" s="47" t="n">
        <f aca="false">SUM(Y94:Y111)</f>
        <v>1075</v>
      </c>
      <c r="Z112" s="47" t="n">
        <f aca="false">SUM(Z94:Z111)</f>
        <v>1347</v>
      </c>
      <c r="AA112" s="47" t="n">
        <f aca="false">SUM(AA94:AA111)</f>
        <v>1410</v>
      </c>
    </row>
    <row r="113" customFormat="false" ht="30" hidden="false" customHeight="true" outlineLevel="0" collapsed="false">
      <c r="B113" s="19"/>
      <c r="C113" s="38"/>
      <c r="D113" s="38"/>
      <c r="E113" s="23"/>
      <c r="F113" s="84"/>
      <c r="G113" s="24"/>
      <c r="H113" s="20"/>
      <c r="I113" s="20"/>
      <c r="J113" s="20"/>
      <c r="K113" s="20"/>
      <c r="L113" s="64"/>
      <c r="M113" s="20"/>
      <c r="N113" s="23"/>
      <c r="O113" s="25"/>
      <c r="P113" s="23"/>
      <c r="Q113" s="20"/>
      <c r="R113" s="20"/>
      <c r="S113" s="20"/>
      <c r="T113" s="20"/>
      <c r="X113" s="47"/>
      <c r="Y113" s="47"/>
      <c r="Z113" s="47"/>
      <c r="AA113" s="47"/>
    </row>
    <row r="114" customFormat="false" ht="30" hidden="false" customHeight="true" outlineLevel="0" collapsed="false">
      <c r="B114" s="19"/>
      <c r="C114" s="38"/>
      <c r="D114" s="38"/>
      <c r="E114" s="23"/>
      <c r="F114" s="84"/>
      <c r="G114" s="24"/>
      <c r="H114" s="20"/>
      <c r="I114" s="20"/>
      <c r="J114" s="20"/>
      <c r="K114" s="20"/>
      <c r="L114" s="64"/>
      <c r="M114" s="20"/>
      <c r="N114" s="23"/>
      <c r="O114" s="25"/>
      <c r="P114" s="23"/>
      <c r="Q114" s="20"/>
      <c r="R114" s="20"/>
      <c r="S114" s="20"/>
      <c r="T114" s="20"/>
      <c r="U114" s="1" t="n">
        <f aca="false">169+237+331+30+70+210+95+168+210+140-168-95</f>
        <v>1397</v>
      </c>
      <c r="X114" s="47"/>
      <c r="Y114" s="47"/>
      <c r="Z114" s="47"/>
      <c r="AA114" s="47"/>
    </row>
    <row r="115" customFormat="false" ht="30" hidden="false" customHeight="true" outlineLevel="0" collapsed="false">
      <c r="B115" s="19"/>
      <c r="C115" s="38"/>
      <c r="D115" s="38"/>
      <c r="E115" s="23"/>
      <c r="F115" s="84"/>
      <c r="G115" s="24"/>
      <c r="H115" s="20"/>
      <c r="I115" s="20"/>
      <c r="J115" s="20"/>
      <c r="K115" s="20"/>
      <c r="L115" s="64"/>
      <c r="M115" s="20"/>
      <c r="N115" s="23"/>
      <c r="O115" s="25"/>
      <c r="P115" s="23"/>
      <c r="Q115" s="20"/>
      <c r="R115" s="20"/>
      <c r="S115" s="20"/>
      <c r="T115" s="20"/>
      <c r="X115" s="47"/>
      <c r="Y115" s="47"/>
      <c r="Z115" s="47"/>
      <c r="AA115" s="47"/>
    </row>
    <row r="116" customFormat="false" ht="30" hidden="false" customHeight="true" outlineLevel="0" collapsed="false">
      <c r="B116" s="19"/>
      <c r="C116" s="38"/>
      <c r="D116" s="38"/>
      <c r="E116" s="23"/>
      <c r="F116" s="84"/>
      <c r="G116" s="24"/>
      <c r="H116" s="20"/>
      <c r="I116" s="20"/>
      <c r="J116" s="20"/>
      <c r="K116" s="20"/>
      <c r="L116" s="64"/>
      <c r="M116" s="20"/>
      <c r="N116" s="23"/>
      <c r="O116" s="25"/>
      <c r="P116" s="23"/>
      <c r="Q116" s="20"/>
      <c r="R116" s="20"/>
      <c r="S116" s="20"/>
      <c r="T116" s="20"/>
      <c r="X116" s="47"/>
      <c r="Y116" s="47"/>
      <c r="Z116" s="47"/>
      <c r="AA116" s="47"/>
    </row>
    <row r="117" customFormat="false" ht="30" hidden="false" customHeight="true" outlineLevel="0" collapsed="false">
      <c r="B117" s="19"/>
      <c r="C117" s="38"/>
      <c r="D117" s="38"/>
      <c r="E117" s="23"/>
      <c r="F117" s="84"/>
      <c r="G117" s="24"/>
      <c r="H117" s="20"/>
      <c r="I117" s="20"/>
      <c r="J117" s="20"/>
      <c r="K117" s="20"/>
      <c r="L117" s="64"/>
      <c r="M117" s="20"/>
      <c r="N117" s="23"/>
      <c r="O117" s="25"/>
      <c r="P117" s="23"/>
      <c r="Q117" s="20"/>
      <c r="R117" s="20"/>
      <c r="S117" s="20"/>
      <c r="T117" s="20"/>
      <c r="X117" s="47"/>
      <c r="Y117" s="47"/>
      <c r="Z117" s="47"/>
      <c r="AA117" s="47"/>
    </row>
    <row r="118" customFormat="false" ht="30" hidden="false" customHeight="true" outlineLevel="0" collapsed="false">
      <c r="B118" s="19"/>
      <c r="C118" s="38"/>
      <c r="D118" s="38"/>
      <c r="E118" s="23"/>
      <c r="F118" s="84"/>
      <c r="G118" s="24"/>
      <c r="H118" s="20"/>
      <c r="I118" s="20"/>
      <c r="J118" s="20"/>
      <c r="K118" s="20"/>
      <c r="L118" s="64"/>
      <c r="M118" s="20"/>
      <c r="N118" s="23"/>
      <c r="O118" s="25"/>
      <c r="P118" s="23"/>
      <c r="Q118" s="20"/>
      <c r="R118" s="20"/>
      <c r="S118" s="20"/>
      <c r="T118" s="20"/>
      <c r="X118" s="47"/>
      <c r="Y118" s="47"/>
      <c r="Z118" s="47"/>
      <c r="AA118" s="47"/>
    </row>
    <row r="119" customFormat="false" ht="30" hidden="false" customHeight="true" outlineLevel="0" collapsed="false">
      <c r="B119" s="19"/>
      <c r="C119" s="38"/>
      <c r="D119" s="38"/>
      <c r="E119" s="23"/>
      <c r="F119" s="84"/>
      <c r="G119" s="24"/>
      <c r="H119" s="20"/>
      <c r="I119" s="20"/>
      <c r="J119" s="20"/>
      <c r="K119" s="20"/>
      <c r="L119" s="64"/>
      <c r="M119" s="20"/>
      <c r="N119" s="23"/>
      <c r="O119" s="25"/>
      <c r="P119" s="23"/>
      <c r="Q119" s="20"/>
      <c r="R119" s="20"/>
      <c r="S119" s="20"/>
      <c r="T119" s="20"/>
      <c r="X119" s="47"/>
      <c r="Y119" s="47"/>
      <c r="Z119" s="47"/>
      <c r="AA119" s="47"/>
    </row>
    <row r="120" customFormat="false" ht="30" hidden="false" customHeight="true" outlineLevel="0" collapsed="false">
      <c r="B120" s="19"/>
      <c r="C120" s="38"/>
      <c r="D120" s="38"/>
      <c r="E120" s="23"/>
      <c r="F120" s="84"/>
      <c r="G120" s="24"/>
      <c r="H120" s="20"/>
      <c r="I120" s="20"/>
      <c r="J120" s="20"/>
      <c r="K120" s="20"/>
      <c r="L120" s="64"/>
      <c r="M120" s="20"/>
      <c r="N120" s="23"/>
      <c r="O120" s="25"/>
      <c r="P120" s="23"/>
      <c r="Q120" s="20"/>
      <c r="R120" s="20"/>
      <c r="S120" s="20"/>
      <c r="T120" s="20"/>
      <c r="X120" s="47"/>
      <c r="Y120" s="47"/>
      <c r="Z120" s="47"/>
      <c r="AA120" s="47"/>
    </row>
    <row r="121" customFormat="false" ht="30" hidden="false" customHeight="true" outlineLevel="0" collapsed="false">
      <c r="B121" s="19"/>
      <c r="C121" s="38"/>
      <c r="D121" s="38"/>
      <c r="E121" s="23"/>
      <c r="F121" s="84"/>
      <c r="G121" s="24"/>
      <c r="H121" s="20"/>
      <c r="I121" s="20"/>
      <c r="J121" s="20"/>
      <c r="K121" s="20"/>
      <c r="L121" s="64"/>
      <c r="M121" s="20"/>
      <c r="N121" s="23"/>
      <c r="O121" s="25"/>
      <c r="P121" s="23"/>
      <c r="Q121" s="20"/>
      <c r="R121" s="20"/>
      <c r="S121" s="20"/>
      <c r="T121" s="20"/>
      <c r="X121" s="47"/>
      <c r="Y121" s="47"/>
      <c r="Z121" s="47"/>
      <c r="AA121" s="47"/>
    </row>
    <row r="122" customFormat="false" ht="30" hidden="false" customHeight="true" outlineLevel="0" collapsed="false">
      <c r="B122" s="19"/>
      <c r="C122" s="38"/>
      <c r="D122" s="38"/>
      <c r="E122" s="23"/>
      <c r="F122" s="84"/>
      <c r="G122" s="24"/>
      <c r="H122" s="20"/>
      <c r="I122" s="20"/>
      <c r="J122" s="20"/>
      <c r="K122" s="20"/>
      <c r="L122" s="64"/>
      <c r="M122" s="20"/>
      <c r="N122" s="23"/>
      <c r="O122" s="25"/>
      <c r="P122" s="23"/>
      <c r="Q122" s="20"/>
      <c r="R122" s="20"/>
      <c r="S122" s="20"/>
      <c r="T122" s="20"/>
      <c r="X122" s="47"/>
      <c r="Y122" s="47"/>
      <c r="Z122" s="47"/>
      <c r="AA122" s="47"/>
    </row>
    <row r="123" customFormat="false" ht="30" hidden="false" customHeight="true" outlineLevel="0" collapsed="false">
      <c r="B123" s="19"/>
      <c r="C123" s="38"/>
      <c r="D123" s="38"/>
      <c r="E123" s="23"/>
      <c r="F123" s="84"/>
      <c r="G123" s="24"/>
      <c r="H123" s="20"/>
      <c r="I123" s="20"/>
      <c r="J123" s="20"/>
      <c r="K123" s="20"/>
      <c r="L123" s="64"/>
      <c r="M123" s="20"/>
      <c r="N123" s="23"/>
      <c r="O123" s="25"/>
      <c r="P123" s="23"/>
      <c r="Q123" s="20"/>
      <c r="R123" s="20"/>
      <c r="S123" s="20"/>
      <c r="T123" s="20"/>
      <c r="X123" s="47"/>
      <c r="Y123" s="47"/>
      <c r="Z123" s="47"/>
      <c r="AA123" s="47"/>
    </row>
    <row r="124" customFormat="false" ht="30" hidden="false" customHeight="true" outlineLevel="0" collapsed="false">
      <c r="B124" s="19"/>
      <c r="C124" s="38"/>
      <c r="D124" s="38"/>
      <c r="E124" s="23"/>
      <c r="F124" s="84"/>
      <c r="G124" s="24"/>
      <c r="H124" s="20"/>
      <c r="I124" s="20"/>
      <c r="J124" s="20"/>
      <c r="K124" s="20"/>
      <c r="L124" s="64"/>
      <c r="M124" s="20"/>
      <c r="N124" s="23"/>
      <c r="O124" s="25"/>
      <c r="P124" s="23"/>
      <c r="Q124" s="20"/>
      <c r="R124" s="20"/>
      <c r="S124" s="20"/>
      <c r="T124" s="20"/>
      <c r="X124" s="47"/>
      <c r="Y124" s="47"/>
      <c r="Z124" s="47"/>
      <c r="AA124" s="47"/>
    </row>
    <row r="125" customFormat="false" ht="30" hidden="false" customHeight="true" outlineLevel="0" collapsed="false">
      <c r="B125" s="19"/>
      <c r="C125" s="38"/>
      <c r="D125" s="38"/>
      <c r="E125" s="23"/>
      <c r="F125" s="84"/>
      <c r="G125" s="24"/>
      <c r="H125" s="20"/>
      <c r="I125" s="20"/>
      <c r="J125" s="20"/>
      <c r="K125" s="20"/>
      <c r="L125" s="64"/>
      <c r="M125" s="20"/>
      <c r="N125" s="23"/>
      <c r="O125" s="25"/>
      <c r="P125" s="23"/>
      <c r="Q125" s="20"/>
      <c r="R125" s="20"/>
      <c r="S125" s="20"/>
      <c r="T125" s="20"/>
      <c r="X125" s="47"/>
      <c r="Y125" s="47"/>
      <c r="Z125" s="47"/>
      <c r="AA125" s="47"/>
    </row>
    <row r="126" customFormat="false" ht="30" hidden="false" customHeight="true" outlineLevel="0" collapsed="false">
      <c r="B126" s="19"/>
      <c r="C126" s="38"/>
      <c r="D126" s="38"/>
      <c r="E126" s="23"/>
      <c r="F126" s="84"/>
      <c r="G126" s="24"/>
      <c r="H126" s="20"/>
      <c r="I126" s="20"/>
      <c r="J126" s="20"/>
      <c r="K126" s="20"/>
      <c r="L126" s="64"/>
      <c r="M126" s="20"/>
      <c r="N126" s="23"/>
      <c r="O126" s="25"/>
      <c r="P126" s="23"/>
      <c r="Q126" s="20"/>
      <c r="R126" s="20"/>
      <c r="S126" s="20"/>
      <c r="T126" s="20"/>
      <c r="X126" s="47"/>
      <c r="Y126" s="47"/>
      <c r="Z126" s="47"/>
      <c r="AA126" s="47"/>
    </row>
    <row r="127" customFormat="false" ht="30" hidden="false" customHeight="true" outlineLevel="0" collapsed="false">
      <c r="B127" s="19"/>
      <c r="C127" s="38"/>
      <c r="D127" s="38"/>
      <c r="E127" s="23"/>
      <c r="F127" s="84"/>
      <c r="G127" s="24"/>
      <c r="H127" s="20"/>
      <c r="I127" s="20"/>
      <c r="J127" s="20"/>
      <c r="K127" s="20"/>
      <c r="L127" s="64"/>
      <c r="M127" s="20"/>
      <c r="N127" s="23"/>
      <c r="O127" s="25"/>
      <c r="P127" s="23"/>
      <c r="Q127" s="20"/>
      <c r="R127" s="20"/>
      <c r="S127" s="20"/>
      <c r="T127" s="20"/>
      <c r="X127" s="47"/>
      <c r="Y127" s="47"/>
      <c r="Z127" s="47"/>
      <c r="AA127" s="47"/>
    </row>
    <row r="128" customFormat="false" ht="30" hidden="false" customHeight="true" outlineLevel="0" collapsed="false">
      <c r="B128" s="19"/>
      <c r="C128" s="38"/>
      <c r="D128" s="38"/>
      <c r="E128" s="23"/>
      <c r="F128" s="84"/>
      <c r="G128" s="24"/>
      <c r="H128" s="20"/>
      <c r="I128" s="20"/>
      <c r="J128" s="20"/>
      <c r="K128" s="20"/>
      <c r="L128" s="64"/>
      <c r="M128" s="20"/>
      <c r="N128" s="23"/>
      <c r="O128" s="25"/>
      <c r="P128" s="23"/>
      <c r="Q128" s="20"/>
      <c r="R128" s="20"/>
      <c r="S128" s="20"/>
      <c r="T128" s="20"/>
      <c r="X128" s="47"/>
      <c r="Y128" s="47"/>
      <c r="Z128" s="47"/>
      <c r="AA128" s="47"/>
    </row>
    <row r="129" customFormat="false" ht="30" hidden="false" customHeight="true" outlineLevel="0" collapsed="false">
      <c r="B129" s="19"/>
      <c r="C129" s="38"/>
      <c r="D129" s="38"/>
      <c r="E129" s="23"/>
      <c r="F129" s="84"/>
      <c r="G129" s="24"/>
      <c r="H129" s="20"/>
      <c r="I129" s="20"/>
      <c r="J129" s="20"/>
      <c r="K129" s="20"/>
      <c r="L129" s="64"/>
      <c r="M129" s="20"/>
      <c r="N129" s="23"/>
      <c r="O129" s="25"/>
      <c r="P129" s="23"/>
      <c r="Q129" s="20"/>
      <c r="R129" s="20"/>
      <c r="S129" s="20"/>
      <c r="T129" s="20"/>
      <c r="X129" s="47"/>
      <c r="Y129" s="47"/>
      <c r="Z129" s="47"/>
      <c r="AA129" s="47"/>
    </row>
    <row r="130" customFormat="false" ht="30" hidden="false" customHeight="true" outlineLevel="0" collapsed="false">
      <c r="B130" s="19"/>
      <c r="C130" s="38"/>
      <c r="D130" s="38"/>
      <c r="E130" s="23"/>
      <c r="F130" s="84"/>
      <c r="G130" s="24"/>
      <c r="H130" s="20"/>
      <c r="I130" s="20"/>
      <c r="J130" s="20"/>
      <c r="K130" s="20"/>
      <c r="L130" s="64"/>
      <c r="M130" s="20"/>
      <c r="N130" s="23"/>
      <c r="O130" s="25"/>
      <c r="P130" s="23"/>
      <c r="Q130" s="20"/>
      <c r="R130" s="20"/>
      <c r="S130" s="20"/>
      <c r="T130" s="20"/>
      <c r="X130" s="47"/>
      <c r="Y130" s="47"/>
      <c r="Z130" s="47"/>
      <c r="AA130" s="47"/>
    </row>
    <row r="131" customFormat="false" ht="30" hidden="false" customHeight="true" outlineLevel="0" collapsed="false">
      <c r="B131" s="19"/>
      <c r="C131" s="38"/>
      <c r="D131" s="38"/>
      <c r="E131" s="23"/>
      <c r="F131" s="84"/>
      <c r="G131" s="24"/>
      <c r="H131" s="20"/>
      <c r="I131" s="20"/>
      <c r="J131" s="20"/>
      <c r="K131" s="20"/>
      <c r="L131" s="64"/>
      <c r="M131" s="20"/>
      <c r="N131" s="23"/>
      <c r="O131" s="25"/>
      <c r="P131" s="23"/>
      <c r="Q131" s="20"/>
      <c r="R131" s="20"/>
      <c r="S131" s="20"/>
      <c r="T131" s="20"/>
      <c r="X131" s="47"/>
      <c r="Y131" s="47"/>
      <c r="Z131" s="47"/>
      <c r="AA131" s="47"/>
    </row>
    <row r="132" customFormat="false" ht="30" hidden="false" customHeight="true" outlineLevel="0" collapsed="false">
      <c r="B132" s="19"/>
      <c r="C132" s="38"/>
      <c r="D132" s="38"/>
      <c r="E132" s="23"/>
      <c r="F132" s="84"/>
      <c r="G132" s="24"/>
      <c r="H132" s="20"/>
      <c r="I132" s="20"/>
      <c r="J132" s="20"/>
      <c r="K132" s="20"/>
      <c r="L132" s="64"/>
      <c r="M132" s="20"/>
      <c r="N132" s="23"/>
      <c r="O132" s="25"/>
      <c r="P132" s="23"/>
      <c r="Q132" s="20"/>
      <c r="R132" s="20"/>
      <c r="S132" s="20"/>
      <c r="T132" s="20"/>
      <c r="X132" s="47"/>
      <c r="Y132" s="47"/>
      <c r="Z132" s="47"/>
      <c r="AA132" s="47"/>
    </row>
    <row r="133" customFormat="false" ht="30" hidden="false" customHeight="true" outlineLevel="0" collapsed="false">
      <c r="B133" s="19"/>
      <c r="C133" s="38"/>
      <c r="D133" s="38"/>
      <c r="E133" s="23"/>
      <c r="F133" s="84"/>
      <c r="G133" s="24"/>
      <c r="H133" s="20"/>
      <c r="I133" s="20"/>
      <c r="J133" s="20"/>
      <c r="K133" s="20"/>
      <c r="L133" s="64"/>
      <c r="M133" s="20"/>
      <c r="N133" s="23"/>
      <c r="O133" s="25"/>
      <c r="P133" s="23"/>
      <c r="Q133" s="20"/>
      <c r="R133" s="20"/>
      <c r="S133" s="20"/>
      <c r="T133" s="20"/>
      <c r="X133" s="47"/>
      <c r="Y133" s="47"/>
      <c r="Z133" s="47"/>
      <c r="AA133" s="47"/>
    </row>
    <row r="134" customFormat="false" ht="30" hidden="false" customHeight="true" outlineLevel="0" collapsed="false">
      <c r="B134" s="19"/>
      <c r="C134" s="38"/>
      <c r="D134" s="38"/>
      <c r="E134" s="23"/>
      <c r="F134" s="84"/>
      <c r="G134" s="24"/>
      <c r="H134" s="20"/>
      <c r="I134" s="20"/>
      <c r="J134" s="20"/>
      <c r="K134" s="20"/>
      <c r="L134" s="64"/>
      <c r="M134" s="20"/>
      <c r="N134" s="23"/>
      <c r="O134" s="25"/>
      <c r="P134" s="23"/>
      <c r="Q134" s="20"/>
      <c r="R134" s="20"/>
      <c r="S134" s="20"/>
      <c r="T134" s="20"/>
      <c r="X134" s="47"/>
      <c r="Y134" s="47"/>
      <c r="Z134" s="47"/>
      <c r="AA134" s="47"/>
    </row>
    <row r="135" customFormat="false" ht="30" hidden="false" customHeight="true" outlineLevel="0" collapsed="false">
      <c r="B135" s="19"/>
      <c r="C135" s="38"/>
      <c r="D135" s="38"/>
      <c r="E135" s="23"/>
      <c r="F135" s="84"/>
      <c r="G135" s="24"/>
      <c r="H135" s="20"/>
      <c r="I135" s="20"/>
      <c r="J135" s="20"/>
      <c r="K135" s="20"/>
      <c r="L135" s="64"/>
      <c r="M135" s="20"/>
      <c r="N135" s="23"/>
      <c r="O135" s="25"/>
      <c r="P135" s="23"/>
      <c r="Q135" s="20"/>
      <c r="R135" s="20"/>
      <c r="S135" s="20"/>
      <c r="T135" s="20"/>
      <c r="X135" s="47"/>
      <c r="Y135" s="47"/>
      <c r="Z135" s="47"/>
      <c r="AA135" s="47"/>
    </row>
    <row r="136" customFormat="false" ht="30" hidden="false" customHeight="true" outlineLevel="0" collapsed="false">
      <c r="B136" s="19"/>
      <c r="C136" s="38"/>
      <c r="D136" s="38"/>
      <c r="E136" s="23"/>
      <c r="F136" s="84"/>
      <c r="G136" s="24"/>
      <c r="H136" s="20"/>
      <c r="I136" s="20"/>
      <c r="J136" s="20"/>
      <c r="K136" s="20"/>
      <c r="L136" s="64"/>
      <c r="M136" s="20"/>
      <c r="N136" s="23"/>
      <c r="O136" s="25"/>
      <c r="P136" s="23"/>
      <c r="Q136" s="20"/>
      <c r="R136" s="20"/>
      <c r="S136" s="20"/>
      <c r="T136" s="20"/>
      <c r="X136" s="47"/>
      <c r="Y136" s="47"/>
      <c r="Z136" s="47"/>
      <c r="AA136" s="47"/>
    </row>
    <row r="137" customFormat="false" ht="30" hidden="false" customHeight="true" outlineLevel="0" collapsed="false">
      <c r="B137" s="19"/>
      <c r="C137" s="38"/>
      <c r="D137" s="38"/>
      <c r="E137" s="23"/>
      <c r="F137" s="84"/>
      <c r="G137" s="24"/>
      <c r="H137" s="20"/>
      <c r="I137" s="20"/>
      <c r="J137" s="20"/>
      <c r="K137" s="20"/>
      <c r="L137" s="64"/>
      <c r="M137" s="20"/>
      <c r="N137" s="23"/>
      <c r="O137" s="25"/>
      <c r="P137" s="23"/>
      <c r="Q137" s="20"/>
      <c r="R137" s="20"/>
      <c r="S137" s="20"/>
      <c r="T137" s="20"/>
      <c r="X137" s="47"/>
      <c r="Y137" s="47"/>
      <c r="Z137" s="47"/>
      <c r="AA137" s="47"/>
    </row>
    <row r="138" customFormat="false" ht="30" hidden="false" customHeight="true" outlineLevel="0" collapsed="false">
      <c r="B138" s="19"/>
      <c r="C138" s="38"/>
      <c r="D138" s="38"/>
      <c r="E138" s="23"/>
      <c r="F138" s="84"/>
      <c r="G138" s="24"/>
      <c r="H138" s="20"/>
      <c r="I138" s="20"/>
      <c r="J138" s="20"/>
      <c r="K138" s="20"/>
      <c r="L138" s="64"/>
      <c r="M138" s="20"/>
      <c r="N138" s="23"/>
      <c r="O138" s="25"/>
      <c r="P138" s="23"/>
      <c r="Q138" s="20"/>
      <c r="R138" s="20"/>
      <c r="S138" s="20"/>
      <c r="T138" s="20"/>
      <c r="X138" s="47"/>
      <c r="Y138" s="47"/>
      <c r="Z138" s="47"/>
      <c r="AA138" s="47"/>
    </row>
    <row r="139" customFormat="false" ht="30" hidden="false" customHeight="true" outlineLevel="0" collapsed="false">
      <c r="B139" s="19"/>
      <c r="C139" s="38"/>
      <c r="D139" s="38"/>
      <c r="E139" s="23"/>
      <c r="F139" s="84"/>
      <c r="G139" s="24"/>
      <c r="H139" s="20"/>
      <c r="I139" s="20"/>
      <c r="J139" s="20"/>
      <c r="K139" s="20"/>
      <c r="L139" s="64"/>
      <c r="M139" s="20"/>
      <c r="N139" s="23"/>
      <c r="O139" s="25"/>
      <c r="P139" s="23"/>
      <c r="Q139" s="20"/>
      <c r="R139" s="20"/>
      <c r="S139" s="20"/>
      <c r="T139" s="20"/>
      <c r="X139" s="47"/>
      <c r="Y139" s="47"/>
      <c r="Z139" s="47"/>
      <c r="AA139" s="47"/>
    </row>
    <row r="140" customFormat="false" ht="30" hidden="false" customHeight="true" outlineLevel="0" collapsed="false">
      <c r="B140" s="19"/>
      <c r="C140" s="38"/>
      <c r="D140" s="38"/>
      <c r="E140" s="23"/>
      <c r="F140" s="84"/>
      <c r="G140" s="24"/>
      <c r="H140" s="20"/>
      <c r="I140" s="20"/>
      <c r="J140" s="20"/>
      <c r="K140" s="20"/>
      <c r="L140" s="64"/>
      <c r="M140" s="20"/>
      <c r="N140" s="23"/>
      <c r="O140" s="25"/>
      <c r="P140" s="23"/>
      <c r="Q140" s="20"/>
      <c r="R140" s="20"/>
      <c r="S140" s="20"/>
      <c r="T140" s="20"/>
      <c r="X140" s="47"/>
      <c r="Y140" s="47"/>
      <c r="Z140" s="47"/>
      <c r="AA140" s="47"/>
    </row>
    <row r="141" customFormat="false" ht="30" hidden="false" customHeight="true" outlineLevel="0" collapsed="false">
      <c r="B141" s="19"/>
      <c r="C141" s="38"/>
      <c r="D141" s="38"/>
      <c r="E141" s="23"/>
      <c r="F141" s="84"/>
      <c r="G141" s="24"/>
      <c r="H141" s="20"/>
      <c r="I141" s="20"/>
      <c r="J141" s="20"/>
      <c r="K141" s="20"/>
      <c r="L141" s="64"/>
      <c r="M141" s="20"/>
      <c r="N141" s="23"/>
      <c r="O141" s="25"/>
      <c r="P141" s="23"/>
      <c r="Q141" s="20"/>
      <c r="R141" s="20"/>
      <c r="S141" s="20"/>
      <c r="T141" s="20"/>
      <c r="X141" s="47"/>
      <c r="Y141" s="47"/>
      <c r="Z141" s="47"/>
      <c r="AA141" s="47"/>
    </row>
    <row r="142" customFormat="false" ht="30" hidden="false" customHeight="true" outlineLevel="0" collapsed="false">
      <c r="B142" s="19"/>
      <c r="C142" s="38"/>
      <c r="D142" s="38"/>
      <c r="E142" s="23"/>
      <c r="F142" s="84"/>
      <c r="G142" s="24"/>
      <c r="H142" s="20"/>
      <c r="I142" s="20"/>
      <c r="J142" s="20"/>
      <c r="K142" s="20"/>
      <c r="L142" s="64"/>
      <c r="M142" s="20"/>
      <c r="N142" s="23"/>
      <c r="O142" s="25"/>
      <c r="P142" s="23"/>
      <c r="Q142" s="20"/>
      <c r="R142" s="20"/>
      <c r="S142" s="20"/>
      <c r="T142" s="20"/>
      <c r="X142" s="47"/>
      <c r="Y142" s="47"/>
      <c r="Z142" s="47"/>
      <c r="AA142" s="47"/>
    </row>
    <row r="143" customFormat="false" ht="30" hidden="false" customHeight="true" outlineLevel="0" collapsed="false">
      <c r="B143" s="19"/>
      <c r="C143" s="38"/>
      <c r="D143" s="38"/>
      <c r="E143" s="23"/>
      <c r="F143" s="84"/>
      <c r="G143" s="24"/>
      <c r="H143" s="20"/>
      <c r="I143" s="20"/>
      <c r="J143" s="20"/>
      <c r="K143" s="20"/>
      <c r="L143" s="64"/>
      <c r="M143" s="20"/>
      <c r="N143" s="23"/>
      <c r="O143" s="25"/>
      <c r="P143" s="23"/>
      <c r="Q143" s="20"/>
      <c r="R143" s="20"/>
      <c r="S143" s="20"/>
      <c r="T143" s="20"/>
      <c r="X143" s="47"/>
      <c r="Y143" s="47"/>
      <c r="Z143" s="47"/>
      <c r="AA143" s="47"/>
    </row>
    <row r="144" customFormat="false" ht="30" hidden="false" customHeight="true" outlineLevel="0" collapsed="false">
      <c r="B144" s="19"/>
      <c r="C144" s="38"/>
      <c r="D144" s="38"/>
      <c r="E144" s="23"/>
      <c r="F144" s="84"/>
      <c r="G144" s="24"/>
      <c r="H144" s="20"/>
      <c r="I144" s="20"/>
      <c r="J144" s="20"/>
      <c r="K144" s="20"/>
      <c r="L144" s="64"/>
      <c r="M144" s="20"/>
      <c r="N144" s="23"/>
      <c r="O144" s="25"/>
      <c r="P144" s="23"/>
      <c r="Q144" s="20"/>
      <c r="R144" s="20"/>
      <c r="S144" s="20"/>
      <c r="T144" s="20"/>
      <c r="X144" s="47"/>
      <c r="Y144" s="47"/>
      <c r="Z144" s="47"/>
      <c r="AA144" s="47"/>
    </row>
    <row r="145" customFormat="false" ht="30" hidden="false" customHeight="true" outlineLevel="0" collapsed="false">
      <c r="B145" s="19"/>
      <c r="C145" s="38"/>
      <c r="D145" s="38"/>
      <c r="E145" s="23"/>
      <c r="F145" s="84"/>
      <c r="G145" s="24"/>
      <c r="H145" s="20"/>
      <c r="I145" s="20"/>
      <c r="J145" s="20"/>
      <c r="K145" s="20"/>
      <c r="L145" s="64"/>
      <c r="M145" s="20"/>
      <c r="N145" s="23"/>
      <c r="O145" s="25"/>
      <c r="P145" s="23"/>
      <c r="Q145" s="20"/>
      <c r="R145" s="20"/>
      <c r="S145" s="20"/>
      <c r="T145" s="20"/>
      <c r="X145" s="47"/>
      <c r="Y145" s="47"/>
      <c r="Z145" s="47"/>
      <c r="AA145" s="47"/>
    </row>
    <row r="146" customFormat="false" ht="30" hidden="false" customHeight="true" outlineLevel="0" collapsed="false">
      <c r="B146" s="19"/>
      <c r="C146" s="38"/>
      <c r="D146" s="38"/>
      <c r="E146" s="23"/>
      <c r="F146" s="84"/>
      <c r="G146" s="24"/>
      <c r="H146" s="20"/>
      <c r="I146" s="20"/>
      <c r="J146" s="20"/>
      <c r="K146" s="20"/>
      <c r="L146" s="64"/>
      <c r="M146" s="20"/>
      <c r="N146" s="23"/>
      <c r="O146" s="25"/>
      <c r="P146" s="23"/>
      <c r="Q146" s="20"/>
      <c r="R146" s="20"/>
      <c r="S146" s="20"/>
      <c r="T146" s="20"/>
      <c r="X146" s="47"/>
      <c r="Y146" s="47"/>
      <c r="Z146" s="47"/>
      <c r="AA146" s="47"/>
    </row>
    <row r="147" customFormat="false" ht="30" hidden="false" customHeight="true" outlineLevel="0" collapsed="false">
      <c r="B147" s="19"/>
      <c r="C147" s="38"/>
      <c r="D147" s="38"/>
      <c r="E147" s="23"/>
      <c r="F147" s="84"/>
      <c r="G147" s="24"/>
      <c r="H147" s="20"/>
      <c r="I147" s="20"/>
      <c r="J147" s="20"/>
      <c r="K147" s="20"/>
      <c r="L147" s="64"/>
      <c r="M147" s="20"/>
      <c r="N147" s="23"/>
      <c r="O147" s="25"/>
      <c r="P147" s="23"/>
      <c r="Q147" s="20"/>
      <c r="R147" s="20"/>
      <c r="S147" s="20"/>
      <c r="T147" s="20"/>
      <c r="X147" s="47"/>
      <c r="Y147" s="47"/>
      <c r="Z147" s="47"/>
      <c r="AA147" s="47"/>
    </row>
    <row r="148" customFormat="false" ht="30" hidden="false" customHeight="true" outlineLevel="0" collapsed="false">
      <c r="B148" s="19"/>
      <c r="C148" s="38"/>
      <c r="D148" s="38"/>
      <c r="E148" s="23"/>
      <c r="F148" s="84"/>
      <c r="G148" s="24"/>
      <c r="H148" s="20"/>
      <c r="I148" s="20"/>
      <c r="J148" s="20"/>
      <c r="K148" s="20"/>
      <c r="L148" s="64"/>
      <c r="M148" s="20"/>
      <c r="N148" s="23"/>
      <c r="O148" s="25"/>
      <c r="P148" s="23"/>
      <c r="Q148" s="20"/>
      <c r="R148" s="20"/>
      <c r="S148" s="20"/>
      <c r="T148" s="20"/>
      <c r="X148" s="47"/>
      <c r="Y148" s="47"/>
      <c r="Z148" s="47"/>
      <c r="AA148" s="47"/>
    </row>
    <row r="149" customFormat="false" ht="30" hidden="false" customHeight="true" outlineLevel="0" collapsed="false">
      <c r="B149" s="19"/>
      <c r="C149" s="38"/>
      <c r="D149" s="38"/>
      <c r="E149" s="23"/>
      <c r="F149" s="84"/>
      <c r="G149" s="24"/>
      <c r="H149" s="20"/>
      <c r="I149" s="20"/>
      <c r="J149" s="20"/>
      <c r="K149" s="20"/>
      <c r="L149" s="64"/>
      <c r="M149" s="20"/>
      <c r="N149" s="23"/>
      <c r="O149" s="25"/>
      <c r="P149" s="23"/>
      <c r="Q149" s="20"/>
      <c r="R149" s="20"/>
      <c r="S149" s="20"/>
      <c r="T149" s="20"/>
      <c r="X149" s="47"/>
      <c r="Y149" s="47"/>
      <c r="Z149" s="47"/>
      <c r="AA149" s="47"/>
    </row>
    <row r="150" customFormat="false" ht="30" hidden="false" customHeight="true" outlineLevel="0" collapsed="false">
      <c r="B150" s="19"/>
      <c r="C150" s="38"/>
      <c r="D150" s="38"/>
      <c r="E150" s="23"/>
      <c r="F150" s="84"/>
      <c r="G150" s="24"/>
      <c r="H150" s="20"/>
      <c r="I150" s="20"/>
      <c r="J150" s="20"/>
      <c r="K150" s="20"/>
      <c r="L150" s="64"/>
      <c r="M150" s="20"/>
      <c r="N150" s="23"/>
      <c r="O150" s="25"/>
      <c r="P150" s="23"/>
      <c r="Q150" s="20"/>
      <c r="R150" s="20"/>
      <c r="S150" s="20"/>
      <c r="T150" s="20"/>
      <c r="X150" s="47"/>
      <c r="Y150" s="47"/>
      <c r="Z150" s="47"/>
      <c r="AA150" s="47"/>
    </row>
    <row r="151" customFormat="false" ht="30" hidden="false" customHeight="true" outlineLevel="0" collapsed="false">
      <c r="B151" s="19"/>
      <c r="C151" s="38"/>
      <c r="D151" s="38"/>
      <c r="E151" s="23"/>
      <c r="F151" s="84"/>
      <c r="G151" s="24"/>
      <c r="H151" s="20"/>
      <c r="I151" s="20"/>
      <c r="J151" s="20"/>
      <c r="K151" s="20"/>
      <c r="L151" s="64"/>
      <c r="M151" s="20"/>
      <c r="N151" s="23"/>
      <c r="O151" s="25"/>
      <c r="P151" s="23"/>
      <c r="Q151" s="20"/>
      <c r="R151" s="20"/>
      <c r="S151" s="20"/>
      <c r="T151" s="20"/>
      <c r="X151" s="47"/>
      <c r="Y151" s="47"/>
      <c r="Z151" s="47"/>
      <c r="AA151" s="47"/>
    </row>
    <row r="152" customFormat="false" ht="30" hidden="false" customHeight="true" outlineLevel="0" collapsed="false">
      <c r="B152" s="19"/>
      <c r="C152" s="38"/>
      <c r="D152" s="38"/>
      <c r="E152" s="23"/>
      <c r="F152" s="84"/>
      <c r="G152" s="24"/>
      <c r="H152" s="20"/>
      <c r="I152" s="20"/>
      <c r="J152" s="20"/>
      <c r="K152" s="20"/>
      <c r="L152" s="64"/>
      <c r="M152" s="20"/>
      <c r="N152" s="23"/>
      <c r="O152" s="25"/>
      <c r="P152" s="23"/>
      <c r="Q152" s="20"/>
      <c r="R152" s="20"/>
      <c r="S152" s="20"/>
      <c r="T152" s="20"/>
      <c r="X152" s="47"/>
      <c r="Y152" s="47"/>
      <c r="Z152" s="47"/>
      <c r="AA152" s="47"/>
    </row>
    <row r="153" customFormat="false" ht="30" hidden="false" customHeight="true" outlineLevel="0" collapsed="false">
      <c r="B153" s="19"/>
      <c r="C153" s="38"/>
      <c r="D153" s="38"/>
      <c r="E153" s="23"/>
      <c r="F153" s="84"/>
      <c r="G153" s="24"/>
      <c r="H153" s="20"/>
      <c r="I153" s="20"/>
      <c r="J153" s="20"/>
      <c r="K153" s="20"/>
      <c r="L153" s="64"/>
      <c r="M153" s="20"/>
      <c r="N153" s="23"/>
      <c r="O153" s="25"/>
      <c r="P153" s="23"/>
      <c r="Q153" s="20"/>
      <c r="R153" s="20"/>
      <c r="S153" s="20"/>
      <c r="T153" s="20"/>
      <c r="X153" s="47"/>
      <c r="Y153" s="47"/>
      <c r="Z153" s="47"/>
      <c r="AA153" s="47"/>
    </row>
    <row r="154" customFormat="false" ht="30" hidden="false" customHeight="true" outlineLevel="0" collapsed="false">
      <c r="B154" s="19"/>
      <c r="C154" s="38"/>
      <c r="D154" s="38"/>
      <c r="E154" s="23"/>
      <c r="F154" s="84"/>
      <c r="G154" s="24"/>
      <c r="H154" s="20"/>
      <c r="I154" s="20"/>
      <c r="J154" s="20"/>
      <c r="K154" s="20"/>
      <c r="L154" s="64"/>
      <c r="M154" s="20"/>
      <c r="N154" s="23"/>
      <c r="O154" s="25"/>
      <c r="P154" s="23"/>
      <c r="Q154" s="20"/>
      <c r="R154" s="20"/>
      <c r="S154" s="20"/>
      <c r="T154" s="20"/>
      <c r="X154" s="47"/>
      <c r="Y154" s="47"/>
      <c r="Z154" s="47"/>
      <c r="AA154" s="47"/>
    </row>
    <row r="155" customFormat="false" ht="30" hidden="false" customHeight="true" outlineLevel="0" collapsed="false">
      <c r="B155" s="19"/>
      <c r="C155" s="38"/>
      <c r="D155" s="38"/>
      <c r="E155" s="23"/>
      <c r="F155" s="84"/>
      <c r="G155" s="24"/>
      <c r="H155" s="20"/>
      <c r="I155" s="20"/>
      <c r="J155" s="20"/>
      <c r="K155" s="20"/>
      <c r="L155" s="64"/>
      <c r="M155" s="20"/>
      <c r="N155" s="23"/>
      <c r="O155" s="25"/>
      <c r="P155" s="23"/>
      <c r="Q155" s="20"/>
      <c r="R155" s="20"/>
      <c r="S155" s="20"/>
      <c r="T155" s="20"/>
      <c r="X155" s="47"/>
      <c r="Y155" s="47"/>
      <c r="Z155" s="47"/>
      <c r="AA155" s="47"/>
    </row>
    <row r="156" customFormat="false" ht="30" hidden="false" customHeight="true" outlineLevel="0" collapsed="false">
      <c r="B156" s="19"/>
      <c r="C156" s="38"/>
      <c r="D156" s="38"/>
      <c r="E156" s="23"/>
      <c r="F156" s="84"/>
      <c r="G156" s="24"/>
      <c r="H156" s="20"/>
      <c r="I156" s="20"/>
      <c r="J156" s="20"/>
      <c r="K156" s="20"/>
      <c r="L156" s="64"/>
      <c r="M156" s="20"/>
      <c r="N156" s="23"/>
      <c r="O156" s="25"/>
      <c r="P156" s="23"/>
      <c r="Q156" s="20"/>
      <c r="R156" s="20"/>
      <c r="S156" s="20"/>
      <c r="T156" s="20"/>
      <c r="X156" s="47"/>
      <c r="Y156" s="47"/>
      <c r="Z156" s="47"/>
      <c r="AA156" s="47"/>
    </row>
    <row r="157" customFormat="false" ht="30" hidden="false" customHeight="true" outlineLevel="0" collapsed="false">
      <c r="B157" s="19"/>
      <c r="C157" s="38"/>
      <c r="D157" s="38"/>
      <c r="E157" s="23"/>
      <c r="F157" s="84"/>
      <c r="G157" s="24"/>
      <c r="H157" s="20"/>
      <c r="I157" s="20"/>
      <c r="J157" s="20"/>
      <c r="K157" s="20"/>
      <c r="L157" s="64"/>
      <c r="M157" s="20"/>
      <c r="N157" s="23"/>
      <c r="O157" s="25"/>
      <c r="P157" s="23"/>
      <c r="Q157" s="20"/>
      <c r="R157" s="20"/>
      <c r="S157" s="20"/>
      <c r="T157" s="20"/>
      <c r="X157" s="47"/>
      <c r="Y157" s="47"/>
      <c r="Z157" s="47"/>
      <c r="AA157" s="47"/>
    </row>
    <row r="158" customFormat="false" ht="30" hidden="false" customHeight="true" outlineLevel="0" collapsed="false">
      <c r="B158" s="19"/>
      <c r="C158" s="38"/>
      <c r="D158" s="38"/>
      <c r="E158" s="23"/>
      <c r="F158" s="84"/>
      <c r="G158" s="24"/>
      <c r="H158" s="20"/>
      <c r="I158" s="20"/>
      <c r="J158" s="20"/>
      <c r="K158" s="20"/>
      <c r="L158" s="64"/>
      <c r="M158" s="20"/>
      <c r="N158" s="23"/>
      <c r="O158" s="25"/>
      <c r="P158" s="23"/>
      <c r="Q158" s="20"/>
      <c r="R158" s="20"/>
      <c r="S158" s="20"/>
      <c r="T158" s="20"/>
      <c r="X158" s="47"/>
      <c r="Y158" s="47"/>
      <c r="Z158" s="47"/>
      <c r="AA158" s="47"/>
    </row>
    <row r="159" customFormat="false" ht="30" hidden="false" customHeight="true" outlineLevel="0" collapsed="false">
      <c r="B159" s="19"/>
      <c r="C159" s="38"/>
      <c r="D159" s="38"/>
      <c r="E159" s="23"/>
      <c r="F159" s="84"/>
      <c r="G159" s="24"/>
      <c r="H159" s="20"/>
      <c r="I159" s="20"/>
      <c r="J159" s="20"/>
      <c r="K159" s="20"/>
      <c r="L159" s="64"/>
      <c r="M159" s="20"/>
      <c r="N159" s="23"/>
      <c r="O159" s="25"/>
      <c r="P159" s="23"/>
      <c r="Q159" s="20"/>
      <c r="R159" s="20"/>
      <c r="S159" s="20"/>
      <c r="T159" s="20"/>
      <c r="X159" s="47"/>
      <c r="Y159" s="47"/>
      <c r="Z159" s="47"/>
      <c r="AA159" s="47"/>
    </row>
    <row r="160" customFormat="false" ht="30" hidden="false" customHeight="true" outlineLevel="0" collapsed="false">
      <c r="B160" s="19"/>
      <c r="C160" s="38"/>
      <c r="D160" s="38"/>
      <c r="E160" s="23"/>
      <c r="F160" s="84"/>
      <c r="G160" s="24"/>
      <c r="H160" s="20"/>
      <c r="I160" s="20"/>
      <c r="J160" s="20"/>
      <c r="K160" s="20"/>
      <c r="L160" s="64"/>
      <c r="M160" s="20"/>
      <c r="N160" s="23"/>
      <c r="O160" s="25"/>
      <c r="P160" s="23"/>
      <c r="Q160" s="20"/>
      <c r="R160" s="20"/>
      <c r="S160" s="20"/>
      <c r="T160" s="20"/>
      <c r="X160" s="47"/>
      <c r="Y160" s="47"/>
      <c r="Z160" s="47"/>
      <c r="AA160" s="47"/>
    </row>
    <row r="161" customFormat="false" ht="30" hidden="false" customHeight="true" outlineLevel="0" collapsed="false">
      <c r="B161" s="19"/>
      <c r="C161" s="38"/>
      <c r="D161" s="38"/>
      <c r="E161" s="23"/>
      <c r="F161" s="84"/>
      <c r="G161" s="24"/>
      <c r="H161" s="20"/>
      <c r="I161" s="20"/>
      <c r="J161" s="20"/>
      <c r="K161" s="20"/>
      <c r="L161" s="64"/>
      <c r="M161" s="20"/>
      <c r="N161" s="23"/>
      <c r="O161" s="25"/>
      <c r="P161" s="23"/>
      <c r="Q161" s="20"/>
      <c r="R161" s="20"/>
      <c r="S161" s="20"/>
      <c r="T161" s="20"/>
      <c r="X161" s="47"/>
      <c r="Y161" s="47"/>
      <c r="Z161" s="47"/>
      <c r="AA161" s="47"/>
    </row>
    <row r="162" customFormat="false" ht="30" hidden="false" customHeight="true" outlineLevel="0" collapsed="false">
      <c r="B162" s="19"/>
      <c r="C162" s="38"/>
      <c r="D162" s="38"/>
      <c r="E162" s="23"/>
      <c r="F162" s="84"/>
      <c r="G162" s="24"/>
      <c r="H162" s="20"/>
      <c r="I162" s="20"/>
      <c r="J162" s="20"/>
      <c r="K162" s="20"/>
      <c r="L162" s="64"/>
      <c r="M162" s="20"/>
      <c r="N162" s="23"/>
      <c r="O162" s="25"/>
      <c r="P162" s="23"/>
      <c r="Q162" s="20"/>
      <c r="R162" s="20"/>
      <c r="S162" s="20"/>
      <c r="T162" s="20"/>
      <c r="X162" s="47"/>
      <c r="Y162" s="47"/>
      <c r="Z162" s="47"/>
      <c r="AA162" s="47"/>
    </row>
    <row r="163" customFormat="false" ht="30" hidden="false" customHeight="true" outlineLevel="0" collapsed="false">
      <c r="B163" s="19"/>
      <c r="C163" s="38"/>
      <c r="D163" s="38"/>
      <c r="E163" s="23"/>
      <c r="F163" s="84"/>
      <c r="G163" s="24"/>
      <c r="H163" s="20"/>
      <c r="I163" s="20"/>
      <c r="J163" s="20"/>
      <c r="K163" s="20"/>
      <c r="L163" s="64"/>
      <c r="M163" s="20"/>
      <c r="N163" s="23"/>
      <c r="O163" s="25"/>
      <c r="P163" s="23"/>
      <c r="Q163" s="20"/>
      <c r="R163" s="20"/>
      <c r="S163" s="20"/>
      <c r="T163" s="20"/>
      <c r="X163" s="47"/>
      <c r="Y163" s="47"/>
      <c r="Z163" s="47"/>
      <c r="AA163" s="47"/>
    </row>
    <row r="164" customFormat="false" ht="30" hidden="false" customHeight="true" outlineLevel="0" collapsed="false">
      <c r="B164" s="19"/>
      <c r="C164" s="38"/>
      <c r="D164" s="38"/>
      <c r="E164" s="23"/>
      <c r="F164" s="84"/>
      <c r="G164" s="24"/>
      <c r="H164" s="20"/>
      <c r="I164" s="20"/>
      <c r="J164" s="20"/>
      <c r="K164" s="20"/>
      <c r="L164" s="64"/>
      <c r="M164" s="20"/>
      <c r="N164" s="23"/>
      <c r="O164" s="25"/>
      <c r="P164" s="23"/>
      <c r="Q164" s="20"/>
      <c r="R164" s="20"/>
      <c r="S164" s="20"/>
      <c r="T164" s="20"/>
      <c r="X164" s="47"/>
      <c r="Y164" s="47"/>
      <c r="Z164" s="47"/>
      <c r="AA164" s="47"/>
    </row>
    <row r="165" customFormat="false" ht="30" hidden="false" customHeight="true" outlineLevel="0" collapsed="false">
      <c r="B165" s="19"/>
      <c r="C165" s="38"/>
      <c r="D165" s="38"/>
      <c r="E165" s="23"/>
      <c r="F165" s="84"/>
      <c r="G165" s="24"/>
      <c r="H165" s="20"/>
      <c r="I165" s="20"/>
      <c r="J165" s="20"/>
      <c r="K165" s="20"/>
      <c r="L165" s="64"/>
      <c r="M165" s="20"/>
      <c r="N165" s="23"/>
      <c r="O165" s="25"/>
      <c r="P165" s="23"/>
      <c r="Q165" s="20"/>
      <c r="R165" s="20"/>
      <c r="S165" s="20"/>
      <c r="T165" s="20"/>
      <c r="X165" s="47"/>
      <c r="Y165" s="47"/>
      <c r="Z165" s="47"/>
      <c r="AA165" s="47"/>
    </row>
    <row r="166" customFormat="false" ht="30" hidden="false" customHeight="true" outlineLevel="0" collapsed="false">
      <c r="B166" s="19"/>
      <c r="C166" s="38"/>
      <c r="D166" s="38"/>
      <c r="E166" s="23"/>
      <c r="F166" s="84"/>
      <c r="G166" s="24"/>
      <c r="H166" s="20"/>
      <c r="I166" s="20"/>
      <c r="J166" s="20"/>
      <c r="K166" s="20"/>
      <c r="L166" s="64"/>
      <c r="M166" s="20"/>
      <c r="N166" s="23"/>
      <c r="O166" s="25"/>
      <c r="P166" s="23"/>
      <c r="Q166" s="20"/>
      <c r="R166" s="20"/>
      <c r="S166" s="20"/>
      <c r="T166" s="20"/>
      <c r="X166" s="47"/>
      <c r="Y166" s="47"/>
      <c r="Z166" s="47"/>
      <c r="AA166" s="47"/>
    </row>
    <row r="167" customFormat="false" ht="30" hidden="false" customHeight="true" outlineLevel="0" collapsed="false">
      <c r="B167" s="19"/>
      <c r="C167" s="38"/>
      <c r="D167" s="38"/>
      <c r="E167" s="23"/>
      <c r="F167" s="84"/>
      <c r="G167" s="24"/>
      <c r="H167" s="20"/>
      <c r="I167" s="20"/>
      <c r="J167" s="20"/>
      <c r="K167" s="20"/>
      <c r="L167" s="64"/>
      <c r="M167" s="20"/>
      <c r="N167" s="23"/>
      <c r="O167" s="25"/>
      <c r="P167" s="23"/>
      <c r="Q167" s="20"/>
      <c r="R167" s="20"/>
      <c r="S167" s="20"/>
      <c r="T167" s="20"/>
      <c r="X167" s="47"/>
      <c r="Y167" s="47"/>
      <c r="Z167" s="47"/>
      <c r="AA167" s="47"/>
    </row>
    <row r="168" customFormat="false" ht="30" hidden="false" customHeight="true" outlineLevel="0" collapsed="false">
      <c r="B168" s="19"/>
      <c r="C168" s="38"/>
      <c r="D168" s="38"/>
      <c r="E168" s="23"/>
      <c r="F168" s="84"/>
      <c r="G168" s="24"/>
      <c r="H168" s="20"/>
      <c r="I168" s="20"/>
      <c r="J168" s="20"/>
      <c r="K168" s="20"/>
      <c r="L168" s="64"/>
      <c r="M168" s="20"/>
      <c r="N168" s="23"/>
      <c r="O168" s="25"/>
      <c r="P168" s="23"/>
      <c r="Q168" s="20"/>
      <c r="R168" s="20"/>
      <c r="S168" s="20"/>
      <c r="T168" s="20"/>
      <c r="X168" s="47"/>
      <c r="Y168" s="47"/>
      <c r="Z168" s="47"/>
      <c r="AA168" s="47"/>
    </row>
    <row r="169" customFormat="false" ht="30" hidden="false" customHeight="true" outlineLevel="0" collapsed="false">
      <c r="B169" s="19"/>
      <c r="C169" s="38"/>
      <c r="D169" s="38"/>
      <c r="E169" s="23"/>
      <c r="F169" s="84"/>
      <c r="G169" s="24"/>
      <c r="H169" s="20"/>
      <c r="I169" s="20"/>
      <c r="J169" s="20"/>
      <c r="K169" s="20"/>
      <c r="L169" s="64"/>
      <c r="M169" s="20"/>
      <c r="N169" s="23"/>
      <c r="O169" s="25"/>
      <c r="P169" s="23"/>
      <c r="Q169" s="20"/>
      <c r="R169" s="20"/>
      <c r="S169" s="20"/>
      <c r="T169" s="20"/>
      <c r="X169" s="47"/>
      <c r="Y169" s="47"/>
      <c r="Z169" s="47"/>
      <c r="AA169" s="47"/>
    </row>
    <row r="170" customFormat="false" ht="30" hidden="false" customHeight="true" outlineLevel="0" collapsed="false">
      <c r="B170" s="19"/>
      <c r="C170" s="38"/>
      <c r="D170" s="38"/>
      <c r="E170" s="23"/>
      <c r="F170" s="84"/>
      <c r="G170" s="24"/>
      <c r="H170" s="20"/>
      <c r="I170" s="20"/>
      <c r="J170" s="20"/>
      <c r="K170" s="20"/>
      <c r="L170" s="64"/>
      <c r="M170" s="20"/>
      <c r="N170" s="23"/>
      <c r="O170" s="25"/>
      <c r="P170" s="23"/>
      <c r="Q170" s="20"/>
      <c r="R170" s="20"/>
      <c r="S170" s="20"/>
      <c r="T170" s="20"/>
      <c r="X170" s="47"/>
      <c r="Y170" s="47"/>
      <c r="Z170" s="47"/>
      <c r="AA170" s="47"/>
    </row>
    <row r="171" customFormat="false" ht="30" hidden="false" customHeight="true" outlineLevel="0" collapsed="false">
      <c r="B171" s="19"/>
      <c r="C171" s="38"/>
      <c r="D171" s="38"/>
      <c r="E171" s="23"/>
      <c r="F171" s="84"/>
      <c r="G171" s="24"/>
      <c r="H171" s="20"/>
      <c r="I171" s="20"/>
      <c r="J171" s="20"/>
      <c r="K171" s="20"/>
      <c r="L171" s="64"/>
      <c r="M171" s="20"/>
      <c r="N171" s="23"/>
      <c r="O171" s="25"/>
      <c r="P171" s="23"/>
      <c r="Q171" s="20"/>
      <c r="R171" s="20"/>
      <c r="S171" s="20"/>
      <c r="T171" s="20"/>
      <c r="X171" s="47"/>
      <c r="Y171" s="47"/>
      <c r="Z171" s="47"/>
      <c r="AA171" s="47"/>
    </row>
    <row r="172" customFormat="false" ht="30" hidden="false" customHeight="true" outlineLevel="0" collapsed="false">
      <c r="B172" s="19"/>
      <c r="C172" s="38"/>
      <c r="D172" s="38"/>
      <c r="E172" s="23"/>
      <c r="F172" s="84"/>
      <c r="G172" s="24"/>
      <c r="H172" s="20"/>
      <c r="I172" s="20"/>
      <c r="J172" s="20"/>
      <c r="K172" s="20"/>
      <c r="L172" s="64"/>
      <c r="M172" s="20"/>
      <c r="N172" s="23"/>
      <c r="O172" s="25"/>
      <c r="P172" s="23"/>
      <c r="Q172" s="20"/>
      <c r="R172" s="20"/>
      <c r="S172" s="20"/>
      <c r="T172" s="20"/>
      <c r="X172" s="47"/>
      <c r="Y172" s="47"/>
      <c r="Z172" s="47"/>
      <c r="AA172" s="47"/>
    </row>
    <row r="173" customFormat="false" ht="30" hidden="false" customHeight="true" outlineLevel="0" collapsed="false">
      <c r="B173" s="19"/>
      <c r="C173" s="38"/>
      <c r="D173" s="38"/>
      <c r="E173" s="23"/>
      <c r="F173" s="84"/>
      <c r="G173" s="24"/>
      <c r="H173" s="20"/>
      <c r="I173" s="20"/>
      <c r="J173" s="20"/>
      <c r="K173" s="20"/>
      <c r="L173" s="64"/>
      <c r="M173" s="20"/>
      <c r="N173" s="23"/>
      <c r="O173" s="25"/>
      <c r="P173" s="23"/>
      <c r="Q173" s="20"/>
      <c r="R173" s="20"/>
      <c r="S173" s="20"/>
      <c r="T173" s="20"/>
      <c r="X173" s="47"/>
      <c r="Y173" s="47"/>
      <c r="Z173" s="47"/>
      <c r="AA173" s="47"/>
    </row>
    <row r="174" customFormat="false" ht="30" hidden="false" customHeight="true" outlineLevel="0" collapsed="false">
      <c r="B174" s="19"/>
      <c r="C174" s="38"/>
      <c r="D174" s="38"/>
      <c r="E174" s="23"/>
      <c r="F174" s="84"/>
      <c r="G174" s="24"/>
      <c r="H174" s="20"/>
      <c r="I174" s="20"/>
      <c r="J174" s="20"/>
      <c r="K174" s="20"/>
      <c r="L174" s="64"/>
      <c r="M174" s="20"/>
      <c r="N174" s="23"/>
      <c r="O174" s="25"/>
      <c r="P174" s="23"/>
      <c r="Q174" s="20"/>
      <c r="R174" s="20"/>
      <c r="S174" s="20"/>
      <c r="T174" s="20"/>
      <c r="X174" s="47"/>
      <c r="Y174" s="47"/>
      <c r="Z174" s="47"/>
      <c r="AA174" s="47"/>
    </row>
    <row r="175" customFormat="false" ht="30" hidden="false" customHeight="true" outlineLevel="0" collapsed="false">
      <c r="B175" s="19"/>
      <c r="C175" s="38"/>
      <c r="D175" s="38"/>
      <c r="E175" s="23"/>
      <c r="F175" s="84"/>
      <c r="G175" s="24"/>
      <c r="H175" s="20"/>
      <c r="I175" s="20"/>
      <c r="J175" s="20"/>
      <c r="K175" s="20"/>
      <c r="L175" s="64"/>
      <c r="M175" s="20"/>
      <c r="N175" s="23"/>
      <c r="O175" s="25"/>
      <c r="P175" s="23"/>
      <c r="Q175" s="20"/>
      <c r="R175" s="20"/>
      <c r="S175" s="20"/>
      <c r="T175" s="20"/>
      <c r="X175" s="47"/>
      <c r="Y175" s="47"/>
      <c r="Z175" s="47"/>
      <c r="AA175" s="47"/>
    </row>
    <row r="176" customFormat="false" ht="30" hidden="false" customHeight="true" outlineLevel="0" collapsed="false">
      <c r="B176" s="19"/>
      <c r="C176" s="38"/>
      <c r="D176" s="38"/>
      <c r="E176" s="23"/>
      <c r="F176" s="84"/>
      <c r="G176" s="24"/>
      <c r="H176" s="20"/>
      <c r="I176" s="20"/>
      <c r="J176" s="20"/>
      <c r="K176" s="20"/>
      <c r="L176" s="64"/>
      <c r="M176" s="20"/>
      <c r="N176" s="23"/>
      <c r="O176" s="25"/>
      <c r="P176" s="23"/>
      <c r="Q176" s="20"/>
      <c r="R176" s="20"/>
      <c r="S176" s="20"/>
      <c r="T176" s="20"/>
      <c r="X176" s="47"/>
      <c r="Y176" s="47"/>
      <c r="Z176" s="47"/>
      <c r="AA176" s="47"/>
    </row>
    <row r="177" customFormat="false" ht="30" hidden="false" customHeight="true" outlineLevel="0" collapsed="false">
      <c r="B177" s="19"/>
      <c r="C177" s="38"/>
      <c r="D177" s="38"/>
      <c r="E177" s="23"/>
      <c r="F177" s="84"/>
      <c r="G177" s="24"/>
      <c r="H177" s="20"/>
      <c r="I177" s="20"/>
      <c r="J177" s="20"/>
      <c r="K177" s="20"/>
      <c r="L177" s="64"/>
      <c r="M177" s="20"/>
      <c r="N177" s="23"/>
      <c r="O177" s="25"/>
      <c r="P177" s="23"/>
      <c r="Q177" s="20"/>
      <c r="R177" s="20"/>
      <c r="S177" s="20"/>
      <c r="T177" s="20"/>
      <c r="X177" s="47"/>
      <c r="Y177" s="47"/>
      <c r="Z177" s="47"/>
      <c r="AA177" s="47"/>
    </row>
    <row r="178" customFormat="false" ht="30" hidden="false" customHeight="true" outlineLevel="0" collapsed="false">
      <c r="B178" s="19"/>
      <c r="C178" s="38"/>
      <c r="D178" s="38"/>
      <c r="E178" s="23"/>
      <c r="F178" s="84"/>
      <c r="G178" s="24"/>
      <c r="H178" s="20"/>
      <c r="I178" s="20"/>
      <c r="J178" s="20"/>
      <c r="K178" s="20"/>
      <c r="L178" s="64"/>
      <c r="M178" s="20"/>
      <c r="N178" s="23"/>
      <c r="O178" s="25"/>
      <c r="P178" s="23"/>
      <c r="Q178" s="20"/>
      <c r="R178" s="20"/>
      <c r="S178" s="20"/>
      <c r="T178" s="20"/>
      <c r="X178" s="47"/>
      <c r="Y178" s="47"/>
      <c r="Z178" s="47"/>
      <c r="AA178" s="47"/>
    </row>
    <row r="179" customFormat="false" ht="30" hidden="false" customHeight="true" outlineLevel="0" collapsed="false">
      <c r="B179" s="19"/>
      <c r="C179" s="38"/>
      <c r="D179" s="38"/>
      <c r="E179" s="23"/>
      <c r="F179" s="84"/>
      <c r="G179" s="24"/>
      <c r="H179" s="20"/>
      <c r="I179" s="20"/>
      <c r="J179" s="20"/>
      <c r="K179" s="20"/>
      <c r="L179" s="64"/>
      <c r="M179" s="20"/>
      <c r="N179" s="23"/>
      <c r="O179" s="25"/>
      <c r="P179" s="23"/>
      <c r="Q179" s="20"/>
      <c r="R179" s="20"/>
      <c r="S179" s="20"/>
      <c r="T179" s="20"/>
      <c r="X179" s="47"/>
      <c r="Y179" s="47"/>
      <c r="Z179" s="47"/>
      <c r="AA179" s="47"/>
    </row>
    <row r="180" customFormat="false" ht="30" hidden="false" customHeight="true" outlineLevel="0" collapsed="false">
      <c r="B180" s="19"/>
      <c r="C180" s="38"/>
      <c r="D180" s="38"/>
      <c r="E180" s="23"/>
      <c r="F180" s="84"/>
      <c r="G180" s="24"/>
      <c r="H180" s="20"/>
      <c r="I180" s="20"/>
      <c r="J180" s="20"/>
      <c r="K180" s="20"/>
      <c r="L180" s="64"/>
      <c r="M180" s="20"/>
      <c r="N180" s="23"/>
      <c r="O180" s="25"/>
      <c r="P180" s="23"/>
      <c r="Q180" s="20"/>
      <c r="R180" s="20"/>
      <c r="S180" s="20"/>
      <c r="T180" s="20"/>
      <c r="X180" s="47"/>
      <c r="Y180" s="47"/>
      <c r="Z180" s="47"/>
      <c r="AA180" s="47"/>
    </row>
    <row r="181" customFormat="false" ht="30" hidden="false" customHeight="true" outlineLevel="0" collapsed="false">
      <c r="B181" s="19"/>
      <c r="C181" s="38"/>
      <c r="D181" s="38"/>
      <c r="E181" s="23"/>
      <c r="F181" s="84"/>
      <c r="G181" s="24"/>
      <c r="H181" s="20"/>
      <c r="I181" s="20"/>
      <c r="J181" s="20"/>
      <c r="K181" s="20"/>
      <c r="L181" s="64"/>
      <c r="M181" s="20"/>
      <c r="N181" s="23"/>
      <c r="O181" s="25"/>
      <c r="P181" s="23"/>
      <c r="Q181" s="20"/>
      <c r="R181" s="20"/>
      <c r="S181" s="20"/>
      <c r="T181" s="20"/>
      <c r="X181" s="47"/>
      <c r="Y181" s="47"/>
      <c r="Z181" s="47"/>
      <c r="AA181" s="47"/>
    </row>
    <row r="182" customFormat="false" ht="30" hidden="false" customHeight="true" outlineLevel="0" collapsed="false">
      <c r="B182" s="19"/>
      <c r="C182" s="38"/>
      <c r="D182" s="38"/>
      <c r="E182" s="23"/>
      <c r="F182" s="84"/>
      <c r="G182" s="24"/>
      <c r="H182" s="20"/>
      <c r="I182" s="20"/>
      <c r="J182" s="20"/>
      <c r="K182" s="20"/>
      <c r="L182" s="64"/>
      <c r="M182" s="20"/>
      <c r="N182" s="23"/>
      <c r="O182" s="25"/>
      <c r="P182" s="23"/>
      <c r="Q182" s="20"/>
      <c r="R182" s="20"/>
      <c r="S182" s="20"/>
      <c r="T182" s="20"/>
      <c r="X182" s="47"/>
      <c r="Y182" s="47"/>
      <c r="Z182" s="47"/>
      <c r="AA182" s="47"/>
    </row>
    <row r="183" customFormat="false" ht="30" hidden="false" customHeight="true" outlineLevel="0" collapsed="false">
      <c r="B183" s="19"/>
      <c r="C183" s="38"/>
      <c r="D183" s="38"/>
      <c r="E183" s="23"/>
      <c r="F183" s="84"/>
      <c r="G183" s="24"/>
      <c r="H183" s="20"/>
      <c r="I183" s="20"/>
      <c r="J183" s="20"/>
      <c r="K183" s="20"/>
      <c r="L183" s="64"/>
      <c r="M183" s="20"/>
      <c r="N183" s="23"/>
      <c r="O183" s="25"/>
      <c r="P183" s="23"/>
      <c r="Q183" s="20"/>
      <c r="R183" s="20"/>
      <c r="S183" s="20"/>
      <c r="T183" s="20"/>
      <c r="X183" s="47"/>
      <c r="Y183" s="47"/>
      <c r="Z183" s="47"/>
      <c r="AA183" s="47"/>
    </row>
    <row r="184" customFormat="false" ht="30" hidden="false" customHeight="true" outlineLevel="0" collapsed="false">
      <c r="B184" s="19"/>
      <c r="C184" s="38"/>
      <c r="D184" s="38"/>
      <c r="E184" s="23"/>
      <c r="F184" s="84"/>
      <c r="G184" s="24"/>
      <c r="H184" s="20"/>
      <c r="I184" s="20"/>
      <c r="J184" s="20"/>
      <c r="K184" s="20"/>
      <c r="L184" s="64"/>
      <c r="M184" s="20"/>
      <c r="N184" s="23"/>
      <c r="O184" s="25"/>
      <c r="P184" s="23"/>
      <c r="Q184" s="20"/>
      <c r="R184" s="20"/>
      <c r="S184" s="20"/>
      <c r="T184" s="20"/>
      <c r="X184" s="47"/>
      <c r="Y184" s="47"/>
      <c r="Z184" s="47"/>
      <c r="AA184" s="47"/>
    </row>
    <row r="185" customFormat="false" ht="30" hidden="false" customHeight="true" outlineLevel="0" collapsed="false">
      <c r="B185" s="19"/>
      <c r="C185" s="38"/>
      <c r="D185" s="38"/>
      <c r="E185" s="23"/>
      <c r="F185" s="84"/>
      <c r="G185" s="24"/>
      <c r="H185" s="20"/>
      <c r="I185" s="20"/>
      <c r="J185" s="20"/>
      <c r="K185" s="20"/>
      <c r="L185" s="64"/>
      <c r="M185" s="20"/>
      <c r="N185" s="23"/>
      <c r="O185" s="25"/>
      <c r="P185" s="23"/>
      <c r="Q185" s="20"/>
      <c r="R185" s="20"/>
      <c r="S185" s="20"/>
      <c r="T185" s="20"/>
      <c r="X185" s="47"/>
      <c r="Y185" s="47"/>
      <c r="Z185" s="47"/>
      <c r="AA185" s="47"/>
    </row>
    <row r="186" customFormat="false" ht="30" hidden="false" customHeight="true" outlineLevel="0" collapsed="false">
      <c r="B186" s="19"/>
      <c r="C186" s="38"/>
      <c r="D186" s="38"/>
      <c r="E186" s="23"/>
      <c r="F186" s="84"/>
      <c r="G186" s="24"/>
      <c r="H186" s="20"/>
      <c r="I186" s="20"/>
      <c r="J186" s="20"/>
      <c r="K186" s="20"/>
      <c r="L186" s="64"/>
      <c r="M186" s="20"/>
      <c r="N186" s="23"/>
      <c r="O186" s="25"/>
      <c r="P186" s="23"/>
      <c r="Q186" s="20"/>
      <c r="R186" s="20"/>
      <c r="S186" s="20"/>
      <c r="T186" s="20"/>
      <c r="X186" s="47"/>
      <c r="Y186" s="47"/>
      <c r="Z186" s="47"/>
      <c r="AA186" s="47"/>
    </row>
    <row r="187" customFormat="false" ht="30" hidden="false" customHeight="true" outlineLevel="0" collapsed="false">
      <c r="B187" s="19"/>
      <c r="C187" s="38"/>
      <c r="D187" s="38"/>
      <c r="E187" s="23"/>
      <c r="F187" s="84"/>
      <c r="G187" s="24"/>
      <c r="H187" s="20"/>
      <c r="I187" s="20"/>
      <c r="J187" s="20"/>
      <c r="K187" s="20"/>
      <c r="L187" s="64"/>
      <c r="M187" s="20"/>
      <c r="N187" s="23"/>
      <c r="O187" s="25"/>
      <c r="P187" s="23"/>
      <c r="Q187" s="20"/>
      <c r="R187" s="20"/>
      <c r="S187" s="20"/>
      <c r="T187" s="20"/>
      <c r="X187" s="47"/>
      <c r="Y187" s="47"/>
      <c r="Z187" s="47"/>
      <c r="AA187" s="47"/>
    </row>
    <row r="188" customFormat="false" ht="30" hidden="false" customHeight="true" outlineLevel="0" collapsed="false">
      <c r="B188" s="19"/>
      <c r="C188" s="38"/>
      <c r="D188" s="38"/>
      <c r="E188" s="23"/>
      <c r="F188" s="84"/>
      <c r="G188" s="24"/>
      <c r="H188" s="20"/>
      <c r="I188" s="20"/>
      <c r="J188" s="20"/>
      <c r="K188" s="20"/>
      <c r="L188" s="64"/>
      <c r="M188" s="20"/>
      <c r="N188" s="23"/>
      <c r="O188" s="25"/>
      <c r="P188" s="23"/>
      <c r="Q188" s="20"/>
      <c r="R188" s="20"/>
      <c r="S188" s="20"/>
      <c r="T188" s="20"/>
      <c r="X188" s="47"/>
      <c r="Y188" s="47"/>
      <c r="Z188" s="47"/>
      <c r="AA188" s="47"/>
    </row>
    <row r="189" customFormat="false" ht="30" hidden="false" customHeight="true" outlineLevel="0" collapsed="false">
      <c r="B189" s="19"/>
      <c r="C189" s="38"/>
      <c r="D189" s="38"/>
      <c r="E189" s="23"/>
      <c r="F189" s="84"/>
      <c r="G189" s="24"/>
      <c r="H189" s="20"/>
      <c r="I189" s="20"/>
      <c r="J189" s="20"/>
      <c r="K189" s="20"/>
      <c r="L189" s="64"/>
      <c r="M189" s="20"/>
      <c r="N189" s="23"/>
      <c r="O189" s="25"/>
      <c r="P189" s="23"/>
      <c r="Q189" s="20"/>
      <c r="R189" s="20"/>
      <c r="S189" s="20"/>
      <c r="T189" s="20"/>
      <c r="X189" s="47"/>
      <c r="Y189" s="47"/>
      <c r="Z189" s="47"/>
      <c r="AA189" s="47"/>
    </row>
    <row r="190" customFormat="false" ht="30" hidden="false" customHeight="true" outlineLevel="0" collapsed="false">
      <c r="B190" s="19"/>
      <c r="C190" s="38"/>
      <c r="D190" s="38"/>
      <c r="E190" s="23"/>
      <c r="F190" s="84"/>
      <c r="G190" s="24"/>
      <c r="H190" s="20"/>
      <c r="I190" s="20"/>
      <c r="J190" s="20"/>
      <c r="K190" s="20"/>
      <c r="L190" s="64"/>
      <c r="M190" s="20"/>
      <c r="N190" s="23"/>
      <c r="O190" s="25"/>
      <c r="P190" s="23"/>
      <c r="Q190" s="20"/>
      <c r="R190" s="20"/>
      <c r="S190" s="20"/>
      <c r="T190" s="20"/>
      <c r="X190" s="47"/>
      <c r="Y190" s="47"/>
      <c r="Z190" s="47"/>
      <c r="AA190" s="47"/>
    </row>
    <row r="191" customFormat="false" ht="30" hidden="false" customHeight="true" outlineLevel="0" collapsed="false">
      <c r="B191" s="19"/>
      <c r="C191" s="38"/>
      <c r="D191" s="38"/>
      <c r="E191" s="23"/>
      <c r="F191" s="84"/>
      <c r="G191" s="24"/>
      <c r="H191" s="20"/>
      <c r="I191" s="20"/>
      <c r="J191" s="20"/>
      <c r="K191" s="20"/>
      <c r="L191" s="64"/>
      <c r="M191" s="20"/>
      <c r="N191" s="23"/>
      <c r="O191" s="25"/>
      <c r="P191" s="23"/>
      <c r="Q191" s="20"/>
      <c r="R191" s="20"/>
      <c r="S191" s="20"/>
      <c r="T191" s="20"/>
      <c r="X191" s="47"/>
      <c r="Y191" s="47"/>
      <c r="Z191" s="47"/>
      <c r="AA191" s="47"/>
    </row>
    <row r="192" customFormat="false" ht="30" hidden="false" customHeight="true" outlineLevel="0" collapsed="false">
      <c r="B192" s="19"/>
      <c r="C192" s="38"/>
      <c r="D192" s="38"/>
      <c r="E192" s="23"/>
      <c r="F192" s="84"/>
      <c r="G192" s="24"/>
      <c r="H192" s="20"/>
      <c r="I192" s="20"/>
      <c r="J192" s="20"/>
      <c r="K192" s="20"/>
      <c r="L192" s="64"/>
      <c r="M192" s="20"/>
      <c r="N192" s="23"/>
      <c r="O192" s="25"/>
      <c r="P192" s="23"/>
      <c r="Q192" s="20"/>
      <c r="R192" s="20"/>
      <c r="S192" s="20"/>
      <c r="T192" s="20"/>
      <c r="X192" s="47"/>
      <c r="Y192" s="47"/>
      <c r="Z192" s="47"/>
      <c r="AA192" s="47"/>
    </row>
    <row r="193" customFormat="false" ht="30" hidden="false" customHeight="true" outlineLevel="0" collapsed="false">
      <c r="B193" s="19"/>
      <c r="C193" s="38"/>
      <c r="D193" s="38"/>
      <c r="E193" s="23"/>
      <c r="F193" s="84"/>
      <c r="G193" s="24"/>
      <c r="H193" s="20"/>
      <c r="I193" s="20"/>
      <c r="J193" s="20"/>
      <c r="K193" s="20"/>
      <c r="L193" s="64"/>
      <c r="M193" s="20"/>
      <c r="N193" s="23"/>
      <c r="O193" s="25"/>
      <c r="P193" s="23"/>
      <c r="Q193" s="20"/>
      <c r="R193" s="20"/>
      <c r="S193" s="20"/>
      <c r="T193" s="20"/>
      <c r="X193" s="47"/>
      <c r="Y193" s="47"/>
      <c r="Z193" s="47"/>
      <c r="AA193" s="47"/>
    </row>
    <row r="194" customFormat="false" ht="30" hidden="false" customHeight="true" outlineLevel="0" collapsed="false">
      <c r="B194" s="19"/>
      <c r="C194" s="38"/>
      <c r="D194" s="38"/>
      <c r="E194" s="23"/>
      <c r="F194" s="84"/>
      <c r="G194" s="24"/>
      <c r="H194" s="20"/>
      <c r="I194" s="20"/>
      <c r="J194" s="20"/>
      <c r="K194" s="20"/>
      <c r="L194" s="64"/>
      <c r="M194" s="20"/>
      <c r="N194" s="23"/>
      <c r="O194" s="25"/>
      <c r="P194" s="23"/>
      <c r="Q194" s="20"/>
      <c r="R194" s="20"/>
      <c r="S194" s="20"/>
      <c r="T194" s="20"/>
      <c r="X194" s="47"/>
      <c r="Y194" s="47"/>
      <c r="Z194" s="47"/>
      <c r="AA194" s="47"/>
    </row>
    <row r="195" customFormat="false" ht="30" hidden="false" customHeight="true" outlineLevel="0" collapsed="false">
      <c r="B195" s="19"/>
      <c r="C195" s="38"/>
      <c r="D195" s="38"/>
      <c r="E195" s="23"/>
      <c r="F195" s="84"/>
      <c r="G195" s="24"/>
      <c r="H195" s="20"/>
      <c r="I195" s="20"/>
      <c r="J195" s="20"/>
      <c r="K195" s="20"/>
      <c r="L195" s="64"/>
      <c r="M195" s="20"/>
      <c r="N195" s="23"/>
      <c r="O195" s="25"/>
      <c r="P195" s="23"/>
      <c r="Q195" s="20"/>
      <c r="R195" s="20"/>
      <c r="S195" s="20"/>
      <c r="T195" s="20"/>
      <c r="X195" s="47"/>
      <c r="Y195" s="47"/>
      <c r="Z195" s="47"/>
      <c r="AA195" s="47"/>
    </row>
    <row r="196" customFormat="false" ht="30" hidden="false" customHeight="true" outlineLevel="0" collapsed="false">
      <c r="B196" s="19"/>
      <c r="C196" s="38"/>
      <c r="D196" s="38"/>
      <c r="E196" s="23"/>
      <c r="F196" s="84"/>
      <c r="G196" s="24"/>
      <c r="H196" s="20"/>
      <c r="I196" s="20"/>
      <c r="J196" s="20"/>
      <c r="K196" s="20"/>
      <c r="L196" s="64"/>
      <c r="M196" s="20"/>
      <c r="N196" s="23"/>
      <c r="O196" s="25"/>
      <c r="P196" s="23"/>
      <c r="Q196" s="20"/>
      <c r="R196" s="20"/>
      <c r="S196" s="20"/>
      <c r="T196" s="20"/>
      <c r="X196" s="47"/>
      <c r="Y196" s="47"/>
      <c r="Z196" s="47"/>
      <c r="AA196" s="47"/>
    </row>
    <row r="197" customFormat="false" ht="30" hidden="false" customHeight="true" outlineLevel="0" collapsed="false">
      <c r="B197" s="19"/>
      <c r="C197" s="38"/>
      <c r="D197" s="38"/>
      <c r="E197" s="23"/>
      <c r="F197" s="84"/>
      <c r="G197" s="24"/>
      <c r="H197" s="20"/>
      <c r="I197" s="20"/>
      <c r="J197" s="20"/>
      <c r="K197" s="20"/>
      <c r="L197" s="64"/>
      <c r="M197" s="20"/>
      <c r="N197" s="23"/>
      <c r="O197" s="25"/>
      <c r="P197" s="23"/>
      <c r="Q197" s="20"/>
      <c r="R197" s="20"/>
      <c r="S197" s="20"/>
      <c r="T197" s="20"/>
      <c r="X197" s="47"/>
      <c r="Y197" s="47"/>
      <c r="Z197" s="47"/>
      <c r="AA197" s="47"/>
    </row>
    <row r="198" customFormat="false" ht="30" hidden="false" customHeight="true" outlineLevel="0" collapsed="false">
      <c r="B198" s="19"/>
      <c r="C198" s="38"/>
      <c r="D198" s="38"/>
      <c r="E198" s="23"/>
      <c r="F198" s="84"/>
      <c r="G198" s="24"/>
      <c r="H198" s="20"/>
      <c r="I198" s="20"/>
      <c r="J198" s="20"/>
      <c r="K198" s="20"/>
      <c r="L198" s="64"/>
      <c r="M198" s="20"/>
      <c r="N198" s="23"/>
      <c r="O198" s="25"/>
      <c r="P198" s="23"/>
      <c r="Q198" s="20"/>
      <c r="R198" s="20"/>
      <c r="S198" s="20"/>
      <c r="T198" s="20"/>
      <c r="X198" s="47"/>
      <c r="Y198" s="47"/>
      <c r="Z198" s="47"/>
      <c r="AA198" s="47"/>
    </row>
    <row r="199" customFormat="false" ht="30" hidden="false" customHeight="true" outlineLevel="0" collapsed="false">
      <c r="B199" s="19"/>
      <c r="C199" s="38"/>
      <c r="D199" s="38"/>
      <c r="E199" s="23"/>
      <c r="F199" s="84"/>
      <c r="G199" s="24"/>
      <c r="H199" s="20"/>
      <c r="I199" s="20"/>
      <c r="J199" s="20"/>
      <c r="K199" s="20"/>
      <c r="L199" s="64"/>
      <c r="M199" s="20"/>
      <c r="N199" s="23"/>
      <c r="O199" s="25"/>
      <c r="P199" s="23"/>
      <c r="Q199" s="20"/>
      <c r="R199" s="20"/>
      <c r="S199" s="20"/>
      <c r="T199" s="20"/>
      <c r="X199" s="47"/>
      <c r="Y199" s="47"/>
      <c r="Z199" s="47"/>
      <c r="AA199" s="47"/>
    </row>
    <row r="200" customFormat="false" ht="30" hidden="false" customHeight="true" outlineLevel="0" collapsed="false">
      <c r="B200" s="19"/>
      <c r="C200" s="38"/>
      <c r="D200" s="38"/>
      <c r="E200" s="23"/>
      <c r="F200" s="48"/>
      <c r="G200" s="26"/>
      <c r="H200" s="20"/>
      <c r="I200" s="20"/>
      <c r="J200" s="20"/>
      <c r="K200" s="20"/>
      <c r="L200" s="64"/>
      <c r="M200" s="20"/>
      <c r="N200" s="23"/>
      <c r="O200" s="25"/>
      <c r="P200" s="23"/>
      <c r="Q200" s="20"/>
      <c r="R200" s="20"/>
      <c r="S200" s="20"/>
      <c r="T200" s="20"/>
      <c r="X200" s="47"/>
      <c r="Y200" s="47"/>
      <c r="Z200" s="47"/>
      <c r="AA200" s="47"/>
    </row>
    <row r="201" customFormat="false" ht="30" hidden="false" customHeight="true" outlineLevel="0" collapsed="false">
      <c r="B201" s="19"/>
      <c r="C201" s="38"/>
      <c r="D201" s="38"/>
      <c r="E201" s="23"/>
      <c r="F201" s="48"/>
      <c r="G201" s="26"/>
      <c r="H201" s="20"/>
      <c r="I201" s="20"/>
      <c r="J201" s="20"/>
      <c r="K201" s="20"/>
      <c r="L201" s="64"/>
      <c r="M201" s="20"/>
      <c r="N201" s="23"/>
      <c r="O201" s="25"/>
      <c r="P201" s="23"/>
      <c r="Q201" s="20"/>
      <c r="R201" s="20"/>
      <c r="S201" s="20"/>
      <c r="T201" s="20"/>
      <c r="X201" s="47"/>
      <c r="Y201" s="47"/>
      <c r="Z201" s="47"/>
      <c r="AA201" s="47"/>
    </row>
    <row r="202" customFormat="false" ht="61.5" hidden="false" customHeight="true" outlineLevel="0" collapsed="false">
      <c r="B202" s="19"/>
      <c r="C202" s="38"/>
      <c r="D202" s="38"/>
      <c r="E202" s="23"/>
      <c r="F202" s="85"/>
      <c r="G202" s="24"/>
      <c r="H202" s="20"/>
      <c r="I202" s="20"/>
      <c r="J202" s="20"/>
      <c r="K202" s="20"/>
      <c r="L202" s="64"/>
      <c r="M202" s="20"/>
      <c r="N202" s="23"/>
      <c r="O202" s="25"/>
      <c r="P202" s="23"/>
      <c r="Q202" s="20"/>
      <c r="R202" s="20"/>
      <c r="S202" s="20"/>
      <c r="T202" s="20"/>
      <c r="X202" s="28"/>
      <c r="Y202" s="28"/>
    </row>
  </sheetData>
  <autoFilter ref="B5:T202"/>
  <mergeCells count="25">
    <mergeCell ref="B1:T1"/>
    <mergeCell ref="B2:H2"/>
    <mergeCell ref="R2:T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P3"/>
    <mergeCell ref="Q3:T3"/>
    <mergeCell ref="M4:M5"/>
    <mergeCell ref="N4:N5"/>
    <mergeCell ref="O4:O5"/>
    <mergeCell ref="P4:P5"/>
    <mergeCell ref="Q4:R4"/>
    <mergeCell ref="S4:T4"/>
    <mergeCell ref="U16:V16"/>
    <mergeCell ref="U52:V52"/>
    <mergeCell ref="U53:V53"/>
  </mergeCells>
  <printOptions headings="false" gridLines="false" gridLinesSet="true" horizontalCentered="true" verticalCentered="true"/>
  <pageMargins left="0" right="0.196527777777778" top="0.39375" bottom="0.39375" header="0.144" footer="0.511811023622047"/>
  <pageSetup paperSize="9" scale="76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8.7100" defaultRowHeight="13.5" zeroHeight="false" outlineLevelRow="0" outlineLevelCol="0"/>
  <cols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B1:AC187"/>
  <sheetViews>
    <sheetView showFormulas="false" showGridLines="true" showRowColHeaders="true" showZeros="true" rightToLeft="false" tabSelected="false" showOutlineSymbols="true" defaultGridColor="true" view="pageBreakPreview" topLeftCell="C1" colorId="64" zoomScale="85" zoomScaleNormal="75" zoomScalePageLayoutView="85" workbookViewId="0">
      <pane xSplit="0" ySplit="5" topLeftCell="A6" activePane="bottomLeft" state="frozen"/>
      <selection pane="topLeft" activeCell="C1" activeCellId="0" sqref="C1"/>
      <selection pane="bottomLeft" activeCell="W15" activeCellId="0" sqref="W15"/>
    </sheetView>
  </sheetViews>
  <sheetFormatPr defaultColWidth="8.7100" defaultRowHeight="13.5" zeroHeight="false" outlineLevelRow="0" outlineLevelCol="0"/>
  <cols>
    <col min="1" max="1" width="6.2188" customWidth="1"/>
    <col min="2" max="2" width="9.3320" customWidth="1"/>
    <col min="3" max="3" width="10.7773" customWidth="1"/>
    <col min="4" max="4" width="28.8867" customWidth="1"/>
    <col min="5" max="5" width="6.7773" customWidth="1"/>
    <col min="6" max="6" width="6.7773" customWidth="1"/>
    <col min="7" max="7" width="6.7773" customWidth="1"/>
    <col min="8" max="8" width="10.7773" customWidth="1"/>
    <col min="9" max="9" width="8.6641" customWidth="1"/>
    <col min="10" max="10" width="7.7773" customWidth="1"/>
    <col min="11" max="11" width="10.8867" customWidth="1"/>
    <col min="12" max="12" width="6.0000" customWidth="1"/>
    <col min="13" max="13" width="6.7773" customWidth="1"/>
    <col min="14" max="14" width="6.7773" customWidth="1"/>
    <col min="15" max="15" width="6.7773" customWidth="1"/>
    <col min="16" max="16" width="7.7773" customWidth="1"/>
    <col min="17" max="17" width="7.8867" customWidth="1"/>
    <col min="18" max="18" width="7.8867" customWidth="1"/>
    <col min="19" max="19" width="7.8867" customWidth="1"/>
    <col min="20" max="20" width="7.8867" customWidth="1"/>
    <col min="21" max="21" width="8.8867" customWidth="1"/>
    <col min="22" max="22" width="8.8867" customWidth="1"/>
    <col min="23" max="23" width="8.8867" customWidth="1"/>
    <col min="24" max="24" width="10.7773" customWidth="1"/>
    <col min="25" max="25" width="10.7773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54.75" hidden="false" customHeight="true" outlineLevel="0" collapsed="false">
      <c r="B1" s="9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30" t="s">
        <v>27</v>
      </c>
    </row>
    <row r="2" customFormat="false" ht="29.25" hidden="false" customHeight="true" outlineLevel="0" collapsed="false">
      <c r="B2" s="10" t="s">
        <v>150</v>
      </c>
      <c r="C2" s="10"/>
      <c r="D2" s="10"/>
      <c r="E2" s="10"/>
      <c r="F2" s="10"/>
      <c r="G2" s="10"/>
      <c r="H2" s="10"/>
      <c r="I2" s="7"/>
      <c r="J2" s="7"/>
      <c r="K2" s="7"/>
      <c r="M2" s="32" t="n">
        <v>419</v>
      </c>
      <c r="N2" s="33"/>
      <c r="O2" s="34"/>
      <c r="P2" s="33"/>
      <c r="Q2" s="32"/>
      <c r="R2" s="35" t="s">
        <v>30</v>
      </c>
      <c r="S2" s="35"/>
      <c r="T2" s="35"/>
    </row>
    <row r="3" customFormat="false" ht="26.25" hidden="false" customHeight="true" outlineLevel="0" collapsed="false">
      <c r="B3" s="11" t="s">
        <v>2</v>
      </c>
      <c r="C3" s="36" t="s">
        <v>3</v>
      </c>
      <c r="D3" s="36" t="s">
        <v>35</v>
      </c>
      <c r="E3" s="15" t="s">
        <v>6</v>
      </c>
      <c r="F3" s="17" t="s">
        <v>7</v>
      </c>
      <c r="G3" s="17" t="s">
        <v>36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37</v>
      </c>
      <c r="M3" s="12" t="s">
        <v>14</v>
      </c>
      <c r="N3" s="12"/>
      <c r="O3" s="12"/>
      <c r="P3" s="12"/>
      <c r="Q3" s="12" t="s">
        <v>15</v>
      </c>
      <c r="R3" s="12"/>
      <c r="S3" s="12"/>
      <c r="T3" s="12"/>
      <c r="W3" s="19"/>
      <c r="X3" s="19" t="s">
        <v>38</v>
      </c>
      <c r="Y3" s="19" t="s">
        <v>123</v>
      </c>
      <c r="Z3" s="19" t="s">
        <v>151</v>
      </c>
      <c r="AA3" s="19" t="s">
        <v>152</v>
      </c>
      <c r="AB3" s="19" t="s">
        <v>39</v>
      </c>
      <c r="AC3" s="19" t="s">
        <v>153</v>
      </c>
    </row>
    <row r="4" customFormat="false" ht="26.25" hidden="false" customHeight="true" outlineLevel="0" collapsed="false">
      <c r="B4" s="11"/>
      <c r="C4" s="36"/>
      <c r="D4" s="36"/>
      <c r="E4" s="15"/>
      <c r="F4" s="17"/>
      <c r="G4" s="17"/>
      <c r="H4" s="17"/>
      <c r="I4" s="17"/>
      <c r="J4" s="17"/>
      <c r="K4" s="17"/>
      <c r="L4" s="17"/>
      <c r="M4" s="17" t="s">
        <v>16</v>
      </c>
      <c r="N4" s="15" t="s">
        <v>17</v>
      </c>
      <c r="O4" s="18" t="s">
        <v>18</v>
      </c>
      <c r="P4" s="15" t="s">
        <v>19</v>
      </c>
      <c r="Q4" s="12" t="s">
        <v>20</v>
      </c>
      <c r="R4" s="12"/>
      <c r="S4" s="12" t="s">
        <v>40</v>
      </c>
      <c r="T4" s="12"/>
      <c r="U4" s="1" t="s">
        <v>41</v>
      </c>
      <c r="V4" s="1" t="s">
        <v>42</v>
      </c>
      <c r="W4" s="19" t="s">
        <v>43</v>
      </c>
      <c r="X4" s="19" t="n">
        <v>296</v>
      </c>
      <c r="Y4" s="19" t="n">
        <v>4</v>
      </c>
      <c r="Z4" s="19" t="n">
        <v>45</v>
      </c>
      <c r="AA4" s="19" t="n">
        <v>41</v>
      </c>
      <c r="AB4" s="19" t="n">
        <v>27</v>
      </c>
      <c r="AC4" s="19" t="n">
        <v>381</v>
      </c>
    </row>
    <row r="5" customFormat="false" ht="26.25" hidden="false" customHeight="true" outlineLevel="0" collapsed="false">
      <c r="B5" s="11"/>
      <c r="C5" s="36"/>
      <c r="D5" s="36"/>
      <c r="E5" s="15"/>
      <c r="F5" s="17"/>
      <c r="G5" s="17"/>
      <c r="H5" s="17"/>
      <c r="I5" s="17"/>
      <c r="J5" s="17"/>
      <c r="K5" s="17"/>
      <c r="L5" s="17"/>
      <c r="M5" s="17"/>
      <c r="N5" s="15"/>
      <c r="O5" s="18"/>
      <c r="P5" s="15"/>
      <c r="Q5" s="12" t="s">
        <v>22</v>
      </c>
      <c r="R5" s="12" t="s">
        <v>23</v>
      </c>
      <c r="S5" s="12" t="s">
        <v>22</v>
      </c>
      <c r="T5" s="12" t="s">
        <v>23</v>
      </c>
      <c r="U5" s="7" t="n">
        <f aca="false">SUM(E6:E187)</f>
        <v>245</v>
      </c>
      <c r="V5" s="7" t="n">
        <f aca="false">SUM(F6:F187)</f>
        <v>245</v>
      </c>
      <c r="W5" s="20" t="s">
        <v>44</v>
      </c>
      <c r="X5" s="19" t="n">
        <v>185</v>
      </c>
      <c r="Y5" s="19"/>
      <c r="Z5" s="19" t="n">
        <v>38</v>
      </c>
      <c r="AA5" s="19" t="n">
        <v>43</v>
      </c>
      <c r="AB5" s="19"/>
      <c r="AC5" s="19" t="n">
        <v>375</v>
      </c>
    </row>
    <row r="6" customFormat="false" ht="30" hidden="false" customHeight="true" outlineLevel="0" collapsed="false">
      <c r="B6" s="89" t="s">
        <v>154</v>
      </c>
      <c r="C6" s="90" t="n">
        <v>44559</v>
      </c>
      <c r="D6" s="91" t="s">
        <v>155</v>
      </c>
      <c r="E6" s="68" t="n">
        <v>12</v>
      </c>
      <c r="F6" s="67" t="n">
        <v>12</v>
      </c>
      <c r="G6" s="92" t="n">
        <f aca="false">+F6-E6</f>
        <v>0</v>
      </c>
      <c r="H6" s="67" t="s">
        <v>151</v>
      </c>
      <c r="I6" s="67" t="s">
        <v>156</v>
      </c>
      <c r="J6" s="67" t="s">
        <v>111</v>
      </c>
      <c r="K6" s="67" t="s">
        <v>157</v>
      </c>
      <c r="L6" s="67" t="n">
        <v>6</v>
      </c>
      <c r="M6" s="67"/>
      <c r="N6" s="68"/>
      <c r="O6" s="69"/>
      <c r="P6" s="68"/>
      <c r="Q6" s="67" t="s">
        <v>49</v>
      </c>
      <c r="R6" s="67"/>
      <c r="S6" s="67" t="s">
        <v>50</v>
      </c>
      <c r="T6" s="67"/>
      <c r="X6" s="28"/>
      <c r="Y6" s="28"/>
    </row>
    <row r="7" customFormat="false" ht="30" hidden="false" customHeight="true" outlineLevel="0" collapsed="false">
      <c r="B7" s="89" t="s">
        <v>154</v>
      </c>
      <c r="C7" s="90" t="n">
        <v>44559</v>
      </c>
      <c r="D7" s="91" t="s">
        <v>155</v>
      </c>
      <c r="E7" s="68" t="n">
        <v>5</v>
      </c>
      <c r="F7" s="67" t="n">
        <v>5</v>
      </c>
      <c r="G7" s="92" t="n">
        <f aca="false">+F7-E7</f>
        <v>0</v>
      </c>
      <c r="H7" s="67" t="s">
        <v>153</v>
      </c>
      <c r="I7" s="67" t="s">
        <v>156</v>
      </c>
      <c r="J7" s="67" t="s">
        <v>111</v>
      </c>
      <c r="K7" s="67" t="s">
        <v>157</v>
      </c>
      <c r="L7" s="67" t="n">
        <v>6</v>
      </c>
      <c r="M7" s="67"/>
      <c r="N7" s="68"/>
      <c r="O7" s="69"/>
      <c r="P7" s="68"/>
      <c r="Q7" s="67" t="s">
        <v>49</v>
      </c>
      <c r="R7" s="67"/>
      <c r="S7" s="67" t="s">
        <v>50</v>
      </c>
      <c r="T7" s="67"/>
      <c r="X7" s="28"/>
      <c r="Y7" s="28"/>
    </row>
    <row r="8" customFormat="false" ht="30" hidden="false" customHeight="true" outlineLevel="0" collapsed="false">
      <c r="B8" s="89" t="s">
        <v>158</v>
      </c>
      <c r="C8" s="90" t="n">
        <v>44608</v>
      </c>
      <c r="D8" s="91" t="s">
        <v>159</v>
      </c>
      <c r="E8" s="68" t="n">
        <v>28</v>
      </c>
      <c r="F8" s="67" t="n">
        <v>28</v>
      </c>
      <c r="G8" s="92" t="n">
        <f aca="false">+F8-E8</f>
        <v>0</v>
      </c>
      <c r="H8" s="67" t="s">
        <v>152</v>
      </c>
      <c r="I8" s="67" t="s">
        <v>156</v>
      </c>
      <c r="J8" s="67" t="s">
        <v>48</v>
      </c>
      <c r="K8" s="67" t="s">
        <v>160</v>
      </c>
      <c r="L8" s="67" t="n">
        <v>5</v>
      </c>
      <c r="M8" s="67"/>
      <c r="N8" s="68"/>
      <c r="O8" s="69"/>
      <c r="P8" s="68"/>
      <c r="Q8" s="67" t="s">
        <v>49</v>
      </c>
      <c r="R8" s="67"/>
      <c r="S8" s="67" t="s">
        <v>63</v>
      </c>
      <c r="T8" s="67"/>
      <c r="X8" s="28"/>
      <c r="Y8" s="28"/>
      <c r="AC8" s="1" t="n">
        <f aca="false">AC4-AC5</f>
        <v>6</v>
      </c>
    </row>
    <row r="9" customFormat="false" ht="30" hidden="false" customHeight="true" outlineLevel="0" collapsed="false">
      <c r="B9" s="89" t="s">
        <v>161</v>
      </c>
      <c r="C9" s="90" t="n">
        <v>44610</v>
      </c>
      <c r="D9" s="91" t="s">
        <v>155</v>
      </c>
      <c r="E9" s="68" t="n">
        <v>5</v>
      </c>
      <c r="F9" s="67" t="n">
        <v>5</v>
      </c>
      <c r="G9" s="92" t="n">
        <f aca="false">+F9-E9</f>
        <v>0</v>
      </c>
      <c r="H9" s="67" t="s">
        <v>38</v>
      </c>
      <c r="I9" s="67" t="s">
        <v>156</v>
      </c>
      <c r="J9" s="67" t="s">
        <v>111</v>
      </c>
      <c r="K9" s="67" t="s">
        <v>162</v>
      </c>
      <c r="L9" s="67" t="n">
        <v>6</v>
      </c>
      <c r="M9" s="93"/>
      <c r="N9" s="94"/>
      <c r="O9" s="95"/>
      <c r="P9" s="94"/>
      <c r="Q9" s="67" t="s">
        <v>49</v>
      </c>
      <c r="R9" s="67"/>
      <c r="S9" s="67" t="s">
        <v>63</v>
      </c>
      <c r="T9" s="67"/>
      <c r="U9" s="83"/>
      <c r="V9" s="83"/>
      <c r="X9" s="28"/>
      <c r="Y9" s="28"/>
    </row>
    <row r="10" customFormat="false" ht="30" hidden="false" customHeight="true" outlineLevel="0" collapsed="false">
      <c r="B10" s="89" t="s">
        <v>158</v>
      </c>
      <c r="C10" s="90" t="n">
        <v>44617</v>
      </c>
      <c r="D10" s="91" t="s">
        <v>163</v>
      </c>
      <c r="E10" s="68" t="n">
        <v>15</v>
      </c>
      <c r="F10" s="67" t="n">
        <v>15</v>
      </c>
      <c r="G10" s="92" t="n">
        <f aca="false">+F10-E10</f>
        <v>0</v>
      </c>
      <c r="H10" s="67" t="s">
        <v>152</v>
      </c>
      <c r="I10" s="67" t="s">
        <v>156</v>
      </c>
      <c r="J10" s="67" t="s">
        <v>48</v>
      </c>
      <c r="K10" s="67" t="s">
        <v>164</v>
      </c>
      <c r="L10" s="67" t="n">
        <v>5</v>
      </c>
      <c r="M10" s="67"/>
      <c r="N10" s="68"/>
      <c r="O10" s="69"/>
      <c r="P10" s="68"/>
      <c r="Q10" s="67" t="s">
        <v>49</v>
      </c>
      <c r="R10" s="67"/>
      <c r="S10" s="67" t="s">
        <v>63</v>
      </c>
      <c r="T10" s="67"/>
      <c r="X10" s="28"/>
      <c r="Y10" s="28"/>
    </row>
    <row r="11" customFormat="false" ht="30" hidden="false" customHeight="true" outlineLevel="0" collapsed="false">
      <c r="B11" s="19" t="s">
        <v>161</v>
      </c>
      <c r="C11" s="91" t="n">
        <v>44632</v>
      </c>
      <c r="D11" s="91" t="s">
        <v>155</v>
      </c>
      <c r="E11" s="68" t="n">
        <v>6</v>
      </c>
      <c r="F11" s="67" t="n">
        <v>6</v>
      </c>
      <c r="G11" s="92" t="n">
        <f aca="false">+F11-E11</f>
        <v>0</v>
      </c>
      <c r="H11" s="67" t="s">
        <v>38</v>
      </c>
      <c r="I11" s="67" t="s">
        <v>156</v>
      </c>
      <c r="J11" s="67" t="s">
        <v>111</v>
      </c>
      <c r="K11" s="67" t="s">
        <v>165</v>
      </c>
      <c r="L11" s="67" t="n">
        <v>8</v>
      </c>
      <c r="M11" s="67"/>
      <c r="N11" s="68"/>
      <c r="O11" s="69"/>
      <c r="P11" s="68"/>
      <c r="Q11" s="67" t="s">
        <v>70</v>
      </c>
      <c r="R11" s="67"/>
      <c r="S11" s="67" t="s">
        <v>63</v>
      </c>
      <c r="T11" s="67"/>
      <c r="X11" s="28"/>
      <c r="Y11" s="28"/>
    </row>
    <row r="12" customFormat="false" ht="30" hidden="false" customHeight="true" outlineLevel="0" collapsed="false">
      <c r="B12" s="96" t="s">
        <v>166</v>
      </c>
      <c r="C12" s="91" t="n">
        <v>44636</v>
      </c>
      <c r="D12" s="91" t="s">
        <v>167</v>
      </c>
      <c r="E12" s="68" t="n">
        <v>12</v>
      </c>
      <c r="F12" s="67" t="n">
        <v>12</v>
      </c>
      <c r="G12" s="92" t="n">
        <f aca="false">+F12-E12</f>
        <v>0</v>
      </c>
      <c r="H12" s="67" t="s">
        <v>38</v>
      </c>
      <c r="I12" s="67" t="s">
        <v>156</v>
      </c>
      <c r="J12" s="67" t="s">
        <v>111</v>
      </c>
      <c r="K12" s="67" t="s">
        <v>168</v>
      </c>
      <c r="L12" s="67" t="n">
        <v>9</v>
      </c>
      <c r="M12" s="93"/>
      <c r="N12" s="94"/>
      <c r="O12" s="95"/>
      <c r="P12" s="94"/>
      <c r="Q12" s="67" t="s">
        <v>70</v>
      </c>
      <c r="R12" s="67"/>
      <c r="S12" s="67" t="s">
        <v>63</v>
      </c>
      <c r="T12" s="67"/>
      <c r="U12" s="97"/>
      <c r="V12" s="97"/>
      <c r="X12" s="28"/>
      <c r="Y12" s="28"/>
    </row>
    <row r="13" customFormat="false" ht="30" hidden="false" customHeight="true" outlineLevel="0" collapsed="false">
      <c r="B13" s="65" t="s">
        <v>169</v>
      </c>
      <c r="C13" s="91" t="n">
        <v>44700</v>
      </c>
      <c r="D13" s="91" t="s">
        <v>170</v>
      </c>
      <c r="E13" s="68" t="n">
        <v>162</v>
      </c>
      <c r="F13" s="67" t="n">
        <v>162</v>
      </c>
      <c r="G13" s="92" t="n">
        <v>0</v>
      </c>
      <c r="H13" s="67" t="s">
        <v>153</v>
      </c>
      <c r="I13" s="67" t="s">
        <v>156</v>
      </c>
      <c r="J13" s="67" t="s">
        <v>111</v>
      </c>
      <c r="K13" s="67" t="s">
        <v>171</v>
      </c>
      <c r="L13" s="66" t="s">
        <v>172</v>
      </c>
      <c r="M13" s="67"/>
      <c r="N13" s="68"/>
      <c r="O13" s="69"/>
      <c r="P13" s="68"/>
      <c r="Q13" s="67" t="s">
        <v>70</v>
      </c>
      <c r="R13" s="67"/>
      <c r="S13" s="67" t="s">
        <v>63</v>
      </c>
      <c r="T13" s="67"/>
      <c r="X13" s="28"/>
      <c r="Y13" s="28"/>
    </row>
    <row r="14" customFormat="false" ht="30" hidden="false" customHeight="true" outlineLevel="0" collapsed="false">
      <c r="B14" s="65"/>
      <c r="C14" s="54"/>
      <c r="D14" s="54"/>
      <c r="E14" s="23"/>
      <c r="F14" s="48"/>
      <c r="G14" s="41"/>
      <c r="H14" s="20"/>
      <c r="I14" s="20"/>
      <c r="J14" s="20"/>
      <c r="K14" s="20"/>
      <c r="L14" s="64"/>
      <c r="M14" s="20"/>
      <c r="N14" s="23"/>
      <c r="O14" s="25"/>
      <c r="P14" s="23"/>
      <c r="Q14" s="48"/>
      <c r="R14" s="48"/>
      <c r="S14" s="48"/>
      <c r="T14" s="20"/>
      <c r="X14" s="28"/>
      <c r="Y14" s="28"/>
    </row>
    <row r="15" customFormat="false" ht="30" hidden="false" customHeight="true" outlineLevel="0" collapsed="false">
      <c r="B15" s="65"/>
      <c r="C15" s="38"/>
      <c r="D15" s="54"/>
      <c r="E15" s="23"/>
      <c r="F15" s="48"/>
      <c r="G15" s="41"/>
      <c r="H15" s="20"/>
      <c r="I15" s="20"/>
      <c r="J15" s="20"/>
      <c r="K15" s="20"/>
      <c r="L15" s="64"/>
      <c r="M15" s="20"/>
      <c r="N15" s="23"/>
      <c r="O15" s="25"/>
      <c r="P15" s="23"/>
      <c r="Q15" s="48"/>
      <c r="R15" s="48"/>
      <c r="S15" s="48"/>
      <c r="T15" s="20"/>
      <c r="X15" s="28"/>
      <c r="Y15" s="28"/>
    </row>
    <row r="16" customFormat="false" ht="30" hidden="false" customHeight="true" outlineLevel="0" collapsed="false">
      <c r="B16" s="19"/>
      <c r="C16" s="38"/>
      <c r="D16" s="38"/>
      <c r="E16" s="23"/>
      <c r="F16" s="48"/>
      <c r="G16" s="41"/>
      <c r="H16" s="20"/>
      <c r="I16" s="20"/>
      <c r="J16" s="20"/>
      <c r="K16" s="20"/>
      <c r="L16" s="64"/>
      <c r="M16" s="20"/>
      <c r="N16" s="23"/>
      <c r="O16" s="25"/>
      <c r="P16" s="23"/>
      <c r="Q16" s="20"/>
      <c r="R16" s="20"/>
      <c r="S16" s="20"/>
      <c r="T16" s="20"/>
      <c r="X16" s="28"/>
      <c r="Y16" s="28"/>
    </row>
    <row r="17" customFormat="false" ht="30" hidden="false" customHeight="true" outlineLevel="0" collapsed="false">
      <c r="B17" s="19"/>
      <c r="C17" s="38"/>
      <c r="D17" s="38"/>
      <c r="E17" s="23"/>
      <c r="F17" s="48"/>
      <c r="G17" s="41"/>
      <c r="H17" s="20"/>
      <c r="I17" s="20"/>
      <c r="J17" s="20"/>
      <c r="K17" s="20"/>
      <c r="L17" s="20"/>
      <c r="M17" s="20"/>
      <c r="N17" s="23"/>
      <c r="O17" s="25"/>
      <c r="P17" s="23"/>
      <c r="Q17" s="20"/>
      <c r="R17" s="20"/>
      <c r="S17" s="20"/>
      <c r="T17" s="20"/>
      <c r="X17" s="28"/>
      <c r="Y17" s="28"/>
    </row>
    <row r="18" customFormat="false" ht="30" hidden="false" customHeight="true" outlineLevel="0" collapsed="false">
      <c r="B18" s="19"/>
      <c r="C18" s="38"/>
      <c r="D18" s="38"/>
      <c r="E18" s="23"/>
      <c r="F18" s="48"/>
      <c r="G18" s="41"/>
      <c r="H18" s="20"/>
      <c r="I18" s="20"/>
      <c r="J18" s="20"/>
      <c r="K18" s="20"/>
      <c r="L18" s="20"/>
      <c r="M18" s="20"/>
      <c r="N18" s="23"/>
      <c r="O18" s="25"/>
      <c r="P18" s="23"/>
      <c r="Q18" s="20"/>
      <c r="R18" s="20"/>
      <c r="S18" s="20"/>
      <c r="T18" s="20"/>
      <c r="X18" s="28"/>
      <c r="Y18" s="28"/>
    </row>
    <row r="19" customFormat="false" ht="30" hidden="false" customHeight="true" outlineLevel="0" collapsed="false">
      <c r="B19" s="19"/>
      <c r="C19" s="38"/>
      <c r="D19" s="38"/>
      <c r="E19" s="23"/>
      <c r="F19" s="48"/>
      <c r="G19" s="41"/>
      <c r="H19" s="20"/>
      <c r="I19" s="20"/>
      <c r="J19" s="20"/>
      <c r="K19" s="20"/>
      <c r="L19" s="20"/>
      <c r="M19" s="20"/>
      <c r="N19" s="23"/>
      <c r="O19" s="25"/>
      <c r="P19" s="23"/>
      <c r="Q19" s="20"/>
      <c r="R19" s="20"/>
      <c r="S19" s="20"/>
      <c r="T19" s="20"/>
      <c r="X19" s="28"/>
      <c r="Y19" s="28"/>
    </row>
    <row r="20" customFormat="false" ht="30" hidden="false" customHeight="true" outlineLevel="0" collapsed="false">
      <c r="B20" s="19"/>
      <c r="C20" s="38"/>
      <c r="D20" s="38"/>
      <c r="E20" s="23"/>
      <c r="F20" s="48"/>
      <c r="G20" s="41"/>
      <c r="H20" s="20"/>
      <c r="I20" s="20"/>
      <c r="J20" s="20"/>
      <c r="K20" s="20"/>
      <c r="L20" s="20"/>
      <c r="M20" s="20"/>
      <c r="N20" s="23"/>
      <c r="O20" s="25"/>
      <c r="P20" s="23"/>
      <c r="Q20" s="20"/>
      <c r="R20" s="20"/>
      <c r="S20" s="20"/>
      <c r="T20" s="20"/>
      <c r="X20" s="28"/>
      <c r="Y20" s="28"/>
    </row>
    <row r="21" customFormat="false" ht="30" hidden="false" customHeight="true" outlineLevel="0" collapsed="false">
      <c r="B21" s="19"/>
      <c r="C21" s="38"/>
      <c r="D21" s="38"/>
      <c r="E21" s="23"/>
      <c r="F21" s="48"/>
      <c r="G21" s="41"/>
      <c r="H21" s="20"/>
      <c r="I21" s="20"/>
      <c r="J21" s="20"/>
      <c r="K21" s="20"/>
      <c r="L21" s="20"/>
      <c r="M21" s="20"/>
      <c r="N21" s="23"/>
      <c r="O21" s="25"/>
      <c r="P21" s="23"/>
      <c r="Q21" s="20"/>
      <c r="R21" s="20"/>
      <c r="S21" s="20"/>
      <c r="T21" s="20"/>
      <c r="X21" s="28"/>
      <c r="Y21" s="28"/>
    </row>
    <row r="22" customFormat="false" ht="30" hidden="false" customHeight="true" outlineLevel="0" collapsed="false">
      <c r="B22" s="19"/>
      <c r="C22" s="38"/>
      <c r="D22" s="38"/>
      <c r="E22" s="23"/>
      <c r="F22" s="48"/>
      <c r="G22" s="41"/>
      <c r="H22" s="20"/>
      <c r="I22" s="20"/>
      <c r="J22" s="20"/>
      <c r="K22" s="20"/>
      <c r="L22" s="20"/>
      <c r="M22" s="20"/>
      <c r="N22" s="23"/>
      <c r="O22" s="25"/>
      <c r="P22" s="23"/>
      <c r="Q22" s="20"/>
      <c r="R22" s="20"/>
      <c r="S22" s="20"/>
      <c r="T22" s="20"/>
      <c r="X22" s="28"/>
      <c r="Y22" s="28"/>
    </row>
    <row r="23" customFormat="false" ht="30" hidden="false" customHeight="true" outlineLevel="0" collapsed="false">
      <c r="B23" s="19"/>
      <c r="C23" s="38"/>
      <c r="D23" s="38"/>
      <c r="E23" s="23"/>
      <c r="F23" s="48"/>
      <c r="G23" s="41"/>
      <c r="H23" s="20"/>
      <c r="I23" s="20"/>
      <c r="J23" s="20"/>
      <c r="K23" s="20"/>
      <c r="L23" s="20"/>
      <c r="M23" s="20"/>
      <c r="N23" s="23"/>
      <c r="O23" s="25"/>
      <c r="P23" s="23"/>
      <c r="Q23" s="20"/>
      <c r="R23" s="20"/>
      <c r="S23" s="20"/>
      <c r="T23" s="20"/>
      <c r="X23" s="28"/>
      <c r="Y23" s="28"/>
    </row>
    <row r="24" customFormat="false" ht="30" hidden="false" customHeight="true" outlineLevel="0" collapsed="false">
      <c r="B24" s="19"/>
      <c r="C24" s="38"/>
      <c r="D24" s="38"/>
      <c r="E24" s="23"/>
      <c r="F24" s="48"/>
      <c r="G24" s="41"/>
      <c r="H24" s="20"/>
      <c r="I24" s="20"/>
      <c r="J24" s="20"/>
      <c r="K24" s="20"/>
      <c r="L24" s="64"/>
      <c r="M24" s="20"/>
      <c r="N24" s="23"/>
      <c r="O24" s="25"/>
      <c r="P24" s="23"/>
      <c r="Q24" s="20"/>
      <c r="R24" s="20"/>
      <c r="S24" s="20"/>
      <c r="T24" s="20"/>
      <c r="X24" s="28"/>
      <c r="Y24" s="28"/>
    </row>
    <row r="25" customFormat="false" ht="30" hidden="false" customHeight="true" outlineLevel="0" collapsed="false">
      <c r="B25" s="19"/>
      <c r="C25" s="38"/>
      <c r="D25" s="38"/>
      <c r="E25" s="23"/>
      <c r="F25" s="48"/>
      <c r="G25" s="41"/>
      <c r="H25" s="20"/>
      <c r="I25" s="20"/>
      <c r="J25" s="20"/>
      <c r="K25" s="20"/>
      <c r="L25" s="64"/>
      <c r="M25" s="20"/>
      <c r="N25" s="23"/>
      <c r="O25" s="25"/>
      <c r="P25" s="23"/>
      <c r="Q25" s="20"/>
      <c r="R25" s="20"/>
      <c r="S25" s="20"/>
      <c r="T25" s="20"/>
      <c r="X25" s="28"/>
      <c r="Y25" s="28"/>
    </row>
    <row r="26" customFormat="false" ht="30" hidden="false" customHeight="true" outlineLevel="0" collapsed="false">
      <c r="B26" s="19"/>
      <c r="C26" s="38"/>
      <c r="D26" s="38"/>
      <c r="E26" s="23"/>
      <c r="F26" s="48"/>
      <c r="G26" s="41"/>
      <c r="H26" s="20"/>
      <c r="I26" s="20"/>
      <c r="J26" s="20"/>
      <c r="K26" s="20"/>
      <c r="L26" s="64"/>
      <c r="M26" s="20"/>
      <c r="N26" s="23"/>
      <c r="O26" s="25"/>
      <c r="P26" s="23"/>
      <c r="Q26" s="20"/>
      <c r="R26" s="20"/>
      <c r="S26" s="20"/>
      <c r="T26" s="20"/>
      <c r="X26" s="28"/>
      <c r="Y26" s="28"/>
    </row>
    <row r="27" customFormat="false" ht="30" hidden="false" customHeight="true" outlineLevel="0" collapsed="false">
      <c r="B27" s="19"/>
      <c r="C27" s="38"/>
      <c r="D27" s="38"/>
      <c r="E27" s="23"/>
      <c r="F27" s="48"/>
      <c r="G27" s="41"/>
      <c r="H27" s="20"/>
      <c r="I27" s="20"/>
      <c r="J27" s="20"/>
      <c r="K27" s="20"/>
      <c r="L27" s="64"/>
      <c r="M27" s="79"/>
      <c r="N27" s="80"/>
      <c r="O27" s="81"/>
      <c r="P27" s="80"/>
      <c r="Q27" s="20"/>
      <c r="R27" s="20"/>
      <c r="S27" s="20"/>
      <c r="T27" s="20"/>
      <c r="X27" s="28"/>
      <c r="Y27" s="28"/>
    </row>
    <row r="28" customFormat="false" ht="30" hidden="false" customHeight="true" outlineLevel="0" collapsed="false">
      <c r="B28" s="19"/>
      <c r="C28" s="38"/>
      <c r="D28" s="38"/>
      <c r="E28" s="23"/>
      <c r="F28" s="48"/>
      <c r="G28" s="41"/>
      <c r="H28" s="20"/>
      <c r="I28" s="20"/>
      <c r="J28" s="20"/>
      <c r="K28" s="20"/>
      <c r="L28" s="64"/>
      <c r="M28" s="20"/>
      <c r="N28" s="23"/>
      <c r="O28" s="25"/>
      <c r="P28" s="23"/>
      <c r="Q28" s="20"/>
      <c r="R28" s="20"/>
      <c r="S28" s="20"/>
      <c r="T28" s="20"/>
      <c r="X28" s="28"/>
      <c r="Y28" s="28"/>
    </row>
    <row r="29" customFormat="false" ht="30" hidden="false" customHeight="true" outlineLevel="0" collapsed="false">
      <c r="B29" s="19"/>
      <c r="C29" s="38"/>
      <c r="D29" s="38"/>
      <c r="E29" s="23"/>
      <c r="F29" s="48"/>
      <c r="G29" s="41"/>
      <c r="H29" s="20"/>
      <c r="I29" s="20"/>
      <c r="J29" s="20"/>
      <c r="K29" s="20"/>
      <c r="L29" s="64"/>
      <c r="M29" s="20"/>
      <c r="N29" s="23"/>
      <c r="O29" s="25"/>
      <c r="P29" s="23"/>
      <c r="Q29" s="20"/>
      <c r="R29" s="20"/>
      <c r="S29" s="20"/>
      <c r="T29" s="20"/>
      <c r="X29" s="28"/>
      <c r="Y29" s="28"/>
    </row>
    <row r="30" customFormat="false" ht="30" hidden="false" customHeight="true" outlineLevel="0" collapsed="false">
      <c r="B30" s="19"/>
      <c r="C30" s="38"/>
      <c r="D30" s="38"/>
      <c r="E30" s="23"/>
      <c r="F30" s="48"/>
      <c r="G30" s="41"/>
      <c r="H30" s="20"/>
      <c r="I30" s="20"/>
      <c r="J30" s="20"/>
      <c r="K30" s="20"/>
      <c r="L30" s="64"/>
      <c r="M30" s="20"/>
      <c r="N30" s="23"/>
      <c r="O30" s="25"/>
      <c r="P30" s="23"/>
      <c r="Q30" s="20"/>
      <c r="R30" s="20"/>
      <c r="S30" s="20"/>
      <c r="T30" s="20"/>
      <c r="X30" s="28"/>
      <c r="Y30" s="28"/>
    </row>
    <row r="31" customFormat="false" ht="30" hidden="false" customHeight="true" outlineLevel="0" collapsed="false">
      <c r="B31" s="19"/>
      <c r="C31" s="38"/>
      <c r="D31" s="38"/>
      <c r="E31" s="23"/>
      <c r="F31" s="48"/>
      <c r="G31" s="41"/>
      <c r="H31" s="20"/>
      <c r="I31" s="20"/>
      <c r="J31" s="20"/>
      <c r="K31" s="20"/>
      <c r="L31" s="64"/>
      <c r="M31" s="20"/>
      <c r="N31" s="23"/>
      <c r="O31" s="25"/>
      <c r="P31" s="23"/>
      <c r="Q31" s="20"/>
      <c r="R31" s="20"/>
      <c r="S31" s="20"/>
      <c r="T31" s="20"/>
      <c r="X31" s="28"/>
      <c r="Y31" s="28"/>
    </row>
    <row r="32" customFormat="false" ht="30" hidden="false" customHeight="true" outlineLevel="0" collapsed="false">
      <c r="B32" s="19"/>
      <c r="C32" s="38"/>
      <c r="D32" s="38"/>
      <c r="E32" s="23"/>
      <c r="F32" s="48"/>
      <c r="G32" s="41"/>
      <c r="H32" s="20"/>
      <c r="I32" s="20"/>
      <c r="J32" s="20"/>
      <c r="K32" s="20"/>
      <c r="L32" s="64"/>
      <c r="M32" s="20"/>
      <c r="N32" s="23"/>
      <c r="O32" s="25"/>
      <c r="P32" s="23"/>
      <c r="Q32" s="20"/>
      <c r="R32" s="20"/>
      <c r="S32" s="20"/>
      <c r="T32" s="20"/>
      <c r="X32" s="28"/>
      <c r="Y32" s="28"/>
    </row>
    <row r="33" customFormat="false" ht="30" hidden="false" customHeight="true" outlineLevel="0" collapsed="false">
      <c r="B33" s="19"/>
      <c r="C33" s="38"/>
      <c r="D33" s="38"/>
      <c r="E33" s="23"/>
      <c r="F33" s="48"/>
      <c r="G33" s="41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X33" s="28"/>
      <c r="Y33" s="28"/>
    </row>
    <row r="34" customFormat="false" ht="30" hidden="false" customHeight="true" outlineLevel="0" collapsed="false">
      <c r="B34" s="19"/>
      <c r="C34" s="38"/>
      <c r="D34" s="38"/>
      <c r="E34" s="23"/>
      <c r="F34" s="48"/>
      <c r="G34" s="41"/>
      <c r="H34" s="20"/>
      <c r="I34" s="20"/>
      <c r="J34" s="20"/>
      <c r="K34" s="20"/>
      <c r="L34" s="64"/>
      <c r="M34" s="20"/>
      <c r="N34" s="23"/>
      <c r="O34" s="25"/>
      <c r="P34" s="23"/>
      <c r="Q34" s="20"/>
      <c r="R34" s="20"/>
      <c r="S34" s="20"/>
      <c r="T34" s="20"/>
      <c r="X34" s="28"/>
      <c r="Y34" s="28"/>
    </row>
    <row r="35" customFormat="false" ht="30" hidden="false" customHeight="true" outlineLevel="0" collapsed="false">
      <c r="B35" s="19"/>
      <c r="C35" s="38"/>
      <c r="D35" s="38"/>
      <c r="E35" s="23"/>
      <c r="F35" s="48"/>
      <c r="G35" s="41"/>
      <c r="H35" s="20"/>
      <c r="I35" s="20"/>
      <c r="J35" s="20"/>
      <c r="K35" s="20"/>
      <c r="L35" s="64"/>
      <c r="M35" s="79"/>
      <c r="N35" s="80"/>
      <c r="O35" s="81"/>
      <c r="P35" s="80"/>
      <c r="Q35" s="20"/>
      <c r="R35" s="20"/>
      <c r="S35" s="20"/>
      <c r="T35" s="20"/>
      <c r="U35" s="1" t="s">
        <v>135</v>
      </c>
      <c r="X35" s="28"/>
      <c r="Y35" s="28"/>
    </row>
    <row r="36" customFormat="false" ht="30" hidden="false" customHeight="true" outlineLevel="0" collapsed="false">
      <c r="B36" s="19"/>
      <c r="C36" s="38"/>
      <c r="D36" s="38"/>
      <c r="E36" s="39"/>
      <c r="F36" s="40"/>
      <c r="G36" s="41"/>
      <c r="H36" s="20"/>
      <c r="I36" s="20"/>
      <c r="J36" s="20"/>
      <c r="K36" s="20"/>
      <c r="L36" s="20"/>
      <c r="M36" s="20"/>
      <c r="N36" s="23"/>
      <c r="O36" s="25"/>
      <c r="P36" s="23"/>
      <c r="Q36" s="20"/>
      <c r="R36" s="20"/>
      <c r="S36" s="20"/>
      <c r="T36" s="20"/>
      <c r="X36" s="28"/>
      <c r="Y36" s="28"/>
    </row>
    <row r="37" customFormat="false" ht="30" hidden="false" customHeight="true" outlineLevel="0" collapsed="false">
      <c r="B37" s="19"/>
      <c r="C37" s="38"/>
      <c r="D37" s="38"/>
      <c r="E37" s="23"/>
      <c r="F37" s="40"/>
      <c r="G37" s="41"/>
      <c r="H37" s="20"/>
      <c r="I37" s="20"/>
      <c r="J37" s="20"/>
      <c r="K37" s="20"/>
      <c r="L37" s="20"/>
      <c r="M37" s="20"/>
      <c r="N37" s="23"/>
      <c r="O37" s="25"/>
      <c r="P37" s="23"/>
      <c r="Q37" s="20"/>
      <c r="R37" s="20"/>
      <c r="S37" s="20"/>
      <c r="T37" s="20"/>
      <c r="U37" s="83" t="s">
        <v>136</v>
      </c>
      <c r="V37" s="83"/>
      <c r="X37" s="28"/>
      <c r="Y37" s="28"/>
    </row>
    <row r="38" customFormat="false" ht="30" hidden="false" customHeight="true" outlineLevel="0" collapsed="false">
      <c r="B38" s="19"/>
      <c r="C38" s="38"/>
      <c r="D38" s="38"/>
      <c r="E38" s="23"/>
      <c r="F38" s="55"/>
      <c r="G38" s="41"/>
      <c r="H38" s="20"/>
      <c r="I38" s="20"/>
      <c r="J38" s="20"/>
      <c r="K38" s="20"/>
      <c r="L38" s="20"/>
      <c r="M38" s="20"/>
      <c r="N38" s="23"/>
      <c r="O38" s="25"/>
      <c r="P38" s="23"/>
      <c r="Q38" s="20"/>
      <c r="R38" s="20"/>
      <c r="S38" s="20"/>
      <c r="T38" s="20"/>
      <c r="U38" s="83" t="s">
        <v>136</v>
      </c>
      <c r="V38" s="83"/>
      <c r="X38" s="28"/>
      <c r="Y38" s="28"/>
    </row>
    <row r="39" customFormat="false" ht="30" hidden="false" customHeight="true" outlineLevel="0" collapsed="false">
      <c r="B39" s="19"/>
      <c r="C39" s="38"/>
      <c r="D39" s="38"/>
      <c r="E39" s="23"/>
      <c r="F39" s="48"/>
      <c r="G39" s="41"/>
      <c r="H39" s="20"/>
      <c r="I39" s="20"/>
      <c r="J39" s="20"/>
      <c r="K39" s="20"/>
      <c r="L39" s="64"/>
      <c r="M39" s="20"/>
      <c r="N39" s="23"/>
      <c r="O39" s="25"/>
      <c r="P39" s="23"/>
      <c r="Q39" s="20"/>
      <c r="R39" s="20"/>
      <c r="S39" s="20"/>
      <c r="T39" s="20"/>
      <c r="X39" s="28"/>
      <c r="Y39" s="28"/>
    </row>
    <row r="40" customFormat="false" ht="30" hidden="false" customHeight="true" outlineLevel="0" collapsed="false">
      <c r="B40" s="19"/>
      <c r="C40" s="38"/>
      <c r="D40" s="38"/>
      <c r="E40" s="23"/>
      <c r="F40" s="48"/>
      <c r="G40" s="41"/>
      <c r="H40" s="20"/>
      <c r="I40" s="20"/>
      <c r="J40" s="20"/>
      <c r="K40" s="20"/>
      <c r="L40" s="64"/>
      <c r="M40" s="20"/>
      <c r="N40" s="23"/>
      <c r="O40" s="25"/>
      <c r="P40" s="23"/>
      <c r="Q40" s="20"/>
      <c r="R40" s="20"/>
      <c r="S40" s="20"/>
      <c r="T40" s="20"/>
      <c r="X40" s="28"/>
      <c r="Y40" s="28"/>
    </row>
    <row r="41" customFormat="false" ht="30" hidden="false" customHeight="true" outlineLevel="0" collapsed="false">
      <c r="B41" s="19"/>
      <c r="C41" s="38"/>
      <c r="D41" s="38"/>
      <c r="E41" s="23"/>
      <c r="F41" s="48"/>
      <c r="G41" s="41"/>
      <c r="H41" s="20"/>
      <c r="I41" s="20"/>
      <c r="J41" s="20"/>
      <c r="K41" s="20"/>
      <c r="L41" s="64"/>
      <c r="M41" s="20"/>
      <c r="N41" s="23"/>
      <c r="O41" s="25"/>
      <c r="P41" s="23" t="s">
        <v>108</v>
      </c>
      <c r="Q41" s="20"/>
      <c r="R41" s="20"/>
      <c r="S41" s="20"/>
      <c r="T41" s="20"/>
      <c r="X41" s="28"/>
      <c r="Y41" s="28"/>
    </row>
    <row r="42" customFormat="false" ht="30" hidden="false" customHeight="true" outlineLevel="0" collapsed="false">
      <c r="B42" s="19"/>
      <c r="C42" s="38"/>
      <c r="D42" s="38"/>
      <c r="E42" s="23"/>
      <c r="F42" s="84"/>
      <c r="G42" s="24"/>
      <c r="H42" s="20"/>
      <c r="I42" s="20"/>
      <c r="J42" s="20"/>
      <c r="K42" s="20"/>
      <c r="L42" s="64"/>
      <c r="M42" s="20"/>
      <c r="N42" s="23"/>
      <c r="O42" s="25"/>
      <c r="P42" s="23"/>
      <c r="Q42" s="20"/>
      <c r="R42" s="20"/>
      <c r="S42" s="20"/>
      <c r="T42" s="20"/>
      <c r="X42" s="28"/>
      <c r="Y42" s="28"/>
    </row>
    <row r="43" customFormat="false" ht="30" hidden="false" customHeight="true" outlineLevel="0" collapsed="false">
      <c r="B43" s="19"/>
      <c r="C43" s="38"/>
      <c r="D43" s="38"/>
      <c r="E43" s="23"/>
      <c r="F43" s="84"/>
      <c r="G43" s="24"/>
      <c r="H43" s="20"/>
      <c r="I43" s="20"/>
      <c r="J43" s="20"/>
      <c r="K43" s="20"/>
      <c r="L43" s="64"/>
      <c r="M43" s="20"/>
      <c r="N43" s="23"/>
      <c r="O43" s="25"/>
      <c r="P43" s="23"/>
      <c r="Q43" s="20"/>
      <c r="R43" s="20"/>
      <c r="S43" s="20"/>
      <c r="T43" s="20"/>
      <c r="X43" s="28"/>
      <c r="Y43" s="28"/>
    </row>
    <row r="44" customFormat="false" ht="30" hidden="false" customHeight="true" outlineLevel="0" collapsed="false">
      <c r="B44" s="19"/>
      <c r="C44" s="38"/>
      <c r="D44" s="38"/>
      <c r="E44" s="23"/>
      <c r="F44" s="84"/>
      <c r="G44" s="24"/>
      <c r="H44" s="20"/>
      <c r="I44" s="20"/>
      <c r="J44" s="20"/>
      <c r="K44" s="20"/>
      <c r="L44" s="64"/>
      <c r="M44" s="20"/>
      <c r="N44" s="23"/>
      <c r="O44" s="25"/>
      <c r="P44" s="23"/>
      <c r="Q44" s="20"/>
      <c r="R44" s="20"/>
      <c r="S44" s="20"/>
      <c r="T44" s="20"/>
      <c r="X44" s="28"/>
      <c r="Y44" s="28"/>
    </row>
    <row r="45" customFormat="false" ht="30" hidden="false" customHeight="true" outlineLevel="0" collapsed="false">
      <c r="B45" s="19"/>
      <c r="C45" s="38"/>
      <c r="D45" s="38"/>
      <c r="E45" s="23"/>
      <c r="F45" s="84"/>
      <c r="G45" s="24"/>
      <c r="H45" s="20"/>
      <c r="I45" s="20"/>
      <c r="J45" s="20"/>
      <c r="K45" s="20"/>
      <c r="L45" s="64"/>
      <c r="M45" s="20"/>
      <c r="N45" s="23"/>
      <c r="O45" s="25"/>
      <c r="P45" s="23"/>
      <c r="Q45" s="20"/>
      <c r="R45" s="20"/>
      <c r="S45" s="20"/>
      <c r="T45" s="20"/>
      <c r="X45" s="28"/>
      <c r="Y45" s="28"/>
    </row>
    <row r="46" customFormat="false" ht="30" hidden="false" customHeight="true" outlineLevel="0" collapsed="false">
      <c r="B46" s="19"/>
      <c r="C46" s="38"/>
      <c r="D46" s="38"/>
      <c r="E46" s="23"/>
      <c r="F46" s="84"/>
      <c r="G46" s="24"/>
      <c r="H46" s="20"/>
      <c r="I46" s="20"/>
      <c r="J46" s="20"/>
      <c r="K46" s="20"/>
      <c r="L46" s="64"/>
      <c r="M46" s="20"/>
      <c r="N46" s="23"/>
      <c r="O46" s="25"/>
      <c r="P46" s="23"/>
      <c r="Q46" s="20"/>
      <c r="R46" s="20"/>
      <c r="S46" s="20"/>
      <c r="T46" s="20"/>
      <c r="X46" s="28"/>
      <c r="Y46" s="28"/>
    </row>
    <row r="47" customFormat="false" ht="30" hidden="false" customHeight="true" outlineLevel="0" collapsed="false">
      <c r="B47" s="19"/>
      <c r="C47" s="38"/>
      <c r="D47" s="38"/>
      <c r="E47" s="23"/>
      <c r="F47" s="84"/>
      <c r="G47" s="24"/>
      <c r="H47" s="20"/>
      <c r="I47" s="20"/>
      <c r="J47" s="20"/>
      <c r="K47" s="20"/>
      <c r="L47" s="64"/>
      <c r="M47" s="20"/>
      <c r="N47" s="23"/>
      <c r="O47" s="25"/>
      <c r="P47" s="23"/>
      <c r="Q47" s="20"/>
      <c r="R47" s="20"/>
      <c r="S47" s="20"/>
      <c r="T47" s="20"/>
      <c r="X47" s="28"/>
      <c r="Y47" s="28"/>
    </row>
    <row r="48" customFormat="false" ht="30" hidden="false" customHeight="true" outlineLevel="0" collapsed="false">
      <c r="B48" s="19"/>
      <c r="C48" s="38"/>
      <c r="D48" s="38"/>
      <c r="E48" s="23"/>
      <c r="F48" s="84"/>
      <c r="G48" s="24"/>
      <c r="H48" s="20"/>
      <c r="I48" s="20"/>
      <c r="J48" s="20"/>
      <c r="K48" s="20"/>
      <c r="L48" s="64"/>
      <c r="M48" s="20"/>
      <c r="N48" s="23"/>
      <c r="O48" s="25"/>
      <c r="P48" s="23"/>
      <c r="Q48" s="20"/>
      <c r="R48" s="20"/>
      <c r="S48" s="20"/>
      <c r="T48" s="20"/>
      <c r="X48" s="28"/>
      <c r="Y48" s="28"/>
    </row>
    <row r="49" customFormat="false" ht="30" hidden="false" customHeight="true" outlineLevel="0" collapsed="false">
      <c r="B49" s="19"/>
      <c r="C49" s="38"/>
      <c r="D49" s="38"/>
      <c r="E49" s="23"/>
      <c r="F49" s="84"/>
      <c r="G49" s="24"/>
      <c r="H49" s="20"/>
      <c r="I49" s="20"/>
      <c r="J49" s="20"/>
      <c r="K49" s="20"/>
      <c r="L49" s="64"/>
      <c r="M49" s="20"/>
      <c r="N49" s="23"/>
      <c r="O49" s="25"/>
      <c r="P49" s="23"/>
      <c r="Q49" s="20"/>
      <c r="R49" s="20"/>
      <c r="S49" s="20"/>
      <c r="T49" s="20"/>
      <c r="X49" s="28"/>
      <c r="Y49" s="28"/>
    </row>
    <row r="50" customFormat="false" ht="30" hidden="false" customHeight="true" outlineLevel="0" collapsed="false">
      <c r="B50" s="19"/>
      <c r="C50" s="38"/>
      <c r="D50" s="38"/>
      <c r="E50" s="23"/>
      <c r="F50" s="84"/>
      <c r="G50" s="24"/>
      <c r="H50" s="20"/>
      <c r="I50" s="20"/>
      <c r="J50" s="20"/>
      <c r="K50" s="20"/>
      <c r="L50" s="64"/>
      <c r="M50" s="20"/>
      <c r="N50" s="23"/>
      <c r="O50" s="25"/>
      <c r="P50" s="23"/>
      <c r="Q50" s="20"/>
      <c r="R50" s="20"/>
      <c r="S50" s="20"/>
      <c r="T50" s="20"/>
      <c r="X50" s="28"/>
      <c r="Y50" s="28"/>
    </row>
    <row r="51" customFormat="false" ht="30" hidden="false" customHeight="true" outlineLevel="0" collapsed="false">
      <c r="B51" s="19"/>
      <c r="C51" s="38"/>
      <c r="D51" s="38"/>
      <c r="E51" s="23"/>
      <c r="F51" s="84"/>
      <c r="G51" s="24"/>
      <c r="H51" s="20"/>
      <c r="I51" s="20"/>
      <c r="J51" s="20"/>
      <c r="K51" s="20"/>
      <c r="L51" s="64"/>
      <c r="M51" s="20"/>
      <c r="N51" s="23"/>
      <c r="O51" s="25"/>
      <c r="P51" s="23"/>
      <c r="Q51" s="20"/>
      <c r="R51" s="20"/>
      <c r="S51" s="20"/>
      <c r="T51" s="20"/>
      <c r="X51" s="28"/>
      <c r="Y51" s="28"/>
    </row>
    <row r="52" customFormat="false" ht="30" hidden="false" customHeight="true" outlineLevel="0" collapsed="false">
      <c r="B52" s="19"/>
      <c r="C52" s="38"/>
      <c r="D52" s="38"/>
      <c r="E52" s="23"/>
      <c r="F52" s="84"/>
      <c r="G52" s="24"/>
      <c r="H52" s="20"/>
      <c r="I52" s="20"/>
      <c r="J52" s="20"/>
      <c r="K52" s="20"/>
      <c r="L52" s="64"/>
      <c r="M52" s="20"/>
      <c r="N52" s="23"/>
      <c r="O52" s="25"/>
      <c r="P52" s="23"/>
      <c r="Q52" s="20"/>
      <c r="R52" s="20"/>
      <c r="S52" s="20"/>
      <c r="T52" s="20"/>
      <c r="X52" s="28"/>
      <c r="Y52" s="28"/>
    </row>
    <row r="53" customFormat="false" ht="30" hidden="false" customHeight="true" outlineLevel="0" collapsed="false">
      <c r="B53" s="19"/>
      <c r="C53" s="38"/>
      <c r="D53" s="38"/>
      <c r="E53" s="23"/>
      <c r="F53" s="84"/>
      <c r="G53" s="24"/>
      <c r="H53" s="20"/>
      <c r="I53" s="20"/>
      <c r="J53" s="20"/>
      <c r="K53" s="20"/>
      <c r="L53" s="64"/>
      <c r="M53" s="20"/>
      <c r="N53" s="23"/>
      <c r="O53" s="25"/>
      <c r="P53" s="23"/>
      <c r="Q53" s="20"/>
      <c r="R53" s="20"/>
      <c r="S53" s="20"/>
      <c r="T53" s="20"/>
      <c r="X53" s="28"/>
      <c r="Y53" s="28"/>
    </row>
    <row r="54" customFormat="false" ht="30" hidden="false" customHeight="true" outlineLevel="0" collapsed="false">
      <c r="B54" s="19"/>
      <c r="C54" s="38"/>
      <c r="D54" s="38"/>
      <c r="E54" s="23"/>
      <c r="F54" s="84"/>
      <c r="G54" s="24"/>
      <c r="H54" s="20"/>
      <c r="I54" s="20"/>
      <c r="J54" s="20"/>
      <c r="K54" s="20"/>
      <c r="L54" s="64"/>
      <c r="M54" s="20"/>
      <c r="N54" s="23"/>
      <c r="O54" s="25"/>
      <c r="P54" s="23"/>
      <c r="Q54" s="20"/>
      <c r="R54" s="20"/>
      <c r="S54" s="20"/>
      <c r="T54" s="20"/>
      <c r="X54" s="28"/>
      <c r="Y54" s="28"/>
    </row>
    <row r="55" customFormat="false" ht="30" hidden="false" customHeight="true" outlineLevel="0" collapsed="false">
      <c r="B55" s="19"/>
      <c r="C55" s="38"/>
      <c r="D55" s="38"/>
      <c r="E55" s="23"/>
      <c r="F55" s="84"/>
      <c r="G55" s="24"/>
      <c r="H55" s="20"/>
      <c r="I55" s="20"/>
      <c r="J55" s="20"/>
      <c r="K55" s="20"/>
      <c r="L55" s="64"/>
      <c r="M55" s="20"/>
      <c r="N55" s="23"/>
      <c r="O55" s="25"/>
      <c r="P55" s="23"/>
      <c r="Q55" s="20"/>
      <c r="R55" s="20"/>
      <c r="S55" s="20"/>
      <c r="T55" s="20"/>
      <c r="X55" s="28"/>
      <c r="Y55" s="28"/>
    </row>
    <row r="56" customFormat="false" ht="30" hidden="false" customHeight="true" outlineLevel="0" collapsed="false">
      <c r="B56" s="19"/>
      <c r="C56" s="38"/>
      <c r="D56" s="38"/>
      <c r="E56" s="23"/>
      <c r="F56" s="84"/>
      <c r="G56" s="24"/>
      <c r="H56" s="20"/>
      <c r="I56" s="20"/>
      <c r="J56" s="20"/>
      <c r="K56" s="20"/>
      <c r="L56" s="64"/>
      <c r="M56" s="20"/>
      <c r="N56" s="23"/>
      <c r="O56" s="25"/>
      <c r="P56" s="23"/>
      <c r="Q56" s="20"/>
      <c r="R56" s="20"/>
      <c r="S56" s="20"/>
      <c r="T56" s="20"/>
      <c r="X56" s="28"/>
      <c r="Y56" s="28"/>
    </row>
    <row r="57" customFormat="false" ht="30" hidden="false" customHeight="true" outlineLevel="0" collapsed="false">
      <c r="B57" s="19"/>
      <c r="C57" s="38"/>
      <c r="D57" s="38"/>
      <c r="E57" s="23"/>
      <c r="F57" s="84"/>
      <c r="G57" s="24"/>
      <c r="H57" s="20"/>
      <c r="I57" s="20"/>
      <c r="J57" s="20"/>
      <c r="K57" s="20"/>
      <c r="L57" s="64"/>
      <c r="M57" s="20"/>
      <c r="N57" s="23"/>
      <c r="O57" s="25"/>
      <c r="P57" s="23"/>
      <c r="Q57" s="20"/>
      <c r="R57" s="20"/>
      <c r="S57" s="20"/>
      <c r="T57" s="20"/>
      <c r="X57" s="28"/>
      <c r="Y57" s="28"/>
    </row>
    <row r="58" customFormat="false" ht="30" hidden="false" customHeight="true" outlineLevel="0" collapsed="false">
      <c r="B58" s="19"/>
      <c r="C58" s="38"/>
      <c r="D58" s="38"/>
      <c r="E58" s="23"/>
      <c r="F58" s="84"/>
      <c r="G58" s="24"/>
      <c r="H58" s="20"/>
      <c r="I58" s="20"/>
      <c r="J58" s="20"/>
      <c r="K58" s="20"/>
      <c r="L58" s="64"/>
      <c r="M58" s="20"/>
      <c r="N58" s="23"/>
      <c r="O58" s="25"/>
      <c r="P58" s="23"/>
      <c r="Q58" s="20"/>
      <c r="R58" s="20"/>
      <c r="S58" s="20"/>
      <c r="T58" s="20"/>
      <c r="X58" s="28"/>
      <c r="Y58" s="28"/>
    </row>
    <row r="59" customFormat="false" ht="30" hidden="false" customHeight="true" outlineLevel="0" collapsed="false">
      <c r="B59" s="19"/>
      <c r="C59" s="38"/>
      <c r="D59" s="38"/>
      <c r="E59" s="23"/>
      <c r="F59" s="84"/>
      <c r="G59" s="24"/>
      <c r="H59" s="20"/>
      <c r="I59" s="20"/>
      <c r="J59" s="20"/>
      <c r="K59" s="20"/>
      <c r="L59" s="64"/>
      <c r="M59" s="20"/>
      <c r="N59" s="23"/>
      <c r="O59" s="25"/>
      <c r="P59" s="23"/>
      <c r="Q59" s="20"/>
      <c r="R59" s="20"/>
      <c r="S59" s="20"/>
      <c r="T59" s="20"/>
      <c r="X59" s="28"/>
      <c r="Y59" s="28"/>
    </row>
    <row r="60" customFormat="false" ht="30" hidden="false" customHeight="true" outlineLevel="0" collapsed="false">
      <c r="B60" s="19"/>
      <c r="C60" s="38"/>
      <c r="D60" s="38"/>
      <c r="E60" s="23"/>
      <c r="F60" s="84"/>
      <c r="G60" s="24"/>
      <c r="H60" s="20"/>
      <c r="I60" s="20"/>
      <c r="J60" s="20"/>
      <c r="K60" s="20"/>
      <c r="L60" s="64"/>
      <c r="M60" s="20"/>
      <c r="N60" s="23"/>
      <c r="O60" s="25"/>
      <c r="P60" s="23"/>
      <c r="Q60" s="20"/>
      <c r="R60" s="20"/>
      <c r="S60" s="20"/>
      <c r="T60" s="20"/>
      <c r="X60" s="28"/>
      <c r="Y60" s="28"/>
    </row>
    <row r="61" customFormat="false" ht="30" hidden="false" customHeight="true" outlineLevel="0" collapsed="false">
      <c r="B61" s="19"/>
      <c r="C61" s="38"/>
      <c r="D61" s="38"/>
      <c r="E61" s="23"/>
      <c r="F61" s="84"/>
      <c r="G61" s="24"/>
      <c r="H61" s="20"/>
      <c r="I61" s="20"/>
      <c r="J61" s="20"/>
      <c r="K61" s="20"/>
      <c r="L61" s="64"/>
      <c r="M61" s="20"/>
      <c r="N61" s="23"/>
      <c r="O61" s="25"/>
      <c r="P61" s="23"/>
      <c r="Q61" s="20"/>
      <c r="R61" s="20"/>
      <c r="S61" s="20"/>
      <c r="T61" s="20"/>
      <c r="X61" s="28"/>
      <c r="Y61" s="28"/>
    </row>
    <row r="62" customFormat="false" ht="30" hidden="false" customHeight="true" outlineLevel="0" collapsed="false">
      <c r="B62" s="19"/>
      <c r="C62" s="38"/>
      <c r="D62" s="38"/>
      <c r="E62" s="23"/>
      <c r="F62" s="84"/>
      <c r="G62" s="24"/>
      <c r="H62" s="20"/>
      <c r="I62" s="20"/>
      <c r="J62" s="20"/>
      <c r="K62" s="20"/>
      <c r="L62" s="64"/>
      <c r="M62" s="20"/>
      <c r="N62" s="23"/>
      <c r="O62" s="25"/>
      <c r="P62" s="23"/>
      <c r="Q62" s="20"/>
      <c r="R62" s="20"/>
      <c r="S62" s="20"/>
      <c r="T62" s="20"/>
      <c r="X62" s="28"/>
      <c r="Y62" s="28"/>
    </row>
    <row r="63" customFormat="false" ht="30" hidden="false" customHeight="true" outlineLevel="0" collapsed="false">
      <c r="B63" s="19"/>
      <c r="C63" s="38"/>
      <c r="D63" s="38"/>
      <c r="E63" s="23"/>
      <c r="F63" s="84"/>
      <c r="G63" s="24"/>
      <c r="H63" s="20"/>
      <c r="I63" s="20"/>
      <c r="J63" s="20"/>
      <c r="K63" s="20"/>
      <c r="L63" s="64"/>
      <c r="M63" s="20"/>
      <c r="N63" s="23"/>
      <c r="O63" s="25"/>
      <c r="P63" s="23"/>
      <c r="Q63" s="20"/>
      <c r="R63" s="20"/>
      <c r="S63" s="20"/>
      <c r="T63" s="20"/>
      <c r="X63" s="28"/>
      <c r="Y63" s="28"/>
    </row>
    <row r="64" customFormat="false" ht="30" hidden="false" customHeight="true" outlineLevel="0" collapsed="false">
      <c r="B64" s="19"/>
      <c r="C64" s="38"/>
      <c r="D64" s="38"/>
      <c r="E64" s="23"/>
      <c r="F64" s="84"/>
      <c r="G64" s="24"/>
      <c r="H64" s="20"/>
      <c r="I64" s="20"/>
      <c r="J64" s="20"/>
      <c r="K64" s="20"/>
      <c r="L64" s="64"/>
      <c r="M64" s="20"/>
      <c r="N64" s="23"/>
      <c r="O64" s="25"/>
      <c r="P64" s="23"/>
      <c r="Q64" s="20"/>
      <c r="R64" s="20"/>
      <c r="S64" s="20"/>
      <c r="T64" s="20"/>
      <c r="X64" s="28"/>
      <c r="Y64" s="28"/>
    </row>
    <row r="65" customFormat="false" ht="30" hidden="false" customHeight="true" outlineLevel="0" collapsed="false">
      <c r="B65" s="19"/>
      <c r="C65" s="38"/>
      <c r="D65" s="38"/>
      <c r="E65" s="23"/>
      <c r="F65" s="84"/>
      <c r="G65" s="24"/>
      <c r="H65" s="20"/>
      <c r="I65" s="20"/>
      <c r="J65" s="20"/>
      <c r="K65" s="20"/>
      <c r="L65" s="64"/>
      <c r="M65" s="20"/>
      <c r="N65" s="23"/>
      <c r="O65" s="25"/>
      <c r="P65" s="23"/>
      <c r="Q65" s="20"/>
      <c r="R65" s="20"/>
      <c r="S65" s="20"/>
      <c r="T65" s="20"/>
      <c r="X65" s="28"/>
      <c r="Y65" s="28"/>
    </row>
    <row r="66" customFormat="false" ht="30" hidden="false" customHeight="true" outlineLevel="0" collapsed="false">
      <c r="B66" s="19"/>
      <c r="C66" s="38"/>
      <c r="D66" s="38"/>
      <c r="E66" s="23"/>
      <c r="F66" s="84"/>
      <c r="G66" s="24"/>
      <c r="H66" s="20"/>
      <c r="I66" s="20"/>
      <c r="J66" s="20"/>
      <c r="K66" s="20"/>
      <c r="L66" s="64"/>
      <c r="M66" s="20"/>
      <c r="N66" s="23"/>
      <c r="O66" s="25"/>
      <c r="P66" s="23"/>
      <c r="Q66" s="20"/>
      <c r="R66" s="20"/>
      <c r="S66" s="20"/>
      <c r="T66" s="20"/>
      <c r="X66" s="28"/>
      <c r="Y66" s="28"/>
    </row>
    <row r="67" customFormat="false" ht="30" hidden="false" customHeight="true" outlineLevel="0" collapsed="false">
      <c r="B67" s="19"/>
      <c r="C67" s="38"/>
      <c r="D67" s="38"/>
      <c r="E67" s="23"/>
      <c r="F67" s="84"/>
      <c r="G67" s="24"/>
      <c r="H67" s="20"/>
      <c r="I67" s="20"/>
      <c r="J67" s="20"/>
      <c r="K67" s="20"/>
      <c r="L67" s="64"/>
      <c r="M67" s="20"/>
      <c r="N67" s="23"/>
      <c r="O67" s="25"/>
      <c r="P67" s="23"/>
      <c r="Q67" s="20"/>
      <c r="R67" s="20"/>
      <c r="S67" s="20"/>
      <c r="T67" s="20"/>
      <c r="X67" s="28"/>
      <c r="Y67" s="28"/>
    </row>
    <row r="68" customFormat="false" ht="30" hidden="false" customHeight="true" outlineLevel="0" collapsed="false">
      <c r="B68" s="19"/>
      <c r="C68" s="38"/>
      <c r="D68" s="38"/>
      <c r="E68" s="23"/>
      <c r="F68" s="84"/>
      <c r="G68" s="24"/>
      <c r="H68" s="20"/>
      <c r="I68" s="20"/>
      <c r="J68" s="20"/>
      <c r="K68" s="20"/>
      <c r="L68" s="64"/>
      <c r="M68" s="20"/>
      <c r="N68" s="23"/>
      <c r="O68" s="25"/>
      <c r="P68" s="23"/>
      <c r="Q68" s="20"/>
      <c r="R68" s="20"/>
      <c r="S68" s="20"/>
      <c r="T68" s="20"/>
      <c r="X68" s="28"/>
      <c r="Y68" s="28"/>
    </row>
    <row r="69" customFormat="false" ht="30" hidden="false" customHeight="true" outlineLevel="0" collapsed="false">
      <c r="B69" s="19"/>
      <c r="C69" s="38"/>
      <c r="D69" s="38"/>
      <c r="E69" s="23"/>
      <c r="F69" s="84"/>
      <c r="G69" s="24"/>
      <c r="H69" s="20"/>
      <c r="I69" s="20"/>
      <c r="J69" s="20"/>
      <c r="K69" s="20"/>
      <c r="L69" s="64"/>
      <c r="M69" s="20"/>
      <c r="N69" s="23"/>
      <c r="O69" s="25"/>
      <c r="P69" s="23"/>
      <c r="Q69" s="20"/>
      <c r="R69" s="20"/>
      <c r="S69" s="20"/>
      <c r="T69" s="20"/>
      <c r="X69" s="28"/>
      <c r="Y69" s="28"/>
    </row>
    <row r="70" customFormat="false" ht="30" hidden="false" customHeight="true" outlineLevel="0" collapsed="false">
      <c r="B70" s="19"/>
      <c r="C70" s="38"/>
      <c r="D70" s="38"/>
      <c r="E70" s="23"/>
      <c r="F70" s="84"/>
      <c r="G70" s="24"/>
      <c r="H70" s="20"/>
      <c r="I70" s="20"/>
      <c r="J70" s="20"/>
      <c r="K70" s="20"/>
      <c r="L70" s="64"/>
      <c r="M70" s="20"/>
      <c r="N70" s="23"/>
      <c r="O70" s="25"/>
      <c r="P70" s="23"/>
      <c r="Q70" s="20"/>
      <c r="R70" s="20"/>
      <c r="S70" s="20"/>
      <c r="T70" s="20"/>
      <c r="X70" s="28"/>
      <c r="Y70" s="28"/>
    </row>
    <row r="71" customFormat="false" ht="30" hidden="false" customHeight="true" outlineLevel="0" collapsed="false">
      <c r="B71" s="19"/>
      <c r="C71" s="38"/>
      <c r="D71" s="38"/>
      <c r="E71" s="23"/>
      <c r="F71" s="84"/>
      <c r="G71" s="24"/>
      <c r="H71" s="20"/>
      <c r="I71" s="20"/>
      <c r="J71" s="20"/>
      <c r="K71" s="20"/>
      <c r="L71" s="64"/>
      <c r="M71" s="20"/>
      <c r="N71" s="23"/>
      <c r="O71" s="25"/>
      <c r="P71" s="23"/>
      <c r="Q71" s="20"/>
      <c r="R71" s="20"/>
      <c r="S71" s="20"/>
      <c r="T71" s="20"/>
      <c r="X71" s="28"/>
      <c r="Y71" s="28"/>
    </row>
    <row r="72" customFormat="false" ht="30" hidden="false" customHeight="true" outlineLevel="0" collapsed="false">
      <c r="B72" s="19"/>
      <c r="C72" s="38"/>
      <c r="D72" s="38"/>
      <c r="E72" s="23"/>
      <c r="F72" s="84"/>
      <c r="G72" s="24"/>
      <c r="H72" s="20"/>
      <c r="I72" s="20"/>
      <c r="J72" s="20"/>
      <c r="K72" s="20"/>
      <c r="L72" s="64"/>
      <c r="M72" s="20"/>
      <c r="N72" s="23"/>
      <c r="O72" s="25"/>
      <c r="P72" s="23"/>
      <c r="Q72" s="20"/>
      <c r="R72" s="20"/>
      <c r="S72" s="20"/>
      <c r="T72" s="20"/>
      <c r="X72" s="28"/>
      <c r="Y72" s="28"/>
    </row>
    <row r="73" customFormat="false" ht="30" hidden="false" customHeight="true" outlineLevel="0" collapsed="false">
      <c r="B73" s="19"/>
      <c r="C73" s="38"/>
      <c r="D73" s="38"/>
      <c r="E73" s="23"/>
      <c r="F73" s="84"/>
      <c r="G73" s="24"/>
      <c r="H73" s="20"/>
      <c r="I73" s="20"/>
      <c r="J73" s="20"/>
      <c r="K73" s="20"/>
      <c r="L73" s="64"/>
      <c r="M73" s="20"/>
      <c r="N73" s="23"/>
      <c r="O73" s="25"/>
      <c r="P73" s="23"/>
      <c r="Q73" s="20"/>
      <c r="R73" s="20"/>
      <c r="S73" s="20"/>
      <c r="T73" s="20"/>
      <c r="X73" s="28"/>
      <c r="Y73" s="28"/>
    </row>
    <row r="74" customFormat="false" ht="30" hidden="false" customHeight="true" outlineLevel="0" collapsed="false">
      <c r="B74" s="19"/>
      <c r="C74" s="38"/>
      <c r="D74" s="38"/>
      <c r="E74" s="23"/>
      <c r="F74" s="84"/>
      <c r="G74" s="24"/>
      <c r="H74" s="20"/>
      <c r="I74" s="20"/>
      <c r="J74" s="20"/>
      <c r="K74" s="20"/>
      <c r="L74" s="64"/>
      <c r="M74" s="20"/>
      <c r="N74" s="23"/>
      <c r="O74" s="25"/>
      <c r="P74" s="23"/>
      <c r="Q74" s="20"/>
      <c r="R74" s="20"/>
      <c r="S74" s="20"/>
      <c r="T74" s="20"/>
      <c r="X74" s="28"/>
      <c r="Y74" s="28"/>
    </row>
    <row r="75" customFormat="false" ht="30" hidden="false" customHeight="true" outlineLevel="0" collapsed="false">
      <c r="B75" s="19"/>
      <c r="C75" s="38"/>
      <c r="D75" s="38"/>
      <c r="E75" s="23"/>
      <c r="F75" s="84"/>
      <c r="G75" s="24"/>
      <c r="H75" s="20"/>
      <c r="I75" s="20"/>
      <c r="J75" s="20"/>
      <c r="K75" s="20"/>
      <c r="L75" s="64"/>
      <c r="M75" s="20"/>
      <c r="N75" s="23"/>
      <c r="O75" s="25"/>
      <c r="P75" s="23"/>
      <c r="Q75" s="20"/>
      <c r="R75" s="20"/>
      <c r="S75" s="20"/>
      <c r="T75" s="20"/>
      <c r="X75" s="28"/>
      <c r="Y75" s="28"/>
    </row>
    <row r="76" customFormat="false" ht="30" hidden="false" customHeight="true" outlineLevel="0" collapsed="false">
      <c r="B76" s="19"/>
      <c r="C76" s="38"/>
      <c r="D76" s="38"/>
      <c r="E76" s="23"/>
      <c r="F76" s="84"/>
      <c r="G76" s="24"/>
      <c r="H76" s="20"/>
      <c r="I76" s="20"/>
      <c r="J76" s="20"/>
      <c r="K76" s="20"/>
      <c r="L76" s="64"/>
      <c r="M76" s="20"/>
      <c r="N76" s="23"/>
      <c r="O76" s="25"/>
      <c r="P76" s="23"/>
      <c r="Q76" s="20"/>
      <c r="R76" s="20"/>
      <c r="S76" s="20"/>
      <c r="T76" s="20"/>
      <c r="X76" s="28"/>
      <c r="Y76" s="28"/>
    </row>
    <row r="77" customFormat="false" ht="30" hidden="false" customHeight="true" outlineLevel="0" collapsed="false">
      <c r="B77" s="19"/>
      <c r="C77" s="38"/>
      <c r="D77" s="38"/>
      <c r="E77" s="23"/>
      <c r="F77" s="84"/>
      <c r="G77" s="24"/>
      <c r="H77" s="20"/>
      <c r="I77" s="20"/>
      <c r="J77" s="20"/>
      <c r="K77" s="20"/>
      <c r="L77" s="64"/>
      <c r="M77" s="20"/>
      <c r="N77" s="23"/>
      <c r="O77" s="25"/>
      <c r="P77" s="23"/>
      <c r="Q77" s="20"/>
      <c r="R77" s="20"/>
      <c r="S77" s="20"/>
      <c r="T77" s="20"/>
      <c r="X77" s="28"/>
      <c r="Y77" s="28"/>
    </row>
    <row r="78" customFormat="false" ht="30" hidden="false" customHeight="true" outlineLevel="0" collapsed="false">
      <c r="B78" s="19"/>
      <c r="C78" s="38"/>
      <c r="D78" s="38"/>
      <c r="E78" s="23"/>
      <c r="F78" s="84"/>
      <c r="G78" s="24"/>
      <c r="H78" s="20"/>
      <c r="I78" s="20"/>
      <c r="J78" s="20"/>
      <c r="K78" s="20"/>
      <c r="L78" s="64"/>
      <c r="M78" s="20"/>
      <c r="N78" s="23"/>
      <c r="O78" s="25"/>
      <c r="P78" s="23"/>
      <c r="Q78" s="20"/>
      <c r="R78" s="20"/>
      <c r="S78" s="20"/>
      <c r="T78" s="20"/>
      <c r="X78" s="28"/>
      <c r="Y78" s="28"/>
    </row>
    <row r="79" customFormat="false" ht="30" hidden="false" customHeight="true" outlineLevel="0" collapsed="false">
      <c r="B79" s="19"/>
      <c r="C79" s="38"/>
      <c r="D79" s="38"/>
      <c r="E79" s="23"/>
      <c r="F79" s="84"/>
      <c r="G79" s="24"/>
      <c r="H79" s="20"/>
      <c r="I79" s="20"/>
      <c r="J79" s="20"/>
      <c r="K79" s="20"/>
      <c r="L79" s="64"/>
      <c r="M79" s="20"/>
      <c r="N79" s="23"/>
      <c r="O79" s="25"/>
      <c r="P79" s="23"/>
      <c r="Q79" s="20"/>
      <c r="R79" s="20"/>
      <c r="S79" s="20"/>
      <c r="T79" s="20"/>
      <c r="X79" s="28"/>
      <c r="Y79" s="28"/>
    </row>
    <row r="80" customFormat="false" ht="30" hidden="false" customHeight="true" outlineLevel="0" collapsed="false">
      <c r="B80" s="19"/>
      <c r="C80" s="38"/>
      <c r="D80" s="38"/>
      <c r="E80" s="23"/>
      <c r="F80" s="84"/>
      <c r="G80" s="24"/>
      <c r="H80" s="20"/>
      <c r="I80" s="20"/>
      <c r="J80" s="20"/>
      <c r="K80" s="20"/>
      <c r="L80" s="64"/>
      <c r="M80" s="20"/>
      <c r="N80" s="23"/>
      <c r="O80" s="25"/>
      <c r="P80" s="23"/>
      <c r="Q80" s="20"/>
      <c r="R80" s="20"/>
      <c r="S80" s="20"/>
      <c r="T80" s="20"/>
      <c r="X80" s="28"/>
      <c r="Y80" s="28"/>
    </row>
    <row r="81" customFormat="false" ht="30" hidden="false" customHeight="true" outlineLevel="0" collapsed="false">
      <c r="B81" s="19"/>
      <c r="C81" s="38"/>
      <c r="D81" s="38"/>
      <c r="E81" s="23"/>
      <c r="F81" s="84"/>
      <c r="G81" s="24"/>
      <c r="H81" s="20"/>
      <c r="I81" s="20"/>
      <c r="J81" s="20"/>
      <c r="K81" s="20"/>
      <c r="L81" s="64"/>
      <c r="M81" s="20"/>
      <c r="N81" s="23"/>
      <c r="O81" s="25"/>
      <c r="P81" s="23"/>
      <c r="Q81" s="20"/>
      <c r="R81" s="20"/>
      <c r="S81" s="20"/>
      <c r="T81" s="20"/>
      <c r="X81" s="28"/>
      <c r="Y81" s="28"/>
    </row>
    <row r="82" customFormat="false" ht="30" hidden="false" customHeight="true" outlineLevel="0" collapsed="false">
      <c r="B82" s="19"/>
      <c r="C82" s="38"/>
      <c r="D82" s="38"/>
      <c r="E82" s="23"/>
      <c r="F82" s="84"/>
      <c r="G82" s="24"/>
      <c r="H82" s="20"/>
      <c r="I82" s="20"/>
      <c r="J82" s="20"/>
      <c r="K82" s="20"/>
      <c r="L82" s="64"/>
      <c r="M82" s="20"/>
      <c r="N82" s="23"/>
      <c r="O82" s="25"/>
      <c r="P82" s="23"/>
      <c r="Q82" s="20"/>
      <c r="R82" s="20"/>
      <c r="S82" s="20"/>
      <c r="T82" s="20"/>
      <c r="X82" s="28"/>
      <c r="Y82" s="28"/>
    </row>
    <row r="83" customFormat="false" ht="30" hidden="false" customHeight="true" outlineLevel="0" collapsed="false">
      <c r="B83" s="19"/>
      <c r="C83" s="38"/>
      <c r="D83" s="38"/>
      <c r="E83" s="23"/>
      <c r="F83" s="84"/>
      <c r="G83" s="24"/>
      <c r="H83" s="20"/>
      <c r="I83" s="20"/>
      <c r="J83" s="20"/>
      <c r="K83" s="20"/>
      <c r="L83" s="64"/>
      <c r="M83" s="20"/>
      <c r="N83" s="23"/>
      <c r="O83" s="25"/>
      <c r="P83" s="23"/>
      <c r="Q83" s="20"/>
      <c r="R83" s="20"/>
      <c r="S83" s="20"/>
      <c r="T83" s="20"/>
      <c r="X83" s="28"/>
      <c r="Y83" s="28"/>
    </row>
    <row r="84" customFormat="false" ht="30" hidden="false" customHeight="true" outlineLevel="0" collapsed="false">
      <c r="B84" s="19"/>
      <c r="C84" s="38"/>
      <c r="D84" s="38"/>
      <c r="E84" s="23"/>
      <c r="F84" s="84"/>
      <c r="G84" s="24"/>
      <c r="H84" s="20"/>
      <c r="I84" s="20"/>
      <c r="J84" s="20"/>
      <c r="K84" s="20"/>
      <c r="L84" s="64"/>
      <c r="M84" s="20"/>
      <c r="N84" s="23"/>
      <c r="O84" s="25"/>
      <c r="P84" s="23"/>
      <c r="Q84" s="20"/>
      <c r="R84" s="20"/>
      <c r="S84" s="20"/>
      <c r="T84" s="20"/>
      <c r="X84" s="28"/>
      <c r="Y84" s="28"/>
    </row>
    <row r="85" customFormat="false" ht="30" hidden="false" customHeight="true" outlineLevel="0" collapsed="false">
      <c r="B85" s="19"/>
      <c r="C85" s="38"/>
      <c r="D85" s="38"/>
      <c r="E85" s="23"/>
      <c r="F85" s="84"/>
      <c r="G85" s="24"/>
      <c r="H85" s="20"/>
      <c r="I85" s="20"/>
      <c r="J85" s="20"/>
      <c r="K85" s="20"/>
      <c r="L85" s="64"/>
      <c r="M85" s="20"/>
      <c r="N85" s="23"/>
      <c r="O85" s="25"/>
      <c r="P85" s="23"/>
      <c r="Q85" s="20"/>
      <c r="R85" s="20"/>
      <c r="S85" s="20"/>
      <c r="T85" s="20"/>
      <c r="X85" s="28"/>
      <c r="Y85" s="28"/>
    </row>
    <row r="86" customFormat="false" ht="30" hidden="false" customHeight="true" outlineLevel="0" collapsed="false">
      <c r="B86" s="19"/>
      <c r="C86" s="38"/>
      <c r="D86" s="38"/>
      <c r="E86" s="23"/>
      <c r="F86" s="84"/>
      <c r="G86" s="24"/>
      <c r="H86" s="20"/>
      <c r="I86" s="20"/>
      <c r="J86" s="20"/>
      <c r="K86" s="20"/>
      <c r="L86" s="64"/>
      <c r="M86" s="20"/>
      <c r="N86" s="23"/>
      <c r="O86" s="25"/>
      <c r="P86" s="23"/>
      <c r="Q86" s="20"/>
      <c r="R86" s="20"/>
      <c r="S86" s="20"/>
      <c r="T86" s="20"/>
      <c r="X86" s="28"/>
      <c r="Y86" s="28"/>
    </row>
    <row r="87" customFormat="false" ht="30" hidden="false" customHeight="true" outlineLevel="0" collapsed="false">
      <c r="B87" s="19"/>
      <c r="C87" s="38"/>
      <c r="D87" s="38"/>
      <c r="E87" s="23"/>
      <c r="F87" s="84"/>
      <c r="G87" s="24"/>
      <c r="H87" s="20"/>
      <c r="I87" s="20"/>
      <c r="J87" s="20"/>
      <c r="K87" s="20"/>
      <c r="L87" s="64"/>
      <c r="M87" s="20"/>
      <c r="N87" s="23"/>
      <c r="O87" s="25"/>
      <c r="P87" s="23"/>
      <c r="Q87" s="20"/>
      <c r="R87" s="20"/>
      <c r="S87" s="20"/>
      <c r="T87" s="20"/>
      <c r="X87" s="28"/>
      <c r="Y87" s="28"/>
    </row>
    <row r="88" customFormat="false" ht="30" hidden="false" customHeight="true" outlineLevel="0" collapsed="false">
      <c r="B88" s="19"/>
      <c r="C88" s="38"/>
      <c r="D88" s="38"/>
      <c r="E88" s="23"/>
      <c r="F88" s="84"/>
      <c r="G88" s="24"/>
      <c r="H88" s="20"/>
      <c r="I88" s="20"/>
      <c r="J88" s="20"/>
      <c r="K88" s="20"/>
      <c r="L88" s="64"/>
      <c r="M88" s="20"/>
      <c r="N88" s="23"/>
      <c r="O88" s="25"/>
      <c r="P88" s="23"/>
      <c r="Q88" s="20"/>
      <c r="R88" s="20"/>
      <c r="S88" s="20"/>
      <c r="T88" s="20"/>
      <c r="X88" s="28"/>
      <c r="Y88" s="28"/>
    </row>
    <row r="89" customFormat="false" ht="30" hidden="false" customHeight="true" outlineLevel="0" collapsed="false">
      <c r="B89" s="19"/>
      <c r="C89" s="38"/>
      <c r="D89" s="38"/>
      <c r="E89" s="23"/>
      <c r="F89" s="84"/>
      <c r="G89" s="24"/>
      <c r="H89" s="20"/>
      <c r="I89" s="20"/>
      <c r="J89" s="20"/>
      <c r="K89" s="20"/>
      <c r="L89" s="64"/>
      <c r="M89" s="20"/>
      <c r="N89" s="23"/>
      <c r="O89" s="25"/>
      <c r="P89" s="23"/>
      <c r="Q89" s="20"/>
      <c r="R89" s="20"/>
      <c r="S89" s="20"/>
      <c r="T89" s="20"/>
      <c r="X89" s="28"/>
      <c r="Y89" s="28"/>
    </row>
    <row r="90" customFormat="false" ht="30" hidden="false" customHeight="true" outlineLevel="0" collapsed="false">
      <c r="B90" s="19"/>
      <c r="C90" s="38"/>
      <c r="D90" s="38"/>
      <c r="E90" s="23"/>
      <c r="F90" s="84"/>
      <c r="G90" s="24"/>
      <c r="H90" s="20"/>
      <c r="I90" s="20"/>
      <c r="J90" s="20"/>
      <c r="K90" s="20"/>
      <c r="L90" s="64"/>
      <c r="M90" s="20"/>
      <c r="N90" s="23"/>
      <c r="O90" s="25"/>
      <c r="P90" s="23"/>
      <c r="Q90" s="20"/>
      <c r="R90" s="20"/>
      <c r="S90" s="20"/>
      <c r="T90" s="20"/>
      <c r="X90" s="28"/>
      <c r="Y90" s="28"/>
    </row>
    <row r="91" customFormat="false" ht="30" hidden="false" customHeight="true" outlineLevel="0" collapsed="false">
      <c r="B91" s="19"/>
      <c r="C91" s="38"/>
      <c r="D91" s="38"/>
      <c r="E91" s="23"/>
      <c r="F91" s="84"/>
      <c r="G91" s="24"/>
      <c r="H91" s="20"/>
      <c r="I91" s="20"/>
      <c r="J91" s="20"/>
      <c r="K91" s="20"/>
      <c r="L91" s="64"/>
      <c r="M91" s="20"/>
      <c r="N91" s="23"/>
      <c r="O91" s="25"/>
      <c r="P91" s="23"/>
      <c r="Q91" s="20"/>
      <c r="R91" s="20"/>
      <c r="S91" s="20"/>
      <c r="T91" s="20"/>
      <c r="X91" s="28"/>
      <c r="Y91" s="28"/>
    </row>
    <row r="92" customFormat="false" ht="30" hidden="false" customHeight="true" outlineLevel="0" collapsed="false">
      <c r="B92" s="19"/>
      <c r="C92" s="38"/>
      <c r="D92" s="38"/>
      <c r="E92" s="23"/>
      <c r="F92" s="84"/>
      <c r="G92" s="24"/>
      <c r="H92" s="20"/>
      <c r="I92" s="20"/>
      <c r="J92" s="20"/>
      <c r="K92" s="20"/>
      <c r="L92" s="64"/>
      <c r="M92" s="20"/>
      <c r="N92" s="23"/>
      <c r="O92" s="25"/>
      <c r="P92" s="23"/>
      <c r="Q92" s="20"/>
      <c r="R92" s="20"/>
      <c r="S92" s="20"/>
      <c r="T92" s="20"/>
      <c r="X92" s="28"/>
      <c r="Y92" s="28"/>
    </row>
    <row r="93" customFormat="false" ht="30" hidden="false" customHeight="true" outlineLevel="0" collapsed="false">
      <c r="B93" s="19"/>
      <c r="C93" s="38"/>
      <c r="D93" s="38"/>
      <c r="E93" s="23"/>
      <c r="F93" s="84"/>
      <c r="G93" s="24"/>
      <c r="H93" s="20"/>
      <c r="I93" s="20"/>
      <c r="J93" s="20"/>
      <c r="K93" s="20"/>
      <c r="L93" s="64"/>
      <c r="M93" s="20"/>
      <c r="N93" s="23"/>
      <c r="O93" s="25"/>
      <c r="P93" s="23"/>
      <c r="Q93" s="20"/>
      <c r="R93" s="20"/>
      <c r="S93" s="20"/>
      <c r="T93" s="20"/>
      <c r="X93" s="28"/>
      <c r="Y93" s="28"/>
    </row>
    <row r="94" customFormat="false" ht="30" hidden="false" customHeight="true" outlineLevel="0" collapsed="false">
      <c r="B94" s="19"/>
      <c r="C94" s="38"/>
      <c r="D94" s="38"/>
      <c r="E94" s="23"/>
      <c r="F94" s="84"/>
      <c r="G94" s="24"/>
      <c r="H94" s="20"/>
      <c r="I94" s="20"/>
      <c r="J94" s="20"/>
      <c r="K94" s="20"/>
      <c r="L94" s="64"/>
      <c r="M94" s="20"/>
      <c r="N94" s="23"/>
      <c r="O94" s="25"/>
      <c r="P94" s="23"/>
      <c r="Q94" s="20"/>
      <c r="R94" s="20"/>
      <c r="S94" s="20"/>
      <c r="T94" s="20"/>
      <c r="X94" s="28"/>
      <c r="Y94" s="28"/>
    </row>
    <row r="95" customFormat="false" ht="30" hidden="false" customHeight="true" outlineLevel="0" collapsed="false">
      <c r="B95" s="19"/>
      <c r="C95" s="38"/>
      <c r="D95" s="38"/>
      <c r="E95" s="23"/>
      <c r="F95" s="84"/>
      <c r="G95" s="24"/>
      <c r="H95" s="20"/>
      <c r="I95" s="20"/>
      <c r="J95" s="20"/>
      <c r="K95" s="20"/>
      <c r="L95" s="64"/>
      <c r="M95" s="20"/>
      <c r="N95" s="23"/>
      <c r="O95" s="25"/>
      <c r="P95" s="23"/>
      <c r="Q95" s="20"/>
      <c r="R95" s="20"/>
      <c r="S95" s="20"/>
      <c r="T95" s="20"/>
      <c r="X95" s="28"/>
      <c r="Y95" s="28"/>
    </row>
    <row r="96" customFormat="false" ht="30" hidden="false" customHeight="true" outlineLevel="0" collapsed="false">
      <c r="B96" s="19"/>
      <c r="C96" s="38"/>
      <c r="D96" s="38"/>
      <c r="E96" s="23"/>
      <c r="F96" s="84"/>
      <c r="G96" s="24"/>
      <c r="H96" s="20"/>
      <c r="I96" s="20"/>
      <c r="J96" s="20"/>
      <c r="K96" s="20"/>
      <c r="L96" s="64"/>
      <c r="M96" s="20"/>
      <c r="N96" s="23"/>
      <c r="O96" s="25"/>
      <c r="P96" s="23"/>
      <c r="Q96" s="20"/>
      <c r="R96" s="20"/>
      <c r="S96" s="20"/>
      <c r="T96" s="20"/>
      <c r="X96" s="28"/>
      <c r="Y96" s="28"/>
    </row>
    <row r="97" customFormat="false" ht="30" hidden="false" customHeight="true" outlineLevel="0" collapsed="false">
      <c r="B97" s="19"/>
      <c r="C97" s="38"/>
      <c r="D97" s="38"/>
      <c r="E97" s="23"/>
      <c r="F97" s="84"/>
      <c r="G97" s="24"/>
      <c r="H97" s="20"/>
      <c r="I97" s="20"/>
      <c r="J97" s="20"/>
      <c r="K97" s="20"/>
      <c r="L97" s="64"/>
      <c r="M97" s="20"/>
      <c r="N97" s="23"/>
      <c r="O97" s="25"/>
      <c r="P97" s="23"/>
      <c r="Q97" s="20"/>
      <c r="R97" s="20"/>
      <c r="S97" s="20"/>
      <c r="T97" s="20"/>
      <c r="X97" s="28"/>
      <c r="Y97" s="28"/>
    </row>
    <row r="98" customFormat="false" ht="30" hidden="false" customHeight="true" outlineLevel="0" collapsed="false">
      <c r="B98" s="19"/>
      <c r="C98" s="38"/>
      <c r="D98" s="38"/>
      <c r="E98" s="23"/>
      <c r="F98" s="84"/>
      <c r="G98" s="24"/>
      <c r="H98" s="20"/>
      <c r="I98" s="20"/>
      <c r="J98" s="20"/>
      <c r="K98" s="20"/>
      <c r="L98" s="64"/>
      <c r="M98" s="20"/>
      <c r="N98" s="23"/>
      <c r="O98" s="25"/>
      <c r="P98" s="23"/>
      <c r="Q98" s="20"/>
      <c r="R98" s="20"/>
      <c r="S98" s="20"/>
      <c r="T98" s="20"/>
      <c r="X98" s="28"/>
      <c r="Y98" s="28"/>
    </row>
    <row r="99" customFormat="false" ht="30" hidden="false" customHeight="true" outlineLevel="0" collapsed="false">
      <c r="B99" s="19"/>
      <c r="C99" s="38"/>
      <c r="D99" s="38"/>
      <c r="E99" s="23"/>
      <c r="F99" s="84"/>
      <c r="G99" s="24"/>
      <c r="H99" s="20"/>
      <c r="I99" s="20"/>
      <c r="J99" s="20"/>
      <c r="K99" s="20"/>
      <c r="L99" s="64"/>
      <c r="M99" s="20"/>
      <c r="N99" s="23"/>
      <c r="O99" s="25"/>
      <c r="P99" s="23"/>
      <c r="Q99" s="20"/>
      <c r="R99" s="20"/>
      <c r="S99" s="20"/>
      <c r="T99" s="20"/>
      <c r="X99" s="28"/>
      <c r="Y99" s="28"/>
    </row>
    <row r="100" customFormat="false" ht="30" hidden="false" customHeight="true" outlineLevel="0" collapsed="false">
      <c r="B100" s="19"/>
      <c r="C100" s="38"/>
      <c r="D100" s="38"/>
      <c r="E100" s="23"/>
      <c r="F100" s="84"/>
      <c r="G100" s="24"/>
      <c r="H100" s="20"/>
      <c r="I100" s="20"/>
      <c r="J100" s="20"/>
      <c r="K100" s="20"/>
      <c r="L100" s="64"/>
      <c r="M100" s="20"/>
      <c r="N100" s="23"/>
      <c r="O100" s="25"/>
      <c r="P100" s="23"/>
      <c r="Q100" s="20"/>
      <c r="R100" s="20"/>
      <c r="S100" s="20"/>
      <c r="T100" s="20"/>
      <c r="X100" s="28"/>
      <c r="Y100" s="28"/>
    </row>
    <row r="101" customFormat="false" ht="30" hidden="false" customHeight="true" outlineLevel="0" collapsed="false">
      <c r="B101" s="19"/>
      <c r="C101" s="38"/>
      <c r="D101" s="38"/>
      <c r="E101" s="23"/>
      <c r="F101" s="84"/>
      <c r="G101" s="24"/>
      <c r="H101" s="20"/>
      <c r="I101" s="20"/>
      <c r="J101" s="20"/>
      <c r="K101" s="20"/>
      <c r="L101" s="64"/>
      <c r="M101" s="20"/>
      <c r="N101" s="23"/>
      <c r="O101" s="25"/>
      <c r="P101" s="23"/>
      <c r="Q101" s="20"/>
      <c r="R101" s="20"/>
      <c r="S101" s="20"/>
      <c r="T101" s="20"/>
      <c r="X101" s="28"/>
      <c r="Y101" s="28"/>
    </row>
    <row r="102" customFormat="false" ht="30" hidden="false" customHeight="true" outlineLevel="0" collapsed="false">
      <c r="B102" s="19"/>
      <c r="C102" s="38"/>
      <c r="D102" s="38"/>
      <c r="E102" s="23"/>
      <c r="F102" s="84"/>
      <c r="G102" s="24"/>
      <c r="H102" s="20"/>
      <c r="I102" s="20"/>
      <c r="J102" s="20"/>
      <c r="K102" s="20"/>
      <c r="L102" s="64"/>
      <c r="M102" s="20"/>
      <c r="N102" s="23"/>
      <c r="O102" s="25"/>
      <c r="P102" s="23"/>
      <c r="Q102" s="20"/>
      <c r="R102" s="20"/>
      <c r="S102" s="20"/>
      <c r="T102" s="20"/>
      <c r="X102" s="28"/>
      <c r="Y102" s="28"/>
    </row>
    <row r="103" customFormat="false" ht="30" hidden="false" customHeight="true" outlineLevel="0" collapsed="false">
      <c r="B103" s="19"/>
      <c r="C103" s="38"/>
      <c r="D103" s="38"/>
      <c r="E103" s="23"/>
      <c r="F103" s="84"/>
      <c r="G103" s="24"/>
      <c r="H103" s="20"/>
      <c r="I103" s="20"/>
      <c r="J103" s="20"/>
      <c r="K103" s="20"/>
      <c r="L103" s="64"/>
      <c r="M103" s="20"/>
      <c r="N103" s="23"/>
      <c r="O103" s="25"/>
      <c r="P103" s="23"/>
      <c r="Q103" s="20"/>
      <c r="R103" s="20"/>
      <c r="S103" s="20"/>
      <c r="T103" s="20"/>
      <c r="X103" s="28"/>
      <c r="Y103" s="28"/>
    </row>
    <row r="104" customFormat="false" ht="30" hidden="false" customHeight="true" outlineLevel="0" collapsed="false">
      <c r="B104" s="19"/>
      <c r="C104" s="38"/>
      <c r="D104" s="38"/>
      <c r="E104" s="23"/>
      <c r="F104" s="84"/>
      <c r="G104" s="24"/>
      <c r="H104" s="20"/>
      <c r="I104" s="20"/>
      <c r="J104" s="20"/>
      <c r="K104" s="20"/>
      <c r="L104" s="64"/>
      <c r="M104" s="20"/>
      <c r="N104" s="23"/>
      <c r="O104" s="25"/>
      <c r="P104" s="23"/>
      <c r="Q104" s="20"/>
      <c r="R104" s="20"/>
      <c r="S104" s="20"/>
      <c r="T104" s="20"/>
      <c r="X104" s="28"/>
      <c r="Y104" s="28"/>
    </row>
    <row r="105" customFormat="false" ht="30" hidden="false" customHeight="true" outlineLevel="0" collapsed="false">
      <c r="B105" s="19"/>
      <c r="C105" s="38"/>
      <c r="D105" s="38"/>
      <c r="E105" s="23"/>
      <c r="F105" s="84"/>
      <c r="G105" s="24"/>
      <c r="H105" s="20"/>
      <c r="I105" s="20"/>
      <c r="J105" s="20"/>
      <c r="K105" s="20"/>
      <c r="L105" s="64"/>
      <c r="M105" s="20"/>
      <c r="N105" s="23"/>
      <c r="O105" s="25"/>
      <c r="P105" s="23"/>
      <c r="Q105" s="20"/>
      <c r="R105" s="20"/>
      <c r="S105" s="20"/>
      <c r="T105" s="20"/>
      <c r="X105" s="28"/>
      <c r="Y105" s="28"/>
    </row>
    <row r="106" customFormat="false" ht="30" hidden="false" customHeight="true" outlineLevel="0" collapsed="false">
      <c r="B106" s="19"/>
      <c r="C106" s="38"/>
      <c r="D106" s="38"/>
      <c r="E106" s="23"/>
      <c r="F106" s="84"/>
      <c r="G106" s="24"/>
      <c r="H106" s="20"/>
      <c r="I106" s="20"/>
      <c r="J106" s="20"/>
      <c r="K106" s="20"/>
      <c r="L106" s="64"/>
      <c r="M106" s="20"/>
      <c r="N106" s="23"/>
      <c r="O106" s="25"/>
      <c r="P106" s="23"/>
      <c r="Q106" s="20"/>
      <c r="R106" s="20"/>
      <c r="S106" s="20"/>
      <c r="T106" s="20"/>
      <c r="X106" s="28"/>
      <c r="Y106" s="28"/>
    </row>
    <row r="107" customFormat="false" ht="30" hidden="false" customHeight="true" outlineLevel="0" collapsed="false">
      <c r="B107" s="19"/>
      <c r="C107" s="38"/>
      <c r="D107" s="38"/>
      <c r="E107" s="23"/>
      <c r="F107" s="84"/>
      <c r="G107" s="24"/>
      <c r="H107" s="20"/>
      <c r="I107" s="20"/>
      <c r="J107" s="20"/>
      <c r="K107" s="20"/>
      <c r="L107" s="64"/>
      <c r="M107" s="20"/>
      <c r="N107" s="23"/>
      <c r="O107" s="25"/>
      <c r="P107" s="23"/>
      <c r="Q107" s="20"/>
      <c r="R107" s="20"/>
      <c r="S107" s="20"/>
      <c r="T107" s="20"/>
      <c r="X107" s="28"/>
      <c r="Y107" s="28"/>
    </row>
    <row r="108" customFormat="false" ht="30" hidden="false" customHeight="true" outlineLevel="0" collapsed="false">
      <c r="B108" s="19"/>
      <c r="C108" s="38"/>
      <c r="D108" s="38"/>
      <c r="E108" s="23"/>
      <c r="F108" s="84"/>
      <c r="G108" s="24"/>
      <c r="H108" s="20"/>
      <c r="I108" s="20"/>
      <c r="J108" s="20"/>
      <c r="K108" s="20"/>
      <c r="L108" s="64"/>
      <c r="M108" s="20"/>
      <c r="N108" s="23"/>
      <c r="O108" s="25"/>
      <c r="P108" s="23"/>
      <c r="Q108" s="20"/>
      <c r="R108" s="20"/>
      <c r="S108" s="20"/>
      <c r="T108" s="20"/>
      <c r="X108" s="28"/>
      <c r="Y108" s="28"/>
    </row>
    <row r="109" customFormat="false" ht="30" hidden="false" customHeight="true" outlineLevel="0" collapsed="false">
      <c r="B109" s="19"/>
      <c r="C109" s="38"/>
      <c r="D109" s="38"/>
      <c r="E109" s="23"/>
      <c r="F109" s="84"/>
      <c r="G109" s="24"/>
      <c r="H109" s="20"/>
      <c r="I109" s="20"/>
      <c r="J109" s="20"/>
      <c r="K109" s="20"/>
      <c r="L109" s="64"/>
      <c r="M109" s="20"/>
      <c r="N109" s="23"/>
      <c r="O109" s="25"/>
      <c r="P109" s="23"/>
      <c r="Q109" s="20"/>
      <c r="R109" s="20"/>
      <c r="S109" s="20"/>
      <c r="T109" s="20"/>
      <c r="X109" s="28"/>
      <c r="Y109" s="28"/>
    </row>
    <row r="110" customFormat="false" ht="30" hidden="false" customHeight="true" outlineLevel="0" collapsed="false">
      <c r="B110" s="19"/>
      <c r="C110" s="38"/>
      <c r="D110" s="38"/>
      <c r="E110" s="23"/>
      <c r="F110" s="84"/>
      <c r="G110" s="24"/>
      <c r="H110" s="20"/>
      <c r="I110" s="20"/>
      <c r="J110" s="20"/>
      <c r="K110" s="20"/>
      <c r="L110" s="64"/>
      <c r="M110" s="20"/>
      <c r="N110" s="23"/>
      <c r="O110" s="25"/>
      <c r="P110" s="23"/>
      <c r="Q110" s="20"/>
      <c r="R110" s="20"/>
      <c r="S110" s="20"/>
      <c r="T110" s="20"/>
      <c r="X110" s="28"/>
      <c r="Y110" s="28"/>
    </row>
    <row r="111" customFormat="false" ht="30" hidden="false" customHeight="true" outlineLevel="0" collapsed="false">
      <c r="B111" s="19"/>
      <c r="C111" s="38"/>
      <c r="D111" s="38"/>
      <c r="E111" s="23"/>
      <c r="F111" s="84"/>
      <c r="G111" s="24"/>
      <c r="H111" s="20"/>
      <c r="I111" s="20"/>
      <c r="J111" s="20"/>
      <c r="K111" s="20"/>
      <c r="L111" s="64"/>
      <c r="M111" s="20"/>
      <c r="N111" s="23"/>
      <c r="O111" s="25"/>
      <c r="P111" s="23"/>
      <c r="Q111" s="20"/>
      <c r="R111" s="20"/>
      <c r="S111" s="20"/>
      <c r="T111" s="20"/>
      <c r="X111" s="28"/>
      <c r="Y111" s="28"/>
    </row>
    <row r="112" customFormat="false" ht="30" hidden="false" customHeight="true" outlineLevel="0" collapsed="false">
      <c r="B112" s="19"/>
      <c r="C112" s="38"/>
      <c r="D112" s="38"/>
      <c r="E112" s="23"/>
      <c r="F112" s="84"/>
      <c r="G112" s="24"/>
      <c r="H112" s="20"/>
      <c r="I112" s="20"/>
      <c r="J112" s="20"/>
      <c r="K112" s="20"/>
      <c r="L112" s="64"/>
      <c r="M112" s="20"/>
      <c r="N112" s="23"/>
      <c r="O112" s="25"/>
      <c r="P112" s="23"/>
      <c r="Q112" s="20"/>
      <c r="R112" s="20"/>
      <c r="S112" s="20"/>
      <c r="T112" s="20"/>
      <c r="X112" s="28"/>
      <c r="Y112" s="28"/>
    </row>
    <row r="113" customFormat="false" ht="30" hidden="false" customHeight="true" outlineLevel="0" collapsed="false">
      <c r="B113" s="19"/>
      <c r="C113" s="38"/>
      <c r="D113" s="38"/>
      <c r="E113" s="23"/>
      <c r="F113" s="84"/>
      <c r="G113" s="24"/>
      <c r="H113" s="20"/>
      <c r="I113" s="20"/>
      <c r="J113" s="20"/>
      <c r="K113" s="20"/>
      <c r="L113" s="64"/>
      <c r="M113" s="20"/>
      <c r="N113" s="23"/>
      <c r="O113" s="25"/>
      <c r="P113" s="23"/>
      <c r="Q113" s="20"/>
      <c r="R113" s="20"/>
      <c r="S113" s="20"/>
      <c r="T113" s="20"/>
      <c r="X113" s="28"/>
      <c r="Y113" s="28"/>
    </row>
    <row r="114" customFormat="false" ht="30" hidden="false" customHeight="true" outlineLevel="0" collapsed="false">
      <c r="B114" s="19"/>
      <c r="C114" s="38"/>
      <c r="D114" s="38"/>
      <c r="E114" s="23"/>
      <c r="F114" s="84"/>
      <c r="G114" s="24"/>
      <c r="H114" s="20"/>
      <c r="I114" s="20"/>
      <c r="J114" s="20"/>
      <c r="K114" s="20"/>
      <c r="L114" s="64"/>
      <c r="M114" s="20"/>
      <c r="N114" s="23"/>
      <c r="O114" s="25"/>
      <c r="P114" s="23"/>
      <c r="Q114" s="20"/>
      <c r="R114" s="20"/>
      <c r="S114" s="20"/>
      <c r="T114" s="20"/>
      <c r="X114" s="28"/>
      <c r="Y114" s="28"/>
    </row>
    <row r="115" customFormat="false" ht="30" hidden="false" customHeight="true" outlineLevel="0" collapsed="false">
      <c r="B115" s="19"/>
      <c r="C115" s="38"/>
      <c r="D115" s="38"/>
      <c r="E115" s="23"/>
      <c r="F115" s="84"/>
      <c r="G115" s="24"/>
      <c r="H115" s="20"/>
      <c r="I115" s="20"/>
      <c r="J115" s="20"/>
      <c r="K115" s="20"/>
      <c r="L115" s="64"/>
      <c r="M115" s="20"/>
      <c r="N115" s="23"/>
      <c r="O115" s="25"/>
      <c r="P115" s="23"/>
      <c r="Q115" s="20"/>
      <c r="R115" s="20"/>
      <c r="S115" s="20"/>
      <c r="T115" s="20"/>
      <c r="X115" s="28"/>
      <c r="Y115" s="28"/>
    </row>
    <row r="116" customFormat="false" ht="30" hidden="false" customHeight="true" outlineLevel="0" collapsed="false">
      <c r="B116" s="19"/>
      <c r="C116" s="38"/>
      <c r="D116" s="38"/>
      <c r="E116" s="23"/>
      <c r="F116" s="84"/>
      <c r="G116" s="24"/>
      <c r="H116" s="20"/>
      <c r="I116" s="20"/>
      <c r="J116" s="20"/>
      <c r="K116" s="20"/>
      <c r="L116" s="64"/>
      <c r="M116" s="20"/>
      <c r="N116" s="23"/>
      <c r="O116" s="25"/>
      <c r="P116" s="23"/>
      <c r="Q116" s="20"/>
      <c r="R116" s="20"/>
      <c r="S116" s="20"/>
      <c r="T116" s="20"/>
      <c r="X116" s="28"/>
      <c r="Y116" s="28"/>
    </row>
    <row r="117" customFormat="false" ht="30" hidden="false" customHeight="true" outlineLevel="0" collapsed="false">
      <c r="B117" s="19"/>
      <c r="C117" s="38"/>
      <c r="D117" s="38"/>
      <c r="E117" s="23"/>
      <c r="F117" s="84"/>
      <c r="G117" s="24"/>
      <c r="H117" s="20"/>
      <c r="I117" s="20"/>
      <c r="J117" s="20"/>
      <c r="K117" s="20"/>
      <c r="L117" s="64"/>
      <c r="M117" s="20"/>
      <c r="N117" s="23"/>
      <c r="O117" s="25"/>
      <c r="P117" s="23"/>
      <c r="Q117" s="20"/>
      <c r="R117" s="20"/>
      <c r="S117" s="20"/>
      <c r="T117" s="20"/>
      <c r="X117" s="28"/>
      <c r="Y117" s="28"/>
    </row>
    <row r="118" customFormat="false" ht="30" hidden="false" customHeight="true" outlineLevel="0" collapsed="false">
      <c r="B118" s="19"/>
      <c r="C118" s="38"/>
      <c r="D118" s="38"/>
      <c r="E118" s="23"/>
      <c r="F118" s="84"/>
      <c r="G118" s="24"/>
      <c r="H118" s="20"/>
      <c r="I118" s="20"/>
      <c r="J118" s="20"/>
      <c r="K118" s="20"/>
      <c r="L118" s="64"/>
      <c r="M118" s="20"/>
      <c r="N118" s="23"/>
      <c r="O118" s="25"/>
      <c r="P118" s="23"/>
      <c r="Q118" s="20"/>
      <c r="R118" s="20"/>
      <c r="S118" s="20"/>
      <c r="T118" s="20"/>
      <c r="X118" s="28"/>
      <c r="Y118" s="28"/>
    </row>
    <row r="119" customFormat="false" ht="30" hidden="false" customHeight="true" outlineLevel="0" collapsed="false">
      <c r="B119" s="19"/>
      <c r="C119" s="38"/>
      <c r="D119" s="38"/>
      <c r="E119" s="23"/>
      <c r="F119" s="84"/>
      <c r="G119" s="24"/>
      <c r="H119" s="20"/>
      <c r="I119" s="20"/>
      <c r="J119" s="20"/>
      <c r="K119" s="20"/>
      <c r="L119" s="64"/>
      <c r="M119" s="20"/>
      <c r="N119" s="23"/>
      <c r="O119" s="25"/>
      <c r="P119" s="23"/>
      <c r="Q119" s="20"/>
      <c r="R119" s="20"/>
      <c r="S119" s="20"/>
      <c r="T119" s="20"/>
      <c r="X119" s="28"/>
      <c r="Y119" s="28"/>
    </row>
    <row r="120" customFormat="false" ht="30" hidden="false" customHeight="true" outlineLevel="0" collapsed="false">
      <c r="B120" s="19"/>
      <c r="C120" s="38"/>
      <c r="D120" s="38"/>
      <c r="E120" s="23"/>
      <c r="F120" s="84"/>
      <c r="G120" s="24"/>
      <c r="H120" s="20"/>
      <c r="I120" s="20"/>
      <c r="J120" s="20"/>
      <c r="K120" s="20"/>
      <c r="L120" s="64"/>
      <c r="M120" s="20"/>
      <c r="N120" s="23"/>
      <c r="O120" s="25"/>
      <c r="P120" s="23"/>
      <c r="Q120" s="20"/>
      <c r="R120" s="20"/>
      <c r="S120" s="20"/>
      <c r="T120" s="20"/>
      <c r="X120" s="28"/>
      <c r="Y120" s="28"/>
    </row>
    <row r="121" customFormat="false" ht="30" hidden="false" customHeight="true" outlineLevel="0" collapsed="false">
      <c r="B121" s="19"/>
      <c r="C121" s="38"/>
      <c r="D121" s="38"/>
      <c r="E121" s="23"/>
      <c r="F121" s="84"/>
      <c r="G121" s="24"/>
      <c r="H121" s="20"/>
      <c r="I121" s="20"/>
      <c r="J121" s="20"/>
      <c r="K121" s="20"/>
      <c r="L121" s="64"/>
      <c r="M121" s="20"/>
      <c r="N121" s="23"/>
      <c r="O121" s="25"/>
      <c r="P121" s="23"/>
      <c r="Q121" s="20"/>
      <c r="R121" s="20"/>
      <c r="S121" s="20"/>
      <c r="T121" s="20"/>
      <c r="X121" s="28"/>
      <c r="Y121" s="28"/>
    </row>
    <row r="122" customFormat="false" ht="30" hidden="false" customHeight="true" outlineLevel="0" collapsed="false">
      <c r="B122" s="19"/>
      <c r="C122" s="38"/>
      <c r="D122" s="38"/>
      <c r="E122" s="23"/>
      <c r="F122" s="84"/>
      <c r="G122" s="24"/>
      <c r="H122" s="20"/>
      <c r="I122" s="20"/>
      <c r="J122" s="20"/>
      <c r="K122" s="20"/>
      <c r="L122" s="64"/>
      <c r="M122" s="20"/>
      <c r="N122" s="23"/>
      <c r="O122" s="25"/>
      <c r="P122" s="23"/>
      <c r="Q122" s="20"/>
      <c r="R122" s="20"/>
      <c r="S122" s="20"/>
      <c r="T122" s="20"/>
      <c r="X122" s="28"/>
      <c r="Y122" s="28"/>
    </row>
    <row r="123" customFormat="false" ht="30" hidden="false" customHeight="true" outlineLevel="0" collapsed="false">
      <c r="B123" s="19"/>
      <c r="C123" s="38"/>
      <c r="D123" s="38"/>
      <c r="E123" s="23"/>
      <c r="F123" s="84"/>
      <c r="G123" s="24"/>
      <c r="H123" s="20"/>
      <c r="I123" s="20"/>
      <c r="J123" s="20"/>
      <c r="K123" s="20"/>
      <c r="L123" s="64"/>
      <c r="M123" s="20"/>
      <c r="N123" s="23"/>
      <c r="O123" s="25"/>
      <c r="P123" s="23"/>
      <c r="Q123" s="20"/>
      <c r="R123" s="20"/>
      <c r="S123" s="20"/>
      <c r="T123" s="20"/>
      <c r="X123" s="28"/>
      <c r="Y123" s="28"/>
    </row>
    <row r="124" customFormat="false" ht="30" hidden="false" customHeight="true" outlineLevel="0" collapsed="false">
      <c r="B124" s="19"/>
      <c r="C124" s="38"/>
      <c r="D124" s="38"/>
      <c r="E124" s="23"/>
      <c r="F124" s="84"/>
      <c r="G124" s="24"/>
      <c r="H124" s="20"/>
      <c r="I124" s="20"/>
      <c r="J124" s="20"/>
      <c r="K124" s="20"/>
      <c r="L124" s="64"/>
      <c r="M124" s="20"/>
      <c r="N124" s="23"/>
      <c r="O124" s="25"/>
      <c r="P124" s="23"/>
      <c r="Q124" s="20"/>
      <c r="R124" s="20"/>
      <c r="S124" s="20"/>
      <c r="T124" s="20"/>
      <c r="X124" s="28"/>
      <c r="Y124" s="28"/>
    </row>
    <row r="125" customFormat="false" ht="30" hidden="false" customHeight="true" outlineLevel="0" collapsed="false">
      <c r="B125" s="19"/>
      <c r="C125" s="38"/>
      <c r="D125" s="38"/>
      <c r="E125" s="23"/>
      <c r="F125" s="84"/>
      <c r="G125" s="24"/>
      <c r="H125" s="20"/>
      <c r="I125" s="20"/>
      <c r="J125" s="20"/>
      <c r="K125" s="20"/>
      <c r="L125" s="64"/>
      <c r="M125" s="20"/>
      <c r="N125" s="23"/>
      <c r="O125" s="25"/>
      <c r="P125" s="23"/>
      <c r="Q125" s="20"/>
      <c r="R125" s="20"/>
      <c r="S125" s="20"/>
      <c r="T125" s="20"/>
      <c r="X125" s="28"/>
      <c r="Y125" s="28"/>
    </row>
    <row r="126" customFormat="false" ht="30" hidden="false" customHeight="true" outlineLevel="0" collapsed="false">
      <c r="B126" s="19"/>
      <c r="C126" s="38"/>
      <c r="D126" s="38"/>
      <c r="E126" s="23"/>
      <c r="F126" s="84"/>
      <c r="G126" s="24"/>
      <c r="H126" s="20"/>
      <c r="I126" s="20"/>
      <c r="J126" s="20"/>
      <c r="K126" s="20"/>
      <c r="L126" s="64"/>
      <c r="M126" s="20"/>
      <c r="N126" s="23"/>
      <c r="O126" s="25"/>
      <c r="P126" s="23"/>
      <c r="Q126" s="20"/>
      <c r="R126" s="20"/>
      <c r="S126" s="20"/>
      <c r="T126" s="20"/>
      <c r="X126" s="28"/>
      <c r="Y126" s="28"/>
    </row>
    <row r="127" customFormat="false" ht="30" hidden="false" customHeight="true" outlineLevel="0" collapsed="false">
      <c r="B127" s="19"/>
      <c r="C127" s="38"/>
      <c r="D127" s="38"/>
      <c r="E127" s="23"/>
      <c r="F127" s="84"/>
      <c r="G127" s="24"/>
      <c r="H127" s="20"/>
      <c r="I127" s="20"/>
      <c r="J127" s="20"/>
      <c r="K127" s="20"/>
      <c r="L127" s="64"/>
      <c r="M127" s="20"/>
      <c r="N127" s="23"/>
      <c r="O127" s="25"/>
      <c r="P127" s="23"/>
      <c r="Q127" s="20"/>
      <c r="R127" s="20"/>
      <c r="S127" s="20"/>
      <c r="T127" s="20"/>
      <c r="X127" s="28"/>
      <c r="Y127" s="28"/>
    </row>
    <row r="128" customFormat="false" ht="30" hidden="false" customHeight="true" outlineLevel="0" collapsed="false">
      <c r="B128" s="19"/>
      <c r="C128" s="38"/>
      <c r="D128" s="38"/>
      <c r="E128" s="23"/>
      <c r="F128" s="84"/>
      <c r="G128" s="24"/>
      <c r="H128" s="20"/>
      <c r="I128" s="20"/>
      <c r="J128" s="20"/>
      <c r="K128" s="20"/>
      <c r="L128" s="64"/>
      <c r="M128" s="20"/>
      <c r="N128" s="23"/>
      <c r="O128" s="25"/>
      <c r="P128" s="23"/>
      <c r="Q128" s="20"/>
      <c r="R128" s="20"/>
      <c r="S128" s="20"/>
      <c r="T128" s="20"/>
      <c r="X128" s="28"/>
      <c r="Y128" s="28"/>
    </row>
    <row r="129" customFormat="false" ht="30" hidden="false" customHeight="true" outlineLevel="0" collapsed="false">
      <c r="B129" s="19"/>
      <c r="C129" s="38"/>
      <c r="D129" s="38"/>
      <c r="E129" s="23"/>
      <c r="F129" s="84"/>
      <c r="G129" s="24"/>
      <c r="H129" s="20"/>
      <c r="I129" s="20"/>
      <c r="J129" s="20"/>
      <c r="K129" s="20"/>
      <c r="L129" s="64"/>
      <c r="M129" s="20"/>
      <c r="N129" s="23"/>
      <c r="O129" s="25"/>
      <c r="P129" s="23"/>
      <c r="Q129" s="20"/>
      <c r="R129" s="20"/>
      <c r="S129" s="20"/>
      <c r="T129" s="20"/>
      <c r="X129" s="28"/>
      <c r="Y129" s="28"/>
    </row>
    <row r="130" customFormat="false" ht="30" hidden="false" customHeight="true" outlineLevel="0" collapsed="false">
      <c r="B130" s="19"/>
      <c r="C130" s="38"/>
      <c r="D130" s="38"/>
      <c r="E130" s="23"/>
      <c r="F130" s="84"/>
      <c r="G130" s="24"/>
      <c r="H130" s="20"/>
      <c r="I130" s="20"/>
      <c r="J130" s="20"/>
      <c r="K130" s="20"/>
      <c r="L130" s="64"/>
      <c r="M130" s="20"/>
      <c r="N130" s="23"/>
      <c r="O130" s="25"/>
      <c r="P130" s="23"/>
      <c r="Q130" s="20"/>
      <c r="R130" s="20"/>
      <c r="S130" s="20"/>
      <c r="T130" s="20"/>
      <c r="X130" s="28"/>
      <c r="Y130" s="28"/>
    </row>
    <row r="131" customFormat="false" ht="30" hidden="false" customHeight="true" outlineLevel="0" collapsed="false">
      <c r="B131" s="19"/>
      <c r="C131" s="38"/>
      <c r="D131" s="38"/>
      <c r="E131" s="23"/>
      <c r="F131" s="84"/>
      <c r="G131" s="24"/>
      <c r="H131" s="20"/>
      <c r="I131" s="20"/>
      <c r="J131" s="20"/>
      <c r="K131" s="20"/>
      <c r="L131" s="64"/>
      <c r="M131" s="20"/>
      <c r="N131" s="23"/>
      <c r="O131" s="25"/>
      <c r="P131" s="23"/>
      <c r="Q131" s="20"/>
      <c r="R131" s="20"/>
      <c r="S131" s="20"/>
      <c r="T131" s="20"/>
      <c r="X131" s="28"/>
      <c r="Y131" s="28"/>
    </row>
    <row r="132" customFormat="false" ht="30" hidden="false" customHeight="true" outlineLevel="0" collapsed="false">
      <c r="B132" s="19"/>
      <c r="C132" s="38"/>
      <c r="D132" s="38"/>
      <c r="E132" s="23"/>
      <c r="F132" s="84"/>
      <c r="G132" s="24"/>
      <c r="H132" s="20"/>
      <c r="I132" s="20"/>
      <c r="J132" s="20"/>
      <c r="K132" s="20"/>
      <c r="L132" s="64"/>
      <c r="M132" s="20"/>
      <c r="N132" s="23"/>
      <c r="O132" s="25"/>
      <c r="P132" s="23"/>
      <c r="Q132" s="20"/>
      <c r="R132" s="20"/>
      <c r="S132" s="20"/>
      <c r="T132" s="20"/>
      <c r="X132" s="28"/>
      <c r="Y132" s="28"/>
    </row>
    <row r="133" customFormat="false" ht="30" hidden="false" customHeight="true" outlineLevel="0" collapsed="false">
      <c r="B133" s="19"/>
      <c r="C133" s="38"/>
      <c r="D133" s="38"/>
      <c r="E133" s="23"/>
      <c r="F133" s="84"/>
      <c r="G133" s="24"/>
      <c r="H133" s="20"/>
      <c r="I133" s="20"/>
      <c r="J133" s="20"/>
      <c r="K133" s="20"/>
      <c r="L133" s="64"/>
      <c r="M133" s="20"/>
      <c r="N133" s="23"/>
      <c r="O133" s="25"/>
      <c r="P133" s="23"/>
      <c r="Q133" s="20"/>
      <c r="R133" s="20"/>
      <c r="S133" s="20"/>
      <c r="T133" s="20"/>
      <c r="X133" s="28"/>
      <c r="Y133" s="28"/>
    </row>
    <row r="134" customFormat="false" ht="30" hidden="false" customHeight="true" outlineLevel="0" collapsed="false">
      <c r="B134" s="19"/>
      <c r="C134" s="38"/>
      <c r="D134" s="38"/>
      <c r="E134" s="23"/>
      <c r="F134" s="84"/>
      <c r="G134" s="24"/>
      <c r="H134" s="20"/>
      <c r="I134" s="20"/>
      <c r="J134" s="20"/>
      <c r="K134" s="20"/>
      <c r="L134" s="64"/>
      <c r="M134" s="20"/>
      <c r="N134" s="23"/>
      <c r="O134" s="25"/>
      <c r="P134" s="23"/>
      <c r="Q134" s="20"/>
      <c r="R134" s="20"/>
      <c r="S134" s="20"/>
      <c r="T134" s="20"/>
      <c r="X134" s="28"/>
      <c r="Y134" s="28"/>
    </row>
    <row r="135" customFormat="false" ht="30" hidden="false" customHeight="true" outlineLevel="0" collapsed="false">
      <c r="B135" s="19"/>
      <c r="C135" s="38"/>
      <c r="D135" s="38"/>
      <c r="E135" s="23"/>
      <c r="F135" s="84"/>
      <c r="G135" s="24"/>
      <c r="H135" s="20"/>
      <c r="I135" s="20"/>
      <c r="J135" s="20"/>
      <c r="K135" s="20"/>
      <c r="L135" s="64"/>
      <c r="M135" s="20"/>
      <c r="N135" s="23"/>
      <c r="O135" s="25"/>
      <c r="P135" s="23"/>
      <c r="Q135" s="20"/>
      <c r="R135" s="20"/>
      <c r="S135" s="20"/>
      <c r="T135" s="20"/>
      <c r="X135" s="28"/>
      <c r="Y135" s="28"/>
    </row>
    <row r="136" customFormat="false" ht="30" hidden="false" customHeight="true" outlineLevel="0" collapsed="false">
      <c r="B136" s="19"/>
      <c r="C136" s="38"/>
      <c r="D136" s="38"/>
      <c r="E136" s="23"/>
      <c r="F136" s="84"/>
      <c r="G136" s="24"/>
      <c r="H136" s="20"/>
      <c r="I136" s="20"/>
      <c r="J136" s="20"/>
      <c r="K136" s="20"/>
      <c r="L136" s="64"/>
      <c r="M136" s="20"/>
      <c r="N136" s="23"/>
      <c r="O136" s="25"/>
      <c r="P136" s="23"/>
      <c r="Q136" s="20"/>
      <c r="R136" s="20"/>
      <c r="S136" s="20"/>
      <c r="T136" s="20"/>
      <c r="X136" s="28"/>
      <c r="Y136" s="28"/>
    </row>
    <row r="137" customFormat="false" ht="30" hidden="false" customHeight="true" outlineLevel="0" collapsed="false">
      <c r="B137" s="19"/>
      <c r="C137" s="38"/>
      <c r="D137" s="38"/>
      <c r="E137" s="23"/>
      <c r="F137" s="84"/>
      <c r="G137" s="24"/>
      <c r="H137" s="20"/>
      <c r="I137" s="20"/>
      <c r="J137" s="20"/>
      <c r="K137" s="20"/>
      <c r="L137" s="64"/>
      <c r="M137" s="20"/>
      <c r="N137" s="23"/>
      <c r="O137" s="25"/>
      <c r="P137" s="23"/>
      <c r="Q137" s="20"/>
      <c r="R137" s="20"/>
      <c r="S137" s="20"/>
      <c r="T137" s="20"/>
      <c r="X137" s="28"/>
      <c r="Y137" s="28"/>
    </row>
    <row r="138" customFormat="false" ht="30" hidden="false" customHeight="true" outlineLevel="0" collapsed="false">
      <c r="B138" s="19"/>
      <c r="C138" s="38"/>
      <c r="D138" s="38"/>
      <c r="E138" s="23"/>
      <c r="F138" s="84"/>
      <c r="G138" s="24"/>
      <c r="H138" s="20"/>
      <c r="I138" s="20"/>
      <c r="J138" s="20"/>
      <c r="K138" s="20"/>
      <c r="L138" s="64"/>
      <c r="M138" s="20"/>
      <c r="N138" s="23"/>
      <c r="O138" s="25"/>
      <c r="P138" s="23"/>
      <c r="Q138" s="20"/>
      <c r="R138" s="20"/>
      <c r="S138" s="20"/>
      <c r="T138" s="20"/>
      <c r="X138" s="28"/>
      <c r="Y138" s="28"/>
    </row>
    <row r="139" customFormat="false" ht="30" hidden="false" customHeight="true" outlineLevel="0" collapsed="false">
      <c r="B139" s="19"/>
      <c r="C139" s="38"/>
      <c r="D139" s="38"/>
      <c r="E139" s="23"/>
      <c r="F139" s="84"/>
      <c r="G139" s="24"/>
      <c r="H139" s="20"/>
      <c r="I139" s="20"/>
      <c r="J139" s="20"/>
      <c r="K139" s="20"/>
      <c r="L139" s="64"/>
      <c r="M139" s="20"/>
      <c r="N139" s="23"/>
      <c r="O139" s="25"/>
      <c r="P139" s="23"/>
      <c r="Q139" s="20"/>
      <c r="R139" s="20"/>
      <c r="S139" s="20"/>
      <c r="T139" s="20"/>
      <c r="X139" s="28"/>
      <c r="Y139" s="28"/>
    </row>
    <row r="140" customFormat="false" ht="30" hidden="false" customHeight="true" outlineLevel="0" collapsed="false">
      <c r="B140" s="19"/>
      <c r="C140" s="38"/>
      <c r="D140" s="38"/>
      <c r="E140" s="23"/>
      <c r="F140" s="84"/>
      <c r="G140" s="24"/>
      <c r="H140" s="20"/>
      <c r="I140" s="20"/>
      <c r="J140" s="20"/>
      <c r="K140" s="20"/>
      <c r="L140" s="64"/>
      <c r="M140" s="20"/>
      <c r="N140" s="23"/>
      <c r="O140" s="25"/>
      <c r="P140" s="23"/>
      <c r="Q140" s="20"/>
      <c r="R140" s="20"/>
      <c r="S140" s="20"/>
      <c r="T140" s="20"/>
      <c r="X140" s="28"/>
      <c r="Y140" s="28"/>
    </row>
    <row r="141" customFormat="false" ht="30" hidden="false" customHeight="true" outlineLevel="0" collapsed="false">
      <c r="B141" s="19"/>
      <c r="C141" s="38"/>
      <c r="D141" s="38"/>
      <c r="E141" s="23"/>
      <c r="F141" s="84"/>
      <c r="G141" s="24"/>
      <c r="H141" s="20"/>
      <c r="I141" s="20"/>
      <c r="J141" s="20"/>
      <c r="K141" s="20"/>
      <c r="L141" s="64"/>
      <c r="M141" s="20"/>
      <c r="N141" s="23"/>
      <c r="O141" s="25"/>
      <c r="P141" s="23"/>
      <c r="Q141" s="20"/>
      <c r="R141" s="20"/>
      <c r="S141" s="20"/>
      <c r="T141" s="20"/>
      <c r="X141" s="28"/>
      <c r="Y141" s="28"/>
    </row>
    <row r="142" customFormat="false" ht="30" hidden="false" customHeight="true" outlineLevel="0" collapsed="false">
      <c r="B142" s="19"/>
      <c r="C142" s="38"/>
      <c r="D142" s="38"/>
      <c r="E142" s="23"/>
      <c r="F142" s="84"/>
      <c r="G142" s="24"/>
      <c r="H142" s="20"/>
      <c r="I142" s="20"/>
      <c r="J142" s="20"/>
      <c r="K142" s="20"/>
      <c r="L142" s="64"/>
      <c r="M142" s="20"/>
      <c r="N142" s="23"/>
      <c r="O142" s="25"/>
      <c r="P142" s="23"/>
      <c r="Q142" s="20"/>
      <c r="R142" s="20"/>
      <c r="S142" s="20"/>
      <c r="T142" s="20"/>
      <c r="X142" s="28"/>
      <c r="Y142" s="28"/>
    </row>
    <row r="143" customFormat="false" ht="30" hidden="false" customHeight="true" outlineLevel="0" collapsed="false">
      <c r="B143" s="19"/>
      <c r="C143" s="38"/>
      <c r="D143" s="38"/>
      <c r="E143" s="23"/>
      <c r="F143" s="84"/>
      <c r="G143" s="24"/>
      <c r="H143" s="20"/>
      <c r="I143" s="20"/>
      <c r="J143" s="20"/>
      <c r="K143" s="20"/>
      <c r="L143" s="64"/>
      <c r="M143" s="20"/>
      <c r="N143" s="23"/>
      <c r="O143" s="25"/>
      <c r="P143" s="23"/>
      <c r="Q143" s="20"/>
      <c r="R143" s="20"/>
      <c r="S143" s="20"/>
      <c r="T143" s="20"/>
      <c r="X143" s="28"/>
      <c r="Y143" s="28"/>
    </row>
    <row r="144" customFormat="false" ht="30" hidden="false" customHeight="true" outlineLevel="0" collapsed="false">
      <c r="B144" s="19"/>
      <c r="C144" s="38"/>
      <c r="D144" s="38"/>
      <c r="E144" s="23"/>
      <c r="F144" s="84"/>
      <c r="G144" s="24"/>
      <c r="H144" s="20"/>
      <c r="I144" s="20"/>
      <c r="J144" s="20"/>
      <c r="K144" s="20"/>
      <c r="L144" s="64"/>
      <c r="M144" s="20"/>
      <c r="N144" s="23"/>
      <c r="O144" s="25"/>
      <c r="P144" s="23"/>
      <c r="Q144" s="20"/>
      <c r="R144" s="20"/>
      <c r="S144" s="20"/>
      <c r="T144" s="20"/>
      <c r="X144" s="28"/>
      <c r="Y144" s="28"/>
    </row>
    <row r="145" customFormat="false" ht="30" hidden="false" customHeight="true" outlineLevel="0" collapsed="false">
      <c r="B145" s="19"/>
      <c r="C145" s="38"/>
      <c r="D145" s="38"/>
      <c r="E145" s="23"/>
      <c r="F145" s="84"/>
      <c r="G145" s="24"/>
      <c r="H145" s="20"/>
      <c r="I145" s="20"/>
      <c r="J145" s="20"/>
      <c r="K145" s="20"/>
      <c r="L145" s="64"/>
      <c r="M145" s="20"/>
      <c r="N145" s="23"/>
      <c r="O145" s="25"/>
      <c r="P145" s="23"/>
      <c r="Q145" s="20"/>
      <c r="R145" s="20"/>
      <c r="S145" s="20"/>
      <c r="T145" s="20"/>
      <c r="X145" s="28"/>
      <c r="Y145" s="28"/>
    </row>
    <row r="146" customFormat="false" ht="30" hidden="false" customHeight="true" outlineLevel="0" collapsed="false">
      <c r="B146" s="19"/>
      <c r="C146" s="38"/>
      <c r="D146" s="38"/>
      <c r="E146" s="23"/>
      <c r="F146" s="84"/>
      <c r="G146" s="24"/>
      <c r="H146" s="20"/>
      <c r="I146" s="20"/>
      <c r="J146" s="20"/>
      <c r="K146" s="20"/>
      <c r="L146" s="64"/>
      <c r="M146" s="20"/>
      <c r="N146" s="23"/>
      <c r="O146" s="25"/>
      <c r="P146" s="23"/>
      <c r="Q146" s="20"/>
      <c r="R146" s="20"/>
      <c r="S146" s="20"/>
      <c r="T146" s="20"/>
      <c r="X146" s="28"/>
      <c r="Y146" s="28"/>
    </row>
    <row r="147" customFormat="false" ht="30" hidden="false" customHeight="true" outlineLevel="0" collapsed="false">
      <c r="B147" s="19"/>
      <c r="C147" s="38"/>
      <c r="D147" s="38"/>
      <c r="E147" s="23"/>
      <c r="F147" s="84"/>
      <c r="G147" s="24"/>
      <c r="H147" s="20"/>
      <c r="I147" s="20"/>
      <c r="J147" s="20"/>
      <c r="K147" s="20"/>
      <c r="L147" s="64"/>
      <c r="M147" s="20"/>
      <c r="N147" s="23"/>
      <c r="O147" s="25"/>
      <c r="P147" s="23"/>
      <c r="Q147" s="20"/>
      <c r="R147" s="20"/>
      <c r="S147" s="20"/>
      <c r="T147" s="20"/>
      <c r="X147" s="28"/>
      <c r="Y147" s="28"/>
    </row>
    <row r="148" customFormat="false" ht="30" hidden="false" customHeight="true" outlineLevel="0" collapsed="false">
      <c r="B148" s="19"/>
      <c r="C148" s="38"/>
      <c r="D148" s="38"/>
      <c r="E148" s="23"/>
      <c r="F148" s="84"/>
      <c r="G148" s="24"/>
      <c r="H148" s="20"/>
      <c r="I148" s="20"/>
      <c r="J148" s="20"/>
      <c r="K148" s="20"/>
      <c r="L148" s="64"/>
      <c r="M148" s="20"/>
      <c r="N148" s="23"/>
      <c r="O148" s="25"/>
      <c r="P148" s="23"/>
      <c r="Q148" s="20"/>
      <c r="R148" s="20"/>
      <c r="S148" s="20"/>
      <c r="T148" s="20"/>
      <c r="X148" s="28"/>
      <c r="Y148" s="28"/>
    </row>
    <row r="149" customFormat="false" ht="30" hidden="false" customHeight="true" outlineLevel="0" collapsed="false">
      <c r="B149" s="19"/>
      <c r="C149" s="38"/>
      <c r="D149" s="38"/>
      <c r="E149" s="23"/>
      <c r="F149" s="84"/>
      <c r="G149" s="24"/>
      <c r="H149" s="20"/>
      <c r="I149" s="20"/>
      <c r="J149" s="20"/>
      <c r="K149" s="20"/>
      <c r="L149" s="64"/>
      <c r="M149" s="20"/>
      <c r="N149" s="23"/>
      <c r="O149" s="25"/>
      <c r="P149" s="23"/>
      <c r="Q149" s="20"/>
      <c r="R149" s="20"/>
      <c r="S149" s="20"/>
      <c r="T149" s="20"/>
      <c r="X149" s="28"/>
      <c r="Y149" s="28"/>
    </row>
    <row r="150" customFormat="false" ht="30" hidden="false" customHeight="true" outlineLevel="0" collapsed="false">
      <c r="B150" s="19"/>
      <c r="C150" s="38"/>
      <c r="D150" s="38"/>
      <c r="E150" s="23"/>
      <c r="F150" s="84"/>
      <c r="G150" s="24"/>
      <c r="H150" s="20"/>
      <c r="I150" s="20"/>
      <c r="J150" s="20"/>
      <c r="K150" s="20"/>
      <c r="L150" s="64"/>
      <c r="M150" s="20"/>
      <c r="N150" s="23"/>
      <c r="O150" s="25"/>
      <c r="P150" s="23"/>
      <c r="Q150" s="20"/>
      <c r="R150" s="20"/>
      <c r="S150" s="20"/>
      <c r="T150" s="20"/>
      <c r="X150" s="28"/>
      <c r="Y150" s="28"/>
    </row>
    <row r="151" customFormat="false" ht="30" hidden="false" customHeight="true" outlineLevel="0" collapsed="false">
      <c r="B151" s="19"/>
      <c r="C151" s="38"/>
      <c r="D151" s="38"/>
      <c r="E151" s="23"/>
      <c r="F151" s="84"/>
      <c r="G151" s="24"/>
      <c r="H151" s="20"/>
      <c r="I151" s="20"/>
      <c r="J151" s="20"/>
      <c r="K151" s="20"/>
      <c r="L151" s="64"/>
      <c r="M151" s="20"/>
      <c r="N151" s="23"/>
      <c r="O151" s="25"/>
      <c r="P151" s="23"/>
      <c r="Q151" s="20"/>
      <c r="R151" s="20"/>
      <c r="S151" s="20"/>
      <c r="T151" s="20"/>
      <c r="X151" s="28"/>
      <c r="Y151" s="28"/>
    </row>
    <row r="152" customFormat="false" ht="30" hidden="false" customHeight="true" outlineLevel="0" collapsed="false">
      <c r="B152" s="19"/>
      <c r="C152" s="38"/>
      <c r="D152" s="38"/>
      <c r="E152" s="23"/>
      <c r="F152" s="84"/>
      <c r="G152" s="24"/>
      <c r="H152" s="20"/>
      <c r="I152" s="20"/>
      <c r="J152" s="20"/>
      <c r="K152" s="20"/>
      <c r="L152" s="64"/>
      <c r="M152" s="20"/>
      <c r="N152" s="23"/>
      <c r="O152" s="25"/>
      <c r="P152" s="23"/>
      <c r="Q152" s="20"/>
      <c r="R152" s="20"/>
      <c r="S152" s="20"/>
      <c r="T152" s="20"/>
      <c r="X152" s="28"/>
      <c r="Y152" s="28"/>
    </row>
    <row r="153" customFormat="false" ht="30" hidden="false" customHeight="true" outlineLevel="0" collapsed="false">
      <c r="B153" s="19"/>
      <c r="C153" s="38"/>
      <c r="D153" s="38"/>
      <c r="E153" s="23"/>
      <c r="F153" s="84"/>
      <c r="G153" s="24"/>
      <c r="H153" s="20"/>
      <c r="I153" s="20"/>
      <c r="J153" s="20"/>
      <c r="K153" s="20"/>
      <c r="L153" s="64"/>
      <c r="M153" s="20"/>
      <c r="N153" s="23"/>
      <c r="O153" s="25"/>
      <c r="P153" s="23"/>
      <c r="Q153" s="20"/>
      <c r="R153" s="20"/>
      <c r="S153" s="20"/>
      <c r="T153" s="20"/>
      <c r="X153" s="28"/>
      <c r="Y153" s="28"/>
    </row>
    <row r="154" customFormat="false" ht="30" hidden="false" customHeight="true" outlineLevel="0" collapsed="false">
      <c r="B154" s="19"/>
      <c r="C154" s="38"/>
      <c r="D154" s="38"/>
      <c r="E154" s="23"/>
      <c r="F154" s="84"/>
      <c r="G154" s="24"/>
      <c r="H154" s="20"/>
      <c r="I154" s="20"/>
      <c r="J154" s="20"/>
      <c r="K154" s="20"/>
      <c r="L154" s="64"/>
      <c r="M154" s="20"/>
      <c r="N154" s="23"/>
      <c r="O154" s="25"/>
      <c r="P154" s="23"/>
      <c r="Q154" s="20"/>
      <c r="R154" s="20"/>
      <c r="S154" s="20"/>
      <c r="T154" s="20"/>
      <c r="X154" s="28"/>
      <c r="Y154" s="28"/>
    </row>
    <row r="155" customFormat="false" ht="30" hidden="false" customHeight="true" outlineLevel="0" collapsed="false">
      <c r="B155" s="19"/>
      <c r="C155" s="38"/>
      <c r="D155" s="38"/>
      <c r="E155" s="23"/>
      <c r="F155" s="84"/>
      <c r="G155" s="24"/>
      <c r="H155" s="20"/>
      <c r="I155" s="20"/>
      <c r="J155" s="20"/>
      <c r="K155" s="20"/>
      <c r="L155" s="64"/>
      <c r="M155" s="20"/>
      <c r="N155" s="23"/>
      <c r="O155" s="25"/>
      <c r="P155" s="23"/>
      <c r="Q155" s="20"/>
      <c r="R155" s="20"/>
      <c r="S155" s="20"/>
      <c r="T155" s="20"/>
      <c r="X155" s="28"/>
      <c r="Y155" s="28"/>
    </row>
    <row r="156" customFormat="false" ht="30" hidden="false" customHeight="true" outlineLevel="0" collapsed="false">
      <c r="B156" s="19"/>
      <c r="C156" s="38"/>
      <c r="D156" s="38"/>
      <c r="E156" s="23"/>
      <c r="F156" s="84"/>
      <c r="G156" s="24"/>
      <c r="H156" s="20"/>
      <c r="I156" s="20"/>
      <c r="J156" s="20"/>
      <c r="K156" s="20"/>
      <c r="L156" s="64"/>
      <c r="M156" s="20"/>
      <c r="N156" s="23"/>
      <c r="O156" s="25"/>
      <c r="P156" s="23"/>
      <c r="Q156" s="20"/>
      <c r="R156" s="20"/>
      <c r="S156" s="20"/>
      <c r="T156" s="20"/>
      <c r="X156" s="28"/>
      <c r="Y156" s="28"/>
    </row>
    <row r="157" customFormat="false" ht="30" hidden="false" customHeight="true" outlineLevel="0" collapsed="false">
      <c r="B157" s="19"/>
      <c r="C157" s="38"/>
      <c r="D157" s="38"/>
      <c r="E157" s="23"/>
      <c r="F157" s="84"/>
      <c r="G157" s="24"/>
      <c r="H157" s="20"/>
      <c r="I157" s="20"/>
      <c r="J157" s="20"/>
      <c r="K157" s="20"/>
      <c r="L157" s="64"/>
      <c r="M157" s="20"/>
      <c r="N157" s="23"/>
      <c r="O157" s="25"/>
      <c r="P157" s="23"/>
      <c r="Q157" s="20"/>
      <c r="R157" s="20"/>
      <c r="S157" s="20"/>
      <c r="T157" s="20"/>
      <c r="X157" s="28"/>
      <c r="Y157" s="28"/>
    </row>
    <row r="158" customFormat="false" ht="30" hidden="false" customHeight="true" outlineLevel="0" collapsed="false">
      <c r="B158" s="19"/>
      <c r="C158" s="38"/>
      <c r="D158" s="38"/>
      <c r="E158" s="23"/>
      <c r="F158" s="84"/>
      <c r="G158" s="24"/>
      <c r="H158" s="20"/>
      <c r="I158" s="20"/>
      <c r="J158" s="20"/>
      <c r="K158" s="20"/>
      <c r="L158" s="64"/>
      <c r="M158" s="20"/>
      <c r="N158" s="23"/>
      <c r="O158" s="25"/>
      <c r="P158" s="23"/>
      <c r="Q158" s="20"/>
      <c r="R158" s="20"/>
      <c r="S158" s="20"/>
      <c r="T158" s="20"/>
      <c r="X158" s="28"/>
      <c r="Y158" s="28"/>
    </row>
    <row r="159" customFormat="false" ht="30" hidden="false" customHeight="true" outlineLevel="0" collapsed="false">
      <c r="B159" s="19"/>
      <c r="C159" s="38"/>
      <c r="D159" s="38"/>
      <c r="E159" s="23"/>
      <c r="F159" s="84"/>
      <c r="G159" s="24"/>
      <c r="H159" s="20"/>
      <c r="I159" s="20"/>
      <c r="J159" s="20"/>
      <c r="K159" s="20"/>
      <c r="L159" s="64"/>
      <c r="M159" s="20"/>
      <c r="N159" s="23"/>
      <c r="O159" s="25"/>
      <c r="P159" s="23"/>
      <c r="Q159" s="20"/>
      <c r="R159" s="20"/>
      <c r="S159" s="20"/>
      <c r="T159" s="20"/>
      <c r="X159" s="28"/>
      <c r="Y159" s="28"/>
    </row>
    <row r="160" customFormat="false" ht="30" hidden="false" customHeight="true" outlineLevel="0" collapsed="false">
      <c r="B160" s="19"/>
      <c r="C160" s="38"/>
      <c r="D160" s="38"/>
      <c r="E160" s="23"/>
      <c r="F160" s="84"/>
      <c r="G160" s="24"/>
      <c r="H160" s="20"/>
      <c r="I160" s="20"/>
      <c r="J160" s="20"/>
      <c r="K160" s="20"/>
      <c r="L160" s="64"/>
      <c r="M160" s="20"/>
      <c r="N160" s="23"/>
      <c r="O160" s="25"/>
      <c r="P160" s="23"/>
      <c r="Q160" s="20"/>
      <c r="R160" s="20"/>
      <c r="S160" s="20"/>
      <c r="T160" s="20"/>
      <c r="X160" s="28"/>
      <c r="Y160" s="28"/>
    </row>
    <row r="161" customFormat="false" ht="30" hidden="false" customHeight="true" outlineLevel="0" collapsed="false">
      <c r="B161" s="19"/>
      <c r="C161" s="38"/>
      <c r="D161" s="38"/>
      <c r="E161" s="23"/>
      <c r="F161" s="84"/>
      <c r="G161" s="24"/>
      <c r="H161" s="20"/>
      <c r="I161" s="20"/>
      <c r="J161" s="20"/>
      <c r="K161" s="20"/>
      <c r="L161" s="64"/>
      <c r="M161" s="20"/>
      <c r="N161" s="23"/>
      <c r="O161" s="25"/>
      <c r="P161" s="23"/>
      <c r="Q161" s="20"/>
      <c r="R161" s="20"/>
      <c r="S161" s="20"/>
      <c r="T161" s="20"/>
      <c r="X161" s="28"/>
      <c r="Y161" s="28"/>
    </row>
    <row r="162" customFormat="false" ht="30" hidden="false" customHeight="true" outlineLevel="0" collapsed="false">
      <c r="B162" s="19"/>
      <c r="C162" s="38"/>
      <c r="D162" s="38"/>
      <c r="E162" s="23"/>
      <c r="F162" s="84"/>
      <c r="G162" s="24"/>
      <c r="H162" s="20"/>
      <c r="I162" s="20"/>
      <c r="J162" s="20"/>
      <c r="K162" s="20"/>
      <c r="L162" s="64"/>
      <c r="M162" s="20"/>
      <c r="N162" s="23"/>
      <c r="O162" s="25"/>
      <c r="P162" s="23"/>
      <c r="Q162" s="20"/>
      <c r="R162" s="20"/>
      <c r="S162" s="20"/>
      <c r="T162" s="20"/>
      <c r="X162" s="28"/>
      <c r="Y162" s="28"/>
    </row>
    <row r="163" customFormat="false" ht="30" hidden="false" customHeight="true" outlineLevel="0" collapsed="false">
      <c r="B163" s="19"/>
      <c r="C163" s="38"/>
      <c r="D163" s="38"/>
      <c r="E163" s="23"/>
      <c r="F163" s="84"/>
      <c r="G163" s="24"/>
      <c r="H163" s="20"/>
      <c r="I163" s="20"/>
      <c r="J163" s="20"/>
      <c r="K163" s="20"/>
      <c r="L163" s="64"/>
      <c r="M163" s="20"/>
      <c r="N163" s="23"/>
      <c r="O163" s="25"/>
      <c r="P163" s="23"/>
      <c r="Q163" s="20"/>
      <c r="R163" s="20"/>
      <c r="S163" s="20"/>
      <c r="T163" s="20"/>
      <c r="X163" s="28"/>
      <c r="Y163" s="28"/>
    </row>
    <row r="164" customFormat="false" ht="30" hidden="false" customHeight="true" outlineLevel="0" collapsed="false">
      <c r="B164" s="19"/>
      <c r="C164" s="38"/>
      <c r="D164" s="38"/>
      <c r="E164" s="23"/>
      <c r="F164" s="84"/>
      <c r="G164" s="24"/>
      <c r="H164" s="20"/>
      <c r="I164" s="20"/>
      <c r="J164" s="20"/>
      <c r="K164" s="20"/>
      <c r="L164" s="64"/>
      <c r="M164" s="20"/>
      <c r="N164" s="23"/>
      <c r="O164" s="25"/>
      <c r="P164" s="23"/>
      <c r="Q164" s="20"/>
      <c r="R164" s="20"/>
      <c r="S164" s="20"/>
      <c r="T164" s="20"/>
      <c r="X164" s="28"/>
      <c r="Y164" s="28"/>
    </row>
    <row r="165" customFormat="false" ht="30" hidden="false" customHeight="true" outlineLevel="0" collapsed="false">
      <c r="B165" s="19"/>
      <c r="C165" s="38"/>
      <c r="D165" s="38"/>
      <c r="E165" s="23"/>
      <c r="F165" s="84"/>
      <c r="G165" s="24"/>
      <c r="H165" s="20"/>
      <c r="I165" s="20"/>
      <c r="J165" s="20"/>
      <c r="K165" s="20"/>
      <c r="L165" s="64"/>
      <c r="M165" s="20"/>
      <c r="N165" s="23"/>
      <c r="O165" s="25"/>
      <c r="P165" s="23"/>
      <c r="Q165" s="20"/>
      <c r="R165" s="20"/>
      <c r="S165" s="20"/>
      <c r="T165" s="20"/>
      <c r="X165" s="28"/>
      <c r="Y165" s="28"/>
    </row>
    <row r="166" customFormat="false" ht="30" hidden="false" customHeight="true" outlineLevel="0" collapsed="false">
      <c r="B166" s="19"/>
      <c r="C166" s="38"/>
      <c r="D166" s="38"/>
      <c r="E166" s="23"/>
      <c r="F166" s="84"/>
      <c r="G166" s="24"/>
      <c r="H166" s="20"/>
      <c r="I166" s="20"/>
      <c r="J166" s="20"/>
      <c r="K166" s="20"/>
      <c r="L166" s="64"/>
      <c r="M166" s="20"/>
      <c r="N166" s="23"/>
      <c r="O166" s="25"/>
      <c r="P166" s="23"/>
      <c r="Q166" s="20"/>
      <c r="R166" s="20"/>
      <c r="S166" s="20"/>
      <c r="T166" s="20"/>
      <c r="X166" s="28"/>
      <c r="Y166" s="28"/>
    </row>
    <row r="167" customFormat="false" ht="30" hidden="false" customHeight="true" outlineLevel="0" collapsed="false">
      <c r="B167" s="19"/>
      <c r="C167" s="38"/>
      <c r="D167" s="38"/>
      <c r="E167" s="23"/>
      <c r="F167" s="84"/>
      <c r="G167" s="24"/>
      <c r="H167" s="20"/>
      <c r="I167" s="20"/>
      <c r="J167" s="20"/>
      <c r="K167" s="20"/>
      <c r="L167" s="64"/>
      <c r="M167" s="20"/>
      <c r="N167" s="23"/>
      <c r="O167" s="25"/>
      <c r="P167" s="23"/>
      <c r="Q167" s="20"/>
      <c r="R167" s="20"/>
      <c r="S167" s="20"/>
      <c r="T167" s="20"/>
      <c r="X167" s="28"/>
      <c r="Y167" s="28"/>
    </row>
    <row r="168" customFormat="false" ht="30" hidden="false" customHeight="true" outlineLevel="0" collapsed="false">
      <c r="B168" s="19"/>
      <c r="C168" s="38"/>
      <c r="D168" s="38"/>
      <c r="E168" s="23"/>
      <c r="F168" s="84"/>
      <c r="G168" s="24"/>
      <c r="H168" s="20"/>
      <c r="I168" s="20"/>
      <c r="J168" s="20"/>
      <c r="K168" s="20"/>
      <c r="L168" s="64"/>
      <c r="M168" s="20"/>
      <c r="N168" s="23"/>
      <c r="O168" s="25"/>
      <c r="P168" s="23"/>
      <c r="Q168" s="20"/>
      <c r="R168" s="20"/>
      <c r="S168" s="20"/>
      <c r="T168" s="20"/>
      <c r="X168" s="28"/>
      <c r="Y168" s="28"/>
    </row>
    <row r="169" customFormat="false" ht="30" hidden="false" customHeight="true" outlineLevel="0" collapsed="false">
      <c r="B169" s="19"/>
      <c r="C169" s="38"/>
      <c r="D169" s="38"/>
      <c r="E169" s="23"/>
      <c r="F169" s="84"/>
      <c r="G169" s="24"/>
      <c r="H169" s="20"/>
      <c r="I169" s="20"/>
      <c r="J169" s="20"/>
      <c r="K169" s="20"/>
      <c r="L169" s="64"/>
      <c r="M169" s="20"/>
      <c r="N169" s="23"/>
      <c r="O169" s="25"/>
      <c r="P169" s="23"/>
      <c r="Q169" s="20"/>
      <c r="R169" s="20"/>
      <c r="S169" s="20"/>
      <c r="T169" s="20"/>
      <c r="X169" s="28"/>
      <c r="Y169" s="28"/>
    </row>
    <row r="170" customFormat="false" ht="30" hidden="false" customHeight="true" outlineLevel="0" collapsed="false">
      <c r="B170" s="19"/>
      <c r="C170" s="38"/>
      <c r="D170" s="38"/>
      <c r="E170" s="23"/>
      <c r="F170" s="84"/>
      <c r="G170" s="24"/>
      <c r="H170" s="20"/>
      <c r="I170" s="20"/>
      <c r="J170" s="20"/>
      <c r="K170" s="20"/>
      <c r="L170" s="64"/>
      <c r="M170" s="20"/>
      <c r="N170" s="23"/>
      <c r="O170" s="25"/>
      <c r="P170" s="23"/>
      <c r="Q170" s="20"/>
      <c r="R170" s="20"/>
      <c r="S170" s="20"/>
      <c r="T170" s="20"/>
      <c r="X170" s="28"/>
      <c r="Y170" s="28"/>
    </row>
    <row r="171" customFormat="false" ht="30" hidden="false" customHeight="true" outlineLevel="0" collapsed="false">
      <c r="B171" s="19"/>
      <c r="C171" s="38"/>
      <c r="D171" s="38"/>
      <c r="E171" s="23"/>
      <c r="F171" s="84"/>
      <c r="G171" s="24"/>
      <c r="H171" s="20"/>
      <c r="I171" s="20"/>
      <c r="J171" s="20"/>
      <c r="K171" s="20"/>
      <c r="L171" s="64"/>
      <c r="M171" s="20"/>
      <c r="N171" s="23"/>
      <c r="O171" s="25"/>
      <c r="P171" s="23"/>
      <c r="Q171" s="20"/>
      <c r="R171" s="20"/>
      <c r="S171" s="20"/>
      <c r="T171" s="20"/>
      <c r="X171" s="28"/>
      <c r="Y171" s="28"/>
    </row>
    <row r="172" customFormat="false" ht="30" hidden="false" customHeight="true" outlineLevel="0" collapsed="false">
      <c r="B172" s="19"/>
      <c r="C172" s="38"/>
      <c r="D172" s="38"/>
      <c r="E172" s="23"/>
      <c r="F172" s="84"/>
      <c r="G172" s="24"/>
      <c r="H172" s="20"/>
      <c r="I172" s="20"/>
      <c r="J172" s="20"/>
      <c r="K172" s="20"/>
      <c r="L172" s="64"/>
      <c r="M172" s="20"/>
      <c r="N172" s="23"/>
      <c r="O172" s="25"/>
      <c r="P172" s="23"/>
      <c r="Q172" s="20"/>
      <c r="R172" s="20"/>
      <c r="S172" s="20"/>
      <c r="T172" s="20"/>
      <c r="X172" s="28"/>
      <c r="Y172" s="28"/>
    </row>
    <row r="173" customFormat="false" ht="30" hidden="false" customHeight="true" outlineLevel="0" collapsed="false">
      <c r="B173" s="19"/>
      <c r="C173" s="38"/>
      <c r="D173" s="38"/>
      <c r="E173" s="23"/>
      <c r="F173" s="84"/>
      <c r="G173" s="24"/>
      <c r="H173" s="20"/>
      <c r="I173" s="20"/>
      <c r="J173" s="20"/>
      <c r="K173" s="20"/>
      <c r="L173" s="64"/>
      <c r="M173" s="20"/>
      <c r="N173" s="23"/>
      <c r="O173" s="25"/>
      <c r="P173" s="23"/>
      <c r="Q173" s="20"/>
      <c r="R173" s="20"/>
      <c r="S173" s="20"/>
      <c r="T173" s="20"/>
      <c r="X173" s="28"/>
      <c r="Y173" s="28"/>
    </row>
    <row r="174" customFormat="false" ht="30" hidden="false" customHeight="true" outlineLevel="0" collapsed="false">
      <c r="B174" s="19"/>
      <c r="C174" s="38"/>
      <c r="D174" s="38"/>
      <c r="E174" s="23"/>
      <c r="F174" s="84"/>
      <c r="G174" s="24"/>
      <c r="H174" s="20"/>
      <c r="I174" s="20"/>
      <c r="J174" s="20"/>
      <c r="K174" s="20"/>
      <c r="L174" s="64"/>
      <c r="M174" s="20"/>
      <c r="N174" s="23"/>
      <c r="O174" s="25"/>
      <c r="P174" s="23"/>
      <c r="Q174" s="20"/>
      <c r="R174" s="20"/>
      <c r="S174" s="20"/>
      <c r="T174" s="20"/>
      <c r="X174" s="28"/>
      <c r="Y174" s="28"/>
    </row>
    <row r="175" customFormat="false" ht="30" hidden="false" customHeight="true" outlineLevel="0" collapsed="false">
      <c r="B175" s="19"/>
      <c r="C175" s="38"/>
      <c r="D175" s="38"/>
      <c r="E175" s="23"/>
      <c r="F175" s="84"/>
      <c r="G175" s="24"/>
      <c r="H175" s="20"/>
      <c r="I175" s="20"/>
      <c r="J175" s="20"/>
      <c r="K175" s="20"/>
      <c r="L175" s="64"/>
      <c r="M175" s="20"/>
      <c r="N175" s="23"/>
      <c r="O175" s="25"/>
      <c r="P175" s="23"/>
      <c r="Q175" s="20"/>
      <c r="R175" s="20"/>
      <c r="S175" s="20"/>
      <c r="T175" s="20"/>
      <c r="X175" s="28"/>
      <c r="Y175" s="28"/>
    </row>
    <row r="176" customFormat="false" ht="30" hidden="false" customHeight="true" outlineLevel="0" collapsed="false">
      <c r="B176" s="19"/>
      <c r="C176" s="38"/>
      <c r="D176" s="38"/>
      <c r="E176" s="23"/>
      <c r="F176" s="84"/>
      <c r="G176" s="24"/>
      <c r="H176" s="20"/>
      <c r="I176" s="20"/>
      <c r="J176" s="20"/>
      <c r="K176" s="20"/>
      <c r="L176" s="64"/>
      <c r="M176" s="20"/>
      <c r="N176" s="23"/>
      <c r="O176" s="25"/>
      <c r="P176" s="23"/>
      <c r="Q176" s="20"/>
      <c r="R176" s="20"/>
      <c r="S176" s="20"/>
      <c r="T176" s="20"/>
      <c r="X176" s="28"/>
      <c r="Y176" s="28"/>
    </row>
    <row r="177" customFormat="false" ht="30" hidden="false" customHeight="true" outlineLevel="0" collapsed="false">
      <c r="B177" s="19"/>
      <c r="C177" s="38"/>
      <c r="D177" s="38"/>
      <c r="E177" s="23"/>
      <c r="F177" s="84"/>
      <c r="G177" s="24"/>
      <c r="H177" s="20"/>
      <c r="I177" s="20"/>
      <c r="J177" s="20"/>
      <c r="K177" s="20"/>
      <c r="L177" s="64"/>
      <c r="M177" s="20"/>
      <c r="N177" s="23"/>
      <c r="O177" s="25"/>
      <c r="P177" s="23"/>
      <c r="Q177" s="20"/>
      <c r="R177" s="20"/>
      <c r="S177" s="20"/>
      <c r="T177" s="20"/>
      <c r="X177" s="28"/>
      <c r="Y177" s="28"/>
    </row>
    <row r="178" customFormat="false" ht="30" hidden="false" customHeight="true" outlineLevel="0" collapsed="false">
      <c r="B178" s="19"/>
      <c r="C178" s="38"/>
      <c r="D178" s="38"/>
      <c r="E178" s="23"/>
      <c r="F178" s="84"/>
      <c r="G178" s="24"/>
      <c r="H178" s="20"/>
      <c r="I178" s="20"/>
      <c r="J178" s="20"/>
      <c r="K178" s="20"/>
      <c r="L178" s="64"/>
      <c r="M178" s="20"/>
      <c r="N178" s="23"/>
      <c r="O178" s="25"/>
      <c r="P178" s="23"/>
      <c r="Q178" s="20"/>
      <c r="R178" s="20"/>
      <c r="S178" s="20"/>
      <c r="T178" s="20"/>
      <c r="X178" s="28"/>
      <c r="Y178" s="28"/>
    </row>
    <row r="179" customFormat="false" ht="30" hidden="false" customHeight="true" outlineLevel="0" collapsed="false">
      <c r="B179" s="19"/>
      <c r="C179" s="38"/>
      <c r="D179" s="38"/>
      <c r="E179" s="23"/>
      <c r="F179" s="84"/>
      <c r="G179" s="24"/>
      <c r="H179" s="20"/>
      <c r="I179" s="20"/>
      <c r="J179" s="20"/>
      <c r="K179" s="20"/>
      <c r="L179" s="64"/>
      <c r="M179" s="20"/>
      <c r="N179" s="23"/>
      <c r="O179" s="25"/>
      <c r="P179" s="23"/>
      <c r="Q179" s="20"/>
      <c r="R179" s="20"/>
      <c r="S179" s="20"/>
      <c r="T179" s="20"/>
      <c r="X179" s="28"/>
      <c r="Y179" s="28"/>
    </row>
    <row r="180" customFormat="false" ht="30" hidden="false" customHeight="true" outlineLevel="0" collapsed="false">
      <c r="B180" s="19"/>
      <c r="C180" s="38"/>
      <c r="D180" s="38"/>
      <c r="E180" s="23"/>
      <c r="F180" s="84"/>
      <c r="G180" s="24"/>
      <c r="H180" s="20"/>
      <c r="I180" s="20"/>
      <c r="J180" s="20"/>
      <c r="K180" s="20"/>
      <c r="L180" s="64"/>
      <c r="M180" s="20"/>
      <c r="N180" s="23"/>
      <c r="O180" s="25"/>
      <c r="P180" s="23"/>
      <c r="Q180" s="20"/>
      <c r="R180" s="20"/>
      <c r="S180" s="20"/>
      <c r="T180" s="20"/>
      <c r="X180" s="28"/>
      <c r="Y180" s="28"/>
    </row>
    <row r="181" customFormat="false" ht="30" hidden="false" customHeight="true" outlineLevel="0" collapsed="false">
      <c r="B181" s="19"/>
      <c r="C181" s="38"/>
      <c r="D181" s="38"/>
      <c r="E181" s="23"/>
      <c r="F181" s="84"/>
      <c r="G181" s="24"/>
      <c r="H181" s="20"/>
      <c r="I181" s="20"/>
      <c r="J181" s="20"/>
      <c r="K181" s="20"/>
      <c r="L181" s="64"/>
      <c r="M181" s="20"/>
      <c r="N181" s="23"/>
      <c r="O181" s="25"/>
      <c r="P181" s="23"/>
      <c r="Q181" s="20"/>
      <c r="R181" s="20"/>
      <c r="S181" s="20"/>
      <c r="T181" s="20"/>
      <c r="X181" s="28"/>
      <c r="Y181" s="28"/>
    </row>
    <row r="182" customFormat="false" ht="30" hidden="false" customHeight="true" outlineLevel="0" collapsed="false">
      <c r="B182" s="19"/>
      <c r="C182" s="38"/>
      <c r="D182" s="38"/>
      <c r="E182" s="23"/>
      <c r="F182" s="84"/>
      <c r="G182" s="24"/>
      <c r="H182" s="20"/>
      <c r="I182" s="20"/>
      <c r="J182" s="20"/>
      <c r="K182" s="20"/>
      <c r="L182" s="64"/>
      <c r="M182" s="20"/>
      <c r="N182" s="23"/>
      <c r="O182" s="25"/>
      <c r="P182" s="23"/>
      <c r="Q182" s="20"/>
      <c r="R182" s="20"/>
      <c r="S182" s="20"/>
      <c r="T182" s="20"/>
      <c r="X182" s="28"/>
      <c r="Y182" s="28"/>
    </row>
    <row r="183" customFormat="false" ht="30" hidden="false" customHeight="true" outlineLevel="0" collapsed="false">
      <c r="B183" s="19"/>
      <c r="C183" s="38"/>
      <c r="D183" s="38"/>
      <c r="E183" s="23"/>
      <c r="F183" s="84"/>
      <c r="G183" s="24"/>
      <c r="H183" s="20"/>
      <c r="I183" s="20"/>
      <c r="J183" s="20"/>
      <c r="K183" s="20"/>
      <c r="L183" s="64"/>
      <c r="M183" s="20"/>
      <c r="N183" s="23"/>
      <c r="O183" s="25"/>
      <c r="P183" s="23"/>
      <c r="Q183" s="20"/>
      <c r="R183" s="20"/>
      <c r="S183" s="20"/>
      <c r="T183" s="20"/>
      <c r="X183" s="28"/>
      <c r="Y183" s="28"/>
    </row>
    <row r="184" customFormat="false" ht="30" hidden="false" customHeight="true" outlineLevel="0" collapsed="false">
      <c r="B184" s="19"/>
      <c r="C184" s="38"/>
      <c r="D184" s="38"/>
      <c r="E184" s="23"/>
      <c r="F184" s="84"/>
      <c r="G184" s="24"/>
      <c r="H184" s="20"/>
      <c r="I184" s="20"/>
      <c r="J184" s="20"/>
      <c r="K184" s="20"/>
      <c r="L184" s="64"/>
      <c r="M184" s="20"/>
      <c r="N184" s="23"/>
      <c r="O184" s="25"/>
      <c r="P184" s="23"/>
      <c r="Q184" s="20"/>
      <c r="R184" s="20"/>
      <c r="S184" s="20"/>
      <c r="T184" s="20"/>
      <c r="X184" s="28"/>
      <c r="Y184" s="28"/>
    </row>
    <row r="185" customFormat="false" ht="30" hidden="false" customHeight="true" outlineLevel="0" collapsed="false">
      <c r="B185" s="19"/>
      <c r="C185" s="38"/>
      <c r="D185" s="38"/>
      <c r="E185" s="23"/>
      <c r="F185" s="48"/>
      <c r="G185" s="26"/>
      <c r="H185" s="20"/>
      <c r="I185" s="20"/>
      <c r="J185" s="20"/>
      <c r="K185" s="20"/>
      <c r="L185" s="64"/>
      <c r="M185" s="20"/>
      <c r="N185" s="23"/>
      <c r="O185" s="25"/>
      <c r="P185" s="23"/>
      <c r="Q185" s="20"/>
      <c r="R185" s="20"/>
      <c r="S185" s="20"/>
      <c r="T185" s="20"/>
      <c r="X185" s="28"/>
      <c r="Y185" s="28"/>
    </row>
    <row r="186" customFormat="false" ht="30" hidden="false" customHeight="true" outlineLevel="0" collapsed="false">
      <c r="B186" s="19"/>
      <c r="C186" s="38"/>
      <c r="D186" s="38"/>
      <c r="E186" s="23"/>
      <c r="F186" s="48"/>
      <c r="G186" s="26"/>
      <c r="H186" s="20"/>
      <c r="I186" s="20"/>
      <c r="J186" s="20"/>
      <c r="K186" s="20"/>
      <c r="L186" s="64"/>
      <c r="M186" s="20"/>
      <c r="N186" s="23"/>
      <c r="O186" s="25"/>
      <c r="P186" s="23"/>
      <c r="Q186" s="20"/>
      <c r="R186" s="20"/>
      <c r="S186" s="20"/>
      <c r="T186" s="20"/>
      <c r="X186" s="28"/>
      <c r="Y186" s="28"/>
    </row>
    <row r="187" customFormat="false" ht="61.5" hidden="false" customHeight="true" outlineLevel="0" collapsed="false">
      <c r="B187" s="19"/>
      <c r="C187" s="38"/>
      <c r="D187" s="38"/>
      <c r="E187" s="23"/>
      <c r="F187" s="85"/>
      <c r="G187" s="24"/>
      <c r="H187" s="20"/>
      <c r="I187" s="20"/>
      <c r="J187" s="20"/>
      <c r="K187" s="20"/>
      <c r="L187" s="64"/>
      <c r="M187" s="20"/>
      <c r="N187" s="23"/>
      <c r="O187" s="25"/>
      <c r="P187" s="23"/>
      <c r="Q187" s="20"/>
      <c r="R187" s="20"/>
      <c r="S187" s="20"/>
      <c r="T187" s="20"/>
      <c r="X187" s="28"/>
      <c r="Y187" s="28"/>
    </row>
  </sheetData>
  <autoFilter ref="B5:T187"/>
  <mergeCells count="26">
    <mergeCell ref="B1:T1"/>
    <mergeCell ref="B2:H2"/>
    <mergeCell ref="R2:T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P3"/>
    <mergeCell ref="Q3:T3"/>
    <mergeCell ref="M4:M5"/>
    <mergeCell ref="N4:N5"/>
    <mergeCell ref="O4:O5"/>
    <mergeCell ref="P4:P5"/>
    <mergeCell ref="Q4:R4"/>
    <mergeCell ref="S4:T4"/>
    <mergeCell ref="U9:V9"/>
    <mergeCell ref="U12:V12"/>
    <mergeCell ref="U37:V37"/>
    <mergeCell ref="U38:V38"/>
  </mergeCells>
  <printOptions headings="false" gridLines="false" gridLinesSet="true" horizontalCentered="true" verticalCentered="true"/>
  <pageMargins left="0" right="0.196527777777778" top="0.39375" bottom="0.39375" header="0.144" footer="0.511811023622047"/>
  <pageSetup paperSize="9" scale="55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2007-11-05T02:45:42Z</dcterms:created>
  <dc:creator>K-건설맵</dc:creator>
  <dc:description/>
  <dc:language>en-US</dc:language>
  <cp:lastModifiedBy>K-건설맵</cp:lastModifiedBy>
  <cp:lastPrinted>2024-09-06T06:28:49Z</cp:lastPrinted>
  <dcterms:modified xsi:type="dcterms:W3CDTF">2025-03-15T04:17:26Z</dcterms:modified>
  <cp:revision>0</cp:revision>
  <dc:subject/>
  <dc:title/>
</cp:coreProperties>
</file>