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세부공종" sheetId="3" state="visible" r:id="rId3"/>
    <sheet xmlns:r="http://schemas.openxmlformats.org/officeDocument/2006/relationships" name="아스콘" sheetId="4" state="visible" r:id="rId4"/>
    <sheet xmlns:r="http://schemas.openxmlformats.org/officeDocument/2006/relationships" name="장비" sheetId="5" state="visible" r:id="rId5"/>
    <sheet xmlns:r="http://schemas.openxmlformats.org/officeDocument/2006/relationships" name="예시-표지" sheetId="6" state="visible" r:id="rId6"/>
    <sheet xmlns:r="http://schemas.openxmlformats.org/officeDocument/2006/relationships" name="예시-개요" sheetId="7" state="visible" r:id="rId7"/>
    <sheet xmlns:r="http://schemas.openxmlformats.org/officeDocument/2006/relationships" name="예시-세부공종" sheetId="8" state="visible" r:id="rId8"/>
    <sheet xmlns:r="http://schemas.openxmlformats.org/officeDocument/2006/relationships" name="예시-아스콘" sheetId="9" state="visible" r:id="rId9"/>
    <sheet xmlns:r="http://schemas.openxmlformats.org/officeDocument/2006/relationships" name="예시-장비" sheetId="10" state="visible" r:id="rId10"/>
  </sheets>
  <definedNames>
    <definedName name="_xlnm.Print_Area" localSheetId="0">'표지'!$A$1:$L$8</definedName>
    <definedName name="_xlnm.Print_Area" localSheetId="1">'개요'!$A$1:$L$34</definedName>
    <definedName name="_xlnm.Print_Area" localSheetId="2">'세부공종'!$A$1:$L$47</definedName>
    <definedName name="_xlnm.Print_Area" localSheetId="3">'아스콘'!$A$1:$L$82</definedName>
    <definedName name="_xlnm.Print_Area" localSheetId="4">'장비'!$A$1:$L$14</definedName>
    <definedName name="_xlnm.Print_Area" localSheetId="5">'예시-표지'!$A$1:$L$8</definedName>
    <definedName name="_xlnm.Print_Area" localSheetId="6">'예시-개요'!$A$1:$L$34</definedName>
    <definedName name="_xlnm.Print_Area" localSheetId="7">'예시-세부공종'!$A$1:$L$47</definedName>
    <definedName name="_xlnm.Print_Area" localSheetId="8">'예시-아스콘'!$A$1:$L$82</definedName>
    <definedName name="_xlnm.Print_Area" localSheetId="9">'예시-장비'!$A$1:$L$14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&quot;. &quot;m&quot;.&quot;"/>
    <numFmt numFmtId="165" formatCode="yyyy. m. d."/>
    <numFmt numFmtId="166" formatCode="&quot;(총 &quot;#,##0&quot;일)&quot;;;&quot;&quot;"/>
    <numFmt numFmtId="167" formatCode="#,##0.##;;&quot;&quot;"/>
    <numFmt numFmtId="168" formatCode="#,##0.##"/>
    <numFmt numFmtId="169" formatCode="#,##0.#&quot; m&quot;;;&quot;&quot;"/>
    <numFmt numFmtId="170" formatCode="&quot;계 &quot;#,##0.#&quot; m&quot;;;&quot;&quot;"/>
    <numFmt numFmtId="171" formatCode="#,##0&quot;대&quot;;;&quot;&quot;"/>
    <numFmt numFmtId="172" formatCode="#,##0&quot;대&quot;"/>
    <numFmt numFmtId="173" formatCode="yyyy-mm-dd"/>
  </numFmts>
  <fonts count="18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30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8"/>
    </font>
    <font>
      <name val="맑은 고딕"/>
      <b val="1"/>
      <color rgb="00111827"/>
      <sz val="20"/>
    </font>
    <font>
      <name val="맑은 고딕"/>
      <b val="1"/>
      <color rgb="00111827"/>
      <sz val="11.5"/>
    </font>
    <font>
      <name val="맑은 고딕"/>
      <color rgb="00000000"/>
      <sz val="9.5"/>
    </font>
    <font>
      <name val="맑은 고딕"/>
      <color rgb="001F2937"/>
      <sz val="9.5"/>
    </font>
    <font>
      <name val="맑은 고딕"/>
      <b val="1"/>
      <color rgb="00111827"/>
      <sz val="17"/>
    </font>
    <font>
      <name val="맑은 고딕"/>
      <b val="1"/>
      <color rgb="001F2937"/>
      <sz val="10.5"/>
    </font>
    <font>
      <name val="맑은 고딕"/>
      <b val="1"/>
      <color rgb="00111827"/>
      <sz val="18"/>
    </font>
    <font>
      <name val="맑은 고딕"/>
      <color rgb="00000000"/>
      <sz val="9"/>
    </font>
    <font>
      <name val="맑은 고딕"/>
      <color rgb="009CA3AF"/>
      <sz val="8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left" vertical="center" shrinkToFit="1"/>
    </xf>
    <xf numFmtId="0" fontId="5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right" vertical="center" shrinkToFit="1"/>
    </xf>
    <xf numFmtId="0" fontId="5" fillId="5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right" vertical="center" shrinkToFit="1"/>
    </xf>
    <xf numFmtId="169" fontId="6" fillId="0" borderId="1" applyAlignment="1" pivotButton="0" quotePrefix="0" xfId="0">
      <alignment horizontal="center" vertical="center" shrinkToFit="1"/>
    </xf>
    <xf numFmtId="170" fontId="5" fillId="3" borderId="1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right" vertical="top" wrapText="1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172" fontId="5" fillId="3" borderId="1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numFmt numFmtId="300" formatCode="#,##0;;&quot;&quot;"/>
    </dxf>
    <dxf>
      <numFmt numFmtId="301" formatCode="#,##0"/>
    </dxf>
    <dxf>
      <numFmt numFmtId="302" formatCode="#,##0&quot; m&quot;;;&quot;&quot;"/>
    </dxf>
    <dxf>
      <numFmt numFmtId="303" formatCode="&quot;계 &quot;#,##0&quot; m&quot;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50" customHeight="1"/>
    <row r="3" ht="70" customHeight="1">
      <c r="A3" s="3" t="inlineStr">
        <is>
          <t>포장공사 시공계획서</t>
        </is>
      </c>
    </row>
    <row r="4" ht="70" customHeight="1"/>
    <row r="5" ht="30" customHeight="1">
      <c r="A5" s="4" t="inlineStr"/>
      <c r="C5" s="5" t="inlineStr">
        <is>
          <t>공 사 명</t>
        </is>
      </c>
      <c r="D5" s="6" t="n"/>
      <c r="E5" s="7" t="inlineStr">
        <is>
          <t>(공 사 명)</t>
        </is>
      </c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작성 연월</t>
        </is>
      </c>
      <c r="D6" s="6" t="n"/>
      <c r="E6" s="8" t="n"/>
      <c r="F6" s="6" t="n"/>
      <c r="G6" s="6" t="n"/>
      <c r="H6" s="6" t="n"/>
      <c r="I6" s="6" t="n"/>
      <c r="J6" s="6" t="n"/>
      <c r="K6" s="4" t="inlineStr"/>
    </row>
    <row r="7" ht="200" customHeight="1"/>
    <row r="8" ht="44" customHeight="1">
      <c r="A8" s="9" t="inlineStr">
        <is>
          <t>(회 사 명)</t>
        </is>
      </c>
    </row>
    <row r="10" ht="19.5" customHeight="1">
      <c r="A10" s="10" t="inlineStr">
        <is>
          <t>공사명 · 작성 연월 · 회사명을 여기 한 번만 적으면 뒤 장에 저절로 들어갑니다.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4" customHeight="1">
      <c r="A2" s="11" t="inlineStr">
        <is>
          <t>포 장 공 사  시 공 계 획 서</t>
        </is>
      </c>
    </row>
    <row r="3" ht="3" customHeight="1"/>
    <row r="4" ht="22" customHeight="1">
      <c r="A4" s="12" t="inlineStr">
        <is>
          <t>제1장  개요 및 현장 운영 계획</t>
        </is>
      </c>
    </row>
    <row r="5" ht="21" customHeight="1">
      <c r="A5" s="13" t="inlineStr">
        <is>
          <t>1) 공사개요</t>
        </is>
      </c>
    </row>
    <row r="6" ht="28" customHeight="1">
      <c r="A6" s="5" t="inlineStr">
        <is>
          <t>공 사 명</t>
        </is>
      </c>
      <c r="B6" s="6" t="n"/>
      <c r="C6" s="6" t="n"/>
      <c r="D6" s="14">
        <f>IF(OR('표지'!E5="",'표지'!E5="(공 사 명)"),"",'표지'!E5)</f>
        <v/>
      </c>
      <c r="E6" s="6" t="n"/>
      <c r="F6" s="6" t="n"/>
      <c r="G6" s="6" t="n"/>
      <c r="H6" s="6" t="n"/>
      <c r="I6" s="6" t="n"/>
      <c r="J6" s="6" t="n"/>
      <c r="K6" s="6" t="n"/>
      <c r="L6" s="6" t="n"/>
    </row>
    <row r="7" ht="26" customHeight="1">
      <c r="A7" s="5" t="inlineStr">
        <is>
          <t>시  공  사</t>
        </is>
      </c>
      <c r="B7" s="6" t="n"/>
      <c r="C7" s="6" t="n"/>
      <c r="D7" s="14">
        <f>IF(OR('표지'!A8="",'표지'!A8="(회 사 명)"),"",'표지'!A8)</f>
        <v/>
      </c>
      <c r="E7" s="6" t="n"/>
      <c r="F7" s="6" t="n"/>
      <c r="G7" s="6" t="n"/>
      <c r="H7" s="6" t="n"/>
      <c r="I7" s="6" t="n"/>
      <c r="J7" s="6" t="n"/>
      <c r="K7" s="6" t="n"/>
      <c r="L7" s="6" t="n"/>
    </row>
    <row r="8" ht="26" customHeight="1">
      <c r="A8" s="5" t="inlineStr">
        <is>
          <t>공 사 기 간</t>
        </is>
      </c>
      <c r="B8" s="6" t="n"/>
      <c r="C8" s="6" t="n"/>
      <c r="D8" s="15" t="n"/>
      <c r="E8" s="6" t="n"/>
      <c r="F8" s="16" t="inlineStr">
        <is>
          <t>~</t>
        </is>
      </c>
      <c r="G8" s="15" t="n"/>
      <c r="H8" s="6" t="n"/>
      <c r="I8" s="17">
        <f>IF(OR(N(D8)=0,N(G8)=0),"",IF(G8&lt;D8,"⚠ 준공일이 착공일보다 빠름",G8-D8+1))</f>
        <v/>
      </c>
      <c r="J8" s="6" t="n"/>
      <c r="K8" s="6" t="n"/>
      <c r="L8" s="6" t="n"/>
    </row>
    <row r="9" ht="24" customHeight="1">
      <c r="A9" s="18" t="inlineStr">
        <is>
          <t>공    종</t>
        </is>
      </c>
      <c r="B9" s="6" t="n"/>
      <c r="C9" s="6" t="n"/>
      <c r="D9" s="6" t="n"/>
      <c r="E9" s="18" t="inlineStr">
        <is>
          <t>규    격</t>
        </is>
      </c>
      <c r="F9" s="6" t="n"/>
      <c r="G9" s="6" t="n"/>
      <c r="H9" s="6" t="n"/>
      <c r="I9" s="18" t="inlineStr">
        <is>
          <t>수    량</t>
        </is>
      </c>
      <c r="J9" s="6" t="n"/>
      <c r="K9" s="6" t="n"/>
      <c r="L9" s="18" t="inlineStr">
        <is>
          <t>단위</t>
        </is>
      </c>
    </row>
    <row r="10" ht="24" customHeight="1">
      <c r="A10" s="7" t="n"/>
      <c r="B10" s="6" t="n"/>
      <c r="C10" s="6" t="n"/>
      <c r="D10" s="6" t="n"/>
      <c r="E10" s="19" t="n"/>
      <c r="F10" s="6" t="n"/>
      <c r="G10" s="6" t="n"/>
      <c r="H10" s="6" t="n"/>
      <c r="I10" s="20" t="n"/>
      <c r="J10" s="6" t="n"/>
      <c r="K10" s="6" t="n"/>
      <c r="L10" s="7" t="n"/>
    </row>
    <row r="11" ht="24" customHeight="1">
      <c r="A11" s="7" t="n"/>
      <c r="B11" s="6" t="n"/>
      <c r="C11" s="6" t="n"/>
      <c r="D11" s="6" t="n"/>
      <c r="E11" s="19" t="n"/>
      <c r="F11" s="6" t="n"/>
      <c r="G11" s="6" t="n"/>
      <c r="H11" s="6" t="n"/>
      <c r="I11" s="20" t="n"/>
      <c r="J11" s="6" t="n"/>
      <c r="K11" s="6" t="n"/>
      <c r="L11" s="7" t="n"/>
    </row>
    <row r="12" ht="24" customHeight="1">
      <c r="A12" s="7" t="n"/>
      <c r="B12" s="6" t="n"/>
      <c r="C12" s="6" t="n"/>
      <c r="D12" s="6" t="n"/>
      <c r="E12" s="19" t="n"/>
      <c r="F12" s="6" t="n"/>
      <c r="G12" s="6" t="n"/>
      <c r="H12" s="6" t="n"/>
      <c r="I12" s="20" t="n"/>
      <c r="J12" s="6" t="n"/>
      <c r="K12" s="6" t="n"/>
      <c r="L12" s="7" t="n"/>
    </row>
    <row r="13" ht="24" customHeight="1">
      <c r="A13" s="7" t="n"/>
      <c r="B13" s="6" t="n"/>
      <c r="C13" s="6" t="n"/>
      <c r="D13" s="6" t="n"/>
      <c r="E13" s="19" t="n"/>
      <c r="F13" s="6" t="n"/>
      <c r="G13" s="6" t="n"/>
      <c r="H13" s="6" t="n"/>
      <c r="I13" s="20" t="n"/>
      <c r="J13" s="6" t="n"/>
      <c r="K13" s="6" t="n"/>
      <c r="L13" s="7" t="n"/>
    </row>
    <row r="14" ht="24" customHeight="1">
      <c r="A14" s="7" t="n"/>
      <c r="B14" s="6" t="n"/>
      <c r="C14" s="6" t="n"/>
      <c r="D14" s="6" t="n"/>
      <c r="E14" s="19" t="n"/>
      <c r="F14" s="6" t="n"/>
      <c r="G14" s="6" t="n"/>
      <c r="H14" s="6" t="n"/>
      <c r="I14" s="20" t="n"/>
      <c r="J14" s="6" t="n"/>
      <c r="K14" s="6" t="n"/>
      <c r="L14" s="7" t="n"/>
    </row>
    <row r="15" ht="24" customHeight="1">
      <c r="A15" s="7" t="n"/>
      <c r="B15" s="6" t="n"/>
      <c r="C15" s="6" t="n"/>
      <c r="D15" s="6" t="n"/>
      <c r="E15" s="19" t="n"/>
      <c r="F15" s="6" t="n"/>
      <c r="G15" s="6" t="n"/>
      <c r="H15" s="6" t="n"/>
      <c r="I15" s="20" t="n"/>
      <c r="J15" s="6" t="n"/>
      <c r="K15" s="6" t="n"/>
      <c r="L15" s="7" t="n"/>
    </row>
    <row r="16" ht="24" customHeight="1">
      <c r="A16" s="21" t="inlineStr">
        <is>
          <t>포장 면적 합계 (단위가 ㎡ 인 줄)</t>
        </is>
      </c>
      <c r="B16" s="6" t="n"/>
      <c r="C16" s="6" t="n"/>
      <c r="D16" s="6" t="n"/>
      <c r="E16" s="6" t="n"/>
      <c r="F16" s="6" t="n"/>
      <c r="G16" s="6" t="n"/>
      <c r="H16" s="6" t="n"/>
      <c r="I16" s="22">
        <f>IF((SUMIF(L10:L15,"㎡",I10:I15)+SUMIF(L10:L15,"m2",I10:I15))=0,"",SUMIF(L10:L15,"㎡",I10:I15)+SUMIF(L10:L15,"m2",I10:I15))</f>
        <v/>
      </c>
      <c r="J16" s="6" t="n"/>
      <c r="K16" s="6" t="n"/>
      <c r="L16" s="21" t="inlineStr">
        <is>
          <t>㎡</t>
        </is>
      </c>
    </row>
    <row r="17" ht="26" customHeight="1">
      <c r="A17" s="5" t="inlineStr">
        <is>
          <t>보차도 경계석</t>
        </is>
      </c>
      <c r="B17" s="6" t="n"/>
      <c r="C17" s="6" t="n"/>
      <c r="D17" s="6" t="n"/>
      <c r="E17" s="16" t="inlineStr">
        <is>
          <t>직선</t>
        </is>
      </c>
      <c r="F17" s="23" t="n"/>
      <c r="G17" s="6" t="n"/>
      <c r="H17" s="16" t="inlineStr">
        <is>
          <t>곡선</t>
        </is>
      </c>
      <c r="I17" s="23" t="n"/>
      <c r="J17" s="6" t="n"/>
      <c r="K17" s="24">
        <f>IF(N(F17)+N(I17)=0,"",N(F17)+N(I17))</f>
        <v/>
      </c>
      <c r="L17" s="6" t="n"/>
    </row>
    <row r="18" ht="21" customHeight="1">
      <c r="A18" s="13" t="inlineStr">
        <is>
          <t>2) 목표</t>
        </is>
      </c>
    </row>
    <row r="19" ht="36" customHeight="1">
      <c r="A19" s="25" t="inlineStr">
        <is>
          <t>-</t>
        </is>
      </c>
      <c r="B19" s="26" t="inlineStr">
        <is>
          <t>적극적이고 정확한 시공 · 공정 및 품질관리 · 안전관리로 고품질을 확보하고 공기를 지키며, 무재해를 달성하여 최상의 현장을 구현한다.</t>
        </is>
      </c>
    </row>
    <row r="20" ht="21" customHeight="1">
      <c r="A20" s="13" t="inlineStr">
        <is>
          <t>3) 공정관리</t>
        </is>
      </c>
    </row>
    <row r="21" ht="20.5" customHeight="1">
      <c r="A21" s="25" t="inlineStr">
        <is>
          <t>-</t>
        </is>
      </c>
      <c r="B21" s="26" t="inlineStr">
        <is>
          <t>공정관리계획에 따른 시공 및 사전 · 사후 점검</t>
        </is>
      </c>
    </row>
    <row r="22" ht="20.5" customHeight="1">
      <c r="A22" s="25" t="inlineStr">
        <is>
          <t>-</t>
        </is>
      </c>
      <c r="B22" s="26" t="inlineStr">
        <is>
          <t>관련되는 다른 공종의 진행 사항 수시 점검 및 공조</t>
        </is>
      </c>
    </row>
    <row r="23" ht="20.5" customHeight="1">
      <c r="A23" s="25" t="inlineStr">
        <is>
          <t>-</t>
        </is>
      </c>
      <c r="B23" s="26" t="inlineStr">
        <is>
          <t>현장 여건을 반영한 최적의 공정표 작성 및 관리</t>
        </is>
      </c>
    </row>
    <row r="24" ht="20.5" customHeight="1">
      <c r="A24" s="25" t="inlineStr">
        <is>
          <t>-</t>
        </is>
      </c>
      <c r="B24" s="26" t="inlineStr">
        <is>
          <t>돌관작업이 생기면 적극적인 대안 검토 및 시행</t>
        </is>
      </c>
    </row>
    <row r="25" ht="20.5" customHeight="1">
      <c r="A25" s="25" t="inlineStr">
        <is>
          <t>-</t>
        </is>
      </c>
      <c r="B25" s="26" t="inlineStr">
        <is>
          <t>검사계획에 따른 검사 실시 및 불합격 요소 사전 제거</t>
        </is>
      </c>
    </row>
    <row r="26" ht="21" customHeight="1">
      <c r="A26" s="13" t="inlineStr">
        <is>
          <t>4) 자재관리</t>
        </is>
      </c>
    </row>
    <row r="27" ht="20.5" customHeight="1">
      <c r="A27" s="25" t="inlineStr">
        <is>
          <t>-</t>
        </is>
      </c>
      <c r="B27" s="26" t="inlineStr">
        <is>
          <t>승인된 물량의 최상급 자재 사전 확보</t>
        </is>
      </c>
    </row>
    <row r="28" ht="20.5" customHeight="1">
      <c r="A28" s="25" t="inlineStr">
        <is>
          <t>-</t>
        </is>
      </c>
      <c r="B28" s="26" t="inlineStr">
        <is>
          <t>현장 반입 때 검수 확인 철저(불량품 즉시 반출)</t>
        </is>
      </c>
    </row>
    <row r="29" ht="20.5" customHeight="1">
      <c r="A29" s="25" t="inlineStr">
        <is>
          <t>-</t>
        </is>
      </c>
      <c r="B29" s="26" t="inlineStr">
        <is>
          <t>안전한 장소에 자재 보관 및 관리</t>
        </is>
      </c>
    </row>
    <row r="30" ht="21" customHeight="1">
      <c r="A30" s="13" t="inlineStr">
        <is>
          <t>5) 품질관리</t>
        </is>
      </c>
    </row>
    <row r="31" ht="20.5" customHeight="1">
      <c r="A31" s="25" t="inlineStr">
        <is>
          <t>-</t>
        </is>
      </c>
      <c r="B31" s="26" t="inlineStr">
        <is>
          <t>규격검사</t>
        </is>
      </c>
    </row>
    <row r="32" ht="20.5" customHeight="1">
      <c r="A32" s="25" t="inlineStr">
        <is>
          <t>-</t>
        </is>
      </c>
      <c r="B32" s="26" t="inlineStr">
        <is>
          <t>시공오차의 최소화</t>
        </is>
      </c>
    </row>
    <row r="33" ht="20.5" customHeight="1">
      <c r="A33" s="25" t="inlineStr">
        <is>
          <t>-</t>
        </is>
      </c>
      <c r="B33" s="26" t="inlineStr">
        <is>
          <t>부적합품의 추적관리</t>
        </is>
      </c>
    </row>
    <row r="34" ht="20.5" customHeight="1">
      <c r="A34" s="25" t="inlineStr">
        <is>
          <t>-</t>
        </is>
      </c>
      <c r="B34" s="26" t="inlineStr">
        <is>
          <t>숙련된 기술인력을 적재적소에 투입</t>
        </is>
      </c>
    </row>
    <row r="36" ht="19.5" customHeight="1">
      <c r="A36" s="10" t="inlineStr">
        <is>
          <t>하늘색 칸 = 자동(공사명 · 시공사 · 공사기간 일수 · 포장 면적 합계 · 경계석 연장 계).</t>
        </is>
      </c>
    </row>
  </sheetData>
  <mergeCells count="58">
    <mergeCell ref="I16:K16"/>
    <mergeCell ref="A17:D17"/>
    <mergeCell ref="I8:L8"/>
    <mergeCell ref="B25:L25"/>
    <mergeCell ref="I12:K12"/>
    <mergeCell ref="A18:L18"/>
    <mergeCell ref="B22:L22"/>
    <mergeCell ref="G8:H8"/>
    <mergeCell ref="A10:D10"/>
    <mergeCell ref="B31:L31"/>
    <mergeCell ref="E11:H11"/>
    <mergeCell ref="A13:D13"/>
    <mergeCell ref="B27:L27"/>
    <mergeCell ref="D7:L7"/>
    <mergeCell ref="A26:L26"/>
    <mergeCell ref="A2:L2"/>
    <mergeCell ref="A9:D9"/>
    <mergeCell ref="B21:L21"/>
    <mergeCell ref="I14:K14"/>
    <mergeCell ref="A8:C8"/>
    <mergeCell ref="A5:L5"/>
    <mergeCell ref="E12:H12"/>
    <mergeCell ref="A16:H16"/>
    <mergeCell ref="A15:D15"/>
    <mergeCell ref="B32:L32"/>
    <mergeCell ref="A11:D11"/>
    <mergeCell ref="F17:G17"/>
    <mergeCell ref="B23:L23"/>
    <mergeCell ref="A4:L4"/>
    <mergeCell ref="E14:H14"/>
    <mergeCell ref="G1:L1"/>
    <mergeCell ref="A20:L20"/>
    <mergeCell ref="I10:K10"/>
    <mergeCell ref="I13:K13"/>
    <mergeCell ref="B29:L29"/>
    <mergeCell ref="I9:K9"/>
    <mergeCell ref="B19:L19"/>
    <mergeCell ref="B34:L34"/>
    <mergeCell ref="B28:L28"/>
    <mergeCell ref="E10:H10"/>
    <mergeCell ref="I15:K15"/>
    <mergeCell ref="I17:J17"/>
    <mergeCell ref="K17:L17"/>
    <mergeCell ref="E13:H13"/>
    <mergeCell ref="D8:E8"/>
    <mergeCell ref="A30:L30"/>
    <mergeCell ref="I11:K11"/>
    <mergeCell ref="E9:H9"/>
    <mergeCell ref="A12:D12"/>
    <mergeCell ref="A1:F1"/>
    <mergeCell ref="B33:L33"/>
    <mergeCell ref="A6:C6"/>
    <mergeCell ref="B24:L24"/>
    <mergeCell ref="A36:L36"/>
    <mergeCell ref="E15:H15"/>
    <mergeCell ref="A7:C7"/>
    <mergeCell ref="D6:L6"/>
    <mergeCell ref="A14:D14"/>
  </mergeCells>
  <conditionalFormatting sqref="I10:I15">
    <cfRule type="expression" priority="1" dxfId="0">
      <formula>AND(ISNUMBER(I10),MOD(I10,1)=0)</formula>
    </cfRule>
  </conditionalFormatting>
  <conditionalFormatting sqref="I16">
    <cfRule type="expression" priority="2" dxfId="1">
      <formula>AND(ISNUMBER(I16),MOD(I16,1)=0)</formula>
    </cfRule>
  </conditionalFormatting>
  <conditionalFormatting sqref="F17">
    <cfRule type="expression" priority="3" dxfId="2">
      <formula>AND(ISNUMBER(F17),MOD(F17,1)=0)</formula>
    </cfRule>
  </conditionalFormatting>
  <conditionalFormatting sqref="I17">
    <cfRule type="expression" priority="4" dxfId="2">
      <formula>AND(ISNUMBER(I17),MOD(I17,1)=0)</formula>
    </cfRule>
  </conditionalFormatting>
  <conditionalFormatting sqref="K17">
    <cfRule type="expression" priority="5" dxfId="3">
      <formula>AND(ISNUMBER(K17),MOD(K17,1)=0)</formula>
    </cfRule>
  </conditionalFormatting>
  <printOptions horizontalCentered="1"/>
  <pageMargins left="0.6" right="0.6" top="0.6" bottom="0.6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" customHeight="1"/>
    <row r="3" ht="22" customHeight="1">
      <c r="A3" s="12" t="inlineStr">
        <is>
          <t>제2장  세부공종계획</t>
        </is>
      </c>
    </row>
    <row r="4" ht="21" customHeight="1">
      <c r="A4" s="13" t="inlineStr">
        <is>
          <t>1) 노상 다짐</t>
        </is>
      </c>
    </row>
    <row r="5" ht="20.5" customHeight="1">
      <c r="A5" s="25" t="inlineStr">
        <is>
          <t>-</t>
        </is>
      </c>
      <c r="B5" s="26" t="inlineStr">
        <is>
          <t>다짐층의 두께는 소요 밀도를 얻을 수 있는 30cm 이하로 한다.</t>
        </is>
      </c>
    </row>
    <row r="6" ht="36" customHeight="1">
      <c r="A6" s="25" t="inlineStr">
        <is>
          <t>-</t>
        </is>
      </c>
      <c r="B6" s="26" t="inlineStr">
        <is>
          <t>다짐 장비로는 대형 롤러를 쓰며, 다짐이 곤란한 곳은 소형 롤러 · 콤팩터 등으로 충분히 다진다.</t>
        </is>
      </c>
    </row>
    <row r="7" ht="36" customHeight="1">
      <c r="A7" s="25" t="inlineStr">
        <is>
          <t>-</t>
        </is>
      </c>
      <c r="B7" s="26" t="inlineStr">
        <is>
          <t>기초지반이 물의 영향으로 연약해지거나 정수압이 구조물에 해롭지 않은 경우에는 뒤채움 부위에 물다짐을 할 수 있다.</t>
        </is>
      </c>
    </row>
    <row r="8" ht="21" customHeight="1">
      <c r="A8" s="13" t="inlineStr">
        <is>
          <t>2) 보조기층</t>
        </is>
      </c>
    </row>
    <row r="9" ht="36" customHeight="1">
      <c r="A9" s="25" t="inlineStr">
        <is>
          <t>-</t>
        </is>
      </c>
      <c r="B9" s="26" t="inlineStr">
        <is>
          <t>보조기층 재료는 운반 · 포설 · 다짐 때 알맞은 함수비를 가져야 하며, 포설 장비는 재료분리를 일으키지 않는 것을 쓴다.</t>
        </is>
      </c>
    </row>
    <row r="10" ht="20.5" customHeight="1">
      <c r="A10" s="25" t="inlineStr">
        <is>
          <t>-</t>
        </is>
      </c>
      <c r="B10" s="26" t="inlineStr">
        <is>
          <t>마무리면은 설계도면의 종 · 횡단과 일치해야 하며, 오차는 계획고의 3cm 이내여야 한다.</t>
        </is>
      </c>
    </row>
    <row r="11" ht="21" customHeight="1">
      <c r="A11" s="13" t="inlineStr">
        <is>
          <t>3) 콘크리트 포장</t>
        </is>
      </c>
    </row>
    <row r="12" ht="49.175" customHeight="1">
      <c r="A12" s="27" t="inlineStr">
        <is>
          <t>-</t>
        </is>
      </c>
      <c r="B12" s="28" t="inlineStr">
        <is>
          <t>시공 조건에 맞는 장비 선정은 품질과 작업 효율에 큰 영향을 미치므로, 모든 장비의 기종 · 기능 · 기계 상태 · 배치계획 · 오염대책 등을 적은 장비 사용계획서를 제출하여 감리원의 승인을 받고, 현장 반입 후 사용 전에 감리원의 확인을 받는다.</t>
        </is>
      </c>
    </row>
    <row r="13" ht="34.45" customHeight="1">
      <c r="A13" s="27" t="inlineStr">
        <is>
          <t>-</t>
        </is>
      </c>
      <c r="B13" s="28" t="inlineStr">
        <is>
          <t>시공에 앞서 뜬돌 · 점토 등 해로운 물질을 없애고 항상 양호한 상태로 유지하며, 손상 부분은 즉시 보수한다.</t>
        </is>
      </c>
    </row>
    <row r="14" ht="19.725" customHeight="1">
      <c r="A14" s="27" t="inlineStr">
        <is>
          <t>-</t>
        </is>
      </c>
      <c r="B14" s="28" t="inlineStr">
        <is>
          <t>공사용 차량 왕래로 훼손 · 골재 탈리 등이 생기면 즉시 보완하고 감리원의 확인을 받는다.</t>
        </is>
      </c>
    </row>
    <row r="15" ht="19.725" customHeight="1">
      <c r="A15" s="27" t="inlineStr">
        <is>
          <t>-</t>
        </is>
      </c>
      <c r="B15" s="28" t="inlineStr">
        <is>
          <t>보조기층이나 기층면이 말라 있으면 소량의 물을 고르게 뿌린 뒤 콘크리트를 타설한다.</t>
        </is>
      </c>
    </row>
    <row r="16" ht="34.45" customHeight="1">
      <c r="A16" s="27" t="inlineStr">
        <is>
          <t>-</t>
        </is>
      </c>
      <c r="B16" s="28" t="inlineStr">
        <is>
          <t>슬래브 밑면 평탄성에 맞추어 규정된 직선자로 보조기층 표면을 검사하고 요철 부분은 고르게 수정한다.</t>
        </is>
      </c>
    </row>
    <row r="17" ht="34.45" customHeight="1">
      <c r="A17" s="27" t="inlineStr">
        <is>
          <t>-</t>
        </is>
      </c>
      <c r="B17" s="28" t="inlineStr">
        <is>
          <t>거푸집 재료는 기준에 맞고 강도와 강성을 가진 것을 쓰며, 진동기 충격과 포설기계의 최대 윤하중에 충분히 견뎌야 한다. 이격 허용오차는 거푸집 자재 두께 이하로 한다.</t>
        </is>
      </c>
    </row>
    <row r="18" ht="34.45" customHeight="1">
      <c r="A18" s="27" t="inlineStr">
        <is>
          <t>-</t>
        </is>
      </c>
      <c r="B18" s="28" t="inlineStr">
        <is>
          <t>거푸집은 콘크리트 치기 전에 깨끗이 닦고 박리제를 발라 두며, 설치 상태에 대해 감리원의 확인을 받는다.</t>
        </is>
      </c>
    </row>
    <row r="19" ht="34.45" customHeight="1">
      <c r="A19" s="27" t="inlineStr">
        <is>
          <t>-</t>
        </is>
      </c>
      <c r="B19" s="28" t="inlineStr">
        <is>
          <t>깔기 방법은 공사 규모 · 장비 · 작업 여건에 따라 정하며, 깔기면에 고르게 펴는 장비로는 일반적으로 굴삭기를 쓴다.</t>
        </is>
      </c>
    </row>
    <row r="20" ht="19.725" customHeight="1">
      <c r="A20" s="27" t="inlineStr">
        <is>
          <t>-</t>
        </is>
      </c>
      <c r="B20" s="28" t="inlineStr">
        <is>
          <t>깔기를 한 뒤에는 콘크리트를 가능한 다시 옮기지 않으며 재료분리가 일어나지 않게 한다.</t>
        </is>
      </c>
    </row>
    <row r="21" ht="19.725" customHeight="1">
      <c r="A21" s="27" t="inlineStr">
        <is>
          <t>-</t>
        </is>
      </c>
      <c r="B21" s="28" t="inlineStr">
        <is>
          <t>타설 전 도로 선형 · 계획고 · 거푸집 설치 상태에 대해 감리원의 검사를 받는다.</t>
        </is>
      </c>
    </row>
    <row r="22" ht="34.45" customHeight="1">
      <c r="A22" s="27" t="inlineStr">
        <is>
          <t>-</t>
        </is>
      </c>
      <c r="B22" s="28" t="inlineStr">
        <is>
          <t>표시된 두께와 구배를 유지하도록 타설량을 조절하고, 시공이음이 생기지 않도록 레미콘 공급 · 운송을 협의한다.</t>
        </is>
      </c>
    </row>
    <row r="23" ht="34.45" customHeight="1">
      <c r="A23" s="27" t="inlineStr">
        <is>
          <t>-</t>
        </is>
      </c>
      <c r="B23" s="28" t="inlineStr">
        <is>
          <t>타설 후 마무리 작업에 일정한 시간이 필요하므로 비가 오면 작업을 멈추며, 감리원의 승인을 받는 경우 마무리 · 초기양생 · 강도 등에 대한 대책을 세운다.</t>
        </is>
      </c>
    </row>
    <row r="24" ht="34.45" customHeight="1">
      <c r="A24" s="27" t="inlineStr">
        <is>
          <t>-</t>
        </is>
      </c>
      <c r="B24" s="28" t="inlineStr">
        <is>
          <t>표면 마무리 뒤 교통 개방까지 건조 · 온도 변화 · 하중 · 충격 등의 나쁜 영향을 받지 않게 보호한다. 양생기간 동안 습윤 상태 유지를 위해 피막양생을 할 수 있다.</t>
        </is>
      </c>
    </row>
    <row r="25" ht="21" customHeight="1">
      <c r="A25" s="13" t="inlineStr">
        <is>
          <t>4) 경계석 및 L형 측구</t>
        </is>
      </c>
    </row>
    <row r="26" ht="49.175" customHeight="1">
      <c r="A26" s="27" t="inlineStr">
        <is>
          <t>-</t>
        </is>
      </c>
      <c r="B26" s="28" t="inlineStr">
        <is>
          <t>설치 전 점검 : 계획고를 확인하여 포장 계획고 변경 여부를 검토하고, 구간별 곡선부 · 횡단보도 구간 낮춤 경계석 설치 구간 · 차도부와 보도부 접속부 · 횡단보도부 빗물받이 설치 위치를 검토한다.</t>
        </is>
      </c>
    </row>
    <row r="27" ht="34.45" customHeight="1">
      <c r="A27" s="27" t="inlineStr">
        <is>
          <t>-</t>
        </is>
      </c>
      <c r="B27" s="28" t="inlineStr">
        <is>
          <t>노반 준비(1톤 롤러) : 경계석이 놓이는 원지반과 보조기층은 침하가 없도록 도로와 같이 철저히 다진다.</t>
        </is>
      </c>
    </row>
    <row r="28" ht="34.45" customHeight="1">
      <c r="A28" s="27" t="inlineStr">
        <is>
          <t>-</t>
        </is>
      </c>
      <c r="B28" s="28" t="inlineStr">
        <is>
          <t>기초 콘크리트의 물빠짐 상태를 보아 가며 겨냥줄에 따라 선형과 수평이 유지되도록 경계석을 설치한다.</t>
        </is>
      </c>
    </row>
    <row r="29" ht="19.725" customHeight="1">
      <c r="A29" s="27" t="inlineStr">
        <is>
          <t>-</t>
        </is>
      </c>
      <c r="B29" s="28" t="inlineStr">
        <is>
          <t>설치가 끝나면 지체 없이 경계석 앞뒤에 뒤채움 콘크리트를 채워 이탈을 막는다.</t>
        </is>
      </c>
    </row>
    <row r="30" ht="34.45" customHeight="1">
      <c r="A30" s="27" t="inlineStr">
        <is>
          <t>-</t>
        </is>
      </c>
      <c r="B30" s="28" t="inlineStr">
        <is>
          <t>뒤에 타설하는 측구 콘크리트와 잘 붙도록 기초 콘크리트 앞면을 정리하여 L형 측구의 접착을 좋게 한다.</t>
        </is>
      </c>
    </row>
    <row r="31" ht="34.45" customHeight="1">
      <c r="A31" s="27" t="inlineStr">
        <is>
          <t>-</t>
        </is>
      </c>
      <c r="B31" s="28" t="inlineStr">
        <is>
          <t>곡선 부분은 미관을 고려하여 곡선 형태를 유지하며, 낮춤 경계석은 유모차나 장애인 통행에 지장이 없도록 알맞은 길이에 경사석을 두어 측구에서 2cm 높이로 시공한다.</t>
        </is>
      </c>
    </row>
    <row r="32" ht="19.725" customHeight="1">
      <c r="A32" s="27" t="inlineStr">
        <is>
          <t>-</t>
        </is>
      </c>
      <c r="B32" s="28" t="inlineStr">
        <is>
          <t>1매 미만은 반드시 절단기로 자르고, 코너 부위는 연귀 맞춤으로 시공한다.</t>
        </is>
      </c>
    </row>
    <row r="33" ht="19.725" customHeight="1">
      <c r="A33" s="27" t="inlineStr">
        <is>
          <t>-</t>
        </is>
      </c>
      <c r="B33" s="28" t="inlineStr">
        <is>
          <t>줄눈 간격은 5 ~ 8mm 를 기준으로 하고, 줄눈 모르타르의 용적 배합비는 1 : 3 으로 한다.</t>
        </is>
      </c>
    </row>
    <row r="34" ht="19.725" customHeight="1">
      <c r="A34" s="27" t="inlineStr">
        <is>
          <t>-</t>
        </is>
      </c>
      <c r="B34" s="28" t="inlineStr">
        <is>
          <t>줄눈 모르타르가 경계석 표면에 묻지 않게 주의한다.</t>
        </is>
      </c>
    </row>
    <row r="35" ht="34.45" customHeight="1">
      <c r="A35" s="27" t="inlineStr">
        <is>
          <t>-</t>
        </is>
      </c>
      <c r="B35" s="28" t="inlineStr">
        <is>
          <t>도로 편구배 · 빗물받이 위치 등을 확인하여 경계석에 먹줄을 놓고 면목 등으로 보차도 경계석 앞면에 유도선을 설치한다.</t>
        </is>
      </c>
    </row>
    <row r="36" ht="19.725" customHeight="1">
      <c r="A36" s="27" t="inlineStr">
        <is>
          <t>-</t>
        </is>
      </c>
      <c r="B36" s="28" t="inlineStr">
        <is>
          <t>측구 마무리 부위에 선형 유지용 면목(모따기 3cm)을 설치한다.</t>
        </is>
      </c>
    </row>
    <row r="37" ht="34.45" customHeight="1">
      <c r="A37" s="27" t="inlineStr">
        <is>
          <t>-</t>
        </is>
      </c>
      <c r="B37" s="28" t="inlineStr">
        <is>
          <t>측구 면처리는 나무흙손으로 처리한 뒤 페인트용 큰 붓이나 빗자루로 직각 방향으로 가볍게 쓸어 준다.</t>
        </is>
      </c>
    </row>
    <row r="38" ht="34.45" customHeight="1">
      <c r="A38" s="27" t="inlineStr">
        <is>
          <t>-</t>
        </is>
      </c>
      <c r="B38" s="28" t="inlineStr">
        <is>
          <t>시공 후 오염되지 않도록 보양 · 보호하고, 오염 · 파손 부위는 덧씌우지 말고 절단기로 잘라 내어 다시 시공한다.</t>
        </is>
      </c>
    </row>
    <row r="39" ht="21" customHeight="1">
      <c r="A39" s="13" t="inlineStr">
        <is>
          <t>5) 블록 포장</t>
        </is>
      </c>
    </row>
    <row r="40" ht="49.175" customHeight="1">
      <c r="A40" s="27" t="inlineStr">
        <is>
          <t>-</t>
        </is>
      </c>
      <c r="B40" s="28" t="inlineStr">
        <is>
          <t>보도 폭원 결정 : 시공 폭은 설계된 보도 폭을 원칙으로 하되 제조사별로 규격이 조금씩 달라 반드시 시험시공으로 블록이 잘리지 않는 폭원을 정한다(단지 안 보도 경계석 위치는 조립블록을 시험시공한 뒤 1장 폭 안팎으로 조정하여 블록을 자르지 않도록 한다).</t>
        </is>
      </c>
    </row>
    <row r="41" ht="63.9" customHeight="1">
      <c r="A41" s="27" t="inlineStr">
        <is>
          <t>-</t>
        </is>
      </c>
      <c r="B41" s="28" t="inlineStr">
        <is>
          <t>시공 문양 결정 : 표준도 문양을 참고하여 보도 폭 · 연장 등을 감안한 시공도를 작성하되, 현장 주변 실사를 통한 여러 방안을 검토하고 시공성 · 유색 블록 설계수량 등을 감안하여 조잡한 시공이 되지 않게 정한다(복잡한 문양 구간은 미리 블록 배치 시공도를 작성하고 반블록 사용 여부를 검토한다).</t>
        </is>
      </c>
    </row>
    <row r="42" ht="34.45" customHeight="1">
      <c r="A42" s="27" t="inlineStr">
        <is>
          <t>-</t>
        </is>
      </c>
      <c r="B42" s="28" t="inlineStr">
        <is>
          <t>블록 포설 뒤 콤팩터로 다져 면을 평탄하게 하고, 모래를 고루 펴 블록 사이를 채운 뒤 빗자루질로 마감한다.</t>
        </is>
      </c>
    </row>
    <row r="43" ht="19.725" customHeight="1">
      <c r="A43" s="27" t="inlineStr">
        <is>
          <t>-</t>
        </is>
      </c>
      <c r="B43" s="28" t="inlineStr">
        <is>
          <t>보도블록과 경계석 · 맨홀 등 사이에 단차가 없도록 평활하게 마감한다.</t>
        </is>
      </c>
    </row>
    <row r="44" ht="19.725" customHeight="1">
      <c r="A44" s="27" t="inlineStr">
        <is>
          <t>-</t>
        </is>
      </c>
      <c r="B44" s="28" t="inlineStr">
        <is>
          <t>칼라 맨홀 높이 조절 콘크리트 타설 때 마감 F.L 관리에 유의한다.</t>
        </is>
      </c>
    </row>
    <row r="45" ht="19.725" customHeight="1">
      <c r="A45" s="27" t="inlineStr">
        <is>
          <t>-</t>
        </is>
      </c>
      <c r="B45" s="28" t="inlineStr">
        <is>
          <t>다짐 부족에 따른 침하에 유의한다.</t>
        </is>
      </c>
    </row>
    <row r="46" ht="19.725" customHeight="1">
      <c r="A46" s="27" t="inlineStr">
        <is>
          <t>-</t>
        </is>
      </c>
      <c r="B46" s="28" t="inlineStr">
        <is>
          <t>빗물 침투 때 세굴로 인한 침하에 유의한다.</t>
        </is>
      </c>
    </row>
    <row r="47" ht="19.725" customHeight="1">
      <c r="A47" s="27" t="inlineStr">
        <is>
          <t>-</t>
        </is>
      </c>
      <c r="B47" s="28" t="inlineStr">
        <is>
          <t>건물 주변 되메우기가 포장 직전에 이루어져 포설 뒤 침하가 생기지 않도록 유의한다.</t>
        </is>
      </c>
    </row>
  </sheetData>
  <mergeCells count="47">
    <mergeCell ref="B35:L35"/>
    <mergeCell ref="B26:L26"/>
    <mergeCell ref="A25:L25"/>
    <mergeCell ref="B16:L16"/>
    <mergeCell ref="B7:L7"/>
    <mergeCell ref="B47:L47"/>
    <mergeCell ref="B46:L46"/>
    <mergeCell ref="B22:L22"/>
    <mergeCell ref="A3:L3"/>
    <mergeCell ref="B31:L31"/>
    <mergeCell ref="B18:L18"/>
    <mergeCell ref="B27:L27"/>
    <mergeCell ref="B43:L43"/>
    <mergeCell ref="B12:L12"/>
    <mergeCell ref="B21:L21"/>
    <mergeCell ref="A8:L8"/>
    <mergeCell ref="B42:L42"/>
    <mergeCell ref="B14:L14"/>
    <mergeCell ref="B17:L17"/>
    <mergeCell ref="B23:L23"/>
    <mergeCell ref="A4:L4"/>
    <mergeCell ref="G1:L1"/>
    <mergeCell ref="B13:L13"/>
    <mergeCell ref="B38:L38"/>
    <mergeCell ref="B44:L44"/>
    <mergeCell ref="B29:L29"/>
    <mergeCell ref="B19:L19"/>
    <mergeCell ref="B34:L34"/>
    <mergeCell ref="B37:L37"/>
    <mergeCell ref="B10:L10"/>
    <mergeCell ref="B28:L28"/>
    <mergeCell ref="A39:L39"/>
    <mergeCell ref="B40:L40"/>
    <mergeCell ref="B9:L9"/>
    <mergeCell ref="B6:L6"/>
    <mergeCell ref="B30:L30"/>
    <mergeCell ref="A11:L11"/>
    <mergeCell ref="B15:L15"/>
    <mergeCell ref="A1:F1"/>
    <mergeCell ref="B33:L33"/>
    <mergeCell ref="B24:L24"/>
    <mergeCell ref="B5:L5"/>
    <mergeCell ref="B20:L20"/>
    <mergeCell ref="B36:L36"/>
    <mergeCell ref="B32:L32"/>
    <mergeCell ref="B45:L45"/>
    <mergeCell ref="B41:L41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4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0" customHeight="1">
      <c r="A2" s="29" t="inlineStr">
        <is>
          <t>6) 아스콘 포장 — 주요공정의 시공절차</t>
        </is>
      </c>
    </row>
    <row r="3" ht="3" customHeight="1"/>
    <row r="4" ht="22" customHeight="1">
      <c r="A4" s="12" t="inlineStr">
        <is>
          <t>아스콘 포장 흐름도</t>
        </is>
      </c>
    </row>
    <row r="5" ht="30" customHeight="1">
      <c r="A5" s="4" t="inlineStr"/>
      <c r="D5" s="30" t="inlineStr">
        <is>
          <t>재료 반입</t>
        </is>
      </c>
      <c r="E5" s="6" t="n"/>
      <c r="F5" s="6" t="n"/>
      <c r="G5" s="6" t="n"/>
      <c r="H5" s="6" t="n"/>
      <c r="I5" s="6" t="n"/>
      <c r="J5" s="31" t="inlineStr"/>
    </row>
    <row r="6" ht="12" customHeight="1">
      <c r="A6" s="32" t="inlineStr">
        <is>
          <t>▼</t>
        </is>
      </c>
    </row>
    <row r="7" ht="30" customHeight="1">
      <c r="A7" s="4" t="inlineStr"/>
      <c r="D7" s="30" t="inlineStr">
        <is>
          <t>1차 포설(보조기층) 및 전압</t>
        </is>
      </c>
      <c r="E7" s="6" t="n"/>
      <c r="F7" s="6" t="n"/>
      <c r="G7" s="6" t="n"/>
      <c r="H7" s="6" t="n"/>
      <c r="I7" s="6" t="n"/>
      <c r="J7" s="31" t="inlineStr"/>
    </row>
    <row r="8" ht="12" customHeight="1">
      <c r="A8" s="32" t="inlineStr">
        <is>
          <t>▼</t>
        </is>
      </c>
    </row>
    <row r="9" ht="30" customHeight="1">
      <c r="A9" s="4" t="inlineStr"/>
      <c r="D9" s="30" t="inlineStr">
        <is>
          <t>2차 포설(혼합기층) 및 전압</t>
        </is>
      </c>
      <c r="E9" s="6" t="n"/>
      <c r="F9" s="6" t="n"/>
      <c r="G9" s="6" t="n"/>
      <c r="H9" s="6" t="n"/>
      <c r="I9" s="6" t="n"/>
      <c r="J9" s="31" t="inlineStr"/>
    </row>
    <row r="10" ht="12" customHeight="1">
      <c r="A10" s="32" t="inlineStr">
        <is>
          <t>▼</t>
        </is>
      </c>
    </row>
    <row r="11" ht="30" customHeight="1">
      <c r="A11" s="4" t="inlineStr"/>
      <c r="D11" s="30" t="inlineStr">
        <is>
          <t>프라임 코팅(RSC-3)</t>
        </is>
      </c>
      <c r="E11" s="6" t="n"/>
      <c r="F11" s="6" t="n"/>
      <c r="G11" s="6" t="n"/>
      <c r="H11" s="6" t="n"/>
      <c r="I11" s="6" t="n"/>
      <c r="J11" s="31" t="inlineStr"/>
    </row>
    <row r="12" ht="12" customHeight="1">
      <c r="A12" s="32" t="inlineStr">
        <is>
          <t>▼</t>
        </is>
      </c>
    </row>
    <row r="13" ht="30" customHeight="1">
      <c r="A13" s="4" t="inlineStr"/>
      <c r="D13" s="30" t="inlineStr">
        <is>
          <t>기층 포설 및 전압</t>
        </is>
      </c>
      <c r="E13" s="6" t="n"/>
      <c r="F13" s="6" t="n"/>
      <c r="G13" s="6" t="n"/>
      <c r="H13" s="6" t="n"/>
      <c r="I13" s="6" t="n"/>
      <c r="J13" s="31" t="inlineStr">
        <is>
          <t xml:space="preserve">  ◀ T = 15cm</t>
        </is>
      </c>
    </row>
    <row r="14" ht="12" customHeight="1">
      <c r="A14" s="32" t="inlineStr">
        <is>
          <t>▼</t>
        </is>
      </c>
    </row>
    <row r="15" ht="30" customHeight="1">
      <c r="A15" s="4" t="inlineStr"/>
      <c r="D15" s="30" t="inlineStr">
        <is>
          <t>택 코팅(RSC-4)</t>
        </is>
      </c>
      <c r="E15" s="6" t="n"/>
      <c r="F15" s="6" t="n"/>
      <c r="G15" s="6" t="n"/>
      <c r="H15" s="6" t="n"/>
      <c r="I15" s="6" t="n"/>
      <c r="J15" s="31" t="inlineStr"/>
    </row>
    <row r="16" ht="12" customHeight="1">
      <c r="A16" s="32" t="inlineStr">
        <is>
          <t>▼</t>
        </is>
      </c>
    </row>
    <row r="17" ht="30" customHeight="1">
      <c r="A17" s="4" t="inlineStr"/>
      <c r="D17" s="30" t="inlineStr">
        <is>
          <t>표층 포설 및 전압</t>
        </is>
      </c>
      <c r="E17" s="6" t="n"/>
      <c r="F17" s="6" t="n"/>
      <c r="G17" s="6" t="n"/>
      <c r="H17" s="6" t="n"/>
      <c r="I17" s="6" t="n"/>
      <c r="J17" s="31" t="inlineStr">
        <is>
          <t xml:space="preserve">  ◀ T = 5cm</t>
        </is>
      </c>
    </row>
    <row r="18" ht="12" customHeight="1">
      <c r="A18" s="32" t="inlineStr">
        <is>
          <t>▼</t>
        </is>
      </c>
    </row>
    <row r="19" ht="30" customHeight="1">
      <c r="A19" s="4" t="inlineStr"/>
      <c r="D19" s="30" t="inlineStr">
        <is>
          <t>완    성</t>
        </is>
      </c>
      <c r="E19" s="6" t="n"/>
      <c r="F19" s="6" t="n"/>
      <c r="G19" s="6" t="n"/>
      <c r="H19" s="6" t="n"/>
      <c r="I19" s="6" t="n"/>
      <c r="J19" s="31" t="inlineStr"/>
    </row>
    <row r="20" ht="3" customHeight="1"/>
    <row r="21" ht="22" customHeight="1">
      <c r="A21" s="12" t="inlineStr">
        <is>
          <t>보 조 기 층</t>
        </is>
      </c>
    </row>
    <row r="22" ht="36" customHeight="1">
      <c r="A22" s="25" t="inlineStr">
        <is>
          <t>1.</t>
        </is>
      </c>
      <c r="B22" s="26" t="inlineStr">
        <is>
          <t>혼합된 보조기층 재료는 입도가 고르고 알맞은 함수비를 가져, 저장 · 운반 · 포설 중 재료분리가 일어나지 않게 한다.</t>
        </is>
      </c>
    </row>
    <row r="23" ht="20.5" customHeight="1">
      <c r="A23" s="25" t="inlineStr">
        <is>
          <t>2.</t>
        </is>
      </c>
      <c r="B23" s="26" t="inlineStr">
        <is>
          <t>노상 최종 검측에 합격한 구간만 포설한다.</t>
        </is>
      </c>
    </row>
    <row r="24" ht="20.5" customHeight="1">
      <c r="A24" s="25" t="inlineStr">
        <is>
          <t>3.</t>
        </is>
      </c>
      <c r="B24" s="26" t="inlineStr">
        <is>
          <t>편구배 구간에서는 낮은 쪽에서 높은 쪽으로 다진다.</t>
        </is>
      </c>
    </row>
    <row r="25" ht="20.5" customHeight="1">
      <c r="A25" s="25" t="inlineStr">
        <is>
          <t>4.</t>
        </is>
      </c>
      <c r="B25" s="26" t="inlineStr">
        <is>
          <t>다짐 중 너무 건조하면 살수하여 최적 함수비 부근에서 다지면 효과적이다.</t>
        </is>
      </c>
    </row>
    <row r="26" ht="20.5" customHeight="1">
      <c r="A26" s="25" t="inlineStr">
        <is>
          <t>5.</t>
        </is>
      </c>
      <c r="B26" s="26" t="inlineStr">
        <is>
          <t>보조기층 마무리면은 계획고와 3cm 이상 차이가 나서는 안 된다.</t>
        </is>
      </c>
    </row>
    <row r="27" ht="3" customHeight="1"/>
    <row r="28" ht="22" customHeight="1">
      <c r="A28" s="12" t="inlineStr">
        <is>
          <t>프 라 임  코 팅</t>
        </is>
      </c>
    </row>
    <row r="29" ht="36" customHeight="1">
      <c r="A29" s="25" t="inlineStr">
        <is>
          <t>1.</t>
        </is>
      </c>
      <c r="B29" s="26" t="inlineStr">
        <is>
          <t>코팅 전 보조기층 면 상태를 확인하고, L형 측구 · 맨홀 등 포장 완성 뒤 드러나는 부분에 역청재가 묻지 않도록 조치한다.</t>
        </is>
      </c>
    </row>
    <row r="30" ht="36" customHeight="1">
      <c r="A30" s="25" t="inlineStr">
        <is>
          <t>2.</t>
        </is>
      </c>
      <c r="B30" s="26" t="inlineStr">
        <is>
          <t>살포 전 보조기층 표면이 알맞은 함수량을 가질 때 역청재 침투가 효과적이므로, 약간 습윤한 상태(표면은 건조)가 되도록 하여 승인을 받고 살포한다.</t>
        </is>
      </c>
    </row>
    <row r="31" ht="20.5" customHeight="1">
      <c r="A31" s="25" t="inlineStr">
        <is>
          <t>3.</t>
        </is>
      </c>
      <c r="B31" s="26" t="inlineStr">
        <is>
          <t>과다 살포나 미침투는 블리딩 현상과 아스콘 기층 혼합물 연화를 일으키므로 주의한다.</t>
        </is>
      </c>
    </row>
    <row r="32" ht="20.5" customHeight="1">
      <c r="A32" s="25" t="inlineStr">
        <is>
          <t>4.</t>
        </is>
      </c>
      <c r="B32" s="26" t="inlineStr">
        <is>
          <t>기온 10℃ 이하, 비가 올 때, 해가 진 뒤에는 시공하지 않는다.</t>
        </is>
      </c>
    </row>
    <row r="33" ht="36" customHeight="1">
      <c r="A33" s="25" t="inlineStr">
        <is>
          <t>5.</t>
        </is>
      </c>
      <c r="B33" s="26" t="inlineStr">
        <is>
          <t>역청재는 고르게 뿌릴 수 있는 디스트리뷰터로 살포하며, 특히 L형 측구 · 맨홀 등 구조물이 더럽혀지지 않게 유의한다.</t>
        </is>
      </c>
    </row>
    <row r="34" ht="20.5" customHeight="1">
      <c r="A34" s="25" t="inlineStr">
        <is>
          <t>6.</t>
        </is>
      </c>
      <c r="B34" s="26" t="inlineStr">
        <is>
          <t>살포 뒤 기층 포설 때까지 통행을 막는다.</t>
        </is>
      </c>
    </row>
    <row r="35" ht="3" customHeight="1"/>
    <row r="36" ht="22" customHeight="1">
      <c r="A36" s="12" t="inlineStr">
        <is>
          <t>택  코 팅</t>
        </is>
      </c>
    </row>
    <row r="37" ht="20.5" customHeight="1">
      <c r="A37" s="25" t="inlineStr">
        <is>
          <t>1.</t>
        </is>
      </c>
      <c r="B37" s="26" t="inlineStr">
        <is>
          <t>시공 전 포장면을 청소하고 건조한 상태에서 살포한다.</t>
        </is>
      </c>
    </row>
    <row r="38" ht="20.5" customHeight="1">
      <c r="A38" s="25" t="inlineStr">
        <is>
          <t>2.</t>
        </is>
      </c>
      <c r="B38" s="26" t="inlineStr">
        <is>
          <t>양생 불충분 및 과다 살포 때 상부층 연화와 밀림 현상이 생기므로 주의한다.</t>
        </is>
      </c>
    </row>
    <row r="39" ht="20.5" customHeight="1">
      <c r="A39" s="25" t="inlineStr">
        <is>
          <t>3.</t>
        </is>
      </c>
      <c r="B39" s="26" t="inlineStr">
        <is>
          <t>기온 5℃ 이하, 비가 올 때, 해가 진 뒤에는 시공하지 않는다.</t>
        </is>
      </c>
    </row>
    <row r="40" ht="20.5" customHeight="1">
      <c r="A40" s="25" t="inlineStr">
        <is>
          <t>4.</t>
        </is>
      </c>
      <c r="B40" s="26" t="inlineStr">
        <is>
          <t>코팅 뒤 충분히 양생하며, 표층 시공 전까지 교통 개방을 금지한다.</t>
        </is>
      </c>
    </row>
    <row r="41" ht="3" customHeight="1"/>
    <row r="42" ht="22" customHeight="1">
      <c r="A42" s="12" t="inlineStr">
        <is>
          <t>아스팔트 포설</t>
        </is>
      </c>
    </row>
    <row r="43" ht="34.45" customHeight="1">
      <c r="A43" s="27" t="inlineStr">
        <is>
          <t>1.</t>
        </is>
      </c>
      <c r="B43" s="28" t="inlineStr">
        <is>
          <t>포설 장비는 라인 센서가 달린 피니셔로 하고, 콜드 조인트를 줄이기 위해 2차로 포설 피니셔를 쓴다.</t>
        </is>
      </c>
    </row>
    <row r="44" ht="34.45" customHeight="1">
      <c r="A44" s="27" t="inlineStr">
        <is>
          <t>2.</t>
        </is>
      </c>
      <c r="B44" s="28" t="inlineStr">
        <is>
          <t>기계 고장으로 작업이 멈추지 않도록 포설 전 장비 일체(예열 · 스크리드 수평 · 스크리드 밑면 청소 · 다짐 작동 상태 등)를 점검한다.</t>
        </is>
      </c>
    </row>
    <row r="45" ht="34.45" customHeight="1">
      <c r="A45" s="27" t="inlineStr">
        <is>
          <t>3.</t>
        </is>
      </c>
      <c r="B45" s="28" t="inlineStr">
        <is>
          <t>편구배 구간은 도로 중심선에 평행하게 높은 곳에서 낮은 곳으로, 직선 구간은 길어깨 쪽에서 중심선 쪽으로, 종방향은 낮은 곳에서 높은 곳으로 포설한다.</t>
        </is>
      </c>
    </row>
    <row r="46" ht="34.45" customHeight="1">
      <c r="A46" s="27" t="inlineStr">
        <is>
          <t>4.</t>
        </is>
      </c>
      <c r="B46" s="28" t="inlineStr">
        <is>
          <t>센서로 두께를 조절할 때 평탄성 확보를 위해 여러 번 나누어 조절하고, 센서 감도보다 포설 속도가 빠르지 않게 한다.</t>
        </is>
      </c>
    </row>
    <row r="47" ht="34.45" customHeight="1">
      <c r="A47" s="27" t="inlineStr">
        <is>
          <t>5.</t>
        </is>
      </c>
      <c r="B47" s="28" t="inlineStr">
        <is>
          <t>피니셔 스크리드는 혼합물 온도 정도로 충분히 예열한다(온도가 낮으면 혼합물이 스크리드에 붙어 마무리면에 긁힌 자국이 생긴다).</t>
        </is>
      </c>
    </row>
    <row r="48" ht="19.725" customHeight="1">
      <c r="A48" s="27" t="inlineStr">
        <is>
          <t>6.</t>
        </is>
      </c>
      <c r="B48" s="28" t="inlineStr">
        <is>
          <t>포설 때 혼합물 온도가 120℃ 이하가 되지 않게 한다.</t>
        </is>
      </c>
    </row>
    <row r="49" ht="34.45" customHeight="1">
      <c r="A49" s="27" t="inlineStr">
        <is>
          <t>7.</t>
        </is>
      </c>
      <c r="B49" s="28" t="inlineStr">
        <is>
          <t>덤프트럭은 후진하여 피니셔에서 약간 떨어진 곳에 정지하고, 혼합물을 부으며 피니셔가 운전을 시작하면 트럭을 밀며 전진한다(트럭은 기어 중립).</t>
        </is>
      </c>
    </row>
    <row r="50" ht="34.45" customHeight="1">
      <c r="A50" s="27" t="inlineStr">
        <is>
          <t>8.</t>
        </is>
      </c>
      <c r="B50" s="28" t="inlineStr">
        <is>
          <t>호퍼 안 혼합물은 큰 변동이 없게 하고, 투입 충격을 최소화하며, 1차는 덜어 내듯 쏟고 2차는 수평으로 내려오게 하여 굵고 가는 입자가 분리되지 않게 한다.</t>
        </is>
      </c>
    </row>
    <row r="51" ht="19.725" customHeight="1">
      <c r="A51" s="27" t="inlineStr">
        <is>
          <t>9.</t>
        </is>
      </c>
      <c r="B51" s="28" t="inlineStr">
        <is>
          <t>혼합물은 호퍼 안에 충분히, 스크류 스프레더 양 끝에 스크류 깊이의 2/3 까지 있게 한다.</t>
        </is>
      </c>
    </row>
    <row r="52" ht="19.725" customHeight="1">
      <c r="A52" s="27" t="inlineStr">
        <is>
          <t>10.</t>
        </is>
      </c>
      <c r="B52" s="28" t="inlineStr">
        <is>
          <t>포설 중 스크리드에 달린 탬퍼는 계속 작동하여 혼합물이 다져지게 한다.</t>
        </is>
      </c>
    </row>
    <row r="53" ht="19.725" customHeight="1">
      <c r="A53" s="27" t="inlineStr">
        <is>
          <t>11.</t>
        </is>
      </c>
      <c r="B53" s="28" t="inlineStr">
        <is>
          <t>표면이 젖었거나 얼었을 때, 기온 5℃ 이하, 안개 낀 날 등에는 시공하지 않는다.</t>
        </is>
      </c>
    </row>
    <row r="54" ht="34.45" customHeight="1">
      <c r="A54" s="27" t="inlineStr">
        <is>
          <t>12.</t>
        </is>
      </c>
      <c r="B54" s="28" t="inlineStr">
        <is>
          <t>두께 조절기로 포설 두께를 한꺼번에 조정하면 평탄성이 나빠지므로 여러 번 나누어 조정하고, 스크리드 조정원은 포설 두께를 수시로 확인한다.</t>
        </is>
      </c>
    </row>
    <row r="55" ht="34.45" customHeight="1">
      <c r="A55" s="27" t="inlineStr">
        <is>
          <t>13.</t>
        </is>
      </c>
      <c r="B55" s="28" t="inlineStr">
        <is>
          <t>롤러로 다지기 전 종 · 횡방향 평탄성 · 표면 조직 등을 점검하고 불량 부분은 수정하거나 걷어 낸 뒤 포설하여 다진다(표층은 걷어 내고 다시 포설).</t>
        </is>
      </c>
    </row>
    <row r="56" ht="19.725" customHeight="1">
      <c r="A56" s="27" t="inlineStr">
        <is>
          <t>14.</t>
        </is>
      </c>
      <c r="B56" s="28" t="inlineStr">
        <is>
          <t>피니셔로 포설한 면은 레이크를 쓰지 않는 것이 원칙이며, 쓸 때는 예열한다.</t>
        </is>
      </c>
    </row>
    <row r="57" ht="49.175" customHeight="1">
      <c r="A57" s="27" t="inlineStr">
        <is>
          <t>15.</t>
        </is>
      </c>
      <c r="B57" s="28" t="inlineStr">
        <is>
          <t>포설 중 비가 오면 즉시 작업을 멈추고 포설된 부분을 빨리 다져 마무리한다(혼합물에 물이 스며들면 골재와 아스팔트의 부착력이 떨어져 안정도 · 내구성이 줄고, 온도가 급히 떨어져 소정의 다짐 밀도를 얻을 수 없다).</t>
        </is>
      </c>
    </row>
    <row r="58" ht="3" customHeight="1"/>
    <row r="59" ht="22" customHeight="1">
      <c r="A59" s="12" t="inlineStr">
        <is>
          <t>아스팔트 다짐</t>
        </is>
      </c>
    </row>
    <row r="60" ht="19.725" customHeight="1">
      <c r="A60" s="27" t="inlineStr">
        <is>
          <t>1.</t>
        </is>
      </c>
      <c r="B60" s="28" t="inlineStr">
        <is>
          <t>다짐 전 선형 · 평탄성 · 표면 상태를 점검하고 불량 부분은 수정한 뒤 다진다.</t>
        </is>
      </c>
    </row>
    <row r="61" ht="19.725" customHeight="1">
      <c r="A61" s="27" t="inlineStr">
        <is>
          <t>2.</t>
        </is>
      </c>
      <c r="B61" s="28" t="inlineStr">
        <is>
          <t>이음부부터 다지기 시작하며 낮은 곳에서 높은 쪽으로 다진다.</t>
        </is>
      </c>
    </row>
    <row r="62" ht="19.725" customHeight="1">
      <c r="A62" s="27" t="inlineStr">
        <is>
          <t>3.</t>
        </is>
      </c>
      <c r="B62" s="28" t="inlineStr">
        <is>
          <t>같은 지점에서의 정지 · 회전, 갑작스러운 다짐선 변경으로 혼합물이 밀리지 않게 한다.</t>
        </is>
      </c>
    </row>
    <row r="63" ht="19.725" customHeight="1">
      <c r="A63" s="27" t="inlineStr">
        <is>
          <t>4.</t>
        </is>
      </c>
      <c r="B63" s="28" t="inlineStr">
        <is>
          <t>다짐 뒤 24시간 이내, 상온이 될 때까지 교통 개방을 금지한다.</t>
        </is>
      </c>
    </row>
    <row r="64" ht="34.45" customHeight="1">
      <c r="A64" s="27" t="inlineStr">
        <is>
          <t>5.</t>
        </is>
      </c>
      <c r="B64" s="28" t="inlineStr">
        <is>
          <t>가로 시공이음은 상층과 하층을 서로 1m 이상, 세로 시공이음은 최소 15cm 이상 어긋나게 시공한다.</t>
        </is>
      </c>
    </row>
    <row r="65" ht="34.45" customHeight="1">
      <c r="A65" s="27" t="inlineStr">
        <is>
          <t>6.</t>
        </is>
      </c>
      <c r="B65" s="28" t="inlineStr">
        <is>
          <t>하루 마무리(이음부) 위치에는 소요 두께를 확보할 수 있는 각목을 대어 마무리하고, 다음 날 포설 때 각목을 떼고 택 코팅을 철저히 하여 신구 혼합물이 밀착되고 평탄하게 한다.</t>
        </is>
      </c>
    </row>
    <row r="66" ht="19.725" customHeight="1">
      <c r="A66" s="27" t="inlineStr">
        <is>
          <t>7.</t>
        </is>
      </c>
      <c r="B66" s="28" t="inlineStr">
        <is>
          <t>1차 전압은 혼합물이 밀리거나 헤어크랙이 생기지 않는 고온에서 다진다.</t>
        </is>
      </c>
    </row>
    <row r="67" ht="19.725" customHeight="1">
      <c r="A67" s="27" t="inlineStr">
        <is>
          <t>8.</t>
        </is>
      </c>
      <c r="B67" s="28" t="inlineStr">
        <is>
          <t>2차 전압은 1차 다짐에 이어 소정의 밀도가 나오도록 다진다(온도 70 ~ 90℃).</t>
        </is>
      </c>
    </row>
    <row r="68" ht="19.725" customHeight="1">
      <c r="A68" s="27" t="inlineStr">
        <is>
          <t>9.</t>
        </is>
      </c>
      <c r="B68" s="28" t="inlineStr">
        <is>
          <t>마무리 전압은 롤러 자국이 없어질 정도로 다진다(혼합물 온도 60℃).</t>
        </is>
      </c>
    </row>
    <row r="69" ht="34.45" customHeight="1">
      <c r="A69" s="27" t="inlineStr">
        <is>
          <t>10.</t>
        </is>
      </c>
      <c r="B69" s="28" t="inlineStr">
        <is>
          <t>시험요원은 수시로 혼합물 온도를 재어 전압 시기와 다짐 장비를 유도하여 효율적으로 다짐을 관리한다.</t>
        </is>
      </c>
    </row>
    <row r="70" ht="19.725" customHeight="1">
      <c r="A70" s="27" t="inlineStr">
        <is>
          <t>11.</t>
        </is>
      </c>
      <c r="B70" s="28" t="inlineStr">
        <is>
          <t>전압 중 3m 직선자로 종 · 횡방향 요철과 굴곡부를 찾아 다짐 장비를 유도하여 보완한다.</t>
        </is>
      </c>
    </row>
    <row r="71" ht="19.725" customHeight="1">
      <c r="A71" s="27" t="inlineStr">
        <is>
          <t>12.</t>
        </is>
      </c>
      <c r="B71" s="28" t="inlineStr">
        <is>
          <t>마무리 전압 뒤 포장 위에 롤러를 오래 세워 두지 않는다.</t>
        </is>
      </c>
    </row>
    <row r="72" ht="34.45" customHeight="1">
      <c r="A72" s="27" t="inlineStr">
        <is>
          <t>13.</t>
        </is>
      </c>
      <c r="B72" s="28" t="inlineStr">
        <is>
          <t>1차 다짐 때 헤어크랙을 없애려면 롤러의 전압력이나 타이어 공기압을 낮추거나, 혼합물 온도가 조금 낮아질 때까지 기다린다.</t>
        </is>
      </c>
    </row>
    <row r="73" ht="21" customHeight="1">
      <c r="A73" s="4" t="inlineStr"/>
      <c r="B73" s="13" t="inlineStr">
        <is>
          <t>14. 다짐 때 유의사항</t>
        </is>
      </c>
    </row>
    <row r="74" ht="19.725" customHeight="1">
      <c r="A74" s="27" t="inlineStr">
        <is>
          <t>1)</t>
        </is>
      </c>
      <c r="C74" s="28" t="inlineStr">
        <is>
          <t>이음부부터 전압한다.</t>
        </is>
      </c>
    </row>
    <row r="75" ht="19.725" customHeight="1">
      <c r="A75" s="27" t="inlineStr">
        <is>
          <t>2)</t>
        </is>
      </c>
      <c r="C75" s="28" t="inlineStr">
        <is>
          <t>낮은 곳에서 높은 곳으로 전압한다.</t>
        </is>
      </c>
    </row>
    <row r="76" ht="19.725" customHeight="1">
      <c r="A76" s="27" t="inlineStr">
        <is>
          <t>3)</t>
        </is>
      </c>
      <c r="C76" s="28" t="inlineStr">
        <is>
          <t>롤러의 구동륜을 앞세워(구동륜 폭의 절반 정도 겹치게) 다진다.</t>
        </is>
      </c>
    </row>
    <row r="77" ht="19.725" customHeight="1">
      <c r="A77" s="27" t="inlineStr">
        <is>
          <t>4)</t>
        </is>
      </c>
      <c r="C77" s="28" t="inlineStr">
        <is>
          <t>바깥 가장자리 다짐은 롤러 바퀴를 끝단에서 5 ~ 10cm 튀어나오게 하여 다진다.</t>
        </is>
      </c>
    </row>
    <row r="78" ht="19.725" customHeight="1">
      <c r="A78" s="27" t="inlineStr">
        <is>
          <t>5)</t>
        </is>
      </c>
      <c r="C78" s="28" t="inlineStr">
        <is>
          <t>롤러의 방향 전환은 반드시 안정된 노면 위에서 한다.</t>
        </is>
      </c>
    </row>
    <row r="79" ht="19.725" customHeight="1">
      <c r="A79" s="27" t="inlineStr">
        <is>
          <t>6)</t>
        </is>
      </c>
      <c r="C79" s="28" t="inlineStr">
        <is>
          <t>급유 등으로 기름을 포장면에 흘리지 않는다(아스팔트 분해로 하자 발생).</t>
        </is>
      </c>
    </row>
    <row r="80" ht="34.45" customHeight="1">
      <c r="A80" s="27" t="inlineStr">
        <is>
          <t>7)</t>
        </is>
      </c>
      <c r="C80" s="28" t="inlineStr">
        <is>
          <t>헤어크랙이 생기면 탠덤 롤러 투입을 피하고 타이어 롤러로 압착 전압을 하여, 혼합물이 다짐 온도 아래로 떨어지기 전에 크랙을 바로잡는다.</t>
        </is>
      </c>
    </row>
    <row r="81" ht="19.725" customHeight="1">
      <c r="A81" s="27" t="inlineStr">
        <is>
          <t>8)</t>
        </is>
      </c>
      <c r="C81" s="28" t="inlineStr">
        <is>
          <t>피니셔와 롤러는 항상 1 ~ 2m 이상 간격을 유지한다.</t>
        </is>
      </c>
    </row>
    <row r="82" ht="34.45" customHeight="1">
      <c r="A82" s="27" t="inlineStr">
        <is>
          <t>9)</t>
        </is>
      </c>
      <c r="C82" s="28" t="inlineStr">
        <is>
          <t>롤러의 급격한 전 · 후진을 금지하고, 특히 머캐덤 롤러는 급제동 · 급출발로 표면 자국이 생기지 않게 한다.</t>
        </is>
      </c>
    </row>
  </sheetData>
  <mergeCells count="102">
    <mergeCell ref="B47:L47"/>
    <mergeCell ref="B22:L22"/>
    <mergeCell ref="A21:L21"/>
    <mergeCell ref="B31:L31"/>
    <mergeCell ref="J11:L11"/>
    <mergeCell ref="B39:L39"/>
    <mergeCell ref="C77:L77"/>
    <mergeCell ref="A74:B74"/>
    <mergeCell ref="B23:L23"/>
    <mergeCell ref="C74:L74"/>
    <mergeCell ref="B38:L38"/>
    <mergeCell ref="A76:B76"/>
    <mergeCell ref="D5:I5"/>
    <mergeCell ref="B40:L40"/>
    <mergeCell ref="B49:L49"/>
    <mergeCell ref="C75:L75"/>
    <mergeCell ref="B64:L64"/>
    <mergeCell ref="J13:L13"/>
    <mergeCell ref="B33:L33"/>
    <mergeCell ref="A36:L36"/>
    <mergeCell ref="B51:L51"/>
    <mergeCell ref="A6:L6"/>
    <mergeCell ref="B32:L32"/>
    <mergeCell ref="B63:L63"/>
    <mergeCell ref="J15:L15"/>
    <mergeCell ref="B50:L50"/>
    <mergeCell ref="B25:L25"/>
    <mergeCell ref="B66:L66"/>
    <mergeCell ref="A79:B79"/>
    <mergeCell ref="C81:L81"/>
    <mergeCell ref="D7:I7"/>
    <mergeCell ref="A12:L12"/>
    <mergeCell ref="J7:L7"/>
    <mergeCell ref="A5:C5"/>
    <mergeCell ref="A14:L14"/>
    <mergeCell ref="B67:L67"/>
    <mergeCell ref="B61:L61"/>
    <mergeCell ref="A4:L4"/>
    <mergeCell ref="B53:L53"/>
    <mergeCell ref="A13:C13"/>
    <mergeCell ref="C79:L79"/>
    <mergeCell ref="B29:L29"/>
    <mergeCell ref="B69:L69"/>
    <mergeCell ref="B37:L37"/>
    <mergeCell ref="A15:C15"/>
    <mergeCell ref="D19:I19"/>
    <mergeCell ref="J5:L5"/>
    <mergeCell ref="B55:L55"/>
    <mergeCell ref="B24:L24"/>
    <mergeCell ref="A7:C7"/>
    <mergeCell ref="A77:B77"/>
    <mergeCell ref="D11:I11"/>
    <mergeCell ref="A16:L16"/>
    <mergeCell ref="B26:L26"/>
    <mergeCell ref="D13:I13"/>
    <mergeCell ref="B54:L54"/>
    <mergeCell ref="B72:L72"/>
    <mergeCell ref="A18:L18"/>
    <mergeCell ref="B56:L56"/>
    <mergeCell ref="B71:L71"/>
    <mergeCell ref="A2:L2"/>
    <mergeCell ref="B43:L43"/>
    <mergeCell ref="A78:B78"/>
    <mergeCell ref="A42:L42"/>
    <mergeCell ref="B52:L52"/>
    <mergeCell ref="C78:L78"/>
    <mergeCell ref="D9:I9"/>
    <mergeCell ref="A75:B75"/>
    <mergeCell ref="A80:B80"/>
    <mergeCell ref="B60:L60"/>
    <mergeCell ref="B57:L57"/>
    <mergeCell ref="D15:I15"/>
    <mergeCell ref="B44:L44"/>
    <mergeCell ref="B34:L34"/>
    <mergeCell ref="J17:L17"/>
    <mergeCell ref="A59:L59"/>
    <mergeCell ref="B30:L30"/>
    <mergeCell ref="J19:L19"/>
    <mergeCell ref="A1:F1"/>
    <mergeCell ref="J9:L9"/>
    <mergeCell ref="C76:L76"/>
    <mergeCell ref="A82:B82"/>
    <mergeCell ref="B62:L62"/>
    <mergeCell ref="D17:I17"/>
    <mergeCell ref="C82:L82"/>
    <mergeCell ref="B46:L46"/>
    <mergeCell ref="B70:L70"/>
    <mergeCell ref="B48:L48"/>
    <mergeCell ref="A17:C17"/>
    <mergeCell ref="A8:L8"/>
    <mergeCell ref="G1:L1"/>
    <mergeCell ref="A19:C19"/>
    <mergeCell ref="A10:L10"/>
    <mergeCell ref="B73:L73"/>
    <mergeCell ref="A28:L28"/>
    <mergeCell ref="A9:C9"/>
    <mergeCell ref="B65:L65"/>
    <mergeCell ref="A11:C11"/>
    <mergeCell ref="C80:L80"/>
    <mergeCell ref="B68:L68"/>
    <mergeCell ref="A81:B81"/>
    <mergeCell ref="B45:L45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34" min="0" max="16383" man="1"/>
    <brk id="57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0" customHeight="1">
      <c r="A2" s="33" t="inlineStr">
        <is>
          <t>투  입  장  비</t>
        </is>
      </c>
      <c r="J2" s="34" t="inlineStr">
        <is>
          <t>공종 : 포장공</t>
        </is>
      </c>
    </row>
    <row r="3" ht="24" customHeight="1">
      <c r="A3" s="18" t="inlineStr">
        <is>
          <t>장 비 명</t>
        </is>
      </c>
      <c r="B3" s="6" t="n"/>
      <c r="C3" s="18" t="inlineStr">
        <is>
          <t>규  격</t>
        </is>
      </c>
      <c r="D3" s="6" t="n"/>
      <c r="E3" s="18" t="inlineStr">
        <is>
          <t>대수</t>
        </is>
      </c>
      <c r="F3" s="18" t="inlineStr">
        <is>
          <t>용 도 · 제 원</t>
        </is>
      </c>
      <c r="G3" s="6" t="n"/>
      <c r="H3" s="6" t="n"/>
      <c r="I3" s="18" t="inlineStr">
        <is>
          <t>장비 사진 · 제원표</t>
        </is>
      </c>
      <c r="J3" s="6" t="n"/>
      <c r="K3" s="6" t="n"/>
      <c r="L3" s="6" t="n"/>
    </row>
    <row r="4" ht="58" customHeight="1">
      <c r="A4" s="7" t="inlineStr">
        <is>
          <t>진동롤러</t>
        </is>
      </c>
      <c r="B4" s="6" t="n"/>
      <c r="C4" s="19" t="inlineStr">
        <is>
          <t>10톤</t>
        </is>
      </c>
      <c r="D4" s="6" t="n"/>
      <c r="E4" s="35" t="n"/>
      <c r="F4" s="36" t="inlineStr">
        <is>
          <t>골재 다짐</t>
        </is>
      </c>
      <c r="G4" s="6" t="n"/>
      <c r="H4" s="6" t="n"/>
      <c r="I4" s="37" t="inlineStr">
        <is>
          <t>(사진 · 제원표)</t>
        </is>
      </c>
      <c r="J4" s="6" t="n"/>
      <c r="K4" s="6" t="n"/>
      <c r="L4" s="6" t="n"/>
    </row>
    <row r="5" ht="58" customHeight="1">
      <c r="A5" s="7" t="inlineStr">
        <is>
          <t>디스트리뷰터</t>
        </is>
      </c>
      <c r="B5" s="6" t="n"/>
      <c r="C5" s="19" t="n"/>
      <c r="D5" s="6" t="n"/>
      <c r="E5" s="35" t="n"/>
      <c r="F5" s="36" t="inlineStr">
        <is>
          <t>아스팔트 유제 살포</t>
        </is>
      </c>
      <c r="G5" s="6" t="n"/>
      <c r="H5" s="6" t="n"/>
      <c r="I5" s="37" t="inlineStr">
        <is>
          <t>(사진 · 제원표)</t>
        </is>
      </c>
      <c r="J5" s="6" t="n"/>
      <c r="K5" s="6" t="n"/>
      <c r="L5" s="6" t="n"/>
    </row>
    <row r="6" ht="58" customHeight="1">
      <c r="A6" s="7" t="inlineStr">
        <is>
          <t>피니셔</t>
        </is>
      </c>
      <c r="B6" s="6" t="n"/>
      <c r="C6" s="19" t="inlineStr">
        <is>
          <t>3.0m</t>
        </is>
      </c>
      <c r="D6" s="6" t="n"/>
      <c r="E6" s="35" t="n"/>
      <c r="F6" s="36" t="inlineStr">
        <is>
          <t>아스콘 포설</t>
        </is>
      </c>
      <c r="G6" s="6" t="n"/>
      <c r="H6" s="6" t="n"/>
      <c r="I6" s="37" t="inlineStr">
        <is>
          <t>(사진 · 제원표)</t>
        </is>
      </c>
      <c r="J6" s="6" t="n"/>
      <c r="K6" s="6" t="n"/>
      <c r="L6" s="6" t="n"/>
    </row>
    <row r="7" ht="58" customHeight="1">
      <c r="A7" s="7" t="inlineStr">
        <is>
          <t>머캐덤 롤러</t>
        </is>
      </c>
      <c r="B7" s="6" t="n"/>
      <c r="C7" s="19" t="inlineStr">
        <is>
          <t>8 ~ 10톤</t>
        </is>
      </c>
      <c r="D7" s="6" t="n"/>
      <c r="E7" s="35" t="n"/>
      <c r="F7" s="36" t="inlineStr">
        <is>
          <t>1차 전압</t>
        </is>
      </c>
      <c r="G7" s="6" t="n"/>
      <c r="H7" s="6" t="n"/>
      <c r="I7" s="37" t="inlineStr">
        <is>
          <t>(사진 · 제원표)</t>
        </is>
      </c>
      <c r="J7" s="6" t="n"/>
      <c r="K7" s="6" t="n"/>
      <c r="L7" s="6" t="n"/>
    </row>
    <row r="8" ht="58" customHeight="1">
      <c r="A8" s="7" t="inlineStr">
        <is>
          <t>타이어 롤러</t>
        </is>
      </c>
      <c r="B8" s="6" t="n"/>
      <c r="C8" s="19" t="inlineStr">
        <is>
          <t>8 ~ 15톤</t>
        </is>
      </c>
      <c r="D8" s="6" t="n"/>
      <c r="E8" s="35" t="n"/>
      <c r="F8" s="36" t="inlineStr">
        <is>
          <t>2차 전압</t>
        </is>
      </c>
      <c r="G8" s="6" t="n"/>
      <c r="H8" s="6" t="n"/>
      <c r="I8" s="37" t="inlineStr">
        <is>
          <t>(사진 · 제원표)</t>
        </is>
      </c>
      <c r="J8" s="6" t="n"/>
      <c r="K8" s="6" t="n"/>
      <c r="L8" s="6" t="n"/>
    </row>
    <row r="9" ht="58" customHeight="1">
      <c r="A9" s="7" t="inlineStr">
        <is>
          <t>탠덤 롤러</t>
        </is>
      </c>
      <c r="B9" s="6" t="n"/>
      <c r="C9" s="19" t="inlineStr">
        <is>
          <t>10 ~ 14톤</t>
        </is>
      </c>
      <c r="D9" s="6" t="n"/>
      <c r="E9" s="35" t="n"/>
      <c r="F9" s="36" t="inlineStr">
        <is>
          <t>마무리 전압</t>
        </is>
      </c>
      <c r="G9" s="6" t="n"/>
      <c r="H9" s="6" t="n"/>
      <c r="I9" s="37" t="inlineStr">
        <is>
          <t>(사진 · 제원표)</t>
        </is>
      </c>
      <c r="J9" s="6" t="n"/>
      <c r="K9" s="6" t="n"/>
      <c r="L9" s="6" t="n"/>
    </row>
    <row r="10" ht="58" customHeight="1">
      <c r="A10" s="7" t="inlineStr">
        <is>
          <t>스키드 로더</t>
        </is>
      </c>
      <c r="B10" s="6" t="n"/>
      <c r="C10" s="19" t="inlineStr">
        <is>
          <t>브러시 · 버킷</t>
        </is>
      </c>
      <c r="D10" s="6" t="n"/>
      <c r="E10" s="35" t="n"/>
      <c r="F10" s="36" t="inlineStr">
        <is>
          <t>노면 청소 및 평탄 작업</t>
        </is>
      </c>
      <c r="G10" s="6" t="n"/>
      <c r="H10" s="6" t="n"/>
      <c r="I10" s="37" t="inlineStr">
        <is>
          <t>(사진 · 제원표)</t>
        </is>
      </c>
      <c r="J10" s="6" t="n"/>
      <c r="K10" s="6" t="n"/>
      <c r="L10" s="6" t="n"/>
    </row>
    <row r="11" ht="58" customHeight="1">
      <c r="A11" s="7" t="inlineStr">
        <is>
          <t>살수차</t>
        </is>
      </c>
      <c r="B11" s="6" t="n"/>
      <c r="C11" s="19" t="inlineStr">
        <is>
          <t>5,500ℓ</t>
        </is>
      </c>
      <c r="D11" s="6" t="n"/>
      <c r="E11" s="35" t="n"/>
      <c r="F11" s="36" t="inlineStr">
        <is>
          <t>다짐 작업 때 살수 · 진출입로 청소 · 장비 물 공급</t>
        </is>
      </c>
      <c r="G11" s="6" t="n"/>
      <c r="H11" s="6" t="n"/>
      <c r="I11" s="37" t="inlineStr">
        <is>
          <t>(사진 · 제원표)</t>
        </is>
      </c>
      <c r="J11" s="6" t="n"/>
      <c r="K11" s="6" t="n"/>
      <c r="L11" s="6" t="n"/>
    </row>
    <row r="12" ht="58" customHeight="1">
      <c r="A12" s="7" t="inlineStr">
        <is>
          <t>덤프트럭</t>
        </is>
      </c>
      <c r="B12" s="6" t="n"/>
      <c r="C12" s="19" t="inlineStr">
        <is>
          <t>25.5톤</t>
        </is>
      </c>
      <c r="D12" s="6" t="n"/>
      <c r="E12" s="35" t="n"/>
      <c r="F12" s="36" t="inlineStr">
        <is>
          <t>골재 운반 및 아스콘 운반</t>
        </is>
      </c>
      <c r="G12" s="6" t="n"/>
      <c r="H12" s="6" t="n"/>
      <c r="I12" s="37" t="inlineStr">
        <is>
          <t>(사진 · 제원표)</t>
        </is>
      </c>
      <c r="J12" s="6" t="n"/>
      <c r="K12" s="6" t="n"/>
      <c r="L12" s="6" t="n"/>
    </row>
    <row r="13" ht="58" customHeight="1">
      <c r="A13" s="7" t="n"/>
      <c r="B13" s="6" t="n"/>
      <c r="C13" s="19" t="n"/>
      <c r="D13" s="6" t="n"/>
      <c r="E13" s="35" t="n"/>
      <c r="F13" s="36" t="n"/>
      <c r="G13" s="6" t="n"/>
      <c r="H13" s="6" t="n"/>
      <c r="I13" s="37" t="inlineStr">
        <is>
          <t>(사진 · 제원표)</t>
        </is>
      </c>
      <c r="J13" s="6" t="n"/>
      <c r="K13" s="6" t="n"/>
      <c r="L13" s="6" t="n"/>
    </row>
    <row r="14" ht="26" customHeight="1">
      <c r="A14" s="21" t="inlineStr">
        <is>
          <t>합    계</t>
        </is>
      </c>
      <c r="B14" s="6" t="n"/>
      <c r="C14" s="6" t="n"/>
      <c r="D14" s="6" t="n"/>
      <c r="E14" s="38">
        <f>IF(SUM(E4:E13)=0,"",SUM(E4:E13))</f>
        <v/>
      </c>
      <c r="F14" s="21" t="inlineStr"/>
      <c r="G14" s="6" t="n"/>
      <c r="H14" s="6" t="n"/>
      <c r="I14" s="6" t="n"/>
      <c r="J14" s="6" t="n"/>
      <c r="K14" s="6" t="n"/>
      <c r="L14" s="6" t="n"/>
    </row>
    <row r="16" ht="34" customHeight="1">
      <c r="A16" s="10" t="inlineStr">
        <is>
          <t>장비 이름 · 규격 · 용도는 원본 계획서 값을 넣어 두었습니다. 대수를 적으면 합계가 저절로 나옵니다. 사진 칸에는 현장 장비 사진이나 제원표를 붙이세요.</t>
        </is>
      </c>
    </row>
  </sheetData>
  <mergeCells count="51">
    <mergeCell ref="A16:L16"/>
    <mergeCell ref="C6:D6"/>
    <mergeCell ref="F5:H5"/>
    <mergeCell ref="I8:L8"/>
    <mergeCell ref="A11:B11"/>
    <mergeCell ref="C5:D5"/>
    <mergeCell ref="I4:L4"/>
    <mergeCell ref="F8:H8"/>
    <mergeCell ref="A14:D14"/>
    <mergeCell ref="I10:L10"/>
    <mergeCell ref="A6:B6"/>
    <mergeCell ref="C4:D4"/>
    <mergeCell ref="I13:L13"/>
    <mergeCell ref="F14:L14"/>
    <mergeCell ref="A2:I2"/>
    <mergeCell ref="C10:D10"/>
    <mergeCell ref="A7:B7"/>
    <mergeCell ref="I9:L9"/>
    <mergeCell ref="F13:H13"/>
    <mergeCell ref="I6:L6"/>
    <mergeCell ref="F9:H9"/>
    <mergeCell ref="C9:D9"/>
    <mergeCell ref="A3:B3"/>
    <mergeCell ref="I11:L11"/>
    <mergeCell ref="A12:B12"/>
    <mergeCell ref="G1:L1"/>
    <mergeCell ref="C12:D12"/>
    <mergeCell ref="J2:L2"/>
    <mergeCell ref="C11:D11"/>
    <mergeCell ref="A5:B5"/>
    <mergeCell ref="F4:H4"/>
    <mergeCell ref="I7:L7"/>
    <mergeCell ref="A8:B8"/>
    <mergeCell ref="F11:H11"/>
    <mergeCell ref="C8:D8"/>
    <mergeCell ref="A4:B4"/>
    <mergeCell ref="F10:H10"/>
    <mergeCell ref="F6:H6"/>
    <mergeCell ref="C7:D7"/>
    <mergeCell ref="I3:L3"/>
    <mergeCell ref="A1:F1"/>
    <mergeCell ref="A10:B10"/>
    <mergeCell ref="I12:L12"/>
    <mergeCell ref="A13:B13"/>
    <mergeCell ref="C13:D13"/>
    <mergeCell ref="F12:H12"/>
    <mergeCell ref="F7:H7"/>
    <mergeCell ref="A9:B9"/>
    <mergeCell ref="F3:H3"/>
    <mergeCell ref="C3:D3"/>
    <mergeCell ref="I5:L5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39" t="inlineStr">
        <is>
          <t xml:space="preserve">작성 예시 (가상의 현장)  </t>
        </is>
      </c>
    </row>
    <row r="2" ht="150" customHeight="1"/>
    <row r="3" ht="70" customHeight="1">
      <c r="A3" s="3" t="inlineStr">
        <is>
          <t>포장공사 시공계획서</t>
        </is>
      </c>
    </row>
    <row r="4" ht="70" customHeight="1"/>
    <row r="5" ht="30" customHeight="1">
      <c r="A5" s="4" t="inlineStr"/>
      <c r="C5" s="5" t="inlineStr">
        <is>
          <t>공 사 명</t>
        </is>
      </c>
      <c r="D5" s="6" t="n"/>
      <c r="E5" s="7" t="inlineStr">
        <is>
          <t>가나지구 공동주택 부대토목공사</t>
        </is>
      </c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작성 연월</t>
        </is>
      </c>
      <c r="D6" s="6" t="n"/>
      <c r="E6" s="8" t="n">
        <v>46266</v>
      </c>
      <c r="F6" s="6" t="n"/>
      <c r="G6" s="6" t="n"/>
      <c r="H6" s="6" t="n"/>
      <c r="I6" s="6" t="n"/>
      <c r="J6" s="6" t="n"/>
      <c r="K6" s="4" t="inlineStr"/>
    </row>
    <row r="7" ht="200" customHeight="1"/>
    <row r="8" ht="44" customHeight="1">
      <c r="A8" s="9" t="inlineStr">
        <is>
          <t>예시건설(주)</t>
        </is>
      </c>
    </row>
    <row r="10" ht="19.5" customHeight="1">
      <c r="A10" s="10" t="inlineStr">
        <is>
          <t>이 시트는 작성 예시입니다(가상의 공사 · 회사).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39" t="inlineStr">
        <is>
          <t xml:space="preserve">작성 예시 (가상의 현장)  </t>
        </is>
      </c>
    </row>
    <row r="2" ht="44" customHeight="1">
      <c r="A2" s="11" t="inlineStr">
        <is>
          <t>포 장 공 사  시 공 계 획 서</t>
        </is>
      </c>
    </row>
    <row r="3" ht="3" customHeight="1"/>
    <row r="4" ht="22" customHeight="1">
      <c r="A4" s="12" t="inlineStr">
        <is>
          <t>제1장  개요 및 현장 운영 계획</t>
        </is>
      </c>
    </row>
    <row r="5" ht="21" customHeight="1">
      <c r="A5" s="13" t="inlineStr">
        <is>
          <t>1) 공사개요</t>
        </is>
      </c>
    </row>
    <row r="6" ht="28" customHeight="1">
      <c r="A6" s="5" t="inlineStr">
        <is>
          <t>공 사 명</t>
        </is>
      </c>
      <c r="B6" s="6" t="n"/>
      <c r="C6" s="6" t="n"/>
      <c r="D6" s="14">
        <f>IF(OR('예시-표지'!E5="",'예시-표지'!E5="(공 사 명)"),"",'예시-표지'!E5)</f>
        <v/>
      </c>
      <c r="E6" s="6" t="n"/>
      <c r="F6" s="6" t="n"/>
      <c r="G6" s="6" t="n"/>
      <c r="H6" s="6" t="n"/>
      <c r="I6" s="6" t="n"/>
      <c r="J6" s="6" t="n"/>
      <c r="K6" s="6" t="n"/>
      <c r="L6" s="6" t="n"/>
    </row>
    <row r="7" ht="26" customHeight="1">
      <c r="A7" s="5" t="inlineStr">
        <is>
          <t>시  공  사</t>
        </is>
      </c>
      <c r="B7" s="6" t="n"/>
      <c r="C7" s="6" t="n"/>
      <c r="D7" s="14">
        <f>IF(OR('예시-표지'!A8="",'예시-표지'!A8="(회 사 명)"),"",'예시-표지'!A8)</f>
        <v/>
      </c>
      <c r="E7" s="6" t="n"/>
      <c r="F7" s="6" t="n"/>
      <c r="G7" s="6" t="n"/>
      <c r="H7" s="6" t="n"/>
      <c r="I7" s="6" t="n"/>
      <c r="J7" s="6" t="n"/>
      <c r="K7" s="6" t="n"/>
      <c r="L7" s="6" t="n"/>
    </row>
    <row r="8" ht="26" customHeight="1">
      <c r="A8" s="5" t="inlineStr">
        <is>
          <t>공 사 기 간</t>
        </is>
      </c>
      <c r="B8" s="6" t="n"/>
      <c r="C8" s="6" t="n"/>
      <c r="D8" s="15" t="n">
        <v>46279</v>
      </c>
      <c r="E8" s="6" t="n"/>
      <c r="F8" s="16" t="inlineStr">
        <is>
          <t>~</t>
        </is>
      </c>
      <c r="G8" s="15" t="n">
        <v>46374</v>
      </c>
      <c r="H8" s="6" t="n"/>
      <c r="I8" s="17">
        <f>IF(OR(N(D8)=0,N(G8)=0),"",IF(G8&lt;D8,"⚠ 준공일이 착공일보다 빠름",G8-D8+1))</f>
        <v/>
      </c>
      <c r="J8" s="6" t="n"/>
      <c r="K8" s="6" t="n"/>
      <c r="L8" s="6" t="n"/>
    </row>
    <row r="9" ht="24" customHeight="1">
      <c r="A9" s="18" t="inlineStr">
        <is>
          <t>공    종</t>
        </is>
      </c>
      <c r="B9" s="6" t="n"/>
      <c r="C9" s="6" t="n"/>
      <c r="D9" s="6" t="n"/>
      <c r="E9" s="18" t="inlineStr">
        <is>
          <t>규    격</t>
        </is>
      </c>
      <c r="F9" s="6" t="n"/>
      <c r="G9" s="6" t="n"/>
      <c r="H9" s="6" t="n"/>
      <c r="I9" s="18" t="inlineStr">
        <is>
          <t>수    량</t>
        </is>
      </c>
      <c r="J9" s="6" t="n"/>
      <c r="K9" s="6" t="n"/>
      <c r="L9" s="18" t="inlineStr">
        <is>
          <t>단위</t>
        </is>
      </c>
    </row>
    <row r="10" ht="24" customHeight="1">
      <c r="A10" s="7" t="inlineStr">
        <is>
          <t>아스콘 포장</t>
        </is>
      </c>
      <c r="B10" s="6" t="n"/>
      <c r="C10" s="6" t="n"/>
      <c r="D10" s="6" t="n"/>
      <c r="E10" s="19" t="inlineStr">
        <is>
          <t>기층 15cm + 표층 5cm</t>
        </is>
      </c>
      <c r="F10" s="6" t="n"/>
      <c r="G10" s="6" t="n"/>
      <c r="H10" s="6" t="n"/>
      <c r="I10" s="20" t="n">
        <v>670</v>
      </c>
      <c r="J10" s="6" t="n"/>
      <c r="K10" s="6" t="n"/>
      <c r="L10" s="7" t="inlineStr">
        <is>
          <t>㎡</t>
        </is>
      </c>
    </row>
    <row r="11" ht="24" customHeight="1">
      <c r="A11" s="7" t="inlineStr">
        <is>
          <t>소형 고압블록 포장</t>
        </is>
      </c>
      <c r="B11" s="6" t="n"/>
      <c r="C11" s="6" t="n"/>
      <c r="D11" s="6" t="n"/>
      <c r="E11" s="19" t="inlineStr">
        <is>
          <t>보도 · 주차장</t>
        </is>
      </c>
      <c r="F11" s="6" t="n"/>
      <c r="G11" s="6" t="n"/>
      <c r="H11" s="6" t="n"/>
      <c r="I11" s="20" t="n">
        <v>9150</v>
      </c>
      <c r="J11" s="6" t="n"/>
      <c r="K11" s="6" t="n"/>
      <c r="L11" s="7" t="inlineStr">
        <is>
          <t>㎡</t>
        </is>
      </c>
    </row>
    <row r="12" ht="24" customHeight="1">
      <c r="A12" s="7" t="inlineStr">
        <is>
          <t>잔디블록 포장</t>
        </is>
      </c>
      <c r="B12" s="6" t="n"/>
      <c r="C12" s="6" t="n"/>
      <c r="D12" s="6" t="n"/>
      <c r="E12" s="19" t="inlineStr">
        <is>
          <t>주차면</t>
        </is>
      </c>
      <c r="F12" s="6" t="n"/>
      <c r="G12" s="6" t="n"/>
      <c r="H12" s="6" t="n"/>
      <c r="I12" s="20" t="n">
        <v>210</v>
      </c>
      <c r="J12" s="6" t="n"/>
      <c r="K12" s="6" t="n"/>
      <c r="L12" s="7" t="inlineStr">
        <is>
          <t>㎡</t>
        </is>
      </c>
    </row>
    <row r="13" ht="24" customHeight="1">
      <c r="A13" s="7" t="n"/>
      <c r="B13" s="6" t="n"/>
      <c r="C13" s="6" t="n"/>
      <c r="D13" s="6" t="n"/>
      <c r="E13" s="19" t="n"/>
      <c r="F13" s="6" t="n"/>
      <c r="G13" s="6" t="n"/>
      <c r="H13" s="6" t="n"/>
      <c r="I13" s="20" t="n"/>
      <c r="J13" s="6" t="n"/>
      <c r="K13" s="6" t="n"/>
      <c r="L13" s="7" t="n"/>
    </row>
    <row r="14" ht="24" customHeight="1">
      <c r="A14" s="7" t="n"/>
      <c r="B14" s="6" t="n"/>
      <c r="C14" s="6" t="n"/>
      <c r="D14" s="6" t="n"/>
      <c r="E14" s="19" t="n"/>
      <c r="F14" s="6" t="n"/>
      <c r="G14" s="6" t="n"/>
      <c r="H14" s="6" t="n"/>
      <c r="I14" s="20" t="n"/>
      <c r="J14" s="6" t="n"/>
      <c r="K14" s="6" t="n"/>
      <c r="L14" s="7" t="n"/>
    </row>
    <row r="15" ht="24" customHeight="1">
      <c r="A15" s="7" t="n"/>
      <c r="B15" s="6" t="n"/>
      <c r="C15" s="6" t="n"/>
      <c r="D15" s="6" t="n"/>
      <c r="E15" s="19" t="n"/>
      <c r="F15" s="6" t="n"/>
      <c r="G15" s="6" t="n"/>
      <c r="H15" s="6" t="n"/>
      <c r="I15" s="20" t="n"/>
      <c r="J15" s="6" t="n"/>
      <c r="K15" s="6" t="n"/>
      <c r="L15" s="7" t="n"/>
    </row>
    <row r="16" ht="24" customHeight="1">
      <c r="A16" s="21" t="inlineStr">
        <is>
          <t>포장 면적 합계 (단위가 ㎡ 인 줄)</t>
        </is>
      </c>
      <c r="B16" s="6" t="n"/>
      <c r="C16" s="6" t="n"/>
      <c r="D16" s="6" t="n"/>
      <c r="E16" s="6" t="n"/>
      <c r="F16" s="6" t="n"/>
      <c r="G16" s="6" t="n"/>
      <c r="H16" s="6" t="n"/>
      <c r="I16" s="22">
        <f>IF((SUMIF(L10:L15,"㎡",I10:I15)+SUMIF(L10:L15,"m2",I10:I15))=0,"",SUMIF(L10:L15,"㎡",I10:I15)+SUMIF(L10:L15,"m2",I10:I15))</f>
        <v/>
      </c>
      <c r="J16" s="6" t="n"/>
      <c r="K16" s="6" t="n"/>
      <c r="L16" s="21" t="inlineStr">
        <is>
          <t>㎡</t>
        </is>
      </c>
    </row>
    <row r="17" ht="26" customHeight="1">
      <c r="A17" s="5" t="inlineStr">
        <is>
          <t>보차도 경계석</t>
        </is>
      </c>
      <c r="B17" s="6" t="n"/>
      <c r="C17" s="6" t="n"/>
      <c r="D17" s="6" t="n"/>
      <c r="E17" s="16" t="inlineStr">
        <is>
          <t>직선</t>
        </is>
      </c>
      <c r="F17" s="23" t="n">
        <v>2010</v>
      </c>
      <c r="G17" s="6" t="n"/>
      <c r="H17" s="16" t="inlineStr">
        <is>
          <t>곡선</t>
        </is>
      </c>
      <c r="I17" s="23" t="n">
        <v>905</v>
      </c>
      <c r="J17" s="6" t="n"/>
      <c r="K17" s="24">
        <f>IF(N(F17)+N(I17)=0,"",N(F17)+N(I17))</f>
        <v/>
      </c>
      <c r="L17" s="6" t="n"/>
    </row>
    <row r="18" ht="21" customHeight="1">
      <c r="A18" s="13" t="inlineStr">
        <is>
          <t>2) 목표</t>
        </is>
      </c>
    </row>
    <row r="19" ht="36" customHeight="1">
      <c r="A19" s="25" t="inlineStr">
        <is>
          <t>-</t>
        </is>
      </c>
      <c r="B19" s="26" t="inlineStr">
        <is>
          <t>적극적이고 정확한 시공 · 공정 및 품질관리 · 안전관리로 고품질을 확보하고 공기를 지키며, 무재해를 달성하여 최상의 현장을 구현한다.</t>
        </is>
      </c>
    </row>
    <row r="20" ht="21" customHeight="1">
      <c r="A20" s="13" t="inlineStr">
        <is>
          <t>3) 공정관리</t>
        </is>
      </c>
    </row>
    <row r="21" ht="20.5" customHeight="1">
      <c r="A21" s="25" t="inlineStr">
        <is>
          <t>-</t>
        </is>
      </c>
      <c r="B21" s="26" t="inlineStr">
        <is>
          <t>공정관리계획에 따른 시공 및 사전 · 사후 점검</t>
        </is>
      </c>
    </row>
    <row r="22" ht="20.5" customHeight="1">
      <c r="A22" s="25" t="inlineStr">
        <is>
          <t>-</t>
        </is>
      </c>
      <c r="B22" s="26" t="inlineStr">
        <is>
          <t>관련되는 다른 공종의 진행 사항 수시 점검 및 공조</t>
        </is>
      </c>
    </row>
    <row r="23" ht="20.5" customHeight="1">
      <c r="A23" s="25" t="inlineStr">
        <is>
          <t>-</t>
        </is>
      </c>
      <c r="B23" s="26" t="inlineStr">
        <is>
          <t>현장 여건을 반영한 최적의 공정표 작성 및 관리</t>
        </is>
      </c>
    </row>
    <row r="24" ht="20.5" customHeight="1">
      <c r="A24" s="25" t="inlineStr">
        <is>
          <t>-</t>
        </is>
      </c>
      <c r="B24" s="26" t="inlineStr">
        <is>
          <t>돌관작업이 생기면 적극적인 대안 검토 및 시행</t>
        </is>
      </c>
    </row>
    <row r="25" ht="20.5" customHeight="1">
      <c r="A25" s="25" t="inlineStr">
        <is>
          <t>-</t>
        </is>
      </c>
      <c r="B25" s="26" t="inlineStr">
        <is>
          <t>검사계획에 따른 검사 실시 및 불합격 요소 사전 제거</t>
        </is>
      </c>
    </row>
    <row r="26" ht="21" customHeight="1">
      <c r="A26" s="13" t="inlineStr">
        <is>
          <t>4) 자재관리</t>
        </is>
      </c>
    </row>
    <row r="27" ht="20.5" customHeight="1">
      <c r="A27" s="25" t="inlineStr">
        <is>
          <t>-</t>
        </is>
      </c>
      <c r="B27" s="26" t="inlineStr">
        <is>
          <t>승인된 물량의 최상급 자재 사전 확보</t>
        </is>
      </c>
    </row>
    <row r="28" ht="20.5" customHeight="1">
      <c r="A28" s="25" t="inlineStr">
        <is>
          <t>-</t>
        </is>
      </c>
      <c r="B28" s="26" t="inlineStr">
        <is>
          <t>현장 반입 때 검수 확인 철저(불량품 즉시 반출)</t>
        </is>
      </c>
    </row>
    <row r="29" ht="20.5" customHeight="1">
      <c r="A29" s="25" t="inlineStr">
        <is>
          <t>-</t>
        </is>
      </c>
      <c r="B29" s="26" t="inlineStr">
        <is>
          <t>안전한 장소에 자재 보관 및 관리</t>
        </is>
      </c>
    </row>
    <row r="30" ht="21" customHeight="1">
      <c r="A30" s="13" t="inlineStr">
        <is>
          <t>5) 품질관리</t>
        </is>
      </c>
    </row>
    <row r="31" ht="20.5" customHeight="1">
      <c r="A31" s="25" t="inlineStr">
        <is>
          <t>-</t>
        </is>
      </c>
      <c r="B31" s="26" t="inlineStr">
        <is>
          <t>규격검사</t>
        </is>
      </c>
    </row>
    <row r="32" ht="20.5" customHeight="1">
      <c r="A32" s="25" t="inlineStr">
        <is>
          <t>-</t>
        </is>
      </c>
      <c r="B32" s="26" t="inlineStr">
        <is>
          <t>시공오차의 최소화</t>
        </is>
      </c>
    </row>
    <row r="33" ht="20.5" customHeight="1">
      <c r="A33" s="25" t="inlineStr">
        <is>
          <t>-</t>
        </is>
      </c>
      <c r="B33" s="26" t="inlineStr">
        <is>
          <t>부적합품의 추적관리</t>
        </is>
      </c>
    </row>
    <row r="34" ht="20.5" customHeight="1">
      <c r="A34" s="25" t="inlineStr">
        <is>
          <t>-</t>
        </is>
      </c>
      <c r="B34" s="26" t="inlineStr">
        <is>
          <t>숙련된 기술인력을 적재적소에 투입</t>
        </is>
      </c>
    </row>
    <row r="36" ht="19.5" customHeight="1">
      <c r="A36" s="10" t="inlineStr">
        <is>
          <t>이 시트는 작성 예시입니다(가상의 공사 · 물량).</t>
        </is>
      </c>
    </row>
  </sheetData>
  <mergeCells count="58">
    <mergeCell ref="I16:K16"/>
    <mergeCell ref="A17:D17"/>
    <mergeCell ref="I8:L8"/>
    <mergeCell ref="B25:L25"/>
    <mergeCell ref="I12:K12"/>
    <mergeCell ref="A18:L18"/>
    <mergeCell ref="B22:L22"/>
    <mergeCell ref="G8:H8"/>
    <mergeCell ref="A10:D10"/>
    <mergeCell ref="B31:L31"/>
    <mergeCell ref="E11:H11"/>
    <mergeCell ref="A13:D13"/>
    <mergeCell ref="B27:L27"/>
    <mergeCell ref="D7:L7"/>
    <mergeCell ref="A26:L26"/>
    <mergeCell ref="A2:L2"/>
    <mergeCell ref="A9:D9"/>
    <mergeCell ref="B21:L21"/>
    <mergeCell ref="I14:K14"/>
    <mergeCell ref="A8:C8"/>
    <mergeCell ref="A5:L5"/>
    <mergeCell ref="E12:H12"/>
    <mergeCell ref="A16:H16"/>
    <mergeCell ref="A15:D15"/>
    <mergeCell ref="B32:L32"/>
    <mergeCell ref="A11:D11"/>
    <mergeCell ref="F17:G17"/>
    <mergeCell ref="B23:L23"/>
    <mergeCell ref="A4:L4"/>
    <mergeCell ref="E14:H14"/>
    <mergeCell ref="G1:L1"/>
    <mergeCell ref="A20:L20"/>
    <mergeCell ref="I10:K10"/>
    <mergeCell ref="I13:K13"/>
    <mergeCell ref="B29:L29"/>
    <mergeCell ref="I9:K9"/>
    <mergeCell ref="B19:L19"/>
    <mergeCell ref="B34:L34"/>
    <mergeCell ref="B28:L28"/>
    <mergeCell ref="E10:H10"/>
    <mergeCell ref="I15:K15"/>
    <mergeCell ref="I17:J17"/>
    <mergeCell ref="K17:L17"/>
    <mergeCell ref="E13:H13"/>
    <mergeCell ref="D8:E8"/>
    <mergeCell ref="A30:L30"/>
    <mergeCell ref="I11:K11"/>
    <mergeCell ref="E9:H9"/>
    <mergeCell ref="A12:D12"/>
    <mergeCell ref="A1:F1"/>
    <mergeCell ref="B33:L33"/>
    <mergeCell ref="A6:C6"/>
    <mergeCell ref="B24:L24"/>
    <mergeCell ref="A36:L36"/>
    <mergeCell ref="E15:H15"/>
    <mergeCell ref="A7:C7"/>
    <mergeCell ref="D6:L6"/>
    <mergeCell ref="A14:D14"/>
  </mergeCells>
  <conditionalFormatting sqref="I10:I15">
    <cfRule type="expression" priority="1" dxfId="0">
      <formula>AND(ISNUMBER(I10),MOD(I10,1)=0)</formula>
    </cfRule>
  </conditionalFormatting>
  <conditionalFormatting sqref="I16">
    <cfRule type="expression" priority="2" dxfId="1">
      <formula>AND(ISNUMBER(I16),MOD(I16,1)=0)</formula>
    </cfRule>
  </conditionalFormatting>
  <conditionalFormatting sqref="F17">
    <cfRule type="expression" priority="3" dxfId="2">
      <formula>AND(ISNUMBER(F17),MOD(F17,1)=0)</formula>
    </cfRule>
  </conditionalFormatting>
  <conditionalFormatting sqref="I17">
    <cfRule type="expression" priority="4" dxfId="2">
      <formula>AND(ISNUMBER(I17),MOD(I17,1)=0)</formula>
    </cfRule>
  </conditionalFormatting>
  <conditionalFormatting sqref="K17">
    <cfRule type="expression" priority="5" dxfId="3">
      <formula>AND(ISNUMBER(K17),MOD(K17,1)=0)</formula>
    </cfRule>
  </conditionalFormatting>
  <printOptions horizontalCentered="1"/>
  <pageMargins left="0.6" right="0.6" top="0.6" bottom="0.6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39" t="inlineStr">
        <is>
          <t xml:space="preserve">작성 예시 (가상의 현장)  </t>
        </is>
      </c>
    </row>
    <row r="2" ht="3" customHeight="1"/>
    <row r="3" ht="22" customHeight="1">
      <c r="A3" s="12" t="inlineStr">
        <is>
          <t>제2장  세부공종계획</t>
        </is>
      </c>
    </row>
    <row r="4" ht="21" customHeight="1">
      <c r="A4" s="13" t="inlineStr">
        <is>
          <t>1) 노상 다짐</t>
        </is>
      </c>
    </row>
    <row r="5" ht="20.5" customHeight="1">
      <c r="A5" s="25" t="inlineStr">
        <is>
          <t>-</t>
        </is>
      </c>
      <c r="B5" s="26" t="inlineStr">
        <is>
          <t>다짐층의 두께는 소요 밀도를 얻을 수 있는 30cm 이하로 한다.</t>
        </is>
      </c>
    </row>
    <row r="6" ht="36" customHeight="1">
      <c r="A6" s="25" t="inlineStr">
        <is>
          <t>-</t>
        </is>
      </c>
      <c r="B6" s="26" t="inlineStr">
        <is>
          <t>다짐 장비로는 대형 롤러를 쓰며, 다짐이 곤란한 곳은 소형 롤러 · 콤팩터 등으로 충분히 다진다.</t>
        </is>
      </c>
    </row>
    <row r="7" ht="36" customHeight="1">
      <c r="A7" s="25" t="inlineStr">
        <is>
          <t>-</t>
        </is>
      </c>
      <c r="B7" s="26" t="inlineStr">
        <is>
          <t>기초지반이 물의 영향으로 연약해지거나 정수압이 구조물에 해롭지 않은 경우에는 뒤채움 부위에 물다짐을 할 수 있다.</t>
        </is>
      </c>
    </row>
    <row r="8" ht="21" customHeight="1">
      <c r="A8" s="13" t="inlineStr">
        <is>
          <t>2) 보조기층</t>
        </is>
      </c>
    </row>
    <row r="9" ht="36" customHeight="1">
      <c r="A9" s="25" t="inlineStr">
        <is>
          <t>-</t>
        </is>
      </c>
      <c r="B9" s="26" t="inlineStr">
        <is>
          <t>보조기층 재료는 운반 · 포설 · 다짐 때 알맞은 함수비를 가져야 하며, 포설 장비는 재료분리를 일으키지 않는 것을 쓴다.</t>
        </is>
      </c>
    </row>
    <row r="10" ht="20.5" customHeight="1">
      <c r="A10" s="25" t="inlineStr">
        <is>
          <t>-</t>
        </is>
      </c>
      <c r="B10" s="26" t="inlineStr">
        <is>
          <t>마무리면은 설계도면의 종 · 횡단과 일치해야 하며, 오차는 계획고의 3cm 이내여야 한다.</t>
        </is>
      </c>
    </row>
    <row r="11" ht="21" customHeight="1">
      <c r="A11" s="13" t="inlineStr">
        <is>
          <t>3) 콘크리트 포장</t>
        </is>
      </c>
    </row>
    <row r="12" ht="49.175" customHeight="1">
      <c r="A12" s="27" t="inlineStr">
        <is>
          <t>-</t>
        </is>
      </c>
      <c r="B12" s="28" t="inlineStr">
        <is>
          <t>시공 조건에 맞는 장비 선정은 품질과 작업 효율에 큰 영향을 미치므로, 모든 장비의 기종 · 기능 · 기계 상태 · 배치계획 · 오염대책 등을 적은 장비 사용계획서를 제출하여 감리원의 승인을 받고, 현장 반입 후 사용 전에 감리원의 확인을 받는다.</t>
        </is>
      </c>
    </row>
    <row r="13" ht="34.45" customHeight="1">
      <c r="A13" s="27" t="inlineStr">
        <is>
          <t>-</t>
        </is>
      </c>
      <c r="B13" s="28" t="inlineStr">
        <is>
          <t>시공에 앞서 뜬돌 · 점토 등 해로운 물질을 없애고 항상 양호한 상태로 유지하며, 손상 부분은 즉시 보수한다.</t>
        </is>
      </c>
    </row>
    <row r="14" ht="19.725" customHeight="1">
      <c r="A14" s="27" t="inlineStr">
        <is>
          <t>-</t>
        </is>
      </c>
      <c r="B14" s="28" t="inlineStr">
        <is>
          <t>공사용 차량 왕래로 훼손 · 골재 탈리 등이 생기면 즉시 보완하고 감리원의 확인을 받는다.</t>
        </is>
      </c>
    </row>
    <row r="15" ht="19.725" customHeight="1">
      <c r="A15" s="27" t="inlineStr">
        <is>
          <t>-</t>
        </is>
      </c>
      <c r="B15" s="28" t="inlineStr">
        <is>
          <t>보조기층이나 기층면이 말라 있으면 소량의 물을 고르게 뿌린 뒤 콘크리트를 타설한다.</t>
        </is>
      </c>
    </row>
    <row r="16" ht="34.45" customHeight="1">
      <c r="A16" s="27" t="inlineStr">
        <is>
          <t>-</t>
        </is>
      </c>
      <c r="B16" s="28" t="inlineStr">
        <is>
          <t>슬래브 밑면 평탄성에 맞추어 규정된 직선자로 보조기층 표면을 검사하고 요철 부분은 고르게 수정한다.</t>
        </is>
      </c>
    </row>
    <row r="17" ht="34.45" customHeight="1">
      <c r="A17" s="27" t="inlineStr">
        <is>
          <t>-</t>
        </is>
      </c>
      <c r="B17" s="28" t="inlineStr">
        <is>
          <t>거푸집 재료는 기준에 맞고 강도와 강성을 가진 것을 쓰며, 진동기 충격과 포설기계의 최대 윤하중에 충분히 견뎌야 한다. 이격 허용오차는 거푸집 자재 두께 이하로 한다.</t>
        </is>
      </c>
    </row>
    <row r="18" ht="34.45" customHeight="1">
      <c r="A18" s="27" t="inlineStr">
        <is>
          <t>-</t>
        </is>
      </c>
      <c r="B18" s="28" t="inlineStr">
        <is>
          <t>거푸집은 콘크리트 치기 전에 깨끗이 닦고 박리제를 발라 두며, 설치 상태에 대해 감리원의 확인을 받는다.</t>
        </is>
      </c>
    </row>
    <row r="19" ht="34.45" customHeight="1">
      <c r="A19" s="27" t="inlineStr">
        <is>
          <t>-</t>
        </is>
      </c>
      <c r="B19" s="28" t="inlineStr">
        <is>
          <t>깔기 방법은 공사 규모 · 장비 · 작업 여건에 따라 정하며, 깔기면에 고르게 펴는 장비로는 일반적으로 굴삭기를 쓴다.</t>
        </is>
      </c>
    </row>
    <row r="20" ht="19.725" customHeight="1">
      <c r="A20" s="27" t="inlineStr">
        <is>
          <t>-</t>
        </is>
      </c>
      <c r="B20" s="28" t="inlineStr">
        <is>
          <t>깔기를 한 뒤에는 콘크리트를 가능한 다시 옮기지 않으며 재료분리가 일어나지 않게 한다.</t>
        </is>
      </c>
    </row>
    <row r="21" ht="19.725" customHeight="1">
      <c r="A21" s="27" t="inlineStr">
        <is>
          <t>-</t>
        </is>
      </c>
      <c r="B21" s="28" t="inlineStr">
        <is>
          <t>타설 전 도로 선형 · 계획고 · 거푸집 설치 상태에 대해 감리원의 검사를 받는다.</t>
        </is>
      </c>
    </row>
    <row r="22" ht="34.45" customHeight="1">
      <c r="A22" s="27" t="inlineStr">
        <is>
          <t>-</t>
        </is>
      </c>
      <c r="B22" s="28" t="inlineStr">
        <is>
          <t>표시된 두께와 구배를 유지하도록 타설량을 조절하고, 시공이음이 생기지 않도록 레미콘 공급 · 운송을 협의한다.</t>
        </is>
      </c>
    </row>
    <row r="23" ht="34.45" customHeight="1">
      <c r="A23" s="27" t="inlineStr">
        <is>
          <t>-</t>
        </is>
      </c>
      <c r="B23" s="28" t="inlineStr">
        <is>
          <t>타설 후 마무리 작업에 일정한 시간이 필요하므로 비가 오면 작업을 멈추며, 감리원의 승인을 받는 경우 마무리 · 초기양생 · 강도 등에 대한 대책을 세운다.</t>
        </is>
      </c>
    </row>
    <row r="24" ht="34.45" customHeight="1">
      <c r="A24" s="27" t="inlineStr">
        <is>
          <t>-</t>
        </is>
      </c>
      <c r="B24" s="28" t="inlineStr">
        <is>
          <t>표면 마무리 뒤 교통 개방까지 건조 · 온도 변화 · 하중 · 충격 등의 나쁜 영향을 받지 않게 보호한다. 양생기간 동안 습윤 상태 유지를 위해 피막양생을 할 수 있다.</t>
        </is>
      </c>
    </row>
    <row r="25" ht="21" customHeight="1">
      <c r="A25" s="13" t="inlineStr">
        <is>
          <t>4) 경계석 및 L형 측구</t>
        </is>
      </c>
    </row>
    <row r="26" ht="49.175" customHeight="1">
      <c r="A26" s="27" t="inlineStr">
        <is>
          <t>-</t>
        </is>
      </c>
      <c r="B26" s="28" t="inlineStr">
        <is>
          <t>설치 전 점검 : 계획고를 확인하여 포장 계획고 변경 여부를 검토하고, 구간별 곡선부 · 횡단보도 구간 낮춤 경계석 설치 구간 · 차도부와 보도부 접속부 · 횡단보도부 빗물받이 설치 위치를 검토한다.</t>
        </is>
      </c>
    </row>
    <row r="27" ht="34.45" customHeight="1">
      <c r="A27" s="27" t="inlineStr">
        <is>
          <t>-</t>
        </is>
      </c>
      <c r="B27" s="28" t="inlineStr">
        <is>
          <t>노반 준비(1톤 롤러) : 경계석이 놓이는 원지반과 보조기층은 침하가 없도록 도로와 같이 철저히 다진다.</t>
        </is>
      </c>
    </row>
    <row r="28" ht="34.45" customHeight="1">
      <c r="A28" s="27" t="inlineStr">
        <is>
          <t>-</t>
        </is>
      </c>
      <c r="B28" s="28" t="inlineStr">
        <is>
          <t>기초 콘크리트의 물빠짐 상태를 보아 가며 겨냥줄에 따라 선형과 수평이 유지되도록 경계석을 설치한다.</t>
        </is>
      </c>
    </row>
    <row r="29" ht="19.725" customHeight="1">
      <c r="A29" s="27" t="inlineStr">
        <is>
          <t>-</t>
        </is>
      </c>
      <c r="B29" s="28" t="inlineStr">
        <is>
          <t>설치가 끝나면 지체 없이 경계석 앞뒤에 뒤채움 콘크리트를 채워 이탈을 막는다.</t>
        </is>
      </c>
    </row>
    <row r="30" ht="34.45" customHeight="1">
      <c r="A30" s="27" t="inlineStr">
        <is>
          <t>-</t>
        </is>
      </c>
      <c r="B30" s="28" t="inlineStr">
        <is>
          <t>뒤에 타설하는 측구 콘크리트와 잘 붙도록 기초 콘크리트 앞면을 정리하여 L형 측구의 접착을 좋게 한다.</t>
        </is>
      </c>
    </row>
    <row r="31" ht="34.45" customHeight="1">
      <c r="A31" s="27" t="inlineStr">
        <is>
          <t>-</t>
        </is>
      </c>
      <c r="B31" s="28" t="inlineStr">
        <is>
          <t>곡선 부분은 미관을 고려하여 곡선 형태를 유지하며, 낮춤 경계석은 유모차나 장애인 통행에 지장이 없도록 알맞은 길이에 경사석을 두어 측구에서 2cm 높이로 시공한다.</t>
        </is>
      </c>
    </row>
    <row r="32" ht="19.725" customHeight="1">
      <c r="A32" s="27" t="inlineStr">
        <is>
          <t>-</t>
        </is>
      </c>
      <c r="B32" s="28" t="inlineStr">
        <is>
          <t>1매 미만은 반드시 절단기로 자르고, 코너 부위는 연귀 맞춤으로 시공한다.</t>
        </is>
      </c>
    </row>
    <row r="33" ht="19.725" customHeight="1">
      <c r="A33" s="27" t="inlineStr">
        <is>
          <t>-</t>
        </is>
      </c>
      <c r="B33" s="28" t="inlineStr">
        <is>
          <t>줄눈 간격은 5 ~ 8mm 를 기준으로 하고, 줄눈 모르타르의 용적 배합비는 1 : 3 으로 한다.</t>
        </is>
      </c>
    </row>
    <row r="34" ht="19.725" customHeight="1">
      <c r="A34" s="27" t="inlineStr">
        <is>
          <t>-</t>
        </is>
      </c>
      <c r="B34" s="28" t="inlineStr">
        <is>
          <t>줄눈 모르타르가 경계석 표면에 묻지 않게 주의한다.</t>
        </is>
      </c>
    </row>
    <row r="35" ht="34.45" customHeight="1">
      <c r="A35" s="27" t="inlineStr">
        <is>
          <t>-</t>
        </is>
      </c>
      <c r="B35" s="28" t="inlineStr">
        <is>
          <t>도로 편구배 · 빗물받이 위치 등을 확인하여 경계석에 먹줄을 놓고 면목 등으로 보차도 경계석 앞면에 유도선을 설치한다.</t>
        </is>
      </c>
    </row>
    <row r="36" ht="19.725" customHeight="1">
      <c r="A36" s="27" t="inlineStr">
        <is>
          <t>-</t>
        </is>
      </c>
      <c r="B36" s="28" t="inlineStr">
        <is>
          <t>측구 마무리 부위에 선형 유지용 면목(모따기 3cm)을 설치한다.</t>
        </is>
      </c>
    </row>
    <row r="37" ht="34.45" customHeight="1">
      <c r="A37" s="27" t="inlineStr">
        <is>
          <t>-</t>
        </is>
      </c>
      <c r="B37" s="28" t="inlineStr">
        <is>
          <t>측구 면처리는 나무흙손으로 처리한 뒤 페인트용 큰 붓이나 빗자루로 직각 방향으로 가볍게 쓸어 준다.</t>
        </is>
      </c>
    </row>
    <row r="38" ht="34.45" customHeight="1">
      <c r="A38" s="27" t="inlineStr">
        <is>
          <t>-</t>
        </is>
      </c>
      <c r="B38" s="28" t="inlineStr">
        <is>
          <t>시공 후 오염되지 않도록 보양 · 보호하고, 오염 · 파손 부위는 덧씌우지 말고 절단기로 잘라 내어 다시 시공한다.</t>
        </is>
      </c>
    </row>
    <row r="39" ht="21" customHeight="1">
      <c r="A39" s="13" t="inlineStr">
        <is>
          <t>5) 블록 포장</t>
        </is>
      </c>
    </row>
    <row r="40" ht="49.175" customHeight="1">
      <c r="A40" s="27" t="inlineStr">
        <is>
          <t>-</t>
        </is>
      </c>
      <c r="B40" s="28" t="inlineStr">
        <is>
          <t>보도 폭원 결정 : 시공 폭은 설계된 보도 폭을 원칙으로 하되 제조사별로 규격이 조금씩 달라 반드시 시험시공으로 블록이 잘리지 않는 폭원을 정한다(단지 안 보도 경계석 위치는 조립블록을 시험시공한 뒤 1장 폭 안팎으로 조정하여 블록을 자르지 않도록 한다).</t>
        </is>
      </c>
    </row>
    <row r="41" ht="63.9" customHeight="1">
      <c r="A41" s="27" t="inlineStr">
        <is>
          <t>-</t>
        </is>
      </c>
      <c r="B41" s="28" t="inlineStr">
        <is>
          <t>시공 문양 결정 : 표준도 문양을 참고하여 보도 폭 · 연장 등을 감안한 시공도를 작성하되, 현장 주변 실사를 통한 여러 방안을 검토하고 시공성 · 유색 블록 설계수량 등을 감안하여 조잡한 시공이 되지 않게 정한다(복잡한 문양 구간은 미리 블록 배치 시공도를 작성하고 반블록 사용 여부를 검토한다).</t>
        </is>
      </c>
    </row>
    <row r="42" ht="34.45" customHeight="1">
      <c r="A42" s="27" t="inlineStr">
        <is>
          <t>-</t>
        </is>
      </c>
      <c r="B42" s="28" t="inlineStr">
        <is>
          <t>블록 포설 뒤 콤팩터로 다져 면을 평탄하게 하고, 모래를 고루 펴 블록 사이를 채운 뒤 빗자루질로 마감한다.</t>
        </is>
      </c>
    </row>
    <row r="43" ht="19.725" customHeight="1">
      <c r="A43" s="27" t="inlineStr">
        <is>
          <t>-</t>
        </is>
      </c>
      <c r="B43" s="28" t="inlineStr">
        <is>
          <t>보도블록과 경계석 · 맨홀 등 사이에 단차가 없도록 평활하게 마감한다.</t>
        </is>
      </c>
    </row>
    <row r="44" ht="19.725" customHeight="1">
      <c r="A44" s="27" t="inlineStr">
        <is>
          <t>-</t>
        </is>
      </c>
      <c r="B44" s="28" t="inlineStr">
        <is>
          <t>칼라 맨홀 높이 조절 콘크리트 타설 때 마감 F.L 관리에 유의한다.</t>
        </is>
      </c>
    </row>
    <row r="45" ht="19.725" customHeight="1">
      <c r="A45" s="27" t="inlineStr">
        <is>
          <t>-</t>
        </is>
      </c>
      <c r="B45" s="28" t="inlineStr">
        <is>
          <t>다짐 부족에 따른 침하에 유의한다.</t>
        </is>
      </c>
    </row>
    <row r="46" ht="19.725" customHeight="1">
      <c r="A46" s="27" t="inlineStr">
        <is>
          <t>-</t>
        </is>
      </c>
      <c r="B46" s="28" t="inlineStr">
        <is>
          <t>빗물 침투 때 세굴로 인한 침하에 유의한다.</t>
        </is>
      </c>
    </row>
    <row r="47" ht="19.725" customHeight="1">
      <c r="A47" s="27" t="inlineStr">
        <is>
          <t>-</t>
        </is>
      </c>
      <c r="B47" s="28" t="inlineStr">
        <is>
          <t>건물 주변 되메우기가 포장 직전에 이루어져 포설 뒤 침하가 생기지 않도록 유의한다.</t>
        </is>
      </c>
    </row>
  </sheetData>
  <mergeCells count="47">
    <mergeCell ref="B35:L35"/>
    <mergeCell ref="B26:L26"/>
    <mergeCell ref="A25:L25"/>
    <mergeCell ref="B16:L16"/>
    <mergeCell ref="B7:L7"/>
    <mergeCell ref="B47:L47"/>
    <mergeCell ref="B46:L46"/>
    <mergeCell ref="B22:L22"/>
    <mergeCell ref="A3:L3"/>
    <mergeCell ref="B31:L31"/>
    <mergeCell ref="B18:L18"/>
    <mergeCell ref="B27:L27"/>
    <mergeCell ref="B43:L43"/>
    <mergeCell ref="B12:L12"/>
    <mergeCell ref="B21:L21"/>
    <mergeCell ref="A8:L8"/>
    <mergeCell ref="B42:L42"/>
    <mergeCell ref="B14:L14"/>
    <mergeCell ref="B17:L17"/>
    <mergeCell ref="B23:L23"/>
    <mergeCell ref="A4:L4"/>
    <mergeCell ref="G1:L1"/>
    <mergeCell ref="B13:L13"/>
    <mergeCell ref="B38:L38"/>
    <mergeCell ref="B44:L44"/>
    <mergeCell ref="B29:L29"/>
    <mergeCell ref="B19:L19"/>
    <mergeCell ref="B34:L34"/>
    <mergeCell ref="B37:L37"/>
    <mergeCell ref="B10:L10"/>
    <mergeCell ref="B28:L28"/>
    <mergeCell ref="A39:L39"/>
    <mergeCell ref="B40:L40"/>
    <mergeCell ref="B9:L9"/>
    <mergeCell ref="B6:L6"/>
    <mergeCell ref="B30:L30"/>
    <mergeCell ref="A11:L11"/>
    <mergeCell ref="B15:L15"/>
    <mergeCell ref="A1:F1"/>
    <mergeCell ref="B33:L33"/>
    <mergeCell ref="B24:L24"/>
    <mergeCell ref="B5:L5"/>
    <mergeCell ref="B20:L20"/>
    <mergeCell ref="B36:L36"/>
    <mergeCell ref="B32:L32"/>
    <mergeCell ref="B45:L45"/>
    <mergeCell ref="B41:L41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4" min="0" max="16383" man="1"/>
  </rowBreaks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39" t="inlineStr">
        <is>
          <t xml:space="preserve">작성 예시 (가상의 현장)  </t>
        </is>
      </c>
    </row>
    <row r="2" ht="40" customHeight="1">
      <c r="A2" s="29" t="inlineStr">
        <is>
          <t>6) 아스콘 포장 — 주요공정의 시공절차</t>
        </is>
      </c>
    </row>
    <row r="3" ht="3" customHeight="1"/>
    <row r="4" ht="22" customHeight="1">
      <c r="A4" s="12" t="inlineStr">
        <is>
          <t>아스콘 포장 흐름도</t>
        </is>
      </c>
    </row>
    <row r="5" ht="30" customHeight="1">
      <c r="A5" s="4" t="inlineStr"/>
      <c r="D5" s="30" t="inlineStr">
        <is>
          <t>재료 반입</t>
        </is>
      </c>
      <c r="E5" s="6" t="n"/>
      <c r="F5" s="6" t="n"/>
      <c r="G5" s="6" t="n"/>
      <c r="H5" s="6" t="n"/>
      <c r="I5" s="6" t="n"/>
      <c r="J5" s="31" t="inlineStr"/>
    </row>
    <row r="6" ht="12" customHeight="1">
      <c r="A6" s="32" t="inlineStr">
        <is>
          <t>▼</t>
        </is>
      </c>
    </row>
    <row r="7" ht="30" customHeight="1">
      <c r="A7" s="4" t="inlineStr"/>
      <c r="D7" s="30" t="inlineStr">
        <is>
          <t>1차 포설(보조기층) 및 전압</t>
        </is>
      </c>
      <c r="E7" s="6" t="n"/>
      <c r="F7" s="6" t="n"/>
      <c r="G7" s="6" t="n"/>
      <c r="H7" s="6" t="n"/>
      <c r="I7" s="6" t="n"/>
      <c r="J7" s="31" t="inlineStr"/>
    </row>
    <row r="8" ht="12" customHeight="1">
      <c r="A8" s="32" t="inlineStr">
        <is>
          <t>▼</t>
        </is>
      </c>
    </row>
    <row r="9" ht="30" customHeight="1">
      <c r="A9" s="4" t="inlineStr"/>
      <c r="D9" s="30" t="inlineStr">
        <is>
          <t>2차 포설(혼합기층) 및 전압</t>
        </is>
      </c>
      <c r="E9" s="6" t="n"/>
      <c r="F9" s="6" t="n"/>
      <c r="G9" s="6" t="n"/>
      <c r="H9" s="6" t="n"/>
      <c r="I9" s="6" t="n"/>
      <c r="J9" s="31" t="inlineStr"/>
    </row>
    <row r="10" ht="12" customHeight="1">
      <c r="A10" s="32" t="inlineStr">
        <is>
          <t>▼</t>
        </is>
      </c>
    </row>
    <row r="11" ht="30" customHeight="1">
      <c r="A11" s="4" t="inlineStr"/>
      <c r="D11" s="30" t="inlineStr">
        <is>
          <t>프라임 코팅(RSC-3)</t>
        </is>
      </c>
      <c r="E11" s="6" t="n"/>
      <c r="F11" s="6" t="n"/>
      <c r="G11" s="6" t="n"/>
      <c r="H11" s="6" t="n"/>
      <c r="I11" s="6" t="n"/>
      <c r="J11" s="31" t="inlineStr"/>
    </row>
    <row r="12" ht="12" customHeight="1">
      <c r="A12" s="32" t="inlineStr">
        <is>
          <t>▼</t>
        </is>
      </c>
    </row>
    <row r="13" ht="30" customHeight="1">
      <c r="A13" s="4" t="inlineStr"/>
      <c r="D13" s="30" t="inlineStr">
        <is>
          <t>기층 포설 및 전압</t>
        </is>
      </c>
      <c r="E13" s="6" t="n"/>
      <c r="F13" s="6" t="n"/>
      <c r="G13" s="6" t="n"/>
      <c r="H13" s="6" t="n"/>
      <c r="I13" s="6" t="n"/>
      <c r="J13" s="31" t="inlineStr">
        <is>
          <t xml:space="preserve">  ◀ T = 15cm</t>
        </is>
      </c>
    </row>
    <row r="14" ht="12" customHeight="1">
      <c r="A14" s="32" t="inlineStr">
        <is>
          <t>▼</t>
        </is>
      </c>
    </row>
    <row r="15" ht="30" customHeight="1">
      <c r="A15" s="4" t="inlineStr"/>
      <c r="D15" s="30" t="inlineStr">
        <is>
          <t>택 코팅(RSC-4)</t>
        </is>
      </c>
      <c r="E15" s="6" t="n"/>
      <c r="F15" s="6" t="n"/>
      <c r="G15" s="6" t="n"/>
      <c r="H15" s="6" t="n"/>
      <c r="I15" s="6" t="n"/>
      <c r="J15" s="31" t="inlineStr"/>
    </row>
    <row r="16" ht="12" customHeight="1">
      <c r="A16" s="32" t="inlineStr">
        <is>
          <t>▼</t>
        </is>
      </c>
    </row>
    <row r="17" ht="30" customHeight="1">
      <c r="A17" s="4" t="inlineStr"/>
      <c r="D17" s="30" t="inlineStr">
        <is>
          <t>표층 포설 및 전압</t>
        </is>
      </c>
      <c r="E17" s="6" t="n"/>
      <c r="F17" s="6" t="n"/>
      <c r="G17" s="6" t="n"/>
      <c r="H17" s="6" t="n"/>
      <c r="I17" s="6" t="n"/>
      <c r="J17" s="31" t="inlineStr">
        <is>
          <t xml:space="preserve">  ◀ T = 5cm</t>
        </is>
      </c>
    </row>
    <row r="18" ht="12" customHeight="1">
      <c r="A18" s="32" t="inlineStr">
        <is>
          <t>▼</t>
        </is>
      </c>
    </row>
    <row r="19" ht="30" customHeight="1">
      <c r="A19" s="4" t="inlineStr"/>
      <c r="D19" s="30" t="inlineStr">
        <is>
          <t>완    성</t>
        </is>
      </c>
      <c r="E19" s="6" t="n"/>
      <c r="F19" s="6" t="n"/>
      <c r="G19" s="6" t="n"/>
      <c r="H19" s="6" t="n"/>
      <c r="I19" s="6" t="n"/>
      <c r="J19" s="31" t="inlineStr"/>
    </row>
    <row r="20" ht="3" customHeight="1"/>
    <row r="21" ht="22" customHeight="1">
      <c r="A21" s="12" t="inlineStr">
        <is>
          <t>보 조 기 층</t>
        </is>
      </c>
    </row>
    <row r="22" ht="36" customHeight="1">
      <c r="A22" s="25" t="inlineStr">
        <is>
          <t>1.</t>
        </is>
      </c>
      <c r="B22" s="26" t="inlineStr">
        <is>
          <t>혼합된 보조기층 재료는 입도가 고르고 알맞은 함수비를 가져, 저장 · 운반 · 포설 중 재료분리가 일어나지 않게 한다.</t>
        </is>
      </c>
    </row>
    <row r="23" ht="20.5" customHeight="1">
      <c r="A23" s="25" t="inlineStr">
        <is>
          <t>2.</t>
        </is>
      </c>
      <c r="B23" s="26" t="inlineStr">
        <is>
          <t>노상 최종 검측에 합격한 구간만 포설한다.</t>
        </is>
      </c>
    </row>
    <row r="24" ht="20.5" customHeight="1">
      <c r="A24" s="25" t="inlineStr">
        <is>
          <t>3.</t>
        </is>
      </c>
      <c r="B24" s="26" t="inlineStr">
        <is>
          <t>편구배 구간에서는 낮은 쪽에서 높은 쪽으로 다진다.</t>
        </is>
      </c>
    </row>
    <row r="25" ht="20.5" customHeight="1">
      <c r="A25" s="25" t="inlineStr">
        <is>
          <t>4.</t>
        </is>
      </c>
      <c r="B25" s="26" t="inlineStr">
        <is>
          <t>다짐 중 너무 건조하면 살수하여 최적 함수비 부근에서 다지면 효과적이다.</t>
        </is>
      </c>
    </row>
    <row r="26" ht="20.5" customHeight="1">
      <c r="A26" s="25" t="inlineStr">
        <is>
          <t>5.</t>
        </is>
      </c>
      <c r="B26" s="26" t="inlineStr">
        <is>
          <t>보조기층 마무리면은 계획고와 3cm 이상 차이가 나서는 안 된다.</t>
        </is>
      </c>
    </row>
    <row r="27" ht="3" customHeight="1"/>
    <row r="28" ht="22" customHeight="1">
      <c r="A28" s="12" t="inlineStr">
        <is>
          <t>프 라 임  코 팅</t>
        </is>
      </c>
    </row>
    <row r="29" ht="36" customHeight="1">
      <c r="A29" s="25" t="inlineStr">
        <is>
          <t>1.</t>
        </is>
      </c>
      <c r="B29" s="26" t="inlineStr">
        <is>
          <t>코팅 전 보조기층 면 상태를 확인하고, L형 측구 · 맨홀 등 포장 완성 뒤 드러나는 부분에 역청재가 묻지 않도록 조치한다.</t>
        </is>
      </c>
    </row>
    <row r="30" ht="36" customHeight="1">
      <c r="A30" s="25" t="inlineStr">
        <is>
          <t>2.</t>
        </is>
      </c>
      <c r="B30" s="26" t="inlineStr">
        <is>
          <t>살포 전 보조기층 표면이 알맞은 함수량을 가질 때 역청재 침투가 효과적이므로, 약간 습윤한 상태(표면은 건조)가 되도록 하여 승인을 받고 살포한다.</t>
        </is>
      </c>
    </row>
    <row r="31" ht="20.5" customHeight="1">
      <c r="A31" s="25" t="inlineStr">
        <is>
          <t>3.</t>
        </is>
      </c>
      <c r="B31" s="26" t="inlineStr">
        <is>
          <t>과다 살포나 미침투는 블리딩 현상과 아스콘 기층 혼합물 연화를 일으키므로 주의한다.</t>
        </is>
      </c>
    </row>
    <row r="32" ht="20.5" customHeight="1">
      <c r="A32" s="25" t="inlineStr">
        <is>
          <t>4.</t>
        </is>
      </c>
      <c r="B32" s="26" t="inlineStr">
        <is>
          <t>기온 10℃ 이하, 비가 올 때, 해가 진 뒤에는 시공하지 않는다.</t>
        </is>
      </c>
    </row>
    <row r="33" ht="36" customHeight="1">
      <c r="A33" s="25" t="inlineStr">
        <is>
          <t>5.</t>
        </is>
      </c>
      <c r="B33" s="26" t="inlineStr">
        <is>
          <t>역청재는 고르게 뿌릴 수 있는 디스트리뷰터로 살포하며, 특히 L형 측구 · 맨홀 등 구조물이 더럽혀지지 않게 유의한다.</t>
        </is>
      </c>
    </row>
    <row r="34" ht="20.5" customHeight="1">
      <c r="A34" s="25" t="inlineStr">
        <is>
          <t>6.</t>
        </is>
      </c>
      <c r="B34" s="26" t="inlineStr">
        <is>
          <t>살포 뒤 기층 포설 때까지 통행을 막는다.</t>
        </is>
      </c>
    </row>
    <row r="35" ht="3" customHeight="1"/>
    <row r="36" ht="22" customHeight="1">
      <c r="A36" s="12" t="inlineStr">
        <is>
          <t>택  코 팅</t>
        </is>
      </c>
    </row>
    <row r="37" ht="20.5" customHeight="1">
      <c r="A37" s="25" t="inlineStr">
        <is>
          <t>1.</t>
        </is>
      </c>
      <c r="B37" s="26" t="inlineStr">
        <is>
          <t>시공 전 포장면을 청소하고 건조한 상태에서 살포한다.</t>
        </is>
      </c>
    </row>
    <row r="38" ht="20.5" customHeight="1">
      <c r="A38" s="25" t="inlineStr">
        <is>
          <t>2.</t>
        </is>
      </c>
      <c r="B38" s="26" t="inlineStr">
        <is>
          <t>양생 불충분 및 과다 살포 때 상부층 연화와 밀림 현상이 생기므로 주의한다.</t>
        </is>
      </c>
    </row>
    <row r="39" ht="20.5" customHeight="1">
      <c r="A39" s="25" t="inlineStr">
        <is>
          <t>3.</t>
        </is>
      </c>
      <c r="B39" s="26" t="inlineStr">
        <is>
          <t>기온 5℃ 이하, 비가 올 때, 해가 진 뒤에는 시공하지 않는다.</t>
        </is>
      </c>
    </row>
    <row r="40" ht="20.5" customHeight="1">
      <c r="A40" s="25" t="inlineStr">
        <is>
          <t>4.</t>
        </is>
      </c>
      <c r="B40" s="26" t="inlineStr">
        <is>
          <t>코팅 뒤 충분히 양생하며, 표층 시공 전까지 교통 개방을 금지한다.</t>
        </is>
      </c>
    </row>
    <row r="41" ht="3" customHeight="1"/>
    <row r="42" ht="22" customHeight="1">
      <c r="A42" s="12" t="inlineStr">
        <is>
          <t>아스팔트 포설</t>
        </is>
      </c>
    </row>
    <row r="43" ht="34.45" customHeight="1">
      <c r="A43" s="27" t="inlineStr">
        <is>
          <t>1.</t>
        </is>
      </c>
      <c r="B43" s="28" t="inlineStr">
        <is>
          <t>포설 장비는 라인 센서가 달린 피니셔로 하고, 콜드 조인트를 줄이기 위해 2차로 포설 피니셔를 쓴다.</t>
        </is>
      </c>
    </row>
    <row r="44" ht="34.45" customHeight="1">
      <c r="A44" s="27" t="inlineStr">
        <is>
          <t>2.</t>
        </is>
      </c>
      <c r="B44" s="28" t="inlineStr">
        <is>
          <t>기계 고장으로 작업이 멈추지 않도록 포설 전 장비 일체(예열 · 스크리드 수평 · 스크리드 밑면 청소 · 다짐 작동 상태 등)를 점검한다.</t>
        </is>
      </c>
    </row>
    <row r="45" ht="34.45" customHeight="1">
      <c r="A45" s="27" t="inlineStr">
        <is>
          <t>3.</t>
        </is>
      </c>
      <c r="B45" s="28" t="inlineStr">
        <is>
          <t>편구배 구간은 도로 중심선에 평행하게 높은 곳에서 낮은 곳으로, 직선 구간은 길어깨 쪽에서 중심선 쪽으로, 종방향은 낮은 곳에서 높은 곳으로 포설한다.</t>
        </is>
      </c>
    </row>
    <row r="46" ht="34.45" customHeight="1">
      <c r="A46" s="27" t="inlineStr">
        <is>
          <t>4.</t>
        </is>
      </c>
      <c r="B46" s="28" t="inlineStr">
        <is>
          <t>센서로 두께를 조절할 때 평탄성 확보를 위해 여러 번 나누어 조절하고, 센서 감도보다 포설 속도가 빠르지 않게 한다.</t>
        </is>
      </c>
    </row>
    <row r="47" ht="34.45" customHeight="1">
      <c r="A47" s="27" t="inlineStr">
        <is>
          <t>5.</t>
        </is>
      </c>
      <c r="B47" s="28" t="inlineStr">
        <is>
          <t>피니셔 스크리드는 혼합물 온도 정도로 충분히 예열한다(온도가 낮으면 혼합물이 스크리드에 붙어 마무리면에 긁힌 자국이 생긴다).</t>
        </is>
      </c>
    </row>
    <row r="48" ht="19.725" customHeight="1">
      <c r="A48" s="27" t="inlineStr">
        <is>
          <t>6.</t>
        </is>
      </c>
      <c r="B48" s="28" t="inlineStr">
        <is>
          <t>포설 때 혼합물 온도가 120℃ 이하가 되지 않게 한다.</t>
        </is>
      </c>
    </row>
    <row r="49" ht="34.45" customHeight="1">
      <c r="A49" s="27" t="inlineStr">
        <is>
          <t>7.</t>
        </is>
      </c>
      <c r="B49" s="28" t="inlineStr">
        <is>
          <t>덤프트럭은 후진하여 피니셔에서 약간 떨어진 곳에 정지하고, 혼합물을 부으며 피니셔가 운전을 시작하면 트럭을 밀며 전진한다(트럭은 기어 중립).</t>
        </is>
      </c>
    </row>
    <row r="50" ht="34.45" customHeight="1">
      <c r="A50" s="27" t="inlineStr">
        <is>
          <t>8.</t>
        </is>
      </c>
      <c r="B50" s="28" t="inlineStr">
        <is>
          <t>호퍼 안 혼합물은 큰 변동이 없게 하고, 투입 충격을 최소화하며, 1차는 덜어 내듯 쏟고 2차는 수평으로 내려오게 하여 굵고 가는 입자가 분리되지 않게 한다.</t>
        </is>
      </c>
    </row>
    <row r="51" ht="19.725" customHeight="1">
      <c r="A51" s="27" t="inlineStr">
        <is>
          <t>9.</t>
        </is>
      </c>
      <c r="B51" s="28" t="inlineStr">
        <is>
          <t>혼합물은 호퍼 안에 충분히, 스크류 스프레더 양 끝에 스크류 깊이의 2/3 까지 있게 한다.</t>
        </is>
      </c>
    </row>
    <row r="52" ht="19.725" customHeight="1">
      <c r="A52" s="27" t="inlineStr">
        <is>
          <t>10.</t>
        </is>
      </c>
      <c r="B52" s="28" t="inlineStr">
        <is>
          <t>포설 중 스크리드에 달린 탬퍼는 계속 작동하여 혼합물이 다져지게 한다.</t>
        </is>
      </c>
    </row>
    <row r="53" ht="19.725" customHeight="1">
      <c r="A53" s="27" t="inlineStr">
        <is>
          <t>11.</t>
        </is>
      </c>
      <c r="B53" s="28" t="inlineStr">
        <is>
          <t>표면이 젖었거나 얼었을 때, 기온 5℃ 이하, 안개 낀 날 등에는 시공하지 않는다.</t>
        </is>
      </c>
    </row>
    <row r="54" ht="34.45" customHeight="1">
      <c r="A54" s="27" t="inlineStr">
        <is>
          <t>12.</t>
        </is>
      </c>
      <c r="B54" s="28" t="inlineStr">
        <is>
          <t>두께 조절기로 포설 두께를 한꺼번에 조정하면 평탄성이 나빠지므로 여러 번 나누어 조정하고, 스크리드 조정원은 포설 두께를 수시로 확인한다.</t>
        </is>
      </c>
    </row>
    <row r="55" ht="34.45" customHeight="1">
      <c r="A55" s="27" t="inlineStr">
        <is>
          <t>13.</t>
        </is>
      </c>
      <c r="B55" s="28" t="inlineStr">
        <is>
          <t>롤러로 다지기 전 종 · 횡방향 평탄성 · 표면 조직 등을 점검하고 불량 부분은 수정하거나 걷어 낸 뒤 포설하여 다진다(표층은 걷어 내고 다시 포설).</t>
        </is>
      </c>
    </row>
    <row r="56" ht="19.725" customHeight="1">
      <c r="A56" s="27" t="inlineStr">
        <is>
          <t>14.</t>
        </is>
      </c>
      <c r="B56" s="28" t="inlineStr">
        <is>
          <t>피니셔로 포설한 면은 레이크를 쓰지 않는 것이 원칙이며, 쓸 때는 예열한다.</t>
        </is>
      </c>
    </row>
    <row r="57" ht="49.175" customHeight="1">
      <c r="A57" s="27" t="inlineStr">
        <is>
          <t>15.</t>
        </is>
      </c>
      <c r="B57" s="28" t="inlineStr">
        <is>
          <t>포설 중 비가 오면 즉시 작업을 멈추고 포설된 부분을 빨리 다져 마무리한다(혼합물에 물이 스며들면 골재와 아스팔트의 부착력이 떨어져 안정도 · 내구성이 줄고, 온도가 급히 떨어져 소정의 다짐 밀도를 얻을 수 없다).</t>
        </is>
      </c>
    </row>
    <row r="58" ht="3" customHeight="1"/>
    <row r="59" ht="22" customHeight="1">
      <c r="A59" s="12" t="inlineStr">
        <is>
          <t>아스팔트 다짐</t>
        </is>
      </c>
    </row>
    <row r="60" ht="19.725" customHeight="1">
      <c r="A60" s="27" t="inlineStr">
        <is>
          <t>1.</t>
        </is>
      </c>
      <c r="B60" s="28" t="inlineStr">
        <is>
          <t>다짐 전 선형 · 평탄성 · 표면 상태를 점검하고 불량 부분은 수정한 뒤 다진다.</t>
        </is>
      </c>
    </row>
    <row r="61" ht="19.725" customHeight="1">
      <c r="A61" s="27" t="inlineStr">
        <is>
          <t>2.</t>
        </is>
      </c>
      <c r="B61" s="28" t="inlineStr">
        <is>
          <t>이음부부터 다지기 시작하며 낮은 곳에서 높은 쪽으로 다진다.</t>
        </is>
      </c>
    </row>
    <row r="62" ht="19.725" customHeight="1">
      <c r="A62" s="27" t="inlineStr">
        <is>
          <t>3.</t>
        </is>
      </c>
      <c r="B62" s="28" t="inlineStr">
        <is>
          <t>같은 지점에서의 정지 · 회전, 갑작스러운 다짐선 변경으로 혼합물이 밀리지 않게 한다.</t>
        </is>
      </c>
    </row>
    <row r="63" ht="19.725" customHeight="1">
      <c r="A63" s="27" t="inlineStr">
        <is>
          <t>4.</t>
        </is>
      </c>
      <c r="B63" s="28" t="inlineStr">
        <is>
          <t>다짐 뒤 24시간 이내, 상온이 될 때까지 교통 개방을 금지한다.</t>
        </is>
      </c>
    </row>
    <row r="64" ht="34.45" customHeight="1">
      <c r="A64" s="27" t="inlineStr">
        <is>
          <t>5.</t>
        </is>
      </c>
      <c r="B64" s="28" t="inlineStr">
        <is>
          <t>가로 시공이음은 상층과 하층을 서로 1m 이상, 세로 시공이음은 최소 15cm 이상 어긋나게 시공한다.</t>
        </is>
      </c>
    </row>
    <row r="65" ht="34.45" customHeight="1">
      <c r="A65" s="27" t="inlineStr">
        <is>
          <t>6.</t>
        </is>
      </c>
      <c r="B65" s="28" t="inlineStr">
        <is>
          <t>하루 마무리(이음부) 위치에는 소요 두께를 확보할 수 있는 각목을 대어 마무리하고, 다음 날 포설 때 각목을 떼고 택 코팅을 철저히 하여 신구 혼합물이 밀착되고 평탄하게 한다.</t>
        </is>
      </c>
    </row>
    <row r="66" ht="19.725" customHeight="1">
      <c r="A66" s="27" t="inlineStr">
        <is>
          <t>7.</t>
        </is>
      </c>
      <c r="B66" s="28" t="inlineStr">
        <is>
          <t>1차 전압은 혼합물이 밀리거나 헤어크랙이 생기지 않는 고온에서 다진다.</t>
        </is>
      </c>
    </row>
    <row r="67" ht="19.725" customHeight="1">
      <c r="A67" s="27" t="inlineStr">
        <is>
          <t>8.</t>
        </is>
      </c>
      <c r="B67" s="28" t="inlineStr">
        <is>
          <t>2차 전압은 1차 다짐에 이어 소정의 밀도가 나오도록 다진다(온도 70 ~ 90℃).</t>
        </is>
      </c>
    </row>
    <row r="68" ht="19.725" customHeight="1">
      <c r="A68" s="27" t="inlineStr">
        <is>
          <t>9.</t>
        </is>
      </c>
      <c r="B68" s="28" t="inlineStr">
        <is>
          <t>마무리 전압은 롤러 자국이 없어질 정도로 다진다(혼합물 온도 60℃).</t>
        </is>
      </c>
    </row>
    <row r="69" ht="34.45" customHeight="1">
      <c r="A69" s="27" t="inlineStr">
        <is>
          <t>10.</t>
        </is>
      </c>
      <c r="B69" s="28" t="inlineStr">
        <is>
          <t>시험요원은 수시로 혼합물 온도를 재어 전압 시기와 다짐 장비를 유도하여 효율적으로 다짐을 관리한다.</t>
        </is>
      </c>
    </row>
    <row r="70" ht="19.725" customHeight="1">
      <c r="A70" s="27" t="inlineStr">
        <is>
          <t>11.</t>
        </is>
      </c>
      <c r="B70" s="28" t="inlineStr">
        <is>
          <t>전압 중 3m 직선자로 종 · 횡방향 요철과 굴곡부를 찾아 다짐 장비를 유도하여 보완한다.</t>
        </is>
      </c>
    </row>
    <row r="71" ht="19.725" customHeight="1">
      <c r="A71" s="27" t="inlineStr">
        <is>
          <t>12.</t>
        </is>
      </c>
      <c r="B71" s="28" t="inlineStr">
        <is>
          <t>마무리 전압 뒤 포장 위에 롤러를 오래 세워 두지 않는다.</t>
        </is>
      </c>
    </row>
    <row r="72" ht="34.45" customHeight="1">
      <c r="A72" s="27" t="inlineStr">
        <is>
          <t>13.</t>
        </is>
      </c>
      <c r="B72" s="28" t="inlineStr">
        <is>
          <t>1차 다짐 때 헤어크랙을 없애려면 롤러의 전압력이나 타이어 공기압을 낮추거나, 혼합물 온도가 조금 낮아질 때까지 기다린다.</t>
        </is>
      </c>
    </row>
    <row r="73" ht="21" customHeight="1">
      <c r="A73" s="4" t="inlineStr"/>
      <c r="B73" s="13" t="inlineStr">
        <is>
          <t>14. 다짐 때 유의사항</t>
        </is>
      </c>
    </row>
    <row r="74" ht="19.725" customHeight="1">
      <c r="A74" s="27" t="inlineStr">
        <is>
          <t>1)</t>
        </is>
      </c>
      <c r="C74" s="28" t="inlineStr">
        <is>
          <t>이음부부터 전압한다.</t>
        </is>
      </c>
    </row>
    <row r="75" ht="19.725" customHeight="1">
      <c r="A75" s="27" t="inlineStr">
        <is>
          <t>2)</t>
        </is>
      </c>
      <c r="C75" s="28" t="inlineStr">
        <is>
          <t>낮은 곳에서 높은 곳으로 전압한다.</t>
        </is>
      </c>
    </row>
    <row r="76" ht="19.725" customHeight="1">
      <c r="A76" s="27" t="inlineStr">
        <is>
          <t>3)</t>
        </is>
      </c>
      <c r="C76" s="28" t="inlineStr">
        <is>
          <t>롤러의 구동륜을 앞세워(구동륜 폭의 절반 정도 겹치게) 다진다.</t>
        </is>
      </c>
    </row>
    <row r="77" ht="19.725" customHeight="1">
      <c r="A77" s="27" t="inlineStr">
        <is>
          <t>4)</t>
        </is>
      </c>
      <c r="C77" s="28" t="inlineStr">
        <is>
          <t>바깥 가장자리 다짐은 롤러 바퀴를 끝단에서 5 ~ 10cm 튀어나오게 하여 다진다.</t>
        </is>
      </c>
    </row>
    <row r="78" ht="19.725" customHeight="1">
      <c r="A78" s="27" t="inlineStr">
        <is>
          <t>5)</t>
        </is>
      </c>
      <c r="C78" s="28" t="inlineStr">
        <is>
          <t>롤러의 방향 전환은 반드시 안정된 노면 위에서 한다.</t>
        </is>
      </c>
    </row>
    <row r="79" ht="19.725" customHeight="1">
      <c r="A79" s="27" t="inlineStr">
        <is>
          <t>6)</t>
        </is>
      </c>
      <c r="C79" s="28" t="inlineStr">
        <is>
          <t>급유 등으로 기름을 포장면에 흘리지 않는다(아스팔트 분해로 하자 발생).</t>
        </is>
      </c>
    </row>
    <row r="80" ht="34.45" customHeight="1">
      <c r="A80" s="27" t="inlineStr">
        <is>
          <t>7)</t>
        </is>
      </c>
      <c r="C80" s="28" t="inlineStr">
        <is>
          <t>헤어크랙이 생기면 탠덤 롤러 투입을 피하고 타이어 롤러로 압착 전압을 하여, 혼합물이 다짐 온도 아래로 떨어지기 전에 크랙을 바로잡는다.</t>
        </is>
      </c>
    </row>
    <row r="81" ht="19.725" customHeight="1">
      <c r="A81" s="27" t="inlineStr">
        <is>
          <t>8)</t>
        </is>
      </c>
      <c r="C81" s="28" t="inlineStr">
        <is>
          <t>피니셔와 롤러는 항상 1 ~ 2m 이상 간격을 유지한다.</t>
        </is>
      </c>
    </row>
    <row r="82" ht="34.45" customHeight="1">
      <c r="A82" s="27" t="inlineStr">
        <is>
          <t>9)</t>
        </is>
      </c>
      <c r="C82" s="28" t="inlineStr">
        <is>
          <t>롤러의 급격한 전 · 후진을 금지하고, 특히 머캐덤 롤러는 급제동 · 급출발로 표면 자국이 생기지 않게 한다.</t>
        </is>
      </c>
    </row>
  </sheetData>
  <mergeCells count="102">
    <mergeCell ref="B47:L47"/>
    <mergeCell ref="B22:L22"/>
    <mergeCell ref="A21:L21"/>
    <mergeCell ref="B31:L31"/>
    <mergeCell ref="J11:L11"/>
    <mergeCell ref="B39:L39"/>
    <mergeCell ref="C77:L77"/>
    <mergeCell ref="A74:B74"/>
    <mergeCell ref="B23:L23"/>
    <mergeCell ref="C74:L74"/>
    <mergeCell ref="B38:L38"/>
    <mergeCell ref="A76:B76"/>
    <mergeCell ref="D5:I5"/>
    <mergeCell ref="B40:L40"/>
    <mergeCell ref="B49:L49"/>
    <mergeCell ref="C75:L75"/>
    <mergeCell ref="B64:L64"/>
    <mergeCell ref="J13:L13"/>
    <mergeCell ref="B33:L33"/>
    <mergeCell ref="A36:L36"/>
    <mergeCell ref="B51:L51"/>
    <mergeCell ref="A6:L6"/>
    <mergeCell ref="B32:L32"/>
    <mergeCell ref="B63:L63"/>
    <mergeCell ref="J15:L15"/>
    <mergeCell ref="B50:L50"/>
    <mergeCell ref="B25:L25"/>
    <mergeCell ref="B66:L66"/>
    <mergeCell ref="A79:B79"/>
    <mergeCell ref="C81:L81"/>
    <mergeCell ref="D7:I7"/>
    <mergeCell ref="A12:L12"/>
    <mergeCell ref="J7:L7"/>
    <mergeCell ref="A5:C5"/>
    <mergeCell ref="A14:L14"/>
    <mergeCell ref="B67:L67"/>
    <mergeCell ref="B61:L61"/>
    <mergeCell ref="A4:L4"/>
    <mergeCell ref="B53:L53"/>
    <mergeCell ref="A13:C13"/>
    <mergeCell ref="C79:L79"/>
    <mergeCell ref="B29:L29"/>
    <mergeCell ref="B69:L69"/>
    <mergeCell ref="B37:L37"/>
    <mergeCell ref="A15:C15"/>
    <mergeCell ref="D19:I19"/>
    <mergeCell ref="J5:L5"/>
    <mergeCell ref="B55:L55"/>
    <mergeCell ref="B24:L24"/>
    <mergeCell ref="A7:C7"/>
    <mergeCell ref="A77:B77"/>
    <mergeCell ref="D11:I11"/>
    <mergeCell ref="A16:L16"/>
    <mergeCell ref="B26:L26"/>
    <mergeCell ref="D13:I13"/>
    <mergeCell ref="B54:L54"/>
    <mergeCell ref="B72:L72"/>
    <mergeCell ref="A18:L18"/>
    <mergeCell ref="B56:L56"/>
    <mergeCell ref="B71:L71"/>
    <mergeCell ref="A2:L2"/>
    <mergeCell ref="B43:L43"/>
    <mergeCell ref="A78:B78"/>
    <mergeCell ref="A42:L42"/>
    <mergeCell ref="B52:L52"/>
    <mergeCell ref="C78:L78"/>
    <mergeCell ref="D9:I9"/>
    <mergeCell ref="A75:B75"/>
    <mergeCell ref="A80:B80"/>
    <mergeCell ref="B60:L60"/>
    <mergeCell ref="B57:L57"/>
    <mergeCell ref="D15:I15"/>
    <mergeCell ref="B44:L44"/>
    <mergeCell ref="B34:L34"/>
    <mergeCell ref="J17:L17"/>
    <mergeCell ref="A59:L59"/>
    <mergeCell ref="B30:L30"/>
    <mergeCell ref="J19:L19"/>
    <mergeCell ref="A1:F1"/>
    <mergeCell ref="J9:L9"/>
    <mergeCell ref="C76:L76"/>
    <mergeCell ref="A82:B82"/>
    <mergeCell ref="B62:L62"/>
    <mergeCell ref="D17:I17"/>
    <mergeCell ref="C82:L82"/>
    <mergeCell ref="B46:L46"/>
    <mergeCell ref="B70:L70"/>
    <mergeCell ref="B48:L48"/>
    <mergeCell ref="A17:C17"/>
    <mergeCell ref="A8:L8"/>
    <mergeCell ref="G1:L1"/>
    <mergeCell ref="A19:C19"/>
    <mergeCell ref="A10:L10"/>
    <mergeCell ref="B73:L73"/>
    <mergeCell ref="A28:L28"/>
    <mergeCell ref="A9:C9"/>
    <mergeCell ref="B65:L65"/>
    <mergeCell ref="A11:C11"/>
    <mergeCell ref="C80:L80"/>
    <mergeCell ref="B68:L68"/>
    <mergeCell ref="A81:B81"/>
    <mergeCell ref="B45:L45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34" min="0" max="16383" man="1"/>
    <brk id="57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39" t="inlineStr">
        <is>
          <t xml:space="preserve">작성 예시 (가상의 현장)  </t>
        </is>
      </c>
    </row>
    <row r="2" ht="40" customHeight="1">
      <c r="A2" s="33" t="inlineStr">
        <is>
          <t>투  입  장  비</t>
        </is>
      </c>
      <c r="J2" s="34" t="inlineStr">
        <is>
          <t>공종 : 포장공</t>
        </is>
      </c>
    </row>
    <row r="3" ht="24" customHeight="1">
      <c r="A3" s="18" t="inlineStr">
        <is>
          <t>장 비 명</t>
        </is>
      </c>
      <c r="B3" s="6" t="n"/>
      <c r="C3" s="18" t="inlineStr">
        <is>
          <t>규  격</t>
        </is>
      </c>
      <c r="D3" s="6" t="n"/>
      <c r="E3" s="18" t="inlineStr">
        <is>
          <t>대수</t>
        </is>
      </c>
      <c r="F3" s="18" t="inlineStr">
        <is>
          <t>용 도 · 제 원</t>
        </is>
      </c>
      <c r="G3" s="6" t="n"/>
      <c r="H3" s="6" t="n"/>
      <c r="I3" s="18" t="inlineStr">
        <is>
          <t>장비 사진 · 제원표</t>
        </is>
      </c>
      <c r="J3" s="6" t="n"/>
      <c r="K3" s="6" t="n"/>
      <c r="L3" s="6" t="n"/>
    </row>
    <row r="4" ht="58" customHeight="1">
      <c r="A4" s="7" t="inlineStr">
        <is>
          <t>진동롤러</t>
        </is>
      </c>
      <c r="B4" s="6" t="n"/>
      <c r="C4" s="19" t="inlineStr">
        <is>
          <t>10톤</t>
        </is>
      </c>
      <c r="D4" s="6" t="n"/>
      <c r="E4" s="35" t="n">
        <v>1</v>
      </c>
      <c r="F4" s="36" t="inlineStr">
        <is>
          <t>골재 다짐</t>
        </is>
      </c>
      <c r="G4" s="6" t="n"/>
      <c r="H4" s="6" t="n"/>
      <c r="I4" s="37" t="inlineStr">
        <is>
          <t>(사진 · 제원표)</t>
        </is>
      </c>
      <c r="J4" s="6" t="n"/>
      <c r="K4" s="6" t="n"/>
      <c r="L4" s="6" t="n"/>
    </row>
    <row r="5" ht="58" customHeight="1">
      <c r="A5" s="7" t="inlineStr">
        <is>
          <t>디스트리뷰터</t>
        </is>
      </c>
      <c r="B5" s="6" t="n"/>
      <c r="C5" s="19" t="n"/>
      <c r="D5" s="6" t="n"/>
      <c r="E5" s="35" t="n">
        <v>1</v>
      </c>
      <c r="F5" s="36" t="inlineStr">
        <is>
          <t>아스팔트 유제 살포</t>
        </is>
      </c>
      <c r="G5" s="6" t="n"/>
      <c r="H5" s="6" t="n"/>
      <c r="I5" s="37" t="inlineStr">
        <is>
          <t>(사진 · 제원표)</t>
        </is>
      </c>
      <c r="J5" s="6" t="n"/>
      <c r="K5" s="6" t="n"/>
      <c r="L5" s="6" t="n"/>
    </row>
    <row r="6" ht="58" customHeight="1">
      <c r="A6" s="7" t="inlineStr">
        <is>
          <t>피니셔</t>
        </is>
      </c>
      <c r="B6" s="6" t="n"/>
      <c r="C6" s="19" t="inlineStr">
        <is>
          <t>3.0m</t>
        </is>
      </c>
      <c r="D6" s="6" t="n"/>
      <c r="E6" s="35" t="n">
        <v>1</v>
      </c>
      <c r="F6" s="36" t="inlineStr">
        <is>
          <t>아스콘 포설</t>
        </is>
      </c>
      <c r="G6" s="6" t="n"/>
      <c r="H6" s="6" t="n"/>
      <c r="I6" s="37" t="inlineStr">
        <is>
          <t>(사진 · 제원표)</t>
        </is>
      </c>
      <c r="J6" s="6" t="n"/>
      <c r="K6" s="6" t="n"/>
      <c r="L6" s="6" t="n"/>
    </row>
    <row r="7" ht="58" customHeight="1">
      <c r="A7" s="7" t="inlineStr">
        <is>
          <t>머캐덤 롤러</t>
        </is>
      </c>
      <c r="B7" s="6" t="n"/>
      <c r="C7" s="19" t="inlineStr">
        <is>
          <t>8 ~ 10톤</t>
        </is>
      </c>
      <c r="D7" s="6" t="n"/>
      <c r="E7" s="35" t="n">
        <v>1</v>
      </c>
      <c r="F7" s="36" t="inlineStr">
        <is>
          <t>1차 전압</t>
        </is>
      </c>
      <c r="G7" s="6" t="n"/>
      <c r="H7" s="6" t="n"/>
      <c r="I7" s="37" t="inlineStr">
        <is>
          <t>(사진 · 제원표)</t>
        </is>
      </c>
      <c r="J7" s="6" t="n"/>
      <c r="K7" s="6" t="n"/>
      <c r="L7" s="6" t="n"/>
    </row>
    <row r="8" ht="58" customHeight="1">
      <c r="A8" s="7" t="inlineStr">
        <is>
          <t>타이어 롤러</t>
        </is>
      </c>
      <c r="B8" s="6" t="n"/>
      <c r="C8" s="19" t="inlineStr">
        <is>
          <t>8 ~ 15톤</t>
        </is>
      </c>
      <c r="D8" s="6" t="n"/>
      <c r="E8" s="35" t="n">
        <v>1</v>
      </c>
      <c r="F8" s="36" t="inlineStr">
        <is>
          <t>2차 전압</t>
        </is>
      </c>
      <c r="G8" s="6" t="n"/>
      <c r="H8" s="6" t="n"/>
      <c r="I8" s="37" t="inlineStr">
        <is>
          <t>(사진 · 제원표)</t>
        </is>
      </c>
      <c r="J8" s="6" t="n"/>
      <c r="K8" s="6" t="n"/>
      <c r="L8" s="6" t="n"/>
    </row>
    <row r="9" ht="58" customHeight="1">
      <c r="A9" s="7" t="inlineStr">
        <is>
          <t>탠덤 롤러</t>
        </is>
      </c>
      <c r="B9" s="6" t="n"/>
      <c r="C9" s="19" t="inlineStr">
        <is>
          <t>10 ~ 14톤</t>
        </is>
      </c>
      <c r="D9" s="6" t="n"/>
      <c r="E9" s="35" t="n">
        <v>1</v>
      </c>
      <c r="F9" s="36" t="inlineStr">
        <is>
          <t>마무리 전압</t>
        </is>
      </c>
      <c r="G9" s="6" t="n"/>
      <c r="H9" s="6" t="n"/>
      <c r="I9" s="37" t="inlineStr">
        <is>
          <t>(사진 · 제원표)</t>
        </is>
      </c>
      <c r="J9" s="6" t="n"/>
      <c r="K9" s="6" t="n"/>
      <c r="L9" s="6" t="n"/>
    </row>
    <row r="10" ht="58" customHeight="1">
      <c r="A10" s="7" t="inlineStr">
        <is>
          <t>스키드 로더</t>
        </is>
      </c>
      <c r="B10" s="6" t="n"/>
      <c r="C10" s="19" t="inlineStr">
        <is>
          <t>브러시 · 버킷</t>
        </is>
      </c>
      <c r="D10" s="6" t="n"/>
      <c r="E10" s="35" t="n">
        <v>1</v>
      </c>
      <c r="F10" s="36" t="inlineStr">
        <is>
          <t>노면 청소 및 평탄 작업</t>
        </is>
      </c>
      <c r="G10" s="6" t="n"/>
      <c r="H10" s="6" t="n"/>
      <c r="I10" s="37" t="inlineStr">
        <is>
          <t>(사진 · 제원표)</t>
        </is>
      </c>
      <c r="J10" s="6" t="n"/>
      <c r="K10" s="6" t="n"/>
      <c r="L10" s="6" t="n"/>
    </row>
    <row r="11" ht="58" customHeight="1">
      <c r="A11" s="7" t="inlineStr">
        <is>
          <t>살수차</t>
        </is>
      </c>
      <c r="B11" s="6" t="n"/>
      <c r="C11" s="19" t="inlineStr">
        <is>
          <t>5,500ℓ</t>
        </is>
      </c>
      <c r="D11" s="6" t="n"/>
      <c r="E11" s="35" t="n">
        <v>1</v>
      </c>
      <c r="F11" s="36" t="inlineStr">
        <is>
          <t>다짐 작업 때 살수 · 진출입로 청소 · 장비 물 공급</t>
        </is>
      </c>
      <c r="G11" s="6" t="n"/>
      <c r="H11" s="6" t="n"/>
      <c r="I11" s="37" t="inlineStr">
        <is>
          <t>(사진 · 제원표)</t>
        </is>
      </c>
      <c r="J11" s="6" t="n"/>
      <c r="K11" s="6" t="n"/>
      <c r="L11" s="6" t="n"/>
    </row>
    <row r="12" ht="58" customHeight="1">
      <c r="A12" s="7" t="inlineStr">
        <is>
          <t>덤프트럭</t>
        </is>
      </c>
      <c r="B12" s="6" t="n"/>
      <c r="C12" s="19" t="inlineStr">
        <is>
          <t>25.5톤</t>
        </is>
      </c>
      <c r="D12" s="6" t="n"/>
      <c r="E12" s="35" t="n">
        <v>9</v>
      </c>
      <c r="F12" s="36" t="inlineStr">
        <is>
          <t>골재 운반 및 아스콘 운반</t>
        </is>
      </c>
      <c r="G12" s="6" t="n"/>
      <c r="H12" s="6" t="n"/>
      <c r="I12" s="37" t="inlineStr">
        <is>
          <t>(사진 · 제원표)</t>
        </is>
      </c>
      <c r="J12" s="6" t="n"/>
      <c r="K12" s="6" t="n"/>
      <c r="L12" s="6" t="n"/>
    </row>
    <row r="13" ht="58" customHeight="1">
      <c r="A13" s="7" t="n"/>
      <c r="B13" s="6" t="n"/>
      <c r="C13" s="19" t="n"/>
      <c r="D13" s="6" t="n"/>
      <c r="E13" s="35" t="n"/>
      <c r="F13" s="36" t="n"/>
      <c r="G13" s="6" t="n"/>
      <c r="H13" s="6" t="n"/>
      <c r="I13" s="37" t="inlineStr">
        <is>
          <t>(사진 · 제원표)</t>
        </is>
      </c>
      <c r="J13" s="6" t="n"/>
      <c r="K13" s="6" t="n"/>
      <c r="L13" s="6" t="n"/>
    </row>
    <row r="14" ht="26" customHeight="1">
      <c r="A14" s="21" t="inlineStr">
        <is>
          <t>합    계</t>
        </is>
      </c>
      <c r="B14" s="6" t="n"/>
      <c r="C14" s="6" t="n"/>
      <c r="D14" s="6" t="n"/>
      <c r="E14" s="38">
        <f>IF(SUM(E4:E13)=0,"",SUM(E4:E13))</f>
        <v/>
      </c>
      <c r="F14" s="21" t="inlineStr"/>
      <c r="G14" s="6" t="n"/>
      <c r="H14" s="6" t="n"/>
      <c r="I14" s="6" t="n"/>
      <c r="J14" s="6" t="n"/>
      <c r="K14" s="6" t="n"/>
      <c r="L14" s="6" t="n"/>
    </row>
    <row r="16" ht="19.5" customHeight="1">
      <c r="A16" s="10" t="inlineStr">
        <is>
          <t>이 시트는 작성 예시입니다(가상의 대수).</t>
        </is>
      </c>
    </row>
  </sheetData>
  <mergeCells count="51">
    <mergeCell ref="A16:L16"/>
    <mergeCell ref="C6:D6"/>
    <mergeCell ref="F5:H5"/>
    <mergeCell ref="I8:L8"/>
    <mergeCell ref="A11:B11"/>
    <mergeCell ref="C5:D5"/>
    <mergeCell ref="I4:L4"/>
    <mergeCell ref="F8:H8"/>
    <mergeCell ref="A14:D14"/>
    <mergeCell ref="I10:L10"/>
    <mergeCell ref="A6:B6"/>
    <mergeCell ref="C4:D4"/>
    <mergeCell ref="I13:L13"/>
    <mergeCell ref="F14:L14"/>
    <mergeCell ref="A2:I2"/>
    <mergeCell ref="C10:D10"/>
    <mergeCell ref="A7:B7"/>
    <mergeCell ref="I9:L9"/>
    <mergeCell ref="F13:H13"/>
    <mergeCell ref="I6:L6"/>
    <mergeCell ref="F9:H9"/>
    <mergeCell ref="C9:D9"/>
    <mergeCell ref="A3:B3"/>
    <mergeCell ref="I11:L11"/>
    <mergeCell ref="A12:B12"/>
    <mergeCell ref="G1:L1"/>
    <mergeCell ref="C12:D12"/>
    <mergeCell ref="J2:L2"/>
    <mergeCell ref="C11:D11"/>
    <mergeCell ref="A5:B5"/>
    <mergeCell ref="F4:H4"/>
    <mergeCell ref="I7:L7"/>
    <mergeCell ref="A8:B8"/>
    <mergeCell ref="F11:H11"/>
    <mergeCell ref="C8:D8"/>
    <mergeCell ref="A4:B4"/>
    <mergeCell ref="F10:H10"/>
    <mergeCell ref="F6:H6"/>
    <mergeCell ref="C7:D7"/>
    <mergeCell ref="I3:L3"/>
    <mergeCell ref="A1:F1"/>
    <mergeCell ref="A10:B10"/>
    <mergeCell ref="I12:L12"/>
    <mergeCell ref="A13:B13"/>
    <mergeCell ref="C13:D13"/>
    <mergeCell ref="F12:H12"/>
    <mergeCell ref="F7:H7"/>
    <mergeCell ref="A9:B9"/>
    <mergeCell ref="F3:H3"/>
    <mergeCell ref="C3:D3"/>
    <mergeCell ref="I5:L5"/>
  </mergeCells>
  <printOptions horizontalCentered="1"/>
  <pageMargins left="0.6" right="0.6" top="0.6" bottom="0.6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포장 시공계획서</dc:title>
  <dcterms:created xmlns:dcterms="http://purl.org/dc/terms/" xmlns:xsi="http://www.w3.org/2001/XMLSchema-instance" xsi:type="dcterms:W3CDTF">2026-10-17T01:09:22Z</dcterms:created>
  <dcterms:modified xmlns:dcterms="http://purl.org/dc/terms/" xmlns:xsi="http://www.w3.org/2001/XMLSchema-instance" xsi:type="dcterms:W3CDTF">2026-10-17T01:09:22Z</dcterms:modified>
</cp:coreProperties>
</file>