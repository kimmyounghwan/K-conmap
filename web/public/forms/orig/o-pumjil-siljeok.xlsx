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'실적 보고서'!$A$1:$O$17</definedName>
    <definedName name="_xlnm.Print_Area" localSheetId="1">'작성 예시'!$A$1:$O$17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;[Red]-0.0%;&quot;&quot;"/>
  </numFmts>
  <fonts count="1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F2937"/>
      <sz val="9"/>
    </font>
    <font>
      <name val="맑은 고딕"/>
      <b val="1"/>
      <color rgb="00111827"/>
      <sz val="17"/>
    </font>
    <font>
      <name val="맑은 고딕"/>
      <color rgb="00000000"/>
      <sz val="9.5"/>
    </font>
    <font>
      <name val="맑은 고딕"/>
      <color rgb="00000000"/>
      <sz val="8.5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shrinkToFit="1"/>
    </xf>
    <xf numFmtId="3" fontId="8" fillId="3" borderId="1" applyAlignment="1" pivotButton="0" quotePrefix="0" xfId="0">
      <alignment horizontal="center" vertical="center" shrinkToFit="1"/>
    </xf>
    <xf numFmtId="0" fontId="9" fillId="4" borderId="1" applyAlignment="1" pivotButton="0" quotePrefix="0" xfId="0">
      <alignment horizontal="center" vertical="center" wrapText="1"/>
    </xf>
    <xf numFmtId="3" fontId="9" fillId="3" borderId="1" applyAlignment="1" pivotButton="0" quotePrefix="0" xfId="0">
      <alignment horizontal="center" vertical="center" shrinkToFit="1"/>
    </xf>
    <xf numFmtId="0" fontId="3" fillId="5" borderId="1" applyAlignment="1" pivotButton="0" quotePrefix="0" xfId="0">
      <alignment horizontal="center" vertical="center" wrapText="1"/>
    </xf>
    <xf numFmtId="1" fontId="9" fillId="3" borderId="1" applyAlignment="1" pivotButton="0" quotePrefix="0" xfId="0">
      <alignment horizontal="center" vertical="center" shrinkToFit="1"/>
    </xf>
    <xf numFmtId="164" fontId="9" fillId="3" borderId="1" applyAlignment="1" pivotButton="0" quotePrefix="0" xfId="0">
      <alignment horizontal="center" vertical="center" shrinkToFit="1"/>
    </xf>
    <xf numFmtId="0" fontId="10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8.4" customWidth="1" min="3" max="3"/>
    <col width="6.9" customWidth="1" min="4" max="4"/>
    <col width="6.9" customWidth="1" min="5" max="5"/>
    <col width="6.9" customWidth="1" min="6" max="6"/>
    <col width="6.9" customWidth="1" min="7" max="7"/>
    <col width="6.9" customWidth="1" min="8" max="8"/>
    <col width="6.9" customWidth="1" min="9" max="9"/>
    <col width="6.9" customWidth="1" min="10" max="10"/>
    <col width="6.9" customWidth="1" min="11" max="11"/>
    <col width="6.9" customWidth="1" min="12" max="12"/>
    <col width="6.9" customWidth="1" min="13" max="13"/>
    <col width="6.9" customWidth="1" min="14" max="14"/>
    <col width="6.9" customWidth="1" min="15" max="15"/>
  </cols>
  <sheetData>
    <row r="1" ht="20" customHeight="1">
      <c r="A1" s="1" t="inlineStr">
        <is>
          <t xml:space="preserve">  K-건설맵  |  k-conmap.com  무료 건설 서식</t>
        </is>
      </c>
      <c r="H1" s="2" t="inlineStr">
        <is>
          <t xml:space="preserve">← 이 1행을 지우고 쓰셔도 됩니다  </t>
        </is>
      </c>
    </row>
    <row r="2" ht="18" customHeight="1">
      <c r="A2" s="3" t="inlineStr">
        <is>
          <t>[별지 제18호 서식]</t>
        </is>
      </c>
    </row>
    <row r="3" ht="40" customHeight="1">
      <c r="A3" s="4" t="inlineStr">
        <is>
          <t>품질시험ㆍ검사실적 보고서</t>
        </is>
      </c>
    </row>
    <row r="4" ht="24" customHeight="1">
      <c r="A4" s="5" t="inlineStr">
        <is>
          <t>공  종</t>
        </is>
      </c>
      <c r="B4" s="5" t="inlineStr">
        <is>
          <t>시험ㆍ검사
종  목</t>
        </is>
      </c>
      <c r="C4" s="5" t="inlineStr">
        <is>
          <t>계획시험
ㆍ
검사회수</t>
        </is>
      </c>
      <c r="D4" s="5" t="inlineStr">
        <is>
          <t>전월까지 시험ㆍ검사회수</t>
        </is>
      </c>
      <c r="E4" s="6" t="n"/>
      <c r="F4" s="6" t="n"/>
      <c r="G4" s="6" t="n"/>
      <c r="H4" s="5" t="inlineStr">
        <is>
          <t>금월 시험ㆍ검사회수</t>
        </is>
      </c>
      <c r="I4" s="6" t="n"/>
      <c r="J4" s="6" t="n"/>
      <c r="K4" s="6" t="n"/>
      <c r="L4" s="5" t="inlineStr">
        <is>
          <t>누계 시험ㆍ검사회수</t>
        </is>
      </c>
      <c r="M4" s="6" t="n"/>
      <c r="N4" s="6" t="n"/>
      <c r="O4" s="6" t="n"/>
    </row>
    <row r="5" ht="24" customHeight="1">
      <c r="A5" s="6" t="n"/>
      <c r="B5" s="6" t="n"/>
      <c r="C5" s="6" t="n"/>
      <c r="D5" s="5" t="inlineStr">
        <is>
          <t>실  시</t>
        </is>
      </c>
      <c r="E5" s="5" t="inlineStr">
        <is>
          <t>합  격</t>
        </is>
      </c>
      <c r="F5" s="5" t="inlineStr">
        <is>
          <t>불합격</t>
        </is>
      </c>
      <c r="G5" s="5" t="inlineStr">
        <is>
          <t>재시험</t>
        </is>
      </c>
      <c r="H5" s="5" t="inlineStr">
        <is>
          <t>실  시</t>
        </is>
      </c>
      <c r="I5" s="5" t="inlineStr">
        <is>
          <t>합  격</t>
        </is>
      </c>
      <c r="J5" s="5" t="inlineStr">
        <is>
          <t>불합격</t>
        </is>
      </c>
      <c r="K5" s="5" t="inlineStr">
        <is>
          <t>재시험</t>
        </is>
      </c>
      <c r="L5" s="5" t="inlineStr">
        <is>
          <t>실  시</t>
        </is>
      </c>
      <c r="M5" s="5" t="inlineStr">
        <is>
          <t>합  격</t>
        </is>
      </c>
      <c r="N5" s="5" t="inlineStr">
        <is>
          <t>불합격</t>
        </is>
      </c>
      <c r="O5" s="5" t="inlineStr">
        <is>
          <t>재시험</t>
        </is>
      </c>
    </row>
    <row r="6" ht="30" customHeight="1">
      <c r="A6" s="7" t="n"/>
      <c r="B6" s="8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>
        <f>IF(AND(D6="",H6=""),"",N(D6)+N(H6))</f>
        <v/>
      </c>
      <c r="M6" s="10">
        <f>IF(AND(E6="",I6=""),"",N(E6)+N(I6))</f>
        <v/>
      </c>
      <c r="N6" s="10">
        <f>IF(AND(F6="",J6=""),"",N(F6)+N(J6))</f>
        <v/>
      </c>
      <c r="O6" s="10">
        <f>IF(AND(G6="",K6=""),"",N(G6)+N(K6))</f>
        <v/>
      </c>
    </row>
    <row r="7" ht="30" customHeight="1">
      <c r="A7" s="7" t="n"/>
      <c r="B7" s="8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10">
        <f>IF(AND(D7="",H7=""),"",N(D7)+N(H7))</f>
        <v/>
      </c>
      <c r="M7" s="10">
        <f>IF(AND(E7="",I7=""),"",N(E7)+N(I7))</f>
        <v/>
      </c>
      <c r="N7" s="10">
        <f>IF(AND(F7="",J7=""),"",N(F7)+N(J7))</f>
        <v/>
      </c>
      <c r="O7" s="10">
        <f>IF(AND(G7="",K7=""),"",N(G7)+N(K7))</f>
        <v/>
      </c>
    </row>
    <row r="8" ht="30" customHeight="1">
      <c r="A8" s="7" t="n"/>
      <c r="B8" s="8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>
        <f>IF(AND(D8="",H8=""),"",N(D8)+N(H8))</f>
        <v/>
      </c>
      <c r="M8" s="10">
        <f>IF(AND(E8="",I8=""),"",N(E8)+N(I8))</f>
        <v/>
      </c>
      <c r="N8" s="10">
        <f>IF(AND(F8="",J8=""),"",N(F8)+N(J8))</f>
        <v/>
      </c>
      <c r="O8" s="10">
        <f>IF(AND(G8="",K8=""),"",N(G8)+N(K8))</f>
        <v/>
      </c>
    </row>
    <row r="9" ht="30" customHeight="1">
      <c r="A9" s="7" t="n"/>
      <c r="B9" s="8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10">
        <f>IF(AND(D9="",H9=""),"",N(D9)+N(H9))</f>
        <v/>
      </c>
      <c r="M9" s="10">
        <f>IF(AND(E9="",I9=""),"",N(E9)+N(I9))</f>
        <v/>
      </c>
      <c r="N9" s="10">
        <f>IF(AND(F9="",J9=""),"",N(F9)+N(J9))</f>
        <v/>
      </c>
      <c r="O9" s="10">
        <f>IF(AND(G9="",K9=""),"",N(G9)+N(K9))</f>
        <v/>
      </c>
    </row>
    <row r="10" ht="30" customHeight="1">
      <c r="A10" s="7" t="n"/>
      <c r="B10" s="8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10">
        <f>IF(AND(D10="",H10=""),"",N(D10)+N(H10))</f>
        <v/>
      </c>
      <c r="M10" s="10">
        <f>IF(AND(E10="",I10=""),"",N(E10)+N(I10))</f>
        <v/>
      </c>
      <c r="N10" s="10">
        <f>IF(AND(F10="",J10=""),"",N(F10)+N(J10))</f>
        <v/>
      </c>
      <c r="O10" s="10">
        <f>IF(AND(G10="",K10=""),"",N(G10)+N(K10))</f>
        <v/>
      </c>
    </row>
    <row r="11" ht="30" customHeight="1">
      <c r="A11" s="7" t="n"/>
      <c r="B11" s="8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10">
        <f>IF(AND(D11="",H11=""),"",N(D11)+N(H11))</f>
        <v/>
      </c>
      <c r="M11" s="10">
        <f>IF(AND(E11="",I11=""),"",N(E11)+N(I11))</f>
        <v/>
      </c>
      <c r="N11" s="10">
        <f>IF(AND(F11="",J11=""),"",N(F11)+N(J11))</f>
        <v/>
      </c>
      <c r="O11" s="10">
        <f>IF(AND(G11="",K11=""),"",N(G11)+N(K11))</f>
        <v/>
      </c>
    </row>
    <row r="12" ht="30" customHeight="1">
      <c r="A12" s="7" t="n"/>
      <c r="B12" s="8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10">
        <f>IF(AND(D12="",H12=""),"",N(D12)+N(H12))</f>
        <v/>
      </c>
      <c r="M12" s="10">
        <f>IF(AND(E12="",I12=""),"",N(E12)+N(I12))</f>
        <v/>
      </c>
      <c r="N12" s="10">
        <f>IF(AND(F12="",J12=""),"",N(F12)+N(J12))</f>
        <v/>
      </c>
      <c r="O12" s="10">
        <f>IF(AND(G12="",K12=""),"",N(G12)+N(K12))</f>
        <v/>
      </c>
    </row>
    <row r="13" ht="30" customHeight="1">
      <c r="A13" s="7" t="n"/>
      <c r="B13" s="8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IF(AND(D13="",H13=""),"",N(D13)+N(H13))</f>
        <v/>
      </c>
      <c r="M13" s="10">
        <f>IF(AND(E13="",I13=""),"",N(E13)+N(I13))</f>
        <v/>
      </c>
      <c r="N13" s="10">
        <f>IF(AND(F13="",J13=""),"",N(F13)+N(J13))</f>
        <v/>
      </c>
      <c r="O13" s="10">
        <f>IF(AND(G13="",K13=""),"",N(G13)+N(K13))</f>
        <v/>
      </c>
    </row>
    <row r="14" ht="30" customHeight="1">
      <c r="A14" s="7" t="n"/>
      <c r="B14" s="8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IF(AND(D14="",H14=""),"",N(D14)+N(H14))</f>
        <v/>
      </c>
      <c r="M14" s="10">
        <f>IF(AND(E14="",I14=""),"",N(E14)+N(I14))</f>
        <v/>
      </c>
      <c r="N14" s="10">
        <f>IF(AND(F14="",J14=""),"",N(F14)+N(J14))</f>
        <v/>
      </c>
      <c r="O14" s="10">
        <f>IF(AND(G14="",K14=""),"",N(G14)+N(K14))</f>
        <v/>
      </c>
    </row>
    <row r="15" ht="30" customHeight="1">
      <c r="A15" s="7" t="n"/>
      <c r="B15" s="8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IF(AND(D15="",H15=""),"",N(D15)+N(H15))</f>
        <v/>
      </c>
      <c r="M15" s="10">
        <f>IF(AND(E15="",I15=""),"",N(E15)+N(I15))</f>
        <v/>
      </c>
      <c r="N15" s="10">
        <f>IF(AND(F15="",J15=""),"",N(F15)+N(J15))</f>
        <v/>
      </c>
      <c r="O15" s="10">
        <f>IF(AND(G15="",K15=""),"",N(G15)+N(K15))</f>
        <v/>
      </c>
    </row>
    <row r="16" ht="30" customHeight="1">
      <c r="A16" s="7" t="n"/>
      <c r="B16" s="8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IF(AND(D16="",H16=""),"",N(D16)+N(H16))</f>
        <v/>
      </c>
      <c r="M16" s="10">
        <f>IF(AND(E16="",I16=""),"",N(E16)+N(I16))</f>
        <v/>
      </c>
      <c r="N16" s="10">
        <f>IF(AND(F16="",J16=""),"",N(F16)+N(J16))</f>
        <v/>
      </c>
      <c r="O16" s="10">
        <f>IF(AND(G16="",K16=""),"",N(G16)+N(K16))</f>
        <v/>
      </c>
    </row>
    <row r="17" ht="30" customHeight="1">
      <c r="A17" s="7" t="n"/>
      <c r="B17" s="8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IF(AND(D17="",H17=""),"",N(D17)+N(H17))</f>
        <v/>
      </c>
      <c r="M17" s="10">
        <f>IF(AND(E17="",I17=""),"",N(E17)+N(I17))</f>
        <v/>
      </c>
      <c r="N17" s="10">
        <f>IF(AND(F17="",J17=""),"",N(F17)+N(J17))</f>
        <v/>
      </c>
      <c r="O17" s="10">
        <f>IF(AND(G17="",K17=""),"",N(G17)+N(K17))</f>
        <v/>
      </c>
    </row>
    <row r="18" ht="8" customHeight="1"/>
    <row r="19" ht="24" customHeight="1">
      <c r="A19" s="11" t="inlineStr">
        <is>
          <t>합계 (인쇄 안 됨)</t>
        </is>
      </c>
      <c r="B19" s="6" t="n"/>
      <c r="C19" s="12">
        <f>IF(COUNT(C6:C17)=0,"",SUM(C6:C17))</f>
        <v/>
      </c>
      <c r="D19" s="12">
        <f>IF(COUNT(D6:D17)=0,"",SUM(D6:D17))</f>
        <v/>
      </c>
      <c r="E19" s="12">
        <f>IF(COUNT(E6:E17)=0,"",SUM(E6:E17))</f>
        <v/>
      </c>
      <c r="F19" s="12">
        <f>IF(COUNT(F6:F17)=0,"",SUM(F6:F17))</f>
        <v/>
      </c>
      <c r="G19" s="12">
        <f>IF(COUNT(G6:G17)=0,"",SUM(G6:G17))</f>
        <v/>
      </c>
      <c r="H19" s="12">
        <f>IF(COUNT(H6:H17)=0,"",SUM(H6:H17))</f>
        <v/>
      </c>
      <c r="I19" s="12">
        <f>IF(COUNT(I6:I17)=0,"",SUM(I6:I17))</f>
        <v/>
      </c>
      <c r="J19" s="12">
        <f>IF(COUNT(J6:J17)=0,"",SUM(J6:J17))</f>
        <v/>
      </c>
      <c r="K19" s="12">
        <f>IF(COUNT(K6:K17)=0,"",SUM(K6:K17))</f>
        <v/>
      </c>
      <c r="L19" s="12">
        <f>IF(COUNT(L6:L17)=0,"",SUM(L6:L17))</f>
        <v/>
      </c>
      <c r="M19" s="12">
        <f>IF(COUNT(M6:M17)=0,"",SUM(M6:M17))</f>
        <v/>
      </c>
      <c r="N19" s="12">
        <f>IF(COUNT(N6:N17)=0,"",SUM(N6:N17))</f>
        <v/>
      </c>
      <c r="O19" s="12">
        <f>IF(COUNT(O6:O17)=0,"",SUM(O6:O17))</f>
        <v/>
      </c>
    </row>
    <row r="20" ht="24" customHeight="1">
      <c r="A20" s="13" t="inlineStr">
        <is>
          <t>합격 + 불합격 ≠ 실시인 칸</t>
        </is>
      </c>
      <c r="B20" s="6" t="n"/>
      <c r="C20" s="6" t="n"/>
      <c r="D20" s="14">
        <f>IF(COUNT(L6:L17)=0,"",IF(AND(ISNUMBER(D6),COUNT(E6,F6)&gt;0,N(E6)+N(F6)&lt;&gt;D6),1,0)+IF(AND(ISNUMBER(D7),COUNT(E7,F7)&gt;0,N(E7)+N(F7)&lt;&gt;D7),1,0)+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+IF(AND(ISNUMBER(H6),COUNT(I6,J6)&gt;0,N(I6)+N(J6)&lt;&gt;H6),1,0)+IF(AND(ISNUMBER(H7),COUNT(I7,J7)&gt;0,N(I7)+N(J7)&lt;&gt;H7),1,0)+IF(AND(ISNUMBER(H8),COUNT(I8,J8)&gt;0,N(I8)+N(J8)&lt;&gt;H8),1,0)+IF(AND(ISNUMBER(H9),COUNT(I9,J9)&gt;0,N(I9)+N(J9)&lt;&gt;H9),1,0)+IF(AND(ISNUMBER(H10),COUNT(I10,J10)&gt;0,N(I10)+N(J10)&lt;&gt;H10),1,0)+IF(AND(ISNUMBER(H11),COUNT(I11,J11)&gt;0,N(I11)+N(J11)&lt;&gt;H11),1,0)+IF(AND(ISNUMBER(H12),COUNT(I12,J12)&gt;0,N(I12)+N(J12)&lt;&gt;H12),1,0)+IF(AND(ISNUMBER(H13),COUNT(I13,J13)&gt;0,N(I13)+N(J13)&lt;&gt;H13),1,0)+IF(AND(ISNUMBER(H14),COUNT(I14,J14)&gt;0,N(I14)+N(J14)&lt;&gt;H14),1,0)+IF(AND(ISNUMBER(H15),COUNT(I15,J15)&gt;0,N(I15)+N(J15)&lt;&gt;H15),1,0)+IF(AND(ISNUMBER(H16),COUNT(I16,J16)&gt;0,N(I16)+N(J16)&lt;&gt;H16),1,0)+IF(AND(ISNUMBER(H17),COUNT(I17,J17)&gt;0,N(I17)+N(J17)&lt;&gt;H17),1,0)+IF(AND(ISNUMBER(L6),COUNT(M6,N6)&gt;0,N(M6)+N(N6)&lt;&gt;L6),1,0)+IF(AND(ISNUMBER(L7),COUNT(M7,N7)&gt;0,N(M7)+N(N7)&lt;&gt;L7),1,0)+IF(AND(ISNUMBER(L8),COUNT(M8,N8)&gt;0,N(M8)+N(N8)&lt;&gt;L8),1,0)+IF(AND(ISNUMBER(L9),COUNT(M9,N9)&gt;0,N(M9)+N(N9)&lt;&gt;L9),1,0)+IF(AND(ISNUMBER(L10),COUNT(M10,N10)&gt;0,N(M10)+N(N10)&lt;&gt;L10),1,0)+IF(AND(ISNUMBER(L11),COUNT(M11,N11)&gt;0,N(M11)+N(N11)&lt;&gt;L11),1,0)+IF(AND(ISNUMBER(L12),COUNT(M12,N12)&gt;0,N(M12)+N(N12)&lt;&gt;L12),1,0)+IF(AND(ISNUMBER(L13),COUNT(M13,N13)&gt;0,N(M13)+N(N13)&lt;&gt;L13),1,0)+IF(AND(ISNUMBER(L14),COUNT(M14,N14)&gt;0,N(M14)+N(N14)&lt;&gt;L14),1,0)+IF(AND(ISNUMBER(L15),COUNT(M15,N15)&gt;0,N(M15)+N(N15)&lt;&gt;L15),1,0)+IF(AND(ISNUMBER(L16),COUNT(M16,N16)&gt;0,N(M16)+N(N16)&lt;&gt;L16),1,0)+IF(AND(ISNUMBER(L17),COUNT(M17,N17)&gt;0,N(M17)+N(N17)&lt;&gt;L17),1,0))</f>
        <v/>
      </c>
      <c r="E20" s="13" t="inlineStr">
        <is>
          <t>누계 실시 &gt; 계획인 줄</t>
        </is>
      </c>
      <c r="F20" s="6" t="n"/>
      <c r="G20" s="6" t="n"/>
      <c r="H20" s="14">
        <f>IF(COUNT(L6:L17)=0,"",IF(AND(ISNUMBER(C6),ISNUMBER(L6),L6&gt;C6),1,0)+IF(AND(ISNUMBER(C7),ISNUMBER(L7),L7&gt;C7),1,0)+IF(AND(ISNUMBER(C8),ISNUMBER(L8),L8&gt;C8),1,0)+IF(AND(ISNUMBER(C9),ISNUMBER(L9),L9&gt;C9),1,0)+IF(AND(ISNUMBER(C10),ISNUMBER(L10),L10&gt;C10),1,0)+IF(AND(ISNUMBER(C11),ISNUMBER(L11),L11&gt;C11),1,0)+IF(AND(ISNUMBER(C12),ISNUMBER(L12),L12&gt;C12),1,0)+IF(AND(ISNUMBER(C13),ISNUMBER(L13),L13&gt;C13),1,0)+IF(AND(ISNUMBER(C14),ISNUMBER(L14),L14&gt;C14),1,0)+IF(AND(ISNUMBER(C15),ISNUMBER(L15),L15&gt;C15),1,0)+IF(AND(ISNUMBER(C16),ISNUMBER(L16),L16&gt;C16),1,0)+IF(AND(ISNUMBER(C17),ISNUMBER(L17),L17&gt;C17),1,0))</f>
        <v/>
      </c>
      <c r="I20" s="13" t="inlineStr">
        <is>
          <t>진척률(누계 실시 ÷ 계획)</t>
        </is>
      </c>
      <c r="J20" s="6" t="n"/>
      <c r="K20" s="6" t="n"/>
      <c r="L20" s="15">
        <f>IF(OR(C19="",L19=""),"",IF(C19=0,"",L19/C19))</f>
        <v/>
      </c>
      <c r="M20" s="6" t="n"/>
      <c r="N20" s="6" t="n"/>
      <c r="O20" s="6" t="n"/>
    </row>
    <row r="21" ht="24" customHeight="1">
      <c r="A21" s="13" t="inlineStr">
        <is>
          <t>맞춰 보기</t>
        </is>
      </c>
      <c r="B21" s="6" t="n"/>
      <c r="C21" s="6" t="n"/>
      <c r="D21" s="16">
        <f>IF(D20="","",IF(D20+H20=0,"✔ 합격 + 불합격 = 실시 · 누계 실시 ≤ 계획",IF(D20&gt;0,"합격 + 불합격 ≠ 실시인 칸 "&amp;D20&amp;"곳","")&amp;IF(H20&gt;0,IF(D20&gt;0," · ","")&amp;"누계 실시가 계획보다 많은 줄 "&amp;H20&amp;"개(계획 보완)","")))</f>
        <v/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3" ht="34" customHeight="1">
      <c r="A23" s="17" t="inlineStr">
        <is>
          <t>하늘색 칸 = 자동(누계 = 전월까지 + 금월 · 합계 · 진척률 · 맞춰 보기 — 합계 아래는 인쇄되지 않음). 실시 칸이 빨간 글씨면 합격 + 불합격이 실시와 다른 칸입니다.</t>
        </is>
      </c>
    </row>
    <row r="24" ht="19.5" customHeight="1">
      <c r="A24" s="17" t="inlineStr">
        <is>
          <t>다음 달에는 이번 «누계» 숫자를 «전월까지»에 옮겨 적고, «금월»만 새로 적으면 됩니다.</t>
        </is>
      </c>
    </row>
    <row r="25" ht="19.5" customHeight="1">
      <c r="A25" s="17" t="inlineStr">
        <is>
          <t>매월 말(또는 기성부분 검사 · 예비준공검사 신청 때) 공사감독자 · 건설사업관리기술인에게 냅니다(업무수행지침).</t>
        </is>
      </c>
    </row>
  </sheetData>
  <mergeCells count="20">
    <mergeCell ref="A25:O25"/>
    <mergeCell ref="C4:C5"/>
    <mergeCell ref="H1:O1"/>
    <mergeCell ref="A21:C21"/>
    <mergeCell ref="A3:O3"/>
    <mergeCell ref="A2:O2"/>
    <mergeCell ref="A23:O23"/>
    <mergeCell ref="I20:K20"/>
    <mergeCell ref="A20:C20"/>
    <mergeCell ref="H4:K4"/>
    <mergeCell ref="A1:G1"/>
    <mergeCell ref="A4:A5"/>
    <mergeCell ref="A24:O24"/>
    <mergeCell ref="B4:B5"/>
    <mergeCell ref="A19:B19"/>
    <mergeCell ref="L4:O4"/>
    <mergeCell ref="L20:O20"/>
    <mergeCell ref="D21:O21"/>
    <mergeCell ref="E20:G20"/>
    <mergeCell ref="D4:G4"/>
  </mergeCells>
  <conditionalFormatting sqref="D6:D17">
    <cfRule type="expression" priority="1" dxfId="0">
      <formula>AND(ISNUMBER(D6),COUNT(E6,F6)&gt;0,N(E6)+N(F6)&lt;&gt;D6)</formula>
    </cfRule>
  </conditionalFormatting>
  <conditionalFormatting sqref="H6:H17">
    <cfRule type="expression" priority="2" dxfId="0">
      <formula>AND(ISNUMBER(H6),COUNT(I6,J6)&gt;0,N(I6)+N(J6)&lt;&gt;H6)</formula>
    </cfRule>
  </conditionalFormatting>
  <conditionalFormatting sqref="L6:L17">
    <cfRule type="expression" priority="3" dxfId="0">
      <formula>AND(ISNUMBER(L6),COUNT(M6,N6)&gt;0,N(M6)+N(N6)&lt;&gt;L6)</formula>
    </cfRule>
  </conditionalFormatting>
  <printOptions horizontalCentered="1"/>
  <pageMargins left="0.45" right="0.45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O2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8.4" customWidth="1" min="3" max="3"/>
    <col width="6.9" customWidth="1" min="4" max="4"/>
    <col width="6.9" customWidth="1" min="5" max="5"/>
    <col width="6.9" customWidth="1" min="6" max="6"/>
    <col width="6.9" customWidth="1" min="7" max="7"/>
    <col width="6.9" customWidth="1" min="8" max="8"/>
    <col width="6.9" customWidth="1" min="9" max="9"/>
    <col width="6.9" customWidth="1" min="10" max="10"/>
    <col width="6.9" customWidth="1" min="11" max="11"/>
    <col width="6.9" customWidth="1" min="12" max="12"/>
    <col width="6.9" customWidth="1" min="13" max="13"/>
    <col width="6.9" customWidth="1" min="14" max="14"/>
    <col width="6.9" customWidth="1" min="15" max="15"/>
  </cols>
  <sheetData>
    <row r="1" ht="20" customHeight="1">
      <c r="A1" s="1" t="inlineStr">
        <is>
          <t xml:space="preserve">  K-건설맵  |  k-conmap.com  무료 건설 서식</t>
        </is>
      </c>
      <c r="H1" s="18" t="inlineStr">
        <is>
          <t xml:space="preserve">작성 예시 (가상의 현장)  </t>
        </is>
      </c>
    </row>
    <row r="2" ht="18" customHeight="1">
      <c r="A2" s="3" t="inlineStr">
        <is>
          <t>[별지 제18호 서식]</t>
        </is>
      </c>
    </row>
    <row r="3" ht="40" customHeight="1">
      <c r="A3" s="4" t="inlineStr">
        <is>
          <t>품질시험ㆍ검사실적 보고서</t>
        </is>
      </c>
    </row>
    <row r="4" ht="24" customHeight="1">
      <c r="A4" s="5" t="inlineStr">
        <is>
          <t>공  종</t>
        </is>
      </c>
      <c r="B4" s="5" t="inlineStr">
        <is>
          <t>시험ㆍ검사
종  목</t>
        </is>
      </c>
      <c r="C4" s="5" t="inlineStr">
        <is>
          <t>계획시험
ㆍ
검사회수</t>
        </is>
      </c>
      <c r="D4" s="5" t="inlineStr">
        <is>
          <t>전월까지 시험ㆍ검사회수</t>
        </is>
      </c>
      <c r="E4" s="6" t="n"/>
      <c r="F4" s="6" t="n"/>
      <c r="G4" s="6" t="n"/>
      <c r="H4" s="5" t="inlineStr">
        <is>
          <t>금월 시험ㆍ검사회수</t>
        </is>
      </c>
      <c r="I4" s="6" t="n"/>
      <c r="J4" s="6" t="n"/>
      <c r="K4" s="6" t="n"/>
      <c r="L4" s="5" t="inlineStr">
        <is>
          <t>누계 시험ㆍ검사회수</t>
        </is>
      </c>
      <c r="M4" s="6" t="n"/>
      <c r="N4" s="6" t="n"/>
      <c r="O4" s="6" t="n"/>
    </row>
    <row r="5" ht="24" customHeight="1">
      <c r="A5" s="6" t="n"/>
      <c r="B5" s="6" t="n"/>
      <c r="C5" s="6" t="n"/>
      <c r="D5" s="5" t="inlineStr">
        <is>
          <t>실  시</t>
        </is>
      </c>
      <c r="E5" s="5" t="inlineStr">
        <is>
          <t>합  격</t>
        </is>
      </c>
      <c r="F5" s="5" t="inlineStr">
        <is>
          <t>불합격</t>
        </is>
      </c>
      <c r="G5" s="5" t="inlineStr">
        <is>
          <t>재시험</t>
        </is>
      </c>
      <c r="H5" s="5" t="inlineStr">
        <is>
          <t>실  시</t>
        </is>
      </c>
      <c r="I5" s="5" t="inlineStr">
        <is>
          <t>합  격</t>
        </is>
      </c>
      <c r="J5" s="5" t="inlineStr">
        <is>
          <t>불합격</t>
        </is>
      </c>
      <c r="K5" s="5" t="inlineStr">
        <is>
          <t>재시험</t>
        </is>
      </c>
      <c r="L5" s="5" t="inlineStr">
        <is>
          <t>실  시</t>
        </is>
      </c>
      <c r="M5" s="5" t="inlineStr">
        <is>
          <t>합  격</t>
        </is>
      </c>
      <c r="N5" s="5" t="inlineStr">
        <is>
          <t>불합격</t>
        </is>
      </c>
      <c r="O5" s="5" t="inlineStr">
        <is>
          <t>재시험</t>
        </is>
      </c>
    </row>
    <row r="6" ht="30" customHeight="1">
      <c r="A6" s="7" t="inlineStr">
        <is>
          <t>토공</t>
        </is>
      </c>
      <c r="B6" s="8" t="inlineStr">
        <is>
          <t>성토 다짐도
(현장밀도)</t>
        </is>
      </c>
      <c r="C6" s="9" t="n">
        <v>40</v>
      </c>
      <c r="D6" s="9" t="n">
        <v>20</v>
      </c>
      <c r="E6" s="9" t="n">
        <v>19</v>
      </c>
      <c r="F6" s="9" t="n">
        <v>1</v>
      </c>
      <c r="G6" s="9" t="n">
        <v>1</v>
      </c>
      <c r="H6" s="9" t="n">
        <v>4</v>
      </c>
      <c r="I6" s="9" t="n">
        <v>4</v>
      </c>
      <c r="J6" s="9" t="n">
        <v>0</v>
      </c>
      <c r="K6" s="9" t="n">
        <v>0</v>
      </c>
      <c r="L6" s="10">
        <f>IF(AND(D6="",H6=""),"",N(D6)+N(H6))</f>
        <v/>
      </c>
      <c r="M6" s="10">
        <f>IF(AND(E6="",I6=""),"",N(E6)+N(I6))</f>
        <v/>
      </c>
      <c r="N6" s="10">
        <f>IF(AND(F6="",J6=""),"",N(F6)+N(J6))</f>
        <v/>
      </c>
      <c r="O6" s="10">
        <f>IF(AND(G6="",K6=""),"",N(G6)+N(K6))</f>
        <v/>
      </c>
    </row>
    <row r="7" ht="30" customHeight="1">
      <c r="A7" s="7" t="inlineStr">
        <is>
          <t>토공</t>
        </is>
      </c>
      <c r="B7" s="8" t="inlineStr">
        <is>
          <t>흙의 다짐시험(실내)</t>
        </is>
      </c>
      <c r="C7" s="9" t="n">
        <v>4</v>
      </c>
      <c r="D7" s="9" t="n">
        <v>2</v>
      </c>
      <c r="E7" s="9" t="n">
        <v>2</v>
      </c>
      <c r="F7" s="9" t="n">
        <v>0</v>
      </c>
      <c r="G7" s="9" t="n">
        <v>0</v>
      </c>
      <c r="H7" s="9" t="n">
        <v>1</v>
      </c>
      <c r="I7" s="9" t="n">
        <v>1</v>
      </c>
      <c r="J7" s="9" t="n">
        <v>0</v>
      </c>
      <c r="K7" s="9" t="n">
        <v>0</v>
      </c>
      <c r="L7" s="10">
        <f>IF(AND(D7="",H7=""),"",N(D7)+N(H7))</f>
        <v/>
      </c>
      <c r="M7" s="10">
        <f>IF(AND(E7="",I7=""),"",N(E7)+N(I7))</f>
        <v/>
      </c>
      <c r="N7" s="10">
        <f>IF(AND(F7="",J7=""),"",N(F7)+N(J7))</f>
        <v/>
      </c>
      <c r="O7" s="10">
        <f>IF(AND(G7="",K7=""),"",N(G7)+N(K7))</f>
        <v/>
      </c>
    </row>
    <row r="8" ht="30" customHeight="1">
      <c r="A8" s="7" t="inlineStr">
        <is>
          <t>포장공</t>
        </is>
      </c>
      <c r="B8" s="8" t="inlineStr">
        <is>
          <t>보조기층 다짐도</t>
        </is>
      </c>
      <c r="C8" s="9" t="n">
        <v>12</v>
      </c>
      <c r="D8" s="9" t="n">
        <v>4</v>
      </c>
      <c r="E8" s="9" t="n">
        <v>4</v>
      </c>
      <c r="F8" s="9" t="n">
        <v>0</v>
      </c>
      <c r="G8" s="9" t="n">
        <v>0</v>
      </c>
      <c r="H8" s="9" t="n">
        <v>2</v>
      </c>
      <c r="I8" s="9" t="n">
        <v>2</v>
      </c>
      <c r="J8" s="9" t="n">
        <v>0</v>
      </c>
      <c r="K8" s="9" t="n">
        <v>0</v>
      </c>
      <c r="L8" s="10">
        <f>IF(AND(D8="",H8=""),"",N(D8)+N(H8))</f>
        <v/>
      </c>
      <c r="M8" s="10">
        <f>IF(AND(E8="",I8=""),"",N(E8)+N(I8))</f>
        <v/>
      </c>
      <c r="N8" s="10">
        <f>IF(AND(F8="",J8=""),"",N(F8)+N(J8))</f>
        <v/>
      </c>
      <c r="O8" s="10">
        <f>IF(AND(G8="",K8=""),"",N(G8)+N(K8))</f>
        <v/>
      </c>
    </row>
    <row r="9" ht="30" customHeight="1">
      <c r="A9" s="7" t="inlineStr">
        <is>
          <t>구조물공</t>
        </is>
      </c>
      <c r="B9" s="8" t="inlineStr">
        <is>
          <t>레미콘 슬럼프 · 공기량
· 염화물</t>
        </is>
      </c>
      <c r="C9" s="9" t="n">
        <v>30</v>
      </c>
      <c r="D9" s="9" t="n">
        <v>14</v>
      </c>
      <c r="E9" s="9" t="n">
        <v>14</v>
      </c>
      <c r="F9" s="9" t="n">
        <v>0</v>
      </c>
      <c r="G9" s="9" t="n">
        <v>0</v>
      </c>
      <c r="H9" s="9" t="n">
        <v>4</v>
      </c>
      <c r="I9" s="9" t="n">
        <v>4</v>
      </c>
      <c r="J9" s="9" t="n">
        <v>0</v>
      </c>
      <c r="K9" s="9" t="n">
        <v>0</v>
      </c>
      <c r="L9" s="10">
        <f>IF(AND(D9="",H9=""),"",N(D9)+N(H9))</f>
        <v/>
      </c>
      <c r="M9" s="10">
        <f>IF(AND(E9="",I9=""),"",N(E9)+N(I9))</f>
        <v/>
      </c>
      <c r="N9" s="10">
        <f>IF(AND(F9="",J9=""),"",N(F9)+N(J9))</f>
        <v/>
      </c>
      <c r="O9" s="10">
        <f>IF(AND(G9="",K9=""),"",N(G9)+N(K9))</f>
        <v/>
      </c>
    </row>
    <row r="10" ht="30" customHeight="1">
      <c r="A10" s="7" t="inlineStr">
        <is>
          <t>구조물공</t>
        </is>
      </c>
      <c r="B10" s="8" t="inlineStr">
        <is>
          <t>레미콘 압축강도</t>
        </is>
      </c>
      <c r="C10" s="9" t="n">
        <v>30</v>
      </c>
      <c r="D10" s="9" t="n">
        <v>12</v>
      </c>
      <c r="E10" s="9" t="n">
        <v>12</v>
      </c>
      <c r="F10" s="9" t="n">
        <v>0</v>
      </c>
      <c r="G10" s="9" t="n">
        <v>0</v>
      </c>
      <c r="H10" s="9" t="n">
        <v>3</v>
      </c>
      <c r="I10" s="9" t="n">
        <v>3</v>
      </c>
      <c r="J10" s="9" t="n">
        <v>0</v>
      </c>
      <c r="K10" s="9" t="n">
        <v>0</v>
      </c>
      <c r="L10" s="10">
        <f>IF(AND(D10="",H10=""),"",N(D10)+N(H10))</f>
        <v/>
      </c>
      <c r="M10" s="10">
        <f>IF(AND(E10="",I10=""),"",N(E10)+N(I10))</f>
        <v/>
      </c>
      <c r="N10" s="10">
        <f>IF(AND(F10="",J10=""),"",N(F10)+N(J10))</f>
        <v/>
      </c>
      <c r="O10" s="10">
        <f>IF(AND(G10="",K10=""),"",N(G10)+N(K10))</f>
        <v/>
      </c>
    </row>
    <row r="11" ht="30" customHeight="1">
      <c r="A11" s="7" t="inlineStr">
        <is>
          <t>구조물공</t>
        </is>
      </c>
      <c r="B11" s="8" t="inlineStr">
        <is>
          <t>철근 인장 · 굽힘</t>
        </is>
      </c>
      <c r="C11" s="9" t="n">
        <v>3</v>
      </c>
      <c r="D11" s="9" t="n">
        <v>2</v>
      </c>
      <c r="E11" s="9" t="n">
        <v>2</v>
      </c>
      <c r="F11" s="9" t="n">
        <v>0</v>
      </c>
      <c r="G11" s="9" t="n">
        <v>0</v>
      </c>
      <c r="H11" s="9" t="n"/>
      <c r="I11" s="9" t="n"/>
      <c r="J11" s="9" t="n"/>
      <c r="K11" s="9" t="n"/>
      <c r="L11" s="10">
        <f>IF(AND(D11="",H11=""),"",N(D11)+N(H11))</f>
        <v/>
      </c>
      <c r="M11" s="10">
        <f>IF(AND(E11="",I11=""),"",N(E11)+N(I11))</f>
        <v/>
      </c>
      <c r="N11" s="10">
        <f>IF(AND(F11="",J11=""),"",N(F11)+N(J11))</f>
        <v/>
      </c>
      <c r="O11" s="10">
        <f>IF(AND(G11="",K11=""),"",N(G11)+N(K11))</f>
        <v/>
      </c>
    </row>
    <row r="12" ht="30" customHeight="1">
      <c r="A12" s="7" t="inlineStr">
        <is>
          <t>배수공</t>
        </is>
      </c>
      <c r="B12" s="8" t="inlineStr">
        <is>
          <t>PE관 외관 · 치수</t>
        </is>
      </c>
      <c r="C12" s="9" t="n">
        <v>6</v>
      </c>
      <c r="D12" s="9" t="n">
        <v>3</v>
      </c>
      <c r="E12" s="9" t="n">
        <v>3</v>
      </c>
      <c r="F12" s="9" t="n">
        <v>0</v>
      </c>
      <c r="G12" s="9" t="n">
        <v>0</v>
      </c>
      <c r="H12" s="9" t="n">
        <v>1</v>
      </c>
      <c r="I12" s="9" t="n">
        <v>1</v>
      </c>
      <c r="J12" s="9" t="n">
        <v>0</v>
      </c>
      <c r="K12" s="9" t="n">
        <v>0</v>
      </c>
      <c r="L12" s="10">
        <f>IF(AND(D12="",H12=""),"",N(D12)+N(H12))</f>
        <v/>
      </c>
      <c r="M12" s="10">
        <f>IF(AND(E12="",I12=""),"",N(E12)+N(I12))</f>
        <v/>
      </c>
      <c r="N12" s="10">
        <f>IF(AND(F12="",J12=""),"",N(F12)+N(J12))</f>
        <v/>
      </c>
      <c r="O12" s="10">
        <f>IF(AND(G12="",K12=""),"",N(G12)+N(K12))</f>
        <v/>
      </c>
    </row>
    <row r="13" ht="30" customHeight="1">
      <c r="A13" s="7" t="n"/>
      <c r="B13" s="8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IF(AND(D13="",H13=""),"",N(D13)+N(H13))</f>
        <v/>
      </c>
      <c r="M13" s="10">
        <f>IF(AND(E13="",I13=""),"",N(E13)+N(I13))</f>
        <v/>
      </c>
      <c r="N13" s="10">
        <f>IF(AND(F13="",J13=""),"",N(F13)+N(J13))</f>
        <v/>
      </c>
      <c r="O13" s="10">
        <f>IF(AND(G13="",K13=""),"",N(G13)+N(K13))</f>
        <v/>
      </c>
    </row>
    <row r="14" ht="30" customHeight="1">
      <c r="A14" s="7" t="n"/>
      <c r="B14" s="8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IF(AND(D14="",H14=""),"",N(D14)+N(H14))</f>
        <v/>
      </c>
      <c r="M14" s="10">
        <f>IF(AND(E14="",I14=""),"",N(E14)+N(I14))</f>
        <v/>
      </c>
      <c r="N14" s="10">
        <f>IF(AND(F14="",J14=""),"",N(F14)+N(J14))</f>
        <v/>
      </c>
      <c r="O14" s="10">
        <f>IF(AND(G14="",K14=""),"",N(G14)+N(K14))</f>
        <v/>
      </c>
    </row>
    <row r="15" ht="30" customHeight="1">
      <c r="A15" s="7" t="n"/>
      <c r="B15" s="8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IF(AND(D15="",H15=""),"",N(D15)+N(H15))</f>
        <v/>
      </c>
      <c r="M15" s="10">
        <f>IF(AND(E15="",I15=""),"",N(E15)+N(I15))</f>
        <v/>
      </c>
      <c r="N15" s="10">
        <f>IF(AND(F15="",J15=""),"",N(F15)+N(J15))</f>
        <v/>
      </c>
      <c r="O15" s="10">
        <f>IF(AND(G15="",K15=""),"",N(G15)+N(K15))</f>
        <v/>
      </c>
    </row>
    <row r="16" ht="30" customHeight="1">
      <c r="A16" s="7" t="n"/>
      <c r="B16" s="8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IF(AND(D16="",H16=""),"",N(D16)+N(H16))</f>
        <v/>
      </c>
      <c r="M16" s="10">
        <f>IF(AND(E16="",I16=""),"",N(E16)+N(I16))</f>
        <v/>
      </c>
      <c r="N16" s="10">
        <f>IF(AND(F16="",J16=""),"",N(F16)+N(J16))</f>
        <v/>
      </c>
      <c r="O16" s="10">
        <f>IF(AND(G16="",K16=""),"",N(G16)+N(K16))</f>
        <v/>
      </c>
    </row>
    <row r="17" ht="30" customHeight="1">
      <c r="A17" s="7" t="n"/>
      <c r="B17" s="8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IF(AND(D17="",H17=""),"",N(D17)+N(H17))</f>
        <v/>
      </c>
      <c r="M17" s="10">
        <f>IF(AND(E17="",I17=""),"",N(E17)+N(I17))</f>
        <v/>
      </c>
      <c r="N17" s="10">
        <f>IF(AND(F17="",J17=""),"",N(F17)+N(J17))</f>
        <v/>
      </c>
      <c r="O17" s="10">
        <f>IF(AND(G17="",K17=""),"",N(G17)+N(K17))</f>
        <v/>
      </c>
    </row>
    <row r="18" ht="8" customHeight="1"/>
    <row r="19" ht="24" customHeight="1">
      <c r="A19" s="11" t="inlineStr">
        <is>
          <t>합계 (인쇄 안 됨)</t>
        </is>
      </c>
      <c r="B19" s="6" t="n"/>
      <c r="C19" s="12">
        <f>IF(COUNT(C6:C17)=0,"",SUM(C6:C17))</f>
        <v/>
      </c>
      <c r="D19" s="12">
        <f>IF(COUNT(D6:D17)=0,"",SUM(D6:D17))</f>
        <v/>
      </c>
      <c r="E19" s="12">
        <f>IF(COUNT(E6:E17)=0,"",SUM(E6:E17))</f>
        <v/>
      </c>
      <c r="F19" s="12">
        <f>IF(COUNT(F6:F17)=0,"",SUM(F6:F17))</f>
        <v/>
      </c>
      <c r="G19" s="12">
        <f>IF(COUNT(G6:G17)=0,"",SUM(G6:G17))</f>
        <v/>
      </c>
      <c r="H19" s="12">
        <f>IF(COUNT(H6:H17)=0,"",SUM(H6:H17))</f>
        <v/>
      </c>
      <c r="I19" s="12">
        <f>IF(COUNT(I6:I17)=0,"",SUM(I6:I17))</f>
        <v/>
      </c>
      <c r="J19" s="12">
        <f>IF(COUNT(J6:J17)=0,"",SUM(J6:J17))</f>
        <v/>
      </c>
      <c r="K19" s="12">
        <f>IF(COUNT(K6:K17)=0,"",SUM(K6:K17))</f>
        <v/>
      </c>
      <c r="L19" s="12">
        <f>IF(COUNT(L6:L17)=0,"",SUM(L6:L17))</f>
        <v/>
      </c>
      <c r="M19" s="12">
        <f>IF(COUNT(M6:M17)=0,"",SUM(M6:M17))</f>
        <v/>
      </c>
      <c r="N19" s="12">
        <f>IF(COUNT(N6:N17)=0,"",SUM(N6:N17))</f>
        <v/>
      </c>
      <c r="O19" s="12">
        <f>IF(COUNT(O6:O17)=0,"",SUM(O6:O17))</f>
        <v/>
      </c>
    </row>
    <row r="20" ht="24" customHeight="1">
      <c r="A20" s="13" t="inlineStr">
        <is>
          <t>합격 + 불합격 ≠ 실시인 칸</t>
        </is>
      </c>
      <c r="B20" s="6" t="n"/>
      <c r="C20" s="6" t="n"/>
      <c r="D20" s="14">
        <f>IF(COUNT(L6:L17)=0,"",IF(AND(ISNUMBER(D6),COUNT(E6,F6)&gt;0,N(E6)+N(F6)&lt;&gt;D6),1,0)+IF(AND(ISNUMBER(D7),COUNT(E7,F7)&gt;0,N(E7)+N(F7)&lt;&gt;D7),1,0)+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+IF(AND(ISNUMBER(H6),COUNT(I6,J6)&gt;0,N(I6)+N(J6)&lt;&gt;H6),1,0)+IF(AND(ISNUMBER(H7),COUNT(I7,J7)&gt;0,N(I7)+N(J7)&lt;&gt;H7),1,0)+IF(AND(ISNUMBER(H8),COUNT(I8,J8)&gt;0,N(I8)+N(J8)&lt;&gt;H8),1,0)+IF(AND(ISNUMBER(H9),COUNT(I9,J9)&gt;0,N(I9)+N(J9)&lt;&gt;H9),1,0)+IF(AND(ISNUMBER(H10),COUNT(I10,J10)&gt;0,N(I10)+N(J10)&lt;&gt;H10),1,0)+IF(AND(ISNUMBER(H11),COUNT(I11,J11)&gt;0,N(I11)+N(J11)&lt;&gt;H11),1,0)+IF(AND(ISNUMBER(H12),COUNT(I12,J12)&gt;0,N(I12)+N(J12)&lt;&gt;H12),1,0)+IF(AND(ISNUMBER(H13),COUNT(I13,J13)&gt;0,N(I13)+N(J13)&lt;&gt;H13),1,0)+IF(AND(ISNUMBER(H14),COUNT(I14,J14)&gt;0,N(I14)+N(J14)&lt;&gt;H14),1,0)+IF(AND(ISNUMBER(H15),COUNT(I15,J15)&gt;0,N(I15)+N(J15)&lt;&gt;H15),1,0)+IF(AND(ISNUMBER(H16),COUNT(I16,J16)&gt;0,N(I16)+N(J16)&lt;&gt;H16),1,0)+IF(AND(ISNUMBER(H17),COUNT(I17,J17)&gt;0,N(I17)+N(J17)&lt;&gt;H17),1,0)+IF(AND(ISNUMBER(L6),COUNT(M6,N6)&gt;0,N(M6)+N(N6)&lt;&gt;L6),1,0)+IF(AND(ISNUMBER(L7),COUNT(M7,N7)&gt;0,N(M7)+N(N7)&lt;&gt;L7),1,0)+IF(AND(ISNUMBER(L8),COUNT(M8,N8)&gt;0,N(M8)+N(N8)&lt;&gt;L8),1,0)+IF(AND(ISNUMBER(L9),COUNT(M9,N9)&gt;0,N(M9)+N(N9)&lt;&gt;L9),1,0)+IF(AND(ISNUMBER(L10),COUNT(M10,N10)&gt;0,N(M10)+N(N10)&lt;&gt;L10),1,0)+IF(AND(ISNUMBER(L11),COUNT(M11,N11)&gt;0,N(M11)+N(N11)&lt;&gt;L11),1,0)+IF(AND(ISNUMBER(L12),COUNT(M12,N12)&gt;0,N(M12)+N(N12)&lt;&gt;L12),1,0)+IF(AND(ISNUMBER(L13),COUNT(M13,N13)&gt;0,N(M13)+N(N13)&lt;&gt;L13),1,0)+IF(AND(ISNUMBER(L14),COUNT(M14,N14)&gt;0,N(M14)+N(N14)&lt;&gt;L14),1,0)+IF(AND(ISNUMBER(L15),COUNT(M15,N15)&gt;0,N(M15)+N(N15)&lt;&gt;L15),1,0)+IF(AND(ISNUMBER(L16),COUNT(M16,N16)&gt;0,N(M16)+N(N16)&lt;&gt;L16),1,0)+IF(AND(ISNUMBER(L17),COUNT(M17,N17)&gt;0,N(M17)+N(N17)&lt;&gt;L17),1,0))</f>
        <v/>
      </c>
      <c r="E20" s="13" t="inlineStr">
        <is>
          <t>누계 실시 &gt; 계획인 줄</t>
        </is>
      </c>
      <c r="F20" s="6" t="n"/>
      <c r="G20" s="6" t="n"/>
      <c r="H20" s="14">
        <f>IF(COUNT(L6:L17)=0,"",IF(AND(ISNUMBER(C6),ISNUMBER(L6),L6&gt;C6),1,0)+IF(AND(ISNUMBER(C7),ISNUMBER(L7),L7&gt;C7),1,0)+IF(AND(ISNUMBER(C8),ISNUMBER(L8),L8&gt;C8),1,0)+IF(AND(ISNUMBER(C9),ISNUMBER(L9),L9&gt;C9),1,0)+IF(AND(ISNUMBER(C10),ISNUMBER(L10),L10&gt;C10),1,0)+IF(AND(ISNUMBER(C11),ISNUMBER(L11),L11&gt;C11),1,0)+IF(AND(ISNUMBER(C12),ISNUMBER(L12),L12&gt;C12),1,0)+IF(AND(ISNUMBER(C13),ISNUMBER(L13),L13&gt;C13),1,0)+IF(AND(ISNUMBER(C14),ISNUMBER(L14),L14&gt;C14),1,0)+IF(AND(ISNUMBER(C15),ISNUMBER(L15),L15&gt;C15),1,0)+IF(AND(ISNUMBER(C16),ISNUMBER(L16),L16&gt;C16),1,0)+IF(AND(ISNUMBER(C17),ISNUMBER(L17),L17&gt;C17),1,0))</f>
        <v/>
      </c>
      <c r="I20" s="13" t="inlineStr">
        <is>
          <t>진척률(누계 실시 ÷ 계획)</t>
        </is>
      </c>
      <c r="J20" s="6" t="n"/>
      <c r="K20" s="6" t="n"/>
      <c r="L20" s="15">
        <f>IF(OR(C19="",L19=""),"",IF(C19=0,"",L19/C19))</f>
        <v/>
      </c>
      <c r="M20" s="6" t="n"/>
      <c r="N20" s="6" t="n"/>
      <c r="O20" s="6" t="n"/>
    </row>
    <row r="21" ht="24" customHeight="1">
      <c r="A21" s="13" t="inlineStr">
        <is>
          <t>맞춰 보기</t>
        </is>
      </c>
      <c r="B21" s="6" t="n"/>
      <c r="C21" s="6" t="n"/>
      <c r="D21" s="16">
        <f>IF(D20="","",IF(D20+H20=0,"✔ 합격 + 불합격 = 실시 · 누계 실시 ≤ 계획",IF(D20&gt;0,"합격 + 불합격 ≠ 실시인 칸 "&amp;D20&amp;"곳","")&amp;IF(H20&gt;0,IF(D20&gt;0," · ","")&amp;"누계 실시가 계획보다 많은 줄 "&amp;H20&amp;"개(계획 보완)","")))</f>
        <v/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3" ht="19.5" customHeight="1">
      <c r="A23" s="17" t="inlineStr">
        <is>
          <t>이 시트는 작성 예시입니다(가상의 공사).</t>
        </is>
      </c>
    </row>
  </sheetData>
  <mergeCells count="18">
    <mergeCell ref="H4:K4"/>
    <mergeCell ref="A1:G1"/>
    <mergeCell ref="A2:O2"/>
    <mergeCell ref="B4:B5"/>
    <mergeCell ref="C4:C5"/>
    <mergeCell ref="A4:A5"/>
    <mergeCell ref="A19:B19"/>
    <mergeCell ref="H1:O1"/>
    <mergeCell ref="L4:O4"/>
    <mergeCell ref="A23:O23"/>
    <mergeCell ref="L20:O20"/>
    <mergeCell ref="E20:G20"/>
    <mergeCell ref="A21:C21"/>
    <mergeCell ref="I20:K20"/>
    <mergeCell ref="D21:O21"/>
    <mergeCell ref="A20:C20"/>
    <mergeCell ref="A3:O3"/>
    <mergeCell ref="D4:G4"/>
  </mergeCells>
  <conditionalFormatting sqref="D6:D17">
    <cfRule type="expression" priority="1" dxfId="0">
      <formula>AND(ISNUMBER(D6),COUNT(E6,F6)&gt;0,N(E6)+N(F6)&lt;&gt;D6)</formula>
    </cfRule>
  </conditionalFormatting>
  <conditionalFormatting sqref="H6:H17">
    <cfRule type="expression" priority="2" dxfId="0">
      <formula>AND(ISNUMBER(H6),COUNT(I6,J6)&gt;0,N(I6)+N(J6)&lt;&gt;H6)</formula>
    </cfRule>
  </conditionalFormatting>
  <conditionalFormatting sqref="L6:L17">
    <cfRule type="expression" priority="3" dxfId="0">
      <formula>AND(ISNUMBER(L6),COUNT(M6,N6)&gt;0,N(M6)+N(N6)&lt;&gt;L6)</formula>
    </cfRule>
  </conditionalFormatting>
  <printOptions horizontalCentered="1"/>
  <pageMargins left="0.45" right="0.4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품질시험ㆍ검사실적 보고서</dc:title>
  <dcterms:created xmlns:dcterms="http://purl.org/dc/terms/" xmlns:xsi="http://www.w3.org/2001/XMLSchema-instance" xsi:type="dcterms:W3CDTF">2026-10-06T23:49:53Z</dcterms:created>
  <dcterms:modified xmlns:dcterms="http://purl.org/dc/terms/" xmlns:xsi="http://www.w3.org/2001/XMLSchema-instance" xsi:type="dcterms:W3CDTF">2026-10-06T23:49:53Z</dcterms:modified>
</cp:coreProperties>
</file>