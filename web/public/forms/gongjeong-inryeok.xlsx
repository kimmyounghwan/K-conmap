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정공정표(변경)" sheetId="1" state="visible" r:id="rId1"/>
    <sheet xmlns:r="http://schemas.openxmlformats.org/officeDocument/2006/relationships" name="동원인력계획표(변경)" sheetId="2" state="visible" r:id="rId2"/>
    <sheet xmlns:r="http://schemas.openxmlformats.org/officeDocument/2006/relationships" name="장비투입계획서(변경)" sheetId="3" state="visible" r:id="rId3"/>
    <sheet xmlns:r="http://schemas.openxmlformats.org/officeDocument/2006/relationships" name="예시-예정공정표(변경)" sheetId="4" state="visible" r:id="rId4"/>
    <sheet xmlns:r="http://schemas.openxmlformats.org/officeDocument/2006/relationships" name="예시-동원인력계획표(변경)" sheetId="5" state="visible" r:id="rId5"/>
    <sheet xmlns:r="http://schemas.openxmlformats.org/officeDocument/2006/relationships" name="예시-장비투입계획서(변경)" sheetId="6" state="visible" r:id="rId6"/>
  </sheets>
  <definedNames>
    <definedName name="_xlnm.Print_Area" localSheetId="0">'예정공정표(변경)'!$A$1:$P$33</definedName>
    <definedName name="_xlnm.Print_Area" localSheetId="1">'동원인력계획표(변경)'!$A$1:$P$33</definedName>
    <definedName name="_xlnm.Print_Area" localSheetId="2">'장비투입계획서(변경)'!$A$1:$P$33</definedName>
    <definedName name="_xlnm.Print_Area" localSheetId="3">'예시-예정공정표(변경)'!$A$1:$P$33</definedName>
    <definedName name="_xlnm.Print_Area" localSheetId="4">'예시-동원인력계획표(변경)'!$A$1:$P$33</definedName>
    <definedName name="_xlnm.Print_Area" localSheetId="5">'예시-장비투입계획서(변경)'!$A$1:$P$33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;[Red]-#,##0.#;&quot;&quot;"/>
    <numFmt numFmtId="166" formatCode="yyyy-mm-dd"/>
  </numFmts>
  <fonts count="15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9"/>
    </font>
    <font>
      <name val="맑은 고딕"/>
      <color rgb="001F2937"/>
      <sz val="7"/>
    </font>
    <font>
      <name val="맑은 고딕"/>
      <color rgb="00000000"/>
      <sz val="9.5"/>
    </font>
    <font>
      <name val="맑은 고딕"/>
      <color rgb="001F2937"/>
      <sz val="8.5"/>
    </font>
    <font>
      <name val="맑은 고딕"/>
      <color rgb="00000000"/>
      <sz val="9"/>
    </font>
    <font>
      <name val="맑은 고딕"/>
      <color rgb="00000000"/>
      <sz val="8"/>
    </font>
    <font>
      <name val="맑은 고딕"/>
      <color rgb="00DC2626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shrinkToFit="1"/>
    </xf>
    <xf numFmtId="165" fontId="11" fillId="0" borderId="1" applyAlignment="1" pivotButton="0" quotePrefix="0" xfId="0">
      <alignment horizontal="center" vertical="center" shrinkToFit="1"/>
    </xf>
    <xf numFmtId="0" fontId="12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shrinkToFit="1"/>
    </xf>
    <xf numFmtId="0" fontId="13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ill>
        <patternFill patternType="solid">
          <fgColor rgb="00E5E7EB"/>
          <bgColor rgb="00E5E7EB"/>
        </patternFill>
      </fill>
    </dxf>
    <dxf>
      <fill>
        <patternFill patternType="solid">
          <fgColor rgb="00BFD4F2"/>
          <bgColor rgb="00BFD4F2"/>
        </patternFill>
      </fill>
    </dxf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6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예 정 공 정 표  (변 경)</t>
        </is>
      </c>
    </row>
    <row r="3" ht="24" customHeight="1">
      <c r="A3" s="4" t="inlineStr">
        <is>
          <t>공  사  명</t>
        </is>
      </c>
      <c r="B3" s="5" t="n"/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7" t="n"/>
      <c r="L3" s="6" t="n"/>
      <c r="M3" s="6" t="n"/>
      <c r="N3" s="4" t="inlineStr">
        <is>
          <t>준공일</t>
        </is>
      </c>
      <c r="O3" s="7" t="n"/>
      <c r="P3" s="6" t="n"/>
    </row>
    <row r="4" ht="22" customHeight="1">
      <c r="A4" s="4" t="inlineStr">
        <is>
          <t>공 사 기 간</t>
        </is>
      </c>
      <c r="B4" s="8">
        <f>IF(OR(N(K3)=0,N(O3)=0),"",TEXT(K3,"yyyy. m. d.")&amp;" ~ "&amp;TEXT(O3,"yyyy. m. d.")&amp;"  (총 "&amp;TEXT(O3-K3+1,"#,##0")&amp;"일)")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월별
공종</t>
        </is>
      </c>
      <c r="B6" s="6" t="n"/>
      <c r="C6" s="9" t="inlineStr">
        <is>
          <t>보할(%)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IF(N(K3)=0,"",MONTH(K3+0)&amp;"."&amp;DAY(K3+0)&amp;"~"&amp;MONTH(K3+29)&amp;"."&amp;DAY(K3+29))</f>
        <v/>
      </c>
      <c r="E8" s="11">
        <f>IF(N(K3)=0,"",MONTH(K3+30)&amp;"."&amp;DAY(K3+30)&amp;"~"&amp;MONTH(K3+59)&amp;"."&amp;DAY(K3+59))</f>
        <v/>
      </c>
      <c r="F8" s="11">
        <f>IF(N(K3)=0,"",MONTH(K3+60)&amp;"."&amp;DAY(K3+60)&amp;"~"&amp;MONTH(K3+89)&amp;"."&amp;DAY(K3+89))</f>
        <v/>
      </c>
      <c r="G8" s="11">
        <f>IF(N(K3)=0,"",MONTH(K3+90)&amp;"."&amp;DAY(K3+90)&amp;"~"&amp;MONTH(K3+119)&amp;"."&amp;DAY(K3+119))</f>
        <v/>
      </c>
      <c r="H8" s="11">
        <f>IF(N(K3)=0,"",MONTH(K3+120)&amp;"."&amp;DAY(K3+120)&amp;"~"&amp;MONTH(K3+149)&amp;"."&amp;DAY(K3+149))</f>
        <v/>
      </c>
      <c r="I8" s="11">
        <f>IF(N(K3)=0,"",MONTH(K3+150)&amp;"."&amp;DAY(K3+150)&amp;"~"&amp;MONTH(K3+179)&amp;"."&amp;DAY(K3+179))</f>
        <v/>
      </c>
      <c r="J8" s="11">
        <f>IF(N(K3)=0,"",MONTH(K3+180)&amp;"."&amp;DAY(K3+180)&amp;"~"&amp;MONTH(K3+209)&amp;"."&amp;DAY(K3+209))</f>
        <v/>
      </c>
      <c r="K8" s="11">
        <f>IF(N(K3)=0,"",MONTH(K3+210)&amp;"."&amp;DAY(K3+210)&amp;"~"&amp;MONTH(K3+239)&amp;"."&amp;DAY(K3+239))</f>
        <v/>
      </c>
      <c r="L8" s="11">
        <f>IF(N(K3)=0,"",MONTH(K3+240)&amp;"."&amp;DAY(K3+240)&amp;"~"&amp;MONTH(K3+269)&amp;"."&amp;DAY(K3+269))</f>
        <v/>
      </c>
      <c r="M8" s="11">
        <f>IF(N(K3)=0,"",MONTH(K3+270)&amp;"."&amp;DAY(K3+270)&amp;"~"&amp;MONTH(K3+299)&amp;"."&amp;DAY(K3+299))</f>
        <v/>
      </c>
      <c r="N8" s="11">
        <f>IF(N(K3)=0,"",MONTH(K3+300)&amp;"."&amp;DAY(K3+300)&amp;"~"&amp;MONTH(K3+329)&amp;"."&amp;DAY(K3+329))</f>
        <v/>
      </c>
      <c r="O8" s="11">
        <f>IF(N(K3)=0,"",MONTH(K3+330)&amp;"."&amp;DAY(K3+330)&amp;"~"&amp;MONTH(K3+359)&amp;"."&amp;DAY(K3+359))</f>
        <v/>
      </c>
      <c r="P8" s="6" t="n"/>
    </row>
    <row r="9" ht="17" customHeight="1">
      <c r="A9" s="12" t="n"/>
      <c r="B9" s="13" t="inlineStr">
        <is>
          <t>당초</t>
        </is>
      </c>
      <c r="C9" s="14">
        <f>IF(SUM(D9:O9)=0,"",SUM(D9:O9))</f>
        <v/>
      </c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6" t="n"/>
    </row>
    <row r="11" ht="17" customHeight="1">
      <c r="A11" s="12" t="n"/>
      <c r="B11" s="13" t="inlineStr">
        <is>
          <t>당초</t>
        </is>
      </c>
      <c r="C11" s="14">
        <f>IF(SUM(D11:O11)=0,"",SUM(D11:O11))</f>
        <v/>
      </c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n"/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6" t="n"/>
    </row>
    <row r="15" ht="17" customHeight="1">
      <c r="A15" s="12" t="n"/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6" t="n"/>
    </row>
    <row r="17" ht="17" customHeight="1">
      <c r="A17" s="12" t="n"/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19">
        <f>IF(AND(N(C25)&gt;0,ABS(C25-100)&gt;0.001),"⚠ 당초 보할 합계가 "&amp;TEXT(C25,"0.0")&amp;"% — 100%가 되어야 합니다.  ","")&amp;IF(AND(N(C26)&gt;0,ABS(C26-100)&gt;0.001),"⚠ 변경 보할 합계가 "&amp;TEXT(C26,"0.0")&amp;"% — 100%가 되어야 합니다.","")</f>
        <v/>
      </c>
    </row>
    <row r="30" ht="8" customHeight="1"/>
    <row r="31" ht="22" customHeight="1">
      <c r="A31" s="20" t="inlineStr"/>
      <c r="J31" s="21" t="inlineStr">
        <is>
          <t>주       소 :</t>
        </is>
      </c>
      <c r="L31" s="22" t="n"/>
      <c r="P31" s="23" t="inlineStr"/>
    </row>
    <row r="32" ht="22" customHeight="1">
      <c r="A32" s="20" t="inlineStr"/>
      <c r="J32" s="21" t="inlineStr">
        <is>
          <t>상       호 :</t>
        </is>
      </c>
      <c r="L32" s="22" t="n"/>
      <c r="P32" s="23" t="inlineStr"/>
    </row>
    <row r="33" ht="22" customHeight="1">
      <c r="A33" s="20" t="inlineStr"/>
      <c r="J33" s="21" t="inlineStr">
        <is>
          <t>대 표 이 사 :</t>
        </is>
      </c>
      <c r="L33" s="22" t="n"/>
      <c r="P33" s="23" t="inlineStr">
        <is>
          <t>(인)</t>
        </is>
      </c>
    </row>
    <row r="35" ht="19.5" customHeight="1">
      <c r="A35" s="24" t="inlineStr">
        <is>
          <t>칸마다 그 30일 동안의 계획 공정률(%)을 적습니다. 줄 끝 보할(%)과 아래 계·누계는 자동입니다.</t>
        </is>
      </c>
    </row>
    <row r="36" ht="19.5" customHeight="1">
      <c r="A36" s="24" t="inlineStr">
        <is>
          <t>공사명·착공일·준공일·회사는 이 장에만 적으면 뒤 두 장(동원인력·장비)에 저절로 들어갑니다.</t>
        </is>
      </c>
    </row>
  </sheetData>
  <mergeCells count="34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36:P36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동 원 인 력  계 획 표  (변 경)</t>
        </is>
      </c>
    </row>
    <row r="3" ht="24" customHeight="1">
      <c r="A3" s="4" t="inlineStr">
        <is>
          <t>공  사  명</t>
        </is>
      </c>
      <c r="B3" s="8">
        <f>IF('예정공정표(변경)'!B3="","",'예정공정표(변경)'!B3)</f>
        <v/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25">
        <f>IF('예정공정표(변경)'!K3="","",'예정공정표(변경)'!K3)</f>
        <v/>
      </c>
      <c r="L3" s="6" t="n"/>
      <c r="M3" s="6" t="n"/>
      <c r="N3" s="4" t="inlineStr">
        <is>
          <t>준공일</t>
        </is>
      </c>
      <c r="O3" s="25">
        <f>IF('예정공정표(변경)'!O3="","",'예정공정표(변경)'!O3)</f>
        <v/>
      </c>
      <c r="P3" s="6" t="n"/>
    </row>
    <row r="4" ht="22" customHeight="1">
      <c r="A4" s="4" t="inlineStr">
        <is>
          <t>공 사 기 간</t>
        </is>
      </c>
      <c r="B4" s="8">
        <f>IF(OR(N('예정공정표(변경)'!K3)=0,N('예정공정표(변경)'!O3)=0),"",TEXT('예정공정표(변경)'!K3,"yyyy. m. d.")&amp;" ~ "&amp;TEXT('예정공정표(변경)'!O3,"yyyy. m. d.")&amp;"  (총 "&amp;TEXT('예정공정표(변경)'!O3-'예정공정표(변경)'!K3+1,"#,##0")&amp;"일)")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일별
직종</t>
        </is>
      </c>
      <c r="B6" s="6" t="n"/>
      <c r="C6" s="9" t="inlineStr">
        <is>
          <t>계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IF(N('예정공정표(변경)'!K3)=0,"",MONTH('예정공정표(변경)'!K3+0)&amp;"."&amp;DAY('예정공정표(변경)'!K3+0)&amp;"~"&amp;MONTH('예정공정표(변경)'!K3+29)&amp;"."&amp;DAY('예정공정표(변경)'!K3+29))</f>
        <v/>
      </c>
      <c r="E8" s="11">
        <f>IF(N('예정공정표(변경)'!K3)=0,"",MONTH('예정공정표(변경)'!K3+30)&amp;"."&amp;DAY('예정공정표(변경)'!K3+30)&amp;"~"&amp;MONTH('예정공정표(변경)'!K3+59)&amp;"."&amp;DAY('예정공정표(변경)'!K3+59))</f>
        <v/>
      </c>
      <c r="F8" s="11">
        <f>IF(N('예정공정표(변경)'!K3)=0,"",MONTH('예정공정표(변경)'!K3+60)&amp;"."&amp;DAY('예정공정표(변경)'!K3+60)&amp;"~"&amp;MONTH('예정공정표(변경)'!K3+89)&amp;"."&amp;DAY('예정공정표(변경)'!K3+89))</f>
        <v/>
      </c>
      <c r="G8" s="11">
        <f>IF(N('예정공정표(변경)'!K3)=0,"",MONTH('예정공정표(변경)'!K3+90)&amp;"."&amp;DAY('예정공정표(변경)'!K3+90)&amp;"~"&amp;MONTH('예정공정표(변경)'!K3+119)&amp;"."&amp;DAY('예정공정표(변경)'!K3+119))</f>
        <v/>
      </c>
      <c r="H8" s="11">
        <f>IF(N('예정공정표(변경)'!K3)=0,"",MONTH('예정공정표(변경)'!K3+120)&amp;"."&amp;DAY('예정공정표(변경)'!K3+120)&amp;"~"&amp;MONTH('예정공정표(변경)'!K3+149)&amp;"."&amp;DAY('예정공정표(변경)'!K3+149))</f>
        <v/>
      </c>
      <c r="I8" s="11">
        <f>IF(N('예정공정표(변경)'!K3)=0,"",MONTH('예정공정표(변경)'!K3+150)&amp;"."&amp;DAY('예정공정표(변경)'!K3+150)&amp;"~"&amp;MONTH('예정공정표(변경)'!K3+179)&amp;"."&amp;DAY('예정공정표(변경)'!K3+179))</f>
        <v/>
      </c>
      <c r="J8" s="11">
        <f>IF(N('예정공정표(변경)'!K3)=0,"",MONTH('예정공정표(변경)'!K3+180)&amp;"."&amp;DAY('예정공정표(변경)'!K3+180)&amp;"~"&amp;MONTH('예정공정표(변경)'!K3+209)&amp;"."&amp;DAY('예정공정표(변경)'!K3+209))</f>
        <v/>
      </c>
      <c r="K8" s="11">
        <f>IF(N('예정공정표(변경)'!K3)=0,"",MONTH('예정공정표(변경)'!K3+210)&amp;"."&amp;DAY('예정공정표(변경)'!K3+210)&amp;"~"&amp;MONTH('예정공정표(변경)'!K3+239)&amp;"."&amp;DAY('예정공정표(변경)'!K3+239))</f>
        <v/>
      </c>
      <c r="L8" s="11">
        <f>IF(N('예정공정표(변경)'!K3)=0,"",MONTH('예정공정표(변경)'!K3+240)&amp;"."&amp;DAY('예정공정표(변경)'!K3+240)&amp;"~"&amp;MONTH('예정공정표(변경)'!K3+269)&amp;"."&amp;DAY('예정공정표(변경)'!K3+269))</f>
        <v/>
      </c>
      <c r="M8" s="11">
        <f>IF(N('예정공정표(변경)'!K3)=0,"",MONTH('예정공정표(변경)'!K3+270)&amp;"."&amp;DAY('예정공정표(변경)'!K3+270)&amp;"~"&amp;MONTH('예정공정표(변경)'!K3+299)&amp;"."&amp;DAY('예정공정표(변경)'!K3+299))</f>
        <v/>
      </c>
      <c r="N8" s="11">
        <f>IF(N('예정공정표(변경)'!K3)=0,"",MONTH('예정공정표(변경)'!K3+300)&amp;"."&amp;DAY('예정공정표(변경)'!K3+300)&amp;"~"&amp;MONTH('예정공정표(변경)'!K3+329)&amp;"."&amp;DAY('예정공정표(변경)'!K3+329))</f>
        <v/>
      </c>
      <c r="O8" s="11">
        <f>IF(N('예정공정표(변경)'!K3)=0,"",MONTH('예정공정표(변경)'!K3+330)&amp;"."&amp;DAY('예정공정표(변경)'!K3+330)&amp;"~"&amp;MONTH('예정공정표(변경)'!K3+359)&amp;"."&amp;DAY('예정공정표(변경)'!K3+359))</f>
        <v/>
      </c>
      <c r="P8" s="6" t="n"/>
    </row>
    <row r="9" ht="17" customHeight="1">
      <c r="A9" s="12" t="n"/>
      <c r="B9" s="13" t="inlineStr">
        <is>
          <t>당초</t>
        </is>
      </c>
      <c r="C9" s="14">
        <f>IF(SUM(D9:O9)=0,"",SUM(D9:O9))</f>
        <v/>
      </c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6" t="n"/>
    </row>
    <row r="11" ht="17" customHeight="1">
      <c r="A11" s="12" t="n"/>
      <c r="B11" s="13" t="inlineStr">
        <is>
          <t>당초</t>
        </is>
      </c>
      <c r="C11" s="14">
        <f>IF(SUM(D11:O11)=0,"",SUM(D11:O11))</f>
        <v/>
      </c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n"/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6" t="n"/>
    </row>
    <row r="15" ht="17" customHeight="1">
      <c r="A15" s="12" t="n"/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6" t="n"/>
    </row>
    <row r="17" ht="17" customHeight="1">
      <c r="A17" s="12" t="n"/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24" t="inlineStr">
        <is>
          <t>※ 단위: 인·일 (눈금 한 칸 = 30일)</t>
        </is>
      </c>
    </row>
    <row r="30" ht="8" customHeight="1"/>
    <row r="31" ht="22" customHeight="1">
      <c r="A31" s="20" t="inlineStr"/>
      <c r="J31" s="21" t="inlineStr">
        <is>
          <t>주       소 :</t>
        </is>
      </c>
      <c r="L31" s="20">
        <f>IF('예정공정표(변경)'!L31="","",'예정공정표(변경)'!L31)</f>
        <v/>
      </c>
      <c r="P31" s="23" t="inlineStr"/>
    </row>
    <row r="32" ht="22" customHeight="1">
      <c r="A32" s="20" t="inlineStr"/>
      <c r="J32" s="21" t="inlineStr">
        <is>
          <t>상       호 :</t>
        </is>
      </c>
      <c r="L32" s="20">
        <f>IF('예정공정표(변경)'!L32="","",'예정공정표(변경)'!L32)</f>
        <v/>
      </c>
      <c r="P32" s="23" t="inlineStr"/>
    </row>
    <row r="33" ht="22" customHeight="1">
      <c r="A33" s="20" t="inlineStr"/>
      <c r="J33" s="21" t="inlineStr">
        <is>
          <t>대 표 이 사 :</t>
        </is>
      </c>
      <c r="L33" s="20">
        <f>IF('예정공정표(변경)'!L33="","",'예정공정표(변경)'!L33)</f>
        <v/>
      </c>
      <c r="P33" s="23" t="inlineStr">
        <is>
          <t>(인)</t>
        </is>
      </c>
    </row>
    <row r="35" ht="19.5" customHeight="1">
      <c r="A35" s="24" t="inlineStr">
        <is>
          <t>칸마다 그 30일 동안의 인·일 을 적습니다. 줄 끝 계와 아래 계·누계는 자동입니다.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I1" s="2" t="inlineStr">
        <is>
          <t xml:space="preserve">← 이 1행을 지우고 쓰셔도 됩니다  </t>
        </is>
      </c>
    </row>
    <row r="2" ht="34" customHeight="1">
      <c r="A2" s="3" t="inlineStr">
        <is>
          <t>장 비 투 입  계 획 서  (변 경)</t>
        </is>
      </c>
    </row>
    <row r="3" ht="24" customHeight="1">
      <c r="A3" s="4" t="inlineStr">
        <is>
          <t>공  사  명</t>
        </is>
      </c>
      <c r="B3" s="8">
        <f>IF('예정공정표(변경)'!B3="","",'예정공정표(변경)'!B3)</f>
        <v/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25">
        <f>IF('예정공정표(변경)'!K3="","",'예정공정표(변경)'!K3)</f>
        <v/>
      </c>
      <c r="L3" s="6" t="n"/>
      <c r="M3" s="6" t="n"/>
      <c r="N3" s="4" t="inlineStr">
        <is>
          <t>준공일</t>
        </is>
      </c>
      <c r="O3" s="25">
        <f>IF('예정공정표(변경)'!O3="","",'예정공정표(변경)'!O3)</f>
        <v/>
      </c>
      <c r="P3" s="6" t="n"/>
    </row>
    <row r="4" ht="22" customHeight="1">
      <c r="A4" s="4" t="inlineStr">
        <is>
          <t>공 사 기 간</t>
        </is>
      </c>
      <c r="B4" s="8">
        <f>IF(OR(N('예정공정표(변경)'!K3)=0,N('예정공정표(변경)'!O3)=0),"",TEXT('예정공정표(변경)'!K3,"yyyy. m. d.")&amp;" ~ "&amp;TEXT('예정공정표(변경)'!O3,"yyyy. m. d.")&amp;"  (총 "&amp;TEXT('예정공정표(변경)'!O3-'예정공정표(변경)'!K3+1,"#,##0")&amp;"일)")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일별
장비</t>
        </is>
      </c>
      <c r="B6" s="6" t="n"/>
      <c r="C6" s="9" t="inlineStr">
        <is>
          <t>계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IF(N('예정공정표(변경)'!K3)=0,"",MONTH('예정공정표(변경)'!K3+0)&amp;"."&amp;DAY('예정공정표(변경)'!K3+0)&amp;"~"&amp;MONTH('예정공정표(변경)'!K3+29)&amp;"."&amp;DAY('예정공정표(변경)'!K3+29))</f>
        <v/>
      </c>
      <c r="E8" s="11">
        <f>IF(N('예정공정표(변경)'!K3)=0,"",MONTH('예정공정표(변경)'!K3+30)&amp;"."&amp;DAY('예정공정표(변경)'!K3+30)&amp;"~"&amp;MONTH('예정공정표(변경)'!K3+59)&amp;"."&amp;DAY('예정공정표(변경)'!K3+59))</f>
        <v/>
      </c>
      <c r="F8" s="11">
        <f>IF(N('예정공정표(변경)'!K3)=0,"",MONTH('예정공정표(변경)'!K3+60)&amp;"."&amp;DAY('예정공정표(변경)'!K3+60)&amp;"~"&amp;MONTH('예정공정표(변경)'!K3+89)&amp;"."&amp;DAY('예정공정표(변경)'!K3+89))</f>
        <v/>
      </c>
      <c r="G8" s="11">
        <f>IF(N('예정공정표(변경)'!K3)=0,"",MONTH('예정공정표(변경)'!K3+90)&amp;"."&amp;DAY('예정공정표(변경)'!K3+90)&amp;"~"&amp;MONTH('예정공정표(변경)'!K3+119)&amp;"."&amp;DAY('예정공정표(변경)'!K3+119))</f>
        <v/>
      </c>
      <c r="H8" s="11">
        <f>IF(N('예정공정표(변경)'!K3)=0,"",MONTH('예정공정표(변경)'!K3+120)&amp;"."&amp;DAY('예정공정표(변경)'!K3+120)&amp;"~"&amp;MONTH('예정공정표(변경)'!K3+149)&amp;"."&amp;DAY('예정공정표(변경)'!K3+149))</f>
        <v/>
      </c>
      <c r="I8" s="11">
        <f>IF(N('예정공정표(변경)'!K3)=0,"",MONTH('예정공정표(변경)'!K3+150)&amp;"."&amp;DAY('예정공정표(변경)'!K3+150)&amp;"~"&amp;MONTH('예정공정표(변경)'!K3+179)&amp;"."&amp;DAY('예정공정표(변경)'!K3+179))</f>
        <v/>
      </c>
      <c r="J8" s="11">
        <f>IF(N('예정공정표(변경)'!K3)=0,"",MONTH('예정공정표(변경)'!K3+180)&amp;"."&amp;DAY('예정공정표(변경)'!K3+180)&amp;"~"&amp;MONTH('예정공정표(변경)'!K3+209)&amp;"."&amp;DAY('예정공정표(변경)'!K3+209))</f>
        <v/>
      </c>
      <c r="K8" s="11">
        <f>IF(N('예정공정표(변경)'!K3)=0,"",MONTH('예정공정표(변경)'!K3+210)&amp;"."&amp;DAY('예정공정표(변경)'!K3+210)&amp;"~"&amp;MONTH('예정공정표(변경)'!K3+239)&amp;"."&amp;DAY('예정공정표(변경)'!K3+239))</f>
        <v/>
      </c>
      <c r="L8" s="11">
        <f>IF(N('예정공정표(변경)'!K3)=0,"",MONTH('예정공정표(변경)'!K3+240)&amp;"."&amp;DAY('예정공정표(변경)'!K3+240)&amp;"~"&amp;MONTH('예정공정표(변경)'!K3+269)&amp;"."&amp;DAY('예정공정표(변경)'!K3+269))</f>
        <v/>
      </c>
      <c r="M8" s="11">
        <f>IF(N('예정공정표(변경)'!K3)=0,"",MONTH('예정공정표(변경)'!K3+270)&amp;"."&amp;DAY('예정공정표(변경)'!K3+270)&amp;"~"&amp;MONTH('예정공정표(변경)'!K3+299)&amp;"."&amp;DAY('예정공정표(변경)'!K3+299))</f>
        <v/>
      </c>
      <c r="N8" s="11">
        <f>IF(N('예정공정표(변경)'!K3)=0,"",MONTH('예정공정표(변경)'!K3+300)&amp;"."&amp;DAY('예정공정표(변경)'!K3+300)&amp;"~"&amp;MONTH('예정공정표(변경)'!K3+329)&amp;"."&amp;DAY('예정공정표(변경)'!K3+329))</f>
        <v/>
      </c>
      <c r="O8" s="11">
        <f>IF(N('예정공정표(변경)'!K3)=0,"",MONTH('예정공정표(변경)'!K3+330)&amp;"."&amp;DAY('예정공정표(변경)'!K3+330)&amp;"~"&amp;MONTH('예정공정표(변경)'!K3+359)&amp;"."&amp;DAY('예정공정표(변경)'!K3+359))</f>
        <v/>
      </c>
      <c r="P8" s="6" t="n"/>
    </row>
    <row r="9" ht="17" customHeight="1">
      <c r="A9" s="12" t="n"/>
      <c r="B9" s="13" t="inlineStr">
        <is>
          <t>당초</t>
        </is>
      </c>
      <c r="C9" s="14">
        <f>IF(SUM(D9:O9)=0,"",SUM(D9:O9))</f>
        <v/>
      </c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6" t="n"/>
    </row>
    <row r="11" ht="17" customHeight="1">
      <c r="A11" s="12" t="n"/>
      <c r="B11" s="13" t="inlineStr">
        <is>
          <t>당초</t>
        </is>
      </c>
      <c r="C11" s="14">
        <f>IF(SUM(D11:O11)=0,"",SUM(D11:O11))</f>
        <v/>
      </c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n"/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6" t="n"/>
    </row>
    <row r="15" ht="17" customHeight="1">
      <c r="A15" s="12" t="n"/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6" t="n"/>
    </row>
    <row r="17" ht="17" customHeight="1">
      <c r="A17" s="12" t="n"/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24" t="inlineStr">
        <is>
          <t>※ 단위: 대·일 (눈금 한 칸 = 30일)</t>
        </is>
      </c>
    </row>
    <row r="30" ht="8" customHeight="1"/>
    <row r="31" ht="22" customHeight="1">
      <c r="A31" s="20" t="inlineStr"/>
      <c r="J31" s="21" t="inlineStr">
        <is>
          <t>주       소 :</t>
        </is>
      </c>
      <c r="L31" s="20">
        <f>IF('예정공정표(변경)'!L31="","",'예정공정표(변경)'!L31)</f>
        <v/>
      </c>
      <c r="P31" s="23" t="inlineStr"/>
    </row>
    <row r="32" ht="22" customHeight="1">
      <c r="A32" s="20" t="inlineStr"/>
      <c r="J32" s="21" t="inlineStr">
        <is>
          <t>상       호 :</t>
        </is>
      </c>
      <c r="L32" s="20">
        <f>IF('예정공정표(변경)'!L32="","",'예정공정표(변경)'!L32)</f>
        <v/>
      </c>
      <c r="P32" s="23" t="inlineStr"/>
    </row>
    <row r="33" ht="22" customHeight="1">
      <c r="A33" s="20" t="inlineStr"/>
      <c r="J33" s="21" t="inlineStr">
        <is>
          <t>대 표 이 사 :</t>
        </is>
      </c>
      <c r="L33" s="20">
        <f>IF('예정공정표(변경)'!L33="","",'예정공정표(변경)'!L33)</f>
        <v/>
      </c>
      <c r="P33" s="23" t="inlineStr">
        <is>
          <t>(인)</t>
        </is>
      </c>
    </row>
    <row r="35" ht="19.5" customHeight="1">
      <c r="A35" s="24" t="inlineStr">
        <is>
          <t>칸마다 그 30일 동안의 대·일 을 적습니다. 줄 끝 계와 아래 계·누계는 자동입니다.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I1" s="26" t="inlineStr">
        <is>
          <t xml:space="preserve">작성 예시 (가상의 현장)  </t>
        </is>
      </c>
    </row>
    <row r="2" ht="34" customHeight="1">
      <c r="A2" s="3" t="inlineStr">
        <is>
          <t>예 정 공 정 표  (변 경)</t>
        </is>
      </c>
    </row>
    <row r="3" ht="24" customHeight="1">
      <c r="A3" s="4" t="inlineStr">
        <is>
          <t>공  사  명</t>
        </is>
      </c>
      <c r="B3" s="5" t="inlineStr">
        <is>
          <t>가나지구 배수로 정비공사</t>
        </is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7" t="n">
        <v>46090</v>
      </c>
      <c r="L3" s="6" t="n"/>
      <c r="M3" s="6" t="n"/>
      <c r="N3" s="4" t="inlineStr">
        <is>
          <t>준공일</t>
        </is>
      </c>
      <c r="O3" s="7" t="n">
        <v>46387</v>
      </c>
      <c r="P3" s="6" t="n"/>
    </row>
    <row r="4" ht="22" customHeight="1">
      <c r="A4" s="4" t="inlineStr">
        <is>
          <t>공 사 기 간</t>
        </is>
      </c>
      <c r="B4" s="8">
        <f>IF(OR(N(K3)=0,N(O3)=0),"",TEXT(K3,"yyyy. m. d.")&amp;" ~ "&amp;TEXT(O3,"yyyy. m. d.")&amp;"  (총 "&amp;TEXT(O3-K3+1,"#,##0")&amp;"일)")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월별
공종</t>
        </is>
      </c>
      <c r="B6" s="6" t="n"/>
      <c r="C6" s="9" t="inlineStr">
        <is>
          <t>보할(%)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IF(N(K3)=0,"",MONTH(K3+0)&amp;"."&amp;DAY(K3+0)&amp;"~"&amp;MONTH(K3+29)&amp;"."&amp;DAY(K3+29))</f>
        <v/>
      </c>
      <c r="E8" s="11">
        <f>IF(N(K3)=0,"",MONTH(K3+30)&amp;"."&amp;DAY(K3+30)&amp;"~"&amp;MONTH(K3+59)&amp;"."&amp;DAY(K3+59))</f>
        <v/>
      </c>
      <c r="F8" s="11">
        <f>IF(N(K3)=0,"",MONTH(K3+60)&amp;"."&amp;DAY(K3+60)&amp;"~"&amp;MONTH(K3+89)&amp;"."&amp;DAY(K3+89))</f>
        <v/>
      </c>
      <c r="G8" s="11">
        <f>IF(N(K3)=0,"",MONTH(K3+90)&amp;"."&amp;DAY(K3+90)&amp;"~"&amp;MONTH(K3+119)&amp;"."&amp;DAY(K3+119))</f>
        <v/>
      </c>
      <c r="H8" s="11">
        <f>IF(N(K3)=0,"",MONTH(K3+120)&amp;"."&amp;DAY(K3+120)&amp;"~"&amp;MONTH(K3+149)&amp;"."&amp;DAY(K3+149))</f>
        <v/>
      </c>
      <c r="I8" s="11">
        <f>IF(N(K3)=0,"",MONTH(K3+150)&amp;"."&amp;DAY(K3+150)&amp;"~"&amp;MONTH(K3+179)&amp;"."&amp;DAY(K3+179))</f>
        <v/>
      </c>
      <c r="J8" s="11">
        <f>IF(N(K3)=0,"",MONTH(K3+180)&amp;"."&amp;DAY(K3+180)&amp;"~"&amp;MONTH(K3+209)&amp;"."&amp;DAY(K3+209))</f>
        <v/>
      </c>
      <c r="K8" s="11">
        <f>IF(N(K3)=0,"",MONTH(K3+210)&amp;"."&amp;DAY(K3+210)&amp;"~"&amp;MONTH(K3+239)&amp;"."&amp;DAY(K3+239))</f>
        <v/>
      </c>
      <c r="L8" s="11">
        <f>IF(N(K3)=0,"",MONTH(K3+240)&amp;"."&amp;DAY(K3+240)&amp;"~"&amp;MONTH(K3+269)&amp;"."&amp;DAY(K3+269))</f>
        <v/>
      </c>
      <c r="M8" s="11">
        <f>IF(N(K3)=0,"",MONTH(K3+270)&amp;"."&amp;DAY(K3+270)&amp;"~"&amp;MONTH(K3+299)&amp;"."&amp;DAY(K3+299))</f>
        <v/>
      </c>
      <c r="N8" s="11">
        <f>IF(N(K3)=0,"",MONTH(K3+300)&amp;"."&amp;DAY(K3+300)&amp;"~"&amp;MONTH(K3+329)&amp;"."&amp;DAY(K3+329))</f>
        <v/>
      </c>
      <c r="O8" s="11">
        <f>IF(N(K3)=0,"",MONTH(K3+330)&amp;"."&amp;DAY(K3+330)&amp;"~"&amp;MONTH(K3+359)&amp;"."&amp;DAY(K3+359))</f>
        <v/>
      </c>
      <c r="P8" s="6" t="n"/>
    </row>
    <row r="9" ht="17" customHeight="1">
      <c r="A9" s="12" t="inlineStr">
        <is>
          <t>토공</t>
        </is>
      </c>
      <c r="B9" s="13" t="inlineStr">
        <is>
          <t>당초</t>
        </is>
      </c>
      <c r="C9" s="14">
        <f>IF(SUM(D9:O9)=0,"",SUM(D9:O9))</f>
        <v/>
      </c>
      <c r="D9" s="15" t="n">
        <v>3</v>
      </c>
      <c r="E9" s="15" t="n">
        <v>4</v>
      </c>
      <c r="F9" s="15" t="n">
        <v>4</v>
      </c>
      <c r="G9" s="15" t="n">
        <v>4</v>
      </c>
      <c r="H9" s="15" t="n"/>
      <c r="I9" s="15" t="n"/>
      <c r="J9" s="15" t="n"/>
      <c r="K9" s="15" t="n"/>
      <c r="L9" s="15" t="n"/>
      <c r="M9" s="15" t="n"/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>
        <v>3</v>
      </c>
      <c r="E10" s="15" t="n">
        <v>4</v>
      </c>
      <c r="F10" s="15" t="n">
        <v>4</v>
      </c>
      <c r="G10" s="15" t="n">
        <v>4</v>
      </c>
      <c r="H10" s="15" t="n"/>
      <c r="I10" s="15" t="n"/>
      <c r="J10" s="15" t="n"/>
      <c r="K10" s="15" t="n"/>
      <c r="L10" s="15" t="n"/>
      <c r="M10" s="15" t="n"/>
      <c r="N10" s="15" t="n"/>
      <c r="O10" s="15" t="n"/>
      <c r="P10" s="16" t="n"/>
    </row>
    <row r="11" ht="17" customHeight="1">
      <c r="A11" s="12" t="inlineStr">
        <is>
          <t>배수공</t>
        </is>
      </c>
      <c r="B11" s="13" t="inlineStr">
        <is>
          <t>당초</t>
        </is>
      </c>
      <c r="C11" s="14">
        <f>IF(SUM(D11:O11)=0,"",SUM(D11:O11))</f>
        <v/>
      </c>
      <c r="D11" s="15" t="n"/>
      <c r="E11" s="15" t="n">
        <v>8</v>
      </c>
      <c r="F11" s="15" t="n">
        <v>10</v>
      </c>
      <c r="G11" s="15" t="n">
        <v>10</v>
      </c>
      <c r="H11" s="15" t="n">
        <v>7</v>
      </c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>
        <v>6</v>
      </c>
      <c r="F12" s="15" t="n">
        <v>8</v>
      </c>
      <c r="G12" s="15" t="n">
        <v>9</v>
      </c>
      <c r="H12" s="15" t="n">
        <v>7</v>
      </c>
      <c r="I12" s="15" t="n">
        <v>5</v>
      </c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inlineStr">
        <is>
          <t>구조물공</t>
        </is>
      </c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>
        <v>6</v>
      </c>
      <c r="H13" s="15" t="n">
        <v>8</v>
      </c>
      <c r="I13" s="15" t="n">
        <v>8</v>
      </c>
      <c r="J13" s="15" t="n">
        <v>8</v>
      </c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>
        <v>6</v>
      </c>
      <c r="I14" s="15" t="n">
        <v>8</v>
      </c>
      <c r="J14" s="15" t="n">
        <v>8</v>
      </c>
      <c r="K14" s="15" t="n">
        <v>8</v>
      </c>
      <c r="L14" s="15" t="n"/>
      <c r="M14" s="15" t="n"/>
      <c r="N14" s="15" t="n"/>
      <c r="O14" s="15" t="n"/>
      <c r="P14" s="16" t="n"/>
    </row>
    <row r="15" ht="17" customHeight="1">
      <c r="A15" s="12" t="inlineStr">
        <is>
          <t>포장공</t>
        </is>
      </c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>
        <v>6</v>
      </c>
      <c r="L15" s="15" t="n">
        <v>6</v>
      </c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>
        <v>6</v>
      </c>
      <c r="M16" s="15" t="n">
        <v>6</v>
      </c>
      <c r="N16" s="15" t="n"/>
      <c r="O16" s="15" t="n"/>
      <c r="P16" s="16" t="n"/>
    </row>
    <row r="17" ht="17" customHeight="1">
      <c r="A17" s="12" t="inlineStr">
        <is>
          <t>부대공</t>
        </is>
      </c>
      <c r="B17" s="13" t="inlineStr">
        <is>
          <t>당초</t>
        </is>
      </c>
      <c r="C17" s="14">
        <f>IF(SUM(D17:O17)=0,"",SUM(D17:O17))</f>
        <v/>
      </c>
      <c r="D17" s="15" t="n">
        <v>0.8</v>
      </c>
      <c r="E17" s="15" t="n">
        <v>0.8</v>
      </c>
      <c r="F17" s="15" t="n">
        <v>0.8</v>
      </c>
      <c r="G17" s="15" t="n">
        <v>0.8</v>
      </c>
      <c r="H17" s="15" t="n">
        <v>0.8</v>
      </c>
      <c r="I17" s="15" t="n">
        <v>0.8</v>
      </c>
      <c r="J17" s="15" t="n">
        <v>0.8</v>
      </c>
      <c r="K17" s="15" t="n">
        <v>0.8</v>
      </c>
      <c r="L17" s="15" t="n">
        <v>0.8</v>
      </c>
      <c r="M17" s="15" t="n">
        <v>0.8</v>
      </c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>
        <v>0.8</v>
      </c>
      <c r="E18" s="15" t="n">
        <v>0.8</v>
      </c>
      <c r="F18" s="15" t="n">
        <v>0.8</v>
      </c>
      <c r="G18" s="15" t="n">
        <v>0.8</v>
      </c>
      <c r="H18" s="15" t="n">
        <v>0.8</v>
      </c>
      <c r="I18" s="15" t="n">
        <v>0.8</v>
      </c>
      <c r="J18" s="15" t="n">
        <v>0.8</v>
      </c>
      <c r="K18" s="15" t="n">
        <v>0.8</v>
      </c>
      <c r="L18" s="15" t="n">
        <v>0.8</v>
      </c>
      <c r="M18" s="15" t="n">
        <v>0.8</v>
      </c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19">
        <f>IF(AND(N(C25)&gt;0,ABS(C25-100)&gt;0.001),"⚠ 당초 보할 합계가 "&amp;TEXT(C25,"0.0")&amp;"% — 100%가 되어야 합니다.  ","")&amp;IF(AND(N(C26)&gt;0,ABS(C26-100)&gt;0.001),"⚠ 변경 보할 합계가 "&amp;TEXT(C26,"0.0")&amp;"% — 100%가 되어야 합니다.","")</f>
        <v/>
      </c>
    </row>
    <row r="30" ht="8" customHeight="1"/>
    <row r="31" ht="22" customHeight="1">
      <c r="A31" s="20" t="inlineStr"/>
      <c r="J31" s="21" t="inlineStr">
        <is>
          <t>주       소 :</t>
        </is>
      </c>
      <c r="L31" s="22" t="inlineStr">
        <is>
          <t>가나시 마바로 45, 2층</t>
        </is>
      </c>
      <c r="P31" s="23" t="inlineStr"/>
    </row>
    <row r="32" ht="22" customHeight="1">
      <c r="A32" s="20" t="inlineStr"/>
      <c r="J32" s="21" t="inlineStr">
        <is>
          <t>상       호 :</t>
        </is>
      </c>
      <c r="L32" s="22" t="inlineStr">
        <is>
          <t>예시건설(주)</t>
        </is>
      </c>
      <c r="P32" s="23" t="inlineStr"/>
    </row>
    <row r="33" ht="22" customHeight="1">
      <c r="A33" s="20" t="inlineStr"/>
      <c r="J33" s="21" t="inlineStr">
        <is>
          <t>대 표 이 사 :</t>
        </is>
      </c>
      <c r="L33" s="22" t="inlineStr">
        <is>
          <t>홍길동</t>
        </is>
      </c>
      <c r="P33" s="23" t="inlineStr">
        <is>
          <t>(인)</t>
        </is>
      </c>
    </row>
    <row r="35" ht="19.5" customHeight="1">
      <c r="A35" s="24" t="inlineStr">
        <is>
          <t>이 시트는 작성 예시입니다(가상의 공사 · 수치).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I1" s="26" t="inlineStr">
        <is>
          <t xml:space="preserve">작성 예시 (가상의 현장)  </t>
        </is>
      </c>
    </row>
    <row r="2" ht="34" customHeight="1">
      <c r="A2" s="3" t="inlineStr">
        <is>
          <t>동 원 인 력  계 획 표  (변 경)</t>
        </is>
      </c>
    </row>
    <row r="3" ht="24" customHeight="1">
      <c r="A3" s="4" t="inlineStr">
        <is>
          <t>공  사  명</t>
        </is>
      </c>
      <c r="B3" s="8">
        <f>IF('예시-예정공정표(변경)'!B3="","",'예시-예정공정표(변경)'!B3)</f>
        <v/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25">
        <f>IF('예시-예정공정표(변경)'!K3="","",'예시-예정공정표(변경)'!K3)</f>
        <v/>
      </c>
      <c r="L3" s="6" t="n"/>
      <c r="M3" s="6" t="n"/>
      <c r="N3" s="4" t="inlineStr">
        <is>
          <t>준공일</t>
        </is>
      </c>
      <c r="O3" s="25">
        <f>IF('예시-예정공정표(변경)'!O3="","",'예시-예정공정표(변경)'!O3)</f>
        <v/>
      </c>
      <c r="P3" s="6" t="n"/>
    </row>
    <row r="4" ht="22" customHeight="1">
      <c r="A4" s="4" t="inlineStr">
        <is>
          <t>공 사 기 간</t>
        </is>
      </c>
      <c r="B4" s="8">
        <f>IF(OR(N('예시-예정공정표(변경)'!K3)=0,N('예시-예정공정표(변경)'!O3)=0),"",TEXT('예시-예정공정표(변경)'!K3,"yyyy. m. d.")&amp;" ~ "&amp;TEXT('예시-예정공정표(변경)'!O3,"yyyy. m. d.")&amp;"  (총 "&amp;TEXT('예시-예정공정표(변경)'!O3-'예시-예정공정표(변경)'!K3+1,"#,##0")&amp;"일)")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일별
직종</t>
        </is>
      </c>
      <c r="B6" s="6" t="n"/>
      <c r="C6" s="9" t="inlineStr">
        <is>
          <t>계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IF(N('예시-예정공정표(변경)'!K3)=0,"",MONTH('예시-예정공정표(변경)'!K3+0)&amp;"."&amp;DAY('예시-예정공정표(변경)'!K3+0)&amp;"~"&amp;MONTH('예시-예정공정표(변경)'!K3+29)&amp;"."&amp;DAY('예시-예정공정표(변경)'!K3+29))</f>
        <v/>
      </c>
      <c r="E8" s="11">
        <f>IF(N('예시-예정공정표(변경)'!K3)=0,"",MONTH('예시-예정공정표(변경)'!K3+30)&amp;"."&amp;DAY('예시-예정공정표(변경)'!K3+30)&amp;"~"&amp;MONTH('예시-예정공정표(변경)'!K3+59)&amp;"."&amp;DAY('예시-예정공정표(변경)'!K3+59))</f>
        <v/>
      </c>
      <c r="F8" s="11">
        <f>IF(N('예시-예정공정표(변경)'!K3)=0,"",MONTH('예시-예정공정표(변경)'!K3+60)&amp;"."&amp;DAY('예시-예정공정표(변경)'!K3+60)&amp;"~"&amp;MONTH('예시-예정공정표(변경)'!K3+89)&amp;"."&amp;DAY('예시-예정공정표(변경)'!K3+89))</f>
        <v/>
      </c>
      <c r="G8" s="11">
        <f>IF(N('예시-예정공정표(변경)'!K3)=0,"",MONTH('예시-예정공정표(변경)'!K3+90)&amp;"."&amp;DAY('예시-예정공정표(변경)'!K3+90)&amp;"~"&amp;MONTH('예시-예정공정표(변경)'!K3+119)&amp;"."&amp;DAY('예시-예정공정표(변경)'!K3+119))</f>
        <v/>
      </c>
      <c r="H8" s="11">
        <f>IF(N('예시-예정공정표(변경)'!K3)=0,"",MONTH('예시-예정공정표(변경)'!K3+120)&amp;"."&amp;DAY('예시-예정공정표(변경)'!K3+120)&amp;"~"&amp;MONTH('예시-예정공정표(변경)'!K3+149)&amp;"."&amp;DAY('예시-예정공정표(변경)'!K3+149))</f>
        <v/>
      </c>
      <c r="I8" s="11">
        <f>IF(N('예시-예정공정표(변경)'!K3)=0,"",MONTH('예시-예정공정표(변경)'!K3+150)&amp;"."&amp;DAY('예시-예정공정표(변경)'!K3+150)&amp;"~"&amp;MONTH('예시-예정공정표(변경)'!K3+179)&amp;"."&amp;DAY('예시-예정공정표(변경)'!K3+179))</f>
        <v/>
      </c>
      <c r="J8" s="11">
        <f>IF(N('예시-예정공정표(변경)'!K3)=0,"",MONTH('예시-예정공정표(변경)'!K3+180)&amp;"."&amp;DAY('예시-예정공정표(변경)'!K3+180)&amp;"~"&amp;MONTH('예시-예정공정표(변경)'!K3+209)&amp;"."&amp;DAY('예시-예정공정표(변경)'!K3+209))</f>
        <v/>
      </c>
      <c r="K8" s="11">
        <f>IF(N('예시-예정공정표(변경)'!K3)=0,"",MONTH('예시-예정공정표(변경)'!K3+210)&amp;"."&amp;DAY('예시-예정공정표(변경)'!K3+210)&amp;"~"&amp;MONTH('예시-예정공정표(변경)'!K3+239)&amp;"."&amp;DAY('예시-예정공정표(변경)'!K3+239))</f>
        <v/>
      </c>
      <c r="L8" s="11">
        <f>IF(N('예시-예정공정표(변경)'!K3)=0,"",MONTH('예시-예정공정표(변경)'!K3+240)&amp;"."&amp;DAY('예시-예정공정표(변경)'!K3+240)&amp;"~"&amp;MONTH('예시-예정공정표(변경)'!K3+269)&amp;"."&amp;DAY('예시-예정공정표(변경)'!K3+269))</f>
        <v/>
      </c>
      <c r="M8" s="11">
        <f>IF(N('예시-예정공정표(변경)'!K3)=0,"",MONTH('예시-예정공정표(변경)'!K3+270)&amp;"."&amp;DAY('예시-예정공정표(변경)'!K3+270)&amp;"~"&amp;MONTH('예시-예정공정표(변경)'!K3+299)&amp;"."&amp;DAY('예시-예정공정표(변경)'!K3+299))</f>
        <v/>
      </c>
      <c r="N8" s="11">
        <f>IF(N('예시-예정공정표(변경)'!K3)=0,"",MONTH('예시-예정공정표(변경)'!K3+300)&amp;"."&amp;DAY('예시-예정공정표(변경)'!K3+300)&amp;"~"&amp;MONTH('예시-예정공정표(변경)'!K3+329)&amp;"."&amp;DAY('예시-예정공정표(변경)'!K3+329))</f>
        <v/>
      </c>
      <c r="O8" s="11">
        <f>IF(N('예시-예정공정표(변경)'!K3)=0,"",MONTH('예시-예정공정표(변경)'!K3+330)&amp;"."&amp;DAY('예시-예정공정표(변경)'!K3+330)&amp;"~"&amp;MONTH('예시-예정공정표(변경)'!K3+359)&amp;"."&amp;DAY('예시-예정공정표(변경)'!K3+359))</f>
        <v/>
      </c>
      <c r="P8" s="6" t="n"/>
    </row>
    <row r="9" ht="17" customHeight="1">
      <c r="A9" s="12" t="inlineStr">
        <is>
          <t>기능공</t>
        </is>
      </c>
      <c r="B9" s="13" t="inlineStr">
        <is>
          <t>당초</t>
        </is>
      </c>
      <c r="C9" s="14">
        <f>IF(SUM(D9:O9)=0,"",SUM(D9:O9))</f>
        <v/>
      </c>
      <c r="D9" s="15" t="n">
        <v>60</v>
      </c>
      <c r="E9" s="15" t="n">
        <v>150</v>
      </c>
      <c r="F9" s="15" t="n">
        <v>180</v>
      </c>
      <c r="G9" s="15" t="n">
        <v>220</v>
      </c>
      <c r="H9" s="15" t="n">
        <v>200</v>
      </c>
      <c r="I9" s="15" t="n">
        <v>150</v>
      </c>
      <c r="J9" s="15" t="n">
        <v>130</v>
      </c>
      <c r="K9" s="15" t="n">
        <v>90</v>
      </c>
      <c r="L9" s="15" t="n">
        <v>80</v>
      </c>
      <c r="M9" s="15" t="n">
        <v>20</v>
      </c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>
        <v>60</v>
      </c>
      <c r="E10" s="15" t="n">
        <v>130</v>
      </c>
      <c r="F10" s="15" t="n">
        <v>160</v>
      </c>
      <c r="G10" s="15" t="n">
        <v>180</v>
      </c>
      <c r="H10" s="15" t="n">
        <v>190</v>
      </c>
      <c r="I10" s="15" t="n">
        <v>190</v>
      </c>
      <c r="J10" s="15" t="n">
        <v>150</v>
      </c>
      <c r="K10" s="15" t="n">
        <v>120</v>
      </c>
      <c r="L10" s="15" t="n">
        <v>90</v>
      </c>
      <c r="M10" s="15" t="n">
        <v>60</v>
      </c>
      <c r="N10" s="15" t="n"/>
      <c r="O10" s="15" t="n"/>
      <c r="P10" s="16" t="n"/>
    </row>
    <row r="11" ht="17" customHeight="1">
      <c r="A11" s="12" t="inlineStr">
        <is>
          <t>보통인부</t>
        </is>
      </c>
      <c r="B11" s="13" t="inlineStr">
        <is>
          <t>당초</t>
        </is>
      </c>
      <c r="C11" s="14">
        <f>IF(SUM(D11:O11)=0,"",SUM(D11:O11))</f>
        <v/>
      </c>
      <c r="D11" s="15" t="n">
        <v>40</v>
      </c>
      <c r="E11" s="15" t="n">
        <v>90</v>
      </c>
      <c r="F11" s="15" t="n">
        <v>110</v>
      </c>
      <c r="G11" s="15" t="n">
        <v>130</v>
      </c>
      <c r="H11" s="15" t="n">
        <v>120</v>
      </c>
      <c r="I11" s="15" t="n">
        <v>90</v>
      </c>
      <c r="J11" s="15" t="n">
        <v>80</v>
      </c>
      <c r="K11" s="15" t="n">
        <v>60</v>
      </c>
      <c r="L11" s="15" t="n">
        <v>50</v>
      </c>
      <c r="M11" s="15" t="n">
        <v>20</v>
      </c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>
        <v>40</v>
      </c>
      <c r="E12" s="15" t="n">
        <v>80</v>
      </c>
      <c r="F12" s="15" t="n">
        <v>100</v>
      </c>
      <c r="G12" s="15" t="n">
        <v>110</v>
      </c>
      <c r="H12" s="15" t="n">
        <v>115</v>
      </c>
      <c r="I12" s="15" t="n">
        <v>115</v>
      </c>
      <c r="J12" s="15" t="n">
        <v>90</v>
      </c>
      <c r="K12" s="15" t="n">
        <v>70</v>
      </c>
      <c r="L12" s="15" t="n">
        <v>60</v>
      </c>
      <c r="M12" s="15" t="n">
        <v>40</v>
      </c>
      <c r="N12" s="15" t="n"/>
      <c r="O12" s="15" t="n"/>
      <c r="P12" s="16" t="n"/>
    </row>
    <row r="13" ht="17" customHeight="1">
      <c r="A13" s="12" t="n"/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6" t="n"/>
    </row>
    <row r="15" ht="17" customHeight="1">
      <c r="A15" s="12" t="n"/>
      <c r="B15" s="13" t="inlineStr">
        <is>
          <t>당초</t>
        </is>
      </c>
      <c r="C15" s="14">
        <f>IF(SUM(D15:O15)=0,"",SUM(D15:O15))</f>
        <v/>
      </c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6" t="n"/>
    </row>
    <row r="17" ht="17" customHeight="1">
      <c r="A17" s="12" t="n"/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24" t="inlineStr">
        <is>
          <t>※ 단위: 인·일 (눈금 한 칸 = 30일)</t>
        </is>
      </c>
    </row>
    <row r="30" ht="8" customHeight="1"/>
    <row r="31" ht="22" customHeight="1">
      <c r="A31" s="20" t="inlineStr"/>
      <c r="J31" s="21" t="inlineStr">
        <is>
          <t>주       소 :</t>
        </is>
      </c>
      <c r="L31" s="20">
        <f>IF('예시-예정공정표(변경)'!L31="","",'예시-예정공정표(변경)'!L31)</f>
        <v/>
      </c>
      <c r="P31" s="23" t="inlineStr"/>
    </row>
    <row r="32" ht="22" customHeight="1">
      <c r="A32" s="20" t="inlineStr"/>
      <c r="J32" s="21" t="inlineStr">
        <is>
          <t>상       호 :</t>
        </is>
      </c>
      <c r="L32" s="20">
        <f>IF('예시-예정공정표(변경)'!L32="","",'예시-예정공정표(변경)'!L32)</f>
        <v/>
      </c>
      <c r="P32" s="23" t="inlineStr"/>
    </row>
    <row r="33" ht="22" customHeight="1">
      <c r="A33" s="20" t="inlineStr"/>
      <c r="J33" s="21" t="inlineStr">
        <is>
          <t>대 표 이 사 :</t>
        </is>
      </c>
      <c r="L33" s="20">
        <f>IF('예시-예정공정표(변경)'!L33="","",'예시-예정공정표(변경)'!L33)</f>
        <v/>
      </c>
      <c r="P33" s="23" t="inlineStr">
        <is>
          <t>(인)</t>
        </is>
      </c>
    </row>
    <row r="35" ht="19.5" customHeight="1">
      <c r="A35" s="24" t="inlineStr">
        <is>
          <t>이 시트는 작성 예시입니다(가상의 공사 · 수치).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P35"/>
  <sheetViews>
    <sheetView showGridLines="0" zoomScale="100" workbookViewId="0">
      <selection activeCell="A1" sqref="A1"/>
    </sheetView>
  </sheetViews>
  <sheetFormatPr baseColWidth="8" defaultRowHeight="15"/>
  <cols>
    <col width="16" customWidth="1" min="1" max="1"/>
    <col width="5.5" customWidth="1" min="2" max="2"/>
    <col width="7.5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10" customWidth="1" min="16" max="16"/>
  </cols>
  <sheetData>
    <row r="1" ht="20" customHeight="1">
      <c r="A1" s="1" t="inlineStr">
        <is>
          <t xml:space="preserve">  K-건설맵  |  k-conmap.com  무료 건설 서식</t>
        </is>
      </c>
      <c r="I1" s="26" t="inlineStr">
        <is>
          <t xml:space="preserve">작성 예시 (가상의 현장)  </t>
        </is>
      </c>
    </row>
    <row r="2" ht="34" customHeight="1">
      <c r="A2" s="3" t="inlineStr">
        <is>
          <t>장 비 투 입  계 획 서  (변 경)</t>
        </is>
      </c>
    </row>
    <row r="3" ht="24" customHeight="1">
      <c r="A3" s="4" t="inlineStr">
        <is>
          <t>공  사  명</t>
        </is>
      </c>
      <c r="B3" s="8">
        <f>IF('예시-예정공정표(변경)'!B3="","",'예시-예정공정표(변경)'!B3)</f>
        <v/>
      </c>
      <c r="C3" s="6" t="n"/>
      <c r="D3" s="6" t="n"/>
      <c r="E3" s="6" t="n"/>
      <c r="F3" s="6" t="n"/>
      <c r="G3" s="6" t="n"/>
      <c r="H3" s="6" t="n"/>
      <c r="I3" s="4" t="inlineStr">
        <is>
          <t>착 공 일</t>
        </is>
      </c>
      <c r="J3" s="6" t="n"/>
      <c r="K3" s="25">
        <f>IF('예시-예정공정표(변경)'!K3="","",'예시-예정공정표(변경)'!K3)</f>
        <v/>
      </c>
      <c r="L3" s="6" t="n"/>
      <c r="M3" s="6" t="n"/>
      <c r="N3" s="4" t="inlineStr">
        <is>
          <t>준공일</t>
        </is>
      </c>
      <c r="O3" s="25">
        <f>IF('예시-예정공정표(변경)'!O3="","",'예시-예정공정표(변경)'!O3)</f>
        <v/>
      </c>
      <c r="P3" s="6" t="n"/>
    </row>
    <row r="4" ht="22" customHeight="1">
      <c r="A4" s="4" t="inlineStr">
        <is>
          <t>공 사 기 간</t>
        </is>
      </c>
      <c r="B4" s="8">
        <f>IF(OR(N('예시-예정공정표(변경)'!K3)=0,N('예시-예정공정표(변경)'!O3)=0),"",TEXT('예시-예정공정표(변경)'!K3,"yyyy. m. d.")&amp;" ~ "&amp;TEXT('예시-예정공정표(변경)'!O3,"yyyy. m. d.")&amp;"  (총 "&amp;TEXT('예시-예정공정표(변경)'!O3-'예시-예정공정표(변경)'!K3+1,"#,##0")&amp;"일)")</f>
        <v/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 ht="4" customHeight="1"/>
    <row r="6" ht="20" customHeight="1">
      <c r="A6" s="9" t="inlineStr">
        <is>
          <t>일별
장비</t>
        </is>
      </c>
      <c r="B6" s="6" t="n"/>
      <c r="C6" s="9" t="inlineStr">
        <is>
          <t>계</t>
        </is>
      </c>
      <c r="D6" s="9" t="inlineStr">
        <is>
          <t>공   사   기   간</t>
        </is>
      </c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9" t="inlineStr">
        <is>
          <t>비  고</t>
        </is>
      </c>
    </row>
    <row r="7" ht="18" customHeight="1">
      <c r="A7" s="6" t="n"/>
      <c r="B7" s="6" t="n"/>
      <c r="C7" s="6" t="n"/>
      <c r="D7" s="10" t="inlineStr">
        <is>
          <t>30일</t>
        </is>
      </c>
      <c r="E7" s="10" t="inlineStr">
        <is>
          <t>60일</t>
        </is>
      </c>
      <c r="F7" s="10" t="inlineStr">
        <is>
          <t>90일</t>
        </is>
      </c>
      <c r="G7" s="10" t="inlineStr">
        <is>
          <t>120일</t>
        </is>
      </c>
      <c r="H7" s="10" t="inlineStr">
        <is>
          <t>150일</t>
        </is>
      </c>
      <c r="I7" s="10" t="inlineStr">
        <is>
          <t>180일</t>
        </is>
      </c>
      <c r="J7" s="10" t="inlineStr">
        <is>
          <t>210일</t>
        </is>
      </c>
      <c r="K7" s="10" t="inlineStr">
        <is>
          <t>240일</t>
        </is>
      </c>
      <c r="L7" s="10" t="inlineStr">
        <is>
          <t>270일</t>
        </is>
      </c>
      <c r="M7" s="10" t="inlineStr">
        <is>
          <t>300일</t>
        </is>
      </c>
      <c r="N7" s="10" t="inlineStr">
        <is>
          <t>330일</t>
        </is>
      </c>
      <c r="O7" s="10" t="inlineStr">
        <is>
          <t>360일</t>
        </is>
      </c>
      <c r="P7" s="6" t="n"/>
    </row>
    <row r="8" ht="16" customHeight="1">
      <c r="A8" s="6" t="n"/>
      <c r="B8" s="6" t="n"/>
      <c r="C8" s="6" t="n"/>
      <c r="D8" s="11">
        <f>IF(N('예시-예정공정표(변경)'!K3)=0,"",MONTH('예시-예정공정표(변경)'!K3+0)&amp;"."&amp;DAY('예시-예정공정표(변경)'!K3+0)&amp;"~"&amp;MONTH('예시-예정공정표(변경)'!K3+29)&amp;"."&amp;DAY('예시-예정공정표(변경)'!K3+29))</f>
        <v/>
      </c>
      <c r="E8" s="11">
        <f>IF(N('예시-예정공정표(변경)'!K3)=0,"",MONTH('예시-예정공정표(변경)'!K3+30)&amp;"."&amp;DAY('예시-예정공정표(변경)'!K3+30)&amp;"~"&amp;MONTH('예시-예정공정표(변경)'!K3+59)&amp;"."&amp;DAY('예시-예정공정표(변경)'!K3+59))</f>
        <v/>
      </c>
      <c r="F8" s="11">
        <f>IF(N('예시-예정공정표(변경)'!K3)=0,"",MONTH('예시-예정공정표(변경)'!K3+60)&amp;"."&amp;DAY('예시-예정공정표(변경)'!K3+60)&amp;"~"&amp;MONTH('예시-예정공정표(변경)'!K3+89)&amp;"."&amp;DAY('예시-예정공정표(변경)'!K3+89))</f>
        <v/>
      </c>
      <c r="G8" s="11">
        <f>IF(N('예시-예정공정표(변경)'!K3)=0,"",MONTH('예시-예정공정표(변경)'!K3+90)&amp;"."&amp;DAY('예시-예정공정표(변경)'!K3+90)&amp;"~"&amp;MONTH('예시-예정공정표(변경)'!K3+119)&amp;"."&amp;DAY('예시-예정공정표(변경)'!K3+119))</f>
        <v/>
      </c>
      <c r="H8" s="11">
        <f>IF(N('예시-예정공정표(변경)'!K3)=0,"",MONTH('예시-예정공정표(변경)'!K3+120)&amp;"."&amp;DAY('예시-예정공정표(변경)'!K3+120)&amp;"~"&amp;MONTH('예시-예정공정표(변경)'!K3+149)&amp;"."&amp;DAY('예시-예정공정표(변경)'!K3+149))</f>
        <v/>
      </c>
      <c r="I8" s="11">
        <f>IF(N('예시-예정공정표(변경)'!K3)=0,"",MONTH('예시-예정공정표(변경)'!K3+150)&amp;"."&amp;DAY('예시-예정공정표(변경)'!K3+150)&amp;"~"&amp;MONTH('예시-예정공정표(변경)'!K3+179)&amp;"."&amp;DAY('예시-예정공정표(변경)'!K3+179))</f>
        <v/>
      </c>
      <c r="J8" s="11">
        <f>IF(N('예시-예정공정표(변경)'!K3)=0,"",MONTH('예시-예정공정표(변경)'!K3+180)&amp;"."&amp;DAY('예시-예정공정표(변경)'!K3+180)&amp;"~"&amp;MONTH('예시-예정공정표(변경)'!K3+209)&amp;"."&amp;DAY('예시-예정공정표(변경)'!K3+209))</f>
        <v/>
      </c>
      <c r="K8" s="11">
        <f>IF(N('예시-예정공정표(변경)'!K3)=0,"",MONTH('예시-예정공정표(변경)'!K3+210)&amp;"."&amp;DAY('예시-예정공정표(변경)'!K3+210)&amp;"~"&amp;MONTH('예시-예정공정표(변경)'!K3+239)&amp;"."&amp;DAY('예시-예정공정표(변경)'!K3+239))</f>
        <v/>
      </c>
      <c r="L8" s="11">
        <f>IF(N('예시-예정공정표(변경)'!K3)=0,"",MONTH('예시-예정공정표(변경)'!K3+240)&amp;"."&amp;DAY('예시-예정공정표(변경)'!K3+240)&amp;"~"&amp;MONTH('예시-예정공정표(변경)'!K3+269)&amp;"."&amp;DAY('예시-예정공정표(변경)'!K3+269))</f>
        <v/>
      </c>
      <c r="M8" s="11">
        <f>IF(N('예시-예정공정표(변경)'!K3)=0,"",MONTH('예시-예정공정표(변경)'!K3+270)&amp;"."&amp;DAY('예시-예정공정표(변경)'!K3+270)&amp;"~"&amp;MONTH('예시-예정공정표(변경)'!K3+299)&amp;"."&amp;DAY('예시-예정공정표(변경)'!K3+299))</f>
        <v/>
      </c>
      <c r="N8" s="11">
        <f>IF(N('예시-예정공정표(변경)'!K3)=0,"",MONTH('예시-예정공정표(변경)'!K3+300)&amp;"."&amp;DAY('예시-예정공정표(변경)'!K3+300)&amp;"~"&amp;MONTH('예시-예정공정표(변경)'!K3+329)&amp;"."&amp;DAY('예시-예정공정표(변경)'!K3+329))</f>
        <v/>
      </c>
      <c r="O8" s="11">
        <f>IF(N('예시-예정공정표(변경)'!K3)=0,"",MONTH('예시-예정공정표(변경)'!K3+330)&amp;"."&amp;DAY('예시-예정공정표(변경)'!K3+330)&amp;"~"&amp;MONTH('예시-예정공정표(변경)'!K3+359)&amp;"."&amp;DAY('예시-예정공정표(변경)'!K3+359))</f>
        <v/>
      </c>
      <c r="P8" s="6" t="n"/>
    </row>
    <row r="9" ht="17" customHeight="1">
      <c r="A9" s="12" t="inlineStr">
        <is>
          <t>굴착기</t>
        </is>
      </c>
      <c r="B9" s="13" t="inlineStr">
        <is>
          <t>당초</t>
        </is>
      </c>
      <c r="C9" s="14">
        <f>IF(SUM(D9:O9)=0,"",SUM(D9:O9))</f>
        <v/>
      </c>
      <c r="D9" s="15" t="n">
        <v>18</v>
      </c>
      <c r="E9" s="15" t="n">
        <v>24</v>
      </c>
      <c r="F9" s="15" t="n">
        <v>24</v>
      </c>
      <c r="G9" s="15" t="n">
        <v>24</v>
      </c>
      <c r="H9" s="15" t="n">
        <v>20</v>
      </c>
      <c r="I9" s="15" t="n">
        <v>10</v>
      </c>
      <c r="J9" s="15" t="n">
        <v>8</v>
      </c>
      <c r="K9" s="15" t="n">
        <v>6</v>
      </c>
      <c r="L9" s="15" t="n">
        <v>6</v>
      </c>
      <c r="M9" s="15" t="n">
        <v>2</v>
      </c>
      <c r="N9" s="15" t="n"/>
      <c r="O9" s="15" t="n"/>
      <c r="P9" s="16" t="n"/>
    </row>
    <row r="10" ht="17" customHeight="1">
      <c r="A10" s="6" t="n"/>
      <c r="B10" s="13" t="inlineStr">
        <is>
          <t>변경</t>
        </is>
      </c>
      <c r="C10" s="14">
        <f>IF(SUM(D10:O10)=0,"",SUM(D10:O10))</f>
        <v/>
      </c>
      <c r="D10" s="15" t="n">
        <v>18</v>
      </c>
      <c r="E10" s="15" t="n">
        <v>22</v>
      </c>
      <c r="F10" s="15" t="n">
        <v>22</v>
      </c>
      <c r="G10" s="15" t="n">
        <v>22</v>
      </c>
      <c r="H10" s="15" t="n">
        <v>22</v>
      </c>
      <c r="I10" s="15" t="n">
        <v>14</v>
      </c>
      <c r="J10" s="15" t="n">
        <v>8</v>
      </c>
      <c r="K10" s="15" t="n">
        <v>6</v>
      </c>
      <c r="L10" s="15" t="n">
        <v>6</v>
      </c>
      <c r="M10" s="15" t="n">
        <v>4</v>
      </c>
      <c r="N10" s="15" t="n"/>
      <c r="O10" s="15" t="n"/>
      <c r="P10" s="16" t="n"/>
    </row>
    <row r="11" ht="17" customHeight="1">
      <c r="A11" s="12" t="inlineStr">
        <is>
          <t>대형브레이커</t>
        </is>
      </c>
      <c r="B11" s="13" t="inlineStr">
        <is>
          <t>당초</t>
        </is>
      </c>
      <c r="C11" s="14">
        <f>IF(SUM(D11:O11)=0,"",SUM(D11:O11))</f>
        <v/>
      </c>
      <c r="D11" s="15" t="n"/>
      <c r="E11" s="15" t="n">
        <v>4</v>
      </c>
      <c r="F11" s="15" t="n">
        <v>6</v>
      </c>
      <c r="G11" s="15" t="n">
        <v>6</v>
      </c>
      <c r="H11" s="15" t="n">
        <v>4</v>
      </c>
      <c r="I11" s="15" t="n"/>
      <c r="J11" s="15" t="n"/>
      <c r="K11" s="15" t="n"/>
      <c r="L11" s="15" t="n"/>
      <c r="M11" s="15" t="n"/>
      <c r="N11" s="15" t="n"/>
      <c r="O11" s="15" t="n"/>
      <c r="P11" s="16" t="n"/>
    </row>
    <row r="12" ht="17" customHeight="1">
      <c r="A12" s="6" t="n"/>
      <c r="B12" s="13" t="inlineStr">
        <is>
          <t>변경</t>
        </is>
      </c>
      <c r="C12" s="14">
        <f>IF(SUM(D12:O12)=0,"",SUM(D12:O12))</f>
        <v/>
      </c>
      <c r="D12" s="15" t="n"/>
      <c r="E12" s="15" t="n">
        <v>4</v>
      </c>
      <c r="F12" s="15" t="n">
        <v>4</v>
      </c>
      <c r="G12" s="15" t="n">
        <v>6</v>
      </c>
      <c r="H12" s="15" t="n">
        <v>6</v>
      </c>
      <c r="I12" s="15" t="n">
        <v>2</v>
      </c>
      <c r="J12" s="15" t="n"/>
      <c r="K12" s="15" t="n"/>
      <c r="L12" s="15" t="n"/>
      <c r="M12" s="15" t="n"/>
      <c r="N12" s="15" t="n"/>
      <c r="O12" s="15" t="n"/>
      <c r="P12" s="16" t="n"/>
    </row>
    <row r="13" ht="17" customHeight="1">
      <c r="A13" s="12" t="inlineStr">
        <is>
          <t>크레인</t>
        </is>
      </c>
      <c r="B13" s="13" t="inlineStr">
        <is>
          <t>당초</t>
        </is>
      </c>
      <c r="C13" s="14">
        <f>IF(SUM(D13:O13)=0,"",SUM(D13:O13))</f>
        <v/>
      </c>
      <c r="D13" s="15" t="n"/>
      <c r="E13" s="15" t="n"/>
      <c r="F13" s="15" t="n"/>
      <c r="G13" s="15" t="n">
        <v>4</v>
      </c>
      <c r="H13" s="15" t="n">
        <v>6</v>
      </c>
      <c r="I13" s="15" t="n">
        <v>6</v>
      </c>
      <c r="J13" s="15" t="n">
        <v>4</v>
      </c>
      <c r="K13" s="15" t="n"/>
      <c r="L13" s="15" t="n"/>
      <c r="M13" s="15" t="n"/>
      <c r="N13" s="15" t="n"/>
      <c r="O13" s="15" t="n"/>
      <c r="P13" s="16" t="n"/>
    </row>
    <row r="14" ht="17" customHeight="1">
      <c r="A14" s="6" t="n"/>
      <c r="B14" s="13" t="inlineStr">
        <is>
          <t>변경</t>
        </is>
      </c>
      <c r="C14" s="14">
        <f>IF(SUM(D14:O14)=0,"",SUM(D14:O14))</f>
        <v/>
      </c>
      <c r="D14" s="15" t="n"/>
      <c r="E14" s="15" t="n"/>
      <c r="F14" s="15" t="n"/>
      <c r="G14" s="15" t="n"/>
      <c r="H14" s="15" t="n">
        <v>4</v>
      </c>
      <c r="I14" s="15" t="n">
        <v>6</v>
      </c>
      <c r="J14" s="15" t="n">
        <v>6</v>
      </c>
      <c r="K14" s="15" t="n">
        <v>4</v>
      </c>
      <c r="L14" s="15" t="n"/>
      <c r="M14" s="15" t="n"/>
      <c r="N14" s="15" t="n"/>
      <c r="O14" s="15" t="n"/>
      <c r="P14" s="16" t="n"/>
    </row>
    <row r="15" ht="17" customHeight="1">
      <c r="A15" s="12" t="inlineStr">
        <is>
          <t>플레이트 콤팩터</t>
        </is>
      </c>
      <c r="B15" s="13" t="inlineStr">
        <is>
          <t>당초</t>
        </is>
      </c>
      <c r="C15" s="14">
        <f>IF(SUM(D15:O15)=0,"",SUM(D15:O15))</f>
        <v/>
      </c>
      <c r="D15" s="15" t="n">
        <v>4</v>
      </c>
      <c r="E15" s="15" t="n">
        <v>8</v>
      </c>
      <c r="F15" s="15" t="n">
        <v>8</v>
      </c>
      <c r="G15" s="15" t="n">
        <v>8</v>
      </c>
      <c r="H15" s="15" t="n">
        <v>6</v>
      </c>
      <c r="I15" s="15" t="n">
        <v>4</v>
      </c>
      <c r="J15" s="15" t="n">
        <v>4</v>
      </c>
      <c r="K15" s="15" t="n">
        <v>6</v>
      </c>
      <c r="L15" s="15" t="n">
        <v>6</v>
      </c>
      <c r="M15" s="15" t="n">
        <v>2</v>
      </c>
      <c r="N15" s="15" t="n"/>
      <c r="O15" s="15" t="n"/>
      <c r="P15" s="16" t="n"/>
    </row>
    <row r="16" ht="17" customHeight="1">
      <c r="A16" s="6" t="n"/>
      <c r="B16" s="13" t="inlineStr">
        <is>
          <t>변경</t>
        </is>
      </c>
      <c r="C16" s="14">
        <f>IF(SUM(D16:O16)=0,"",SUM(D16:O16))</f>
        <v/>
      </c>
      <c r="D16" s="15" t="n">
        <v>4</v>
      </c>
      <c r="E16" s="15" t="n">
        <v>8</v>
      </c>
      <c r="F16" s="15" t="n">
        <v>8</v>
      </c>
      <c r="G16" s="15" t="n">
        <v>8</v>
      </c>
      <c r="H16" s="15" t="n">
        <v>8</v>
      </c>
      <c r="I16" s="15" t="n">
        <v>6</v>
      </c>
      <c r="J16" s="15" t="n">
        <v>4</v>
      </c>
      <c r="K16" s="15" t="n">
        <v>4</v>
      </c>
      <c r="L16" s="15" t="n">
        <v>6</v>
      </c>
      <c r="M16" s="15" t="n">
        <v>6</v>
      </c>
      <c r="N16" s="15" t="n"/>
      <c r="O16" s="15" t="n"/>
      <c r="P16" s="16" t="n"/>
    </row>
    <row r="17" ht="17" customHeight="1">
      <c r="A17" s="12" t="inlineStr">
        <is>
          <t>크롤러 드릴</t>
        </is>
      </c>
      <c r="B17" s="13" t="inlineStr">
        <is>
          <t>당초</t>
        </is>
      </c>
      <c r="C17" s="14">
        <f>IF(SUM(D17:O17)=0,"",SUM(D17:O17))</f>
        <v/>
      </c>
      <c r="D17" s="15" t="n"/>
      <c r="E17" s="15" t="n"/>
      <c r="F17" s="15" t="n">
        <v>2</v>
      </c>
      <c r="G17" s="15" t="n">
        <v>2</v>
      </c>
      <c r="H17" s="15" t="n"/>
      <c r="I17" s="15" t="n"/>
      <c r="J17" s="15" t="n"/>
      <c r="K17" s="15" t="n"/>
      <c r="L17" s="15" t="n"/>
      <c r="M17" s="15" t="n"/>
      <c r="N17" s="15" t="n"/>
      <c r="O17" s="15" t="n"/>
      <c r="P17" s="16" t="n"/>
    </row>
    <row r="18" ht="17" customHeight="1">
      <c r="A18" s="6" t="n"/>
      <c r="B18" s="13" t="inlineStr">
        <is>
          <t>변경</t>
        </is>
      </c>
      <c r="C18" s="14">
        <f>IF(SUM(D18:O18)=0,"",SUM(D18:O18))</f>
        <v/>
      </c>
      <c r="D18" s="15" t="n"/>
      <c r="E18" s="15" t="n"/>
      <c r="F18" s="15" t="n"/>
      <c r="G18" s="15" t="n">
        <v>2</v>
      </c>
      <c r="H18" s="15" t="n">
        <v>2</v>
      </c>
      <c r="I18" s="15" t="n"/>
      <c r="J18" s="15" t="n"/>
      <c r="K18" s="15" t="n"/>
      <c r="L18" s="15" t="n"/>
      <c r="M18" s="15" t="n"/>
      <c r="N18" s="15" t="n"/>
      <c r="O18" s="15" t="n"/>
      <c r="P18" s="16" t="n"/>
    </row>
    <row r="19" ht="17" customHeight="1">
      <c r="A19" s="12" t="n"/>
      <c r="B19" s="13" t="inlineStr">
        <is>
          <t>당초</t>
        </is>
      </c>
      <c r="C19" s="14">
        <f>IF(SUM(D19:O19)=0,"",SUM(D19:O19))</f>
        <v/>
      </c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6" t="n"/>
    </row>
    <row r="20" ht="17" customHeight="1">
      <c r="A20" s="6" t="n"/>
      <c r="B20" s="13" t="inlineStr">
        <is>
          <t>변경</t>
        </is>
      </c>
      <c r="C20" s="14">
        <f>IF(SUM(D20:O20)=0,"",SUM(D20:O20))</f>
        <v/>
      </c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6" t="n"/>
    </row>
    <row r="21" ht="17" customHeight="1">
      <c r="A21" s="12" t="n"/>
      <c r="B21" s="13" t="inlineStr">
        <is>
          <t>당초</t>
        </is>
      </c>
      <c r="C21" s="14">
        <f>IF(SUM(D21:O21)=0,"",SUM(D21:O21))</f>
        <v/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6" t="n"/>
    </row>
    <row r="22" ht="17" customHeight="1">
      <c r="A22" s="6" t="n"/>
      <c r="B22" s="13" t="inlineStr">
        <is>
          <t>변경</t>
        </is>
      </c>
      <c r="C22" s="14">
        <f>IF(SUM(D22:O22)=0,"",SUM(D22:O22))</f>
        <v/>
      </c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6" t="n"/>
    </row>
    <row r="23" ht="17" customHeight="1">
      <c r="A23" s="12" t="n"/>
      <c r="B23" s="13" t="inlineStr">
        <is>
          <t>당초</t>
        </is>
      </c>
      <c r="C23" s="14">
        <f>IF(SUM(D23:O23)=0,"",SUM(D23:O23))</f>
        <v/>
      </c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6" t="n"/>
    </row>
    <row r="24" ht="17" customHeight="1">
      <c r="A24" s="6" t="n"/>
      <c r="B24" s="13" t="inlineStr">
        <is>
          <t>변경</t>
        </is>
      </c>
      <c r="C24" s="14">
        <f>IF(SUM(D24:O24)=0,"",SUM(D24:O24))</f>
        <v/>
      </c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6" t="n"/>
    </row>
    <row r="25" ht="18" customHeight="1">
      <c r="A25" s="17" t="inlineStr">
        <is>
          <t>계</t>
        </is>
      </c>
      <c r="B25" s="13" t="inlineStr">
        <is>
          <t>당초</t>
        </is>
      </c>
      <c r="C25" s="18">
        <f>N(C9)+N(C11)+N(C13)+N(C15)+N(C17)+N(C19)+N(C21)+N(C23)</f>
        <v/>
      </c>
      <c r="D25" s="18">
        <f>IF(N(D9)+N(D11)+N(D13)+N(D15)+N(D17)+N(D19)+N(D21)+N(D23)=0,"",N(D9)+N(D11)+N(D13)+N(D15)+N(D17)+N(D19)+N(D21)+N(D23))</f>
        <v/>
      </c>
      <c r="E25" s="18">
        <f>IF(N(E9)+N(E11)+N(E13)+N(E15)+N(E17)+N(E19)+N(E21)+N(E23)=0,"",N(E9)+N(E11)+N(E13)+N(E15)+N(E17)+N(E19)+N(E21)+N(E23))</f>
        <v/>
      </c>
      <c r="F25" s="18">
        <f>IF(N(F9)+N(F11)+N(F13)+N(F15)+N(F17)+N(F19)+N(F21)+N(F23)=0,"",N(F9)+N(F11)+N(F13)+N(F15)+N(F17)+N(F19)+N(F21)+N(F23))</f>
        <v/>
      </c>
      <c r="G25" s="18">
        <f>IF(N(G9)+N(G11)+N(G13)+N(G15)+N(G17)+N(G19)+N(G21)+N(G23)=0,"",N(G9)+N(G11)+N(G13)+N(G15)+N(G17)+N(G19)+N(G21)+N(G23))</f>
        <v/>
      </c>
      <c r="H25" s="18">
        <f>IF(N(H9)+N(H11)+N(H13)+N(H15)+N(H17)+N(H19)+N(H21)+N(H23)=0,"",N(H9)+N(H11)+N(H13)+N(H15)+N(H17)+N(H19)+N(H21)+N(H23))</f>
        <v/>
      </c>
      <c r="I25" s="18">
        <f>IF(N(I9)+N(I11)+N(I13)+N(I15)+N(I17)+N(I19)+N(I21)+N(I23)=0,"",N(I9)+N(I11)+N(I13)+N(I15)+N(I17)+N(I19)+N(I21)+N(I23))</f>
        <v/>
      </c>
      <c r="J25" s="18">
        <f>IF(N(J9)+N(J11)+N(J13)+N(J15)+N(J17)+N(J19)+N(J21)+N(J23)=0,"",N(J9)+N(J11)+N(J13)+N(J15)+N(J17)+N(J19)+N(J21)+N(J23))</f>
        <v/>
      </c>
      <c r="K25" s="18">
        <f>IF(N(K9)+N(K11)+N(K13)+N(K15)+N(K17)+N(K19)+N(K21)+N(K23)=0,"",N(K9)+N(K11)+N(K13)+N(K15)+N(K17)+N(K19)+N(K21)+N(K23))</f>
        <v/>
      </c>
      <c r="L25" s="18">
        <f>IF(N(L9)+N(L11)+N(L13)+N(L15)+N(L17)+N(L19)+N(L21)+N(L23)=0,"",N(L9)+N(L11)+N(L13)+N(L15)+N(L17)+N(L19)+N(L21)+N(L23))</f>
        <v/>
      </c>
      <c r="M25" s="18">
        <f>IF(N(M9)+N(M11)+N(M13)+N(M15)+N(M17)+N(M19)+N(M21)+N(M23)=0,"",N(M9)+N(M11)+N(M13)+N(M15)+N(M17)+N(M19)+N(M21)+N(M23))</f>
        <v/>
      </c>
      <c r="N25" s="18">
        <f>IF(N(N9)+N(N11)+N(N13)+N(N15)+N(N17)+N(N19)+N(N21)+N(N23)=0,"",N(N9)+N(N11)+N(N13)+N(N15)+N(N17)+N(N19)+N(N21)+N(N23))</f>
        <v/>
      </c>
      <c r="O25" s="18">
        <f>IF(N(O9)+N(O11)+N(O13)+N(O15)+N(O17)+N(O19)+N(O21)+N(O23)=0,"",N(O9)+N(O11)+N(O13)+N(O15)+N(O17)+N(O19)+N(O21)+N(O23))</f>
        <v/>
      </c>
      <c r="P25" s="17" t="inlineStr"/>
    </row>
    <row r="26" ht="18" customHeight="1">
      <c r="A26" s="6" t="n"/>
      <c r="B26" s="13" t="inlineStr">
        <is>
          <t>변경</t>
        </is>
      </c>
      <c r="C26" s="18">
        <f>N(C10)+N(C12)+N(C14)+N(C16)+N(C18)+N(C20)+N(C22)+N(C24)</f>
        <v/>
      </c>
      <c r="D26" s="18">
        <f>IF(N(D10)+N(D12)+N(D14)+N(D16)+N(D18)+N(D20)+N(D22)+N(D24)=0,"",N(D10)+N(D12)+N(D14)+N(D16)+N(D18)+N(D20)+N(D22)+N(D24))</f>
        <v/>
      </c>
      <c r="E26" s="18">
        <f>IF(N(E10)+N(E12)+N(E14)+N(E16)+N(E18)+N(E20)+N(E22)+N(E24)=0,"",N(E10)+N(E12)+N(E14)+N(E16)+N(E18)+N(E20)+N(E22)+N(E24))</f>
        <v/>
      </c>
      <c r="F26" s="18">
        <f>IF(N(F10)+N(F12)+N(F14)+N(F16)+N(F18)+N(F20)+N(F22)+N(F24)=0,"",N(F10)+N(F12)+N(F14)+N(F16)+N(F18)+N(F20)+N(F22)+N(F24))</f>
        <v/>
      </c>
      <c r="G26" s="18">
        <f>IF(N(G10)+N(G12)+N(G14)+N(G16)+N(G18)+N(G20)+N(G22)+N(G24)=0,"",N(G10)+N(G12)+N(G14)+N(G16)+N(G18)+N(G20)+N(G22)+N(G24))</f>
        <v/>
      </c>
      <c r="H26" s="18">
        <f>IF(N(H10)+N(H12)+N(H14)+N(H16)+N(H18)+N(H20)+N(H22)+N(H24)=0,"",N(H10)+N(H12)+N(H14)+N(H16)+N(H18)+N(H20)+N(H22)+N(H24))</f>
        <v/>
      </c>
      <c r="I26" s="18">
        <f>IF(N(I10)+N(I12)+N(I14)+N(I16)+N(I18)+N(I20)+N(I22)+N(I24)=0,"",N(I10)+N(I12)+N(I14)+N(I16)+N(I18)+N(I20)+N(I22)+N(I24))</f>
        <v/>
      </c>
      <c r="J26" s="18">
        <f>IF(N(J10)+N(J12)+N(J14)+N(J16)+N(J18)+N(J20)+N(J22)+N(J24)=0,"",N(J10)+N(J12)+N(J14)+N(J16)+N(J18)+N(J20)+N(J22)+N(J24))</f>
        <v/>
      </c>
      <c r="K26" s="18">
        <f>IF(N(K10)+N(K12)+N(K14)+N(K16)+N(K18)+N(K20)+N(K22)+N(K24)=0,"",N(K10)+N(K12)+N(K14)+N(K16)+N(K18)+N(K20)+N(K22)+N(K24))</f>
        <v/>
      </c>
      <c r="L26" s="18">
        <f>IF(N(L10)+N(L12)+N(L14)+N(L16)+N(L18)+N(L20)+N(L22)+N(L24)=0,"",N(L10)+N(L12)+N(L14)+N(L16)+N(L18)+N(L20)+N(L22)+N(L24))</f>
        <v/>
      </c>
      <c r="M26" s="18">
        <f>IF(N(M10)+N(M12)+N(M14)+N(M16)+N(M18)+N(M20)+N(M22)+N(M24)=0,"",N(M10)+N(M12)+N(M14)+N(M16)+N(M18)+N(M20)+N(M22)+N(M24))</f>
        <v/>
      </c>
      <c r="N26" s="18">
        <f>IF(N(N10)+N(N12)+N(N14)+N(N16)+N(N18)+N(N20)+N(N22)+N(N24)=0,"",N(N10)+N(N12)+N(N14)+N(N16)+N(N18)+N(N20)+N(N22)+N(N24))</f>
        <v/>
      </c>
      <c r="O26" s="18">
        <f>IF(N(O10)+N(O12)+N(O14)+N(O16)+N(O18)+N(O20)+N(O22)+N(O24)=0,"",N(O10)+N(O12)+N(O14)+N(O16)+N(O18)+N(O20)+N(O22)+N(O24))</f>
        <v/>
      </c>
      <c r="P26" s="17" t="inlineStr"/>
    </row>
    <row r="27" ht="18" customHeight="1">
      <c r="A27" s="17" t="inlineStr">
        <is>
          <t>누    계</t>
        </is>
      </c>
      <c r="B27" s="13" t="inlineStr">
        <is>
          <t>당초</t>
        </is>
      </c>
      <c r="C27" s="17" t="inlineStr"/>
      <c r="D27" s="14">
        <f>IF(N(D25)=0,"",SUM(D25:D25))</f>
        <v/>
      </c>
      <c r="E27" s="14">
        <f>IF(N(E25)=0,"",SUM(D25:E25))</f>
        <v/>
      </c>
      <c r="F27" s="14">
        <f>IF(N(F25)=0,"",SUM(D25:F25))</f>
        <v/>
      </c>
      <c r="G27" s="14">
        <f>IF(N(G25)=0,"",SUM(D25:G25))</f>
        <v/>
      </c>
      <c r="H27" s="14">
        <f>IF(N(H25)=0,"",SUM(D25:H25))</f>
        <v/>
      </c>
      <c r="I27" s="14">
        <f>IF(N(I25)=0,"",SUM(D25:I25))</f>
        <v/>
      </c>
      <c r="J27" s="14">
        <f>IF(N(J25)=0,"",SUM(D25:J25))</f>
        <v/>
      </c>
      <c r="K27" s="14">
        <f>IF(N(K25)=0,"",SUM(D25:K25))</f>
        <v/>
      </c>
      <c r="L27" s="14">
        <f>IF(N(L25)=0,"",SUM(D25:L25))</f>
        <v/>
      </c>
      <c r="M27" s="14">
        <f>IF(N(M25)=0,"",SUM(D25:M25))</f>
        <v/>
      </c>
      <c r="N27" s="14">
        <f>IF(N(N25)=0,"",SUM(D25:N25))</f>
        <v/>
      </c>
      <c r="O27" s="14">
        <f>IF(N(O25)=0,"",SUM(D25:O25))</f>
        <v/>
      </c>
      <c r="P27" s="17" t="inlineStr"/>
    </row>
    <row r="28" ht="18" customHeight="1">
      <c r="A28" s="6" t="n"/>
      <c r="B28" s="13" t="inlineStr">
        <is>
          <t>변경</t>
        </is>
      </c>
      <c r="C28" s="17" t="inlineStr"/>
      <c r="D28" s="14">
        <f>IF(N(D26)=0,"",SUM(D26:D26))</f>
        <v/>
      </c>
      <c r="E28" s="14">
        <f>IF(N(E26)=0,"",SUM(D26:E26))</f>
        <v/>
      </c>
      <c r="F28" s="14">
        <f>IF(N(F26)=0,"",SUM(D26:F26))</f>
        <v/>
      </c>
      <c r="G28" s="14">
        <f>IF(N(G26)=0,"",SUM(D26:G26))</f>
        <v/>
      </c>
      <c r="H28" s="14">
        <f>IF(N(H26)=0,"",SUM(D26:H26))</f>
        <v/>
      </c>
      <c r="I28" s="14">
        <f>IF(N(I26)=0,"",SUM(D26:I26))</f>
        <v/>
      </c>
      <c r="J28" s="14">
        <f>IF(N(J26)=0,"",SUM(D26:J26))</f>
        <v/>
      </c>
      <c r="K28" s="14">
        <f>IF(N(K26)=0,"",SUM(D26:K26))</f>
        <v/>
      </c>
      <c r="L28" s="14">
        <f>IF(N(L26)=0,"",SUM(D26:L26))</f>
        <v/>
      </c>
      <c r="M28" s="14">
        <f>IF(N(M26)=0,"",SUM(D26:M26))</f>
        <v/>
      </c>
      <c r="N28" s="14">
        <f>IF(N(N26)=0,"",SUM(D26:N26))</f>
        <v/>
      </c>
      <c r="O28" s="14">
        <f>IF(N(O26)=0,"",SUM(D26:O26))</f>
        <v/>
      </c>
      <c r="P28" s="17" t="inlineStr"/>
    </row>
    <row r="29" ht="16" customHeight="1">
      <c r="A29" s="24" t="inlineStr">
        <is>
          <t>※ 단위: 대·일 (눈금 한 칸 = 30일)</t>
        </is>
      </c>
    </row>
    <row r="30" ht="8" customHeight="1"/>
    <row r="31" ht="22" customHeight="1">
      <c r="A31" s="20" t="inlineStr"/>
      <c r="J31" s="21" t="inlineStr">
        <is>
          <t>주       소 :</t>
        </is>
      </c>
      <c r="L31" s="20">
        <f>IF('예시-예정공정표(변경)'!L31="","",'예시-예정공정표(변경)'!L31)</f>
        <v/>
      </c>
      <c r="P31" s="23" t="inlineStr"/>
    </row>
    <row r="32" ht="22" customHeight="1">
      <c r="A32" s="20" t="inlineStr"/>
      <c r="J32" s="21" t="inlineStr">
        <is>
          <t>상       호 :</t>
        </is>
      </c>
      <c r="L32" s="20">
        <f>IF('예시-예정공정표(변경)'!L32="","",'예시-예정공정표(변경)'!L32)</f>
        <v/>
      </c>
      <c r="P32" s="23" t="inlineStr"/>
    </row>
    <row r="33" ht="22" customHeight="1">
      <c r="A33" s="20" t="inlineStr"/>
      <c r="J33" s="21" t="inlineStr">
        <is>
          <t>대 표 이 사 :</t>
        </is>
      </c>
      <c r="L33" s="20">
        <f>IF('예시-예정공정표(변경)'!L33="","",'예시-예정공정표(변경)'!L33)</f>
        <v/>
      </c>
      <c r="P33" s="23" t="inlineStr">
        <is>
          <t>(인)</t>
        </is>
      </c>
    </row>
    <row r="35" ht="19.5" customHeight="1">
      <c r="A35" s="24" t="inlineStr">
        <is>
          <t>이 시트는 작성 예시입니다(가상의 공사 · 수치).</t>
        </is>
      </c>
    </row>
  </sheetData>
  <mergeCells count="33">
    <mergeCell ref="O3:P3"/>
    <mergeCell ref="L31:O31"/>
    <mergeCell ref="A35:P35"/>
    <mergeCell ref="A1:H1"/>
    <mergeCell ref="A29:P29"/>
    <mergeCell ref="A27:A28"/>
    <mergeCell ref="A33:I33"/>
    <mergeCell ref="A25:A26"/>
    <mergeCell ref="A32:I32"/>
    <mergeCell ref="A6:B8"/>
    <mergeCell ref="L32:O32"/>
    <mergeCell ref="C6:C8"/>
    <mergeCell ref="B3:H3"/>
    <mergeCell ref="A21:A22"/>
    <mergeCell ref="I3:J3"/>
    <mergeCell ref="A17:A18"/>
    <mergeCell ref="A13:A14"/>
    <mergeCell ref="A2:P2"/>
    <mergeCell ref="J32:K32"/>
    <mergeCell ref="A23:A24"/>
    <mergeCell ref="A31:I31"/>
    <mergeCell ref="P6:P8"/>
    <mergeCell ref="K3:M3"/>
    <mergeCell ref="B4:P4"/>
    <mergeCell ref="J31:K31"/>
    <mergeCell ref="A19:A20"/>
    <mergeCell ref="L33:O33"/>
    <mergeCell ref="I1:P1"/>
    <mergeCell ref="A9:A10"/>
    <mergeCell ref="A15:A16"/>
    <mergeCell ref="J33:K33"/>
    <mergeCell ref="A11:A12"/>
    <mergeCell ref="D6:O6"/>
  </mergeCells>
  <conditionalFormatting sqref="D9:O24">
    <cfRule type="expression" priority="1" dxfId="0">
      <formula>AND(ISNUMBER(D9),D9&gt;0,$B9="당초")</formula>
    </cfRule>
    <cfRule type="expression" priority="2" dxfId="1">
      <formula>AND(ISNUMBER(D9),D9&gt;0,$B9="변경")</formula>
    </cfRule>
  </conditionalFormatting>
  <conditionalFormatting sqref="C9:C26">
    <cfRule type="expression" priority="3" dxfId="2">
      <formula>AND(ISNUMBER(C9),MOD(C9,1)=0)</formula>
    </cfRule>
  </conditionalFormatting>
  <conditionalFormatting sqref="D9:D28">
    <cfRule type="expression" priority="4" dxfId="2">
      <formula>AND(ISNUMBER(D9),MOD(D9,1)=0)</formula>
    </cfRule>
  </conditionalFormatting>
  <conditionalFormatting sqref="E9:E28">
    <cfRule type="expression" priority="5" dxfId="2">
      <formula>AND(ISNUMBER(E9),MOD(E9,1)=0)</formula>
    </cfRule>
  </conditionalFormatting>
  <conditionalFormatting sqref="F9:F28">
    <cfRule type="expression" priority="6" dxfId="2">
      <formula>AND(ISNUMBER(F9),MOD(F9,1)=0)</formula>
    </cfRule>
  </conditionalFormatting>
  <conditionalFormatting sqref="G9:G28">
    <cfRule type="expression" priority="7" dxfId="2">
      <formula>AND(ISNUMBER(G9),MOD(G9,1)=0)</formula>
    </cfRule>
  </conditionalFormatting>
  <conditionalFormatting sqref="H9:H28">
    <cfRule type="expression" priority="8" dxfId="2">
      <formula>AND(ISNUMBER(H9),MOD(H9,1)=0)</formula>
    </cfRule>
  </conditionalFormatting>
  <conditionalFormatting sqref="I9:I28">
    <cfRule type="expression" priority="9" dxfId="2">
      <formula>AND(ISNUMBER(I9),MOD(I9,1)=0)</formula>
    </cfRule>
  </conditionalFormatting>
  <conditionalFormatting sqref="J9:J28">
    <cfRule type="expression" priority="10" dxfId="2">
      <formula>AND(ISNUMBER(J9),MOD(J9,1)=0)</formula>
    </cfRule>
  </conditionalFormatting>
  <conditionalFormatting sqref="K9:K28">
    <cfRule type="expression" priority="11" dxfId="2">
      <formula>AND(ISNUMBER(K9),MOD(K9,1)=0)</formula>
    </cfRule>
  </conditionalFormatting>
  <conditionalFormatting sqref="L9:L28">
    <cfRule type="expression" priority="12" dxfId="2">
      <formula>AND(ISNUMBER(L9),MOD(L9,1)=0)</formula>
    </cfRule>
  </conditionalFormatting>
  <conditionalFormatting sqref="M9:M28">
    <cfRule type="expression" priority="13" dxfId="2">
      <formula>AND(ISNUMBER(M9),MOD(M9,1)=0)</formula>
    </cfRule>
  </conditionalFormatting>
  <conditionalFormatting sqref="N9:N28">
    <cfRule type="expression" priority="14" dxfId="2">
      <formula>AND(ISNUMBER(N9),MOD(N9,1)=0)</formula>
    </cfRule>
  </conditionalFormatting>
  <conditionalFormatting sqref="O9:O28">
    <cfRule type="expression" priority="15" dxfId="2">
      <formula>AND(ISNUMBER(O9),MOD(O9,1)=0)</formula>
    </cfRule>
  </conditionalFormatting>
  <printOptions horizontalCentered="1"/>
  <pageMargins left="0.35" right="0.35" top="0.45" bottom="0.45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예정공정표·동원인력계획표</dc:title>
  <dcterms:created xmlns:dcterms="http://purl.org/dc/terms/" xmlns:xsi="http://www.w3.org/2001/XMLSchema-instance" xsi:type="dcterms:W3CDTF">2026-09-29T06:21:02Z</dcterms:created>
  <dcterms:modified xmlns:dcterms="http://purl.org/dc/terms/" xmlns:xsi="http://www.w3.org/2001/XMLSchema-instance" xsi:type="dcterms:W3CDTF">2026-09-29T06:21:03Z</dcterms:modified>
</cp:coreProperties>
</file>