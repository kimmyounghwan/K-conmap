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. 국토교통부(순천)-국도17호선 순천 서면 학구 등 4개소 낙석산사태 정비공사\11. 설계변경-ing\"/>
    </mc:Choice>
  </mc:AlternateContent>
  <xr:revisionPtr revIDLastSave="0" documentId="13_ncr:1_{A09CBA9E-8070-4AA2-A593-E91C75C21192}" xr6:coauthVersionLast="47" xr6:coauthVersionMax="47" xr10:uidLastSave="{00000000-0000-0000-0000-000000000000}"/>
  <bookViews>
    <workbookView xWindow="28680" yWindow="-120" windowWidth="29040" windowHeight="15720" xr2:uid="{B731E929-4B25-4033-88C2-F0647298FA30}"/>
  </bookViews>
  <sheets>
    <sheet name="공정표(총괄분)" sheetId="1" r:id="rId1"/>
    <sheet name="노무 장비 투입계획서(총괄분)" sheetId="2" r:id="rId2"/>
  </sheets>
  <definedNames>
    <definedName name="_xlnm.Print_Area" localSheetId="0">'공정표(총괄분)'!$A$1:$AV$50</definedName>
    <definedName name="_xlnm.Print_Area" localSheetId="1">'노무 장비 투입계획서(총괄분)'!$A$1:$AU$37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31" i="1" l="1"/>
  <c r="AK31" i="1"/>
  <c r="AH27" i="1"/>
  <c r="AE27" i="1"/>
  <c r="AY9" i="2"/>
  <c r="AY12" i="1"/>
  <c r="H18" i="2" l="1"/>
  <c r="H16" i="2"/>
  <c r="AW18" i="2" s="1"/>
  <c r="J74" i="2"/>
  <c r="M74" i="2"/>
  <c r="P74" i="2"/>
  <c r="S74" i="2"/>
  <c r="V74" i="2"/>
  <c r="Y74" i="2"/>
  <c r="AB74" i="2"/>
  <c r="AE74" i="2"/>
  <c r="AH74" i="2"/>
  <c r="AK74" i="2"/>
  <c r="M72" i="2"/>
  <c r="P72" i="2"/>
  <c r="S72" i="2"/>
  <c r="V72" i="2"/>
  <c r="Y72" i="2"/>
  <c r="AB72" i="2"/>
  <c r="AE72" i="2"/>
  <c r="AH72" i="2"/>
  <c r="AK72" i="2"/>
  <c r="J72" i="2"/>
  <c r="H72" i="2" s="1"/>
  <c r="J76" i="2" l="1"/>
  <c r="M76" i="2" s="1"/>
  <c r="H74" i="2"/>
  <c r="J78" i="2"/>
  <c r="M78" i="2" s="1"/>
  <c r="P78" i="2" s="1"/>
  <c r="S78" i="2" s="1"/>
  <c r="V78" i="2" s="1"/>
  <c r="Y78" i="2" s="1"/>
  <c r="AB78" i="2" s="1"/>
  <c r="AE78" i="2" s="1"/>
  <c r="AH78" i="2" s="1"/>
  <c r="AK78" i="2" s="1"/>
  <c r="H78" i="2" s="1"/>
  <c r="H70" i="2" l="1"/>
  <c r="H66" i="2"/>
  <c r="H62" i="2"/>
  <c r="H58" i="2"/>
  <c r="H54" i="2"/>
  <c r="J26" i="2"/>
  <c r="L26" i="2"/>
  <c r="M26" i="2"/>
  <c r="O26" i="2"/>
  <c r="P26" i="2"/>
  <c r="R26" i="2"/>
  <c r="S26" i="2"/>
  <c r="U26" i="2"/>
  <c r="V26" i="2"/>
  <c r="X26" i="2"/>
  <c r="Y26" i="2"/>
  <c r="AA26" i="2"/>
  <c r="AB26" i="2"/>
  <c r="AD26" i="2"/>
  <c r="AE26" i="2"/>
  <c r="AG26" i="2"/>
  <c r="AH26" i="2"/>
  <c r="AJ26" i="2"/>
  <c r="AK26" i="2"/>
  <c r="AM26" i="2"/>
  <c r="AM24" i="2"/>
  <c r="AK24" i="2"/>
  <c r="AG24" i="2"/>
  <c r="AE24" i="2"/>
  <c r="AA24" i="2"/>
  <c r="Y24" i="2"/>
  <c r="U24" i="2"/>
  <c r="S24" i="2"/>
  <c r="O24" i="2"/>
  <c r="M24" i="2"/>
  <c r="J24" i="2"/>
  <c r="L24" i="2"/>
  <c r="P24" i="2"/>
  <c r="R24" i="2"/>
  <c r="V24" i="2"/>
  <c r="X24" i="2"/>
  <c r="AB24" i="2"/>
  <c r="AD24" i="2"/>
  <c r="AH24" i="2"/>
  <c r="AJ24" i="2"/>
  <c r="H14" i="2"/>
  <c r="H26" i="2" l="1"/>
  <c r="AW15" i="1"/>
  <c r="H15" i="1" s="1"/>
  <c r="AW31" i="1"/>
  <c r="H31" i="1" s="1"/>
  <c r="AW27" i="1"/>
  <c r="H27" i="1" s="1"/>
  <c r="AW23" i="1"/>
  <c r="H23" i="1" s="1"/>
  <c r="AW19" i="1"/>
  <c r="H19" i="1" s="1"/>
  <c r="V15" i="1" l="1"/>
  <c r="J15" i="1"/>
  <c r="AE15" i="1"/>
  <c r="Y15" i="1"/>
  <c r="AB15" i="1"/>
  <c r="M15" i="1"/>
  <c r="P15" i="1"/>
  <c r="S15" i="1"/>
  <c r="Y19" i="1"/>
  <c r="AE19" i="1"/>
  <c r="S19" i="1"/>
  <c r="AB19" i="1"/>
  <c r="V19" i="1"/>
  <c r="AB27" i="1"/>
  <c r="AE31" i="1"/>
  <c r="M31" i="1"/>
  <c r="P31" i="1"/>
  <c r="J31" i="1"/>
  <c r="S31" i="1"/>
  <c r="V31" i="1"/>
  <c r="Y31" i="1"/>
  <c r="AB31" i="1"/>
  <c r="AQ39" i="1" l="1"/>
  <c r="AN39" i="1"/>
  <c r="AK39" i="1"/>
  <c r="AH39" i="1"/>
  <c r="AE39" i="1"/>
  <c r="AB39" i="1"/>
  <c r="Y39" i="1"/>
  <c r="V39" i="1"/>
  <c r="S39" i="1"/>
  <c r="P39" i="1"/>
  <c r="M39" i="1"/>
  <c r="J39" i="1"/>
  <c r="H68" i="2"/>
  <c r="H64" i="2"/>
  <c r="H60" i="2"/>
  <c r="H56" i="2"/>
  <c r="H52" i="2"/>
  <c r="J48" i="2"/>
  <c r="H12" i="2"/>
  <c r="AW14" i="2" s="1"/>
  <c r="AK10" i="2"/>
  <c r="AK50" i="2" s="1"/>
  <c r="AH10" i="2"/>
  <c r="AH50" i="2" s="1"/>
  <c r="AE10" i="2"/>
  <c r="AE50" i="2" s="1"/>
  <c r="AB10" i="2"/>
  <c r="AB50" i="2" s="1"/>
  <c r="Y10" i="2"/>
  <c r="Y50" i="2" s="1"/>
  <c r="V10" i="2"/>
  <c r="V50" i="2" s="1"/>
  <c r="S10" i="2"/>
  <c r="S50" i="2" s="1"/>
  <c r="P10" i="2"/>
  <c r="P50" i="2" s="1"/>
  <c r="M10" i="2"/>
  <c r="M50" i="2" s="1"/>
  <c r="E44" i="2"/>
  <c r="C37" i="2"/>
  <c r="C85" i="2" s="1"/>
  <c r="AQ37" i="1"/>
  <c r="AN37" i="1"/>
  <c r="AY11" i="1"/>
  <c r="J43" i="1" l="1"/>
  <c r="H39" i="1"/>
  <c r="AW29" i="1"/>
  <c r="AW13" i="1"/>
  <c r="H24" i="2"/>
  <c r="J28" i="2"/>
  <c r="M28" i="2" s="1"/>
  <c r="P28" i="2" s="1"/>
  <c r="S28" i="2" s="1"/>
  <c r="V28" i="2" s="1"/>
  <c r="Y28" i="2" s="1"/>
  <c r="AB28" i="2" s="1"/>
  <c r="AE28" i="2" s="1"/>
  <c r="AH28" i="2" s="1"/>
  <c r="AK28" i="2" s="1"/>
  <c r="J30" i="2"/>
  <c r="M30" i="2" s="1"/>
  <c r="P30" i="2" s="1"/>
  <c r="S30" i="2" s="1"/>
  <c r="V30" i="2" s="1"/>
  <c r="Y30" i="2" s="1"/>
  <c r="AB30" i="2" s="1"/>
  <c r="AE30" i="2" s="1"/>
  <c r="AH30" i="2" s="1"/>
  <c r="AK30" i="2" s="1"/>
  <c r="M43" i="1"/>
  <c r="P43" i="1" s="1"/>
  <c r="S43" i="1" s="1"/>
  <c r="V43" i="1" s="1"/>
  <c r="Y43" i="1" s="1"/>
  <c r="AB43" i="1" s="1"/>
  <c r="AE43" i="1" s="1"/>
  <c r="AH43" i="1" s="1"/>
  <c r="AK43" i="1" s="1"/>
  <c r="AN43" i="1" s="1"/>
  <c r="AQ43" i="1" s="1"/>
  <c r="P76" i="2"/>
  <c r="S76" i="2" s="1"/>
  <c r="V76" i="2" s="1"/>
  <c r="Y76" i="2" s="1"/>
  <c r="AB76" i="2" s="1"/>
  <c r="AE76" i="2" s="1"/>
  <c r="AH76" i="2" s="1"/>
  <c r="AK76" i="2" s="1"/>
  <c r="H76" i="2" s="1"/>
  <c r="AW25" i="1"/>
  <c r="AW21" i="1"/>
  <c r="AW17" i="1"/>
  <c r="AW78" i="2" l="1"/>
  <c r="P29" i="1"/>
  <c r="AB29" i="1"/>
  <c r="AK29" i="1"/>
  <c r="AK37" i="1" s="1"/>
  <c r="M29" i="1"/>
  <c r="AH29" i="1"/>
  <c r="J29" i="1"/>
  <c r="AE29" i="1"/>
  <c r="Y29" i="1"/>
  <c r="V29" i="1"/>
  <c r="S29" i="1"/>
  <c r="AH21" i="1"/>
  <c r="AE21" i="1"/>
  <c r="AB21" i="1"/>
  <c r="Y17" i="1"/>
  <c r="AE17" i="1"/>
  <c r="AB17" i="1"/>
  <c r="V17" i="1"/>
  <c r="S17" i="1"/>
  <c r="AB25" i="1"/>
  <c r="AH25" i="1"/>
  <c r="AE25" i="1"/>
  <c r="M13" i="1"/>
  <c r="P13" i="1"/>
  <c r="J13" i="1"/>
  <c r="AE13" i="1"/>
  <c r="Y13" i="1"/>
  <c r="AB13" i="1"/>
  <c r="V13" i="1"/>
  <c r="S13" i="1"/>
  <c r="S37" i="1" l="1"/>
  <c r="M37" i="1"/>
  <c r="AH37" i="1"/>
  <c r="AB37" i="1"/>
  <c r="P37" i="1"/>
  <c r="V37" i="1"/>
  <c r="Y37" i="1"/>
  <c r="J37" i="1"/>
  <c r="AE37" i="1"/>
  <c r="H37" i="1" l="1"/>
  <c r="J41" i="1"/>
  <c r="M41" i="1" s="1"/>
  <c r="P41" i="1" s="1"/>
  <c r="S41" i="1" s="1"/>
  <c r="V41" i="1" s="1"/>
  <c r="Y41" i="1" s="1"/>
  <c r="AB41" i="1" s="1"/>
  <c r="AE41" i="1" s="1"/>
  <c r="AH41" i="1" s="1"/>
  <c r="AK41" i="1" s="1"/>
  <c r="AN41" i="1" s="1"/>
  <c r="AQ41" i="1" s="1"/>
</calcChain>
</file>

<file path=xl/sharedStrings.xml><?xml version="1.0" encoding="utf-8"?>
<sst xmlns="http://schemas.openxmlformats.org/spreadsheetml/2006/main" count="86" uniqueCount="54">
  <si>
    <t>공  사  명</t>
    <phoneticPr fontId="7" type="noConversion"/>
  </si>
  <si>
    <t>:</t>
    <phoneticPr fontId="4" type="noConversion"/>
  </si>
  <si>
    <t xml:space="preserve">Ο 공사기간 : </t>
    <phoneticPr fontId="4" type="noConversion"/>
  </si>
  <si>
    <t xml:space="preserve"> </t>
    <phoneticPr fontId="4" type="noConversion"/>
  </si>
  <si>
    <t xml:space="preserve">  
                     월별
    공종
  </t>
    <phoneticPr fontId="4" type="noConversion"/>
  </si>
  <si>
    <t>보할
(%)</t>
    <phoneticPr fontId="4" type="noConversion"/>
  </si>
  <si>
    <t>공사기간</t>
    <phoneticPr fontId="7" type="noConversion"/>
  </si>
  <si>
    <t>비 고</t>
    <phoneticPr fontId="4" type="noConversion"/>
  </si>
  <si>
    <t>30일</t>
    <phoneticPr fontId="7" type="noConversion"/>
  </si>
  <si>
    <t>60일</t>
    <phoneticPr fontId="7" type="noConversion"/>
  </si>
  <si>
    <t>90일</t>
    <phoneticPr fontId="7" type="noConversion"/>
  </si>
  <si>
    <t>120일</t>
  </si>
  <si>
    <t>150일</t>
  </si>
  <si>
    <t>180일</t>
  </si>
  <si>
    <t>210일</t>
  </si>
  <si>
    <t>240일</t>
  </si>
  <si>
    <t>270일</t>
  </si>
  <si>
    <t>300일</t>
  </si>
  <si>
    <t>330일</t>
  </si>
  <si>
    <t>360일</t>
  </si>
  <si>
    <t>1공구</t>
    <phoneticPr fontId="4" type="noConversion"/>
  </si>
  <si>
    <t>2공구</t>
    <phoneticPr fontId="4" type="noConversion"/>
  </si>
  <si>
    <t>3공구</t>
    <phoneticPr fontId="4" type="noConversion"/>
  </si>
  <si>
    <t>4공구</t>
    <phoneticPr fontId="4" type="noConversion"/>
  </si>
  <si>
    <t>부대공</t>
    <phoneticPr fontId="7" type="noConversion"/>
  </si>
  <si>
    <t>계</t>
    <phoneticPr fontId="4" type="noConversion"/>
  </si>
  <si>
    <t>누  계</t>
    <phoneticPr fontId="4" type="noConversion"/>
  </si>
  <si>
    <t>주     소 :</t>
    <phoneticPr fontId="4" type="noConversion"/>
  </si>
  <si>
    <t>상     호 :</t>
    <phoneticPr fontId="4" type="noConversion"/>
  </si>
  <si>
    <t xml:space="preserve">대 표 이 사 : </t>
    <phoneticPr fontId="4" type="noConversion"/>
  </si>
  <si>
    <t>착공일로부터 300일</t>
    <phoneticPr fontId="4" type="noConversion"/>
  </si>
  <si>
    <t>1. 기  능  공</t>
    <phoneticPr fontId="4" type="noConversion"/>
  </si>
  <si>
    <t>2. 보 통 인 부</t>
    <phoneticPr fontId="4" type="noConversion"/>
  </si>
  <si>
    <t>누 계</t>
    <phoneticPr fontId="4" type="noConversion"/>
  </si>
  <si>
    <t>공사명</t>
  </si>
  <si>
    <t>:</t>
  </si>
  <si>
    <t>굴삭기</t>
    <phoneticPr fontId="4" type="noConversion"/>
  </si>
  <si>
    <t>대형브레이카</t>
    <phoneticPr fontId="4" type="noConversion"/>
  </si>
  <si>
    <t>크레인</t>
    <phoneticPr fontId="4" type="noConversion"/>
  </si>
  <si>
    <t>플레이트 콤팩터</t>
    <phoneticPr fontId="4" type="noConversion"/>
  </si>
  <si>
    <t>크로울러 드릴</t>
    <phoneticPr fontId="4" type="noConversion"/>
  </si>
  <si>
    <r>
      <t>동원인력 계획표 (</t>
    </r>
    <r>
      <rPr>
        <b/>
        <sz val="20"/>
        <color rgb="FFFF0000"/>
        <rFont val="굴림체"/>
        <family val="3"/>
        <charset val="129"/>
      </rPr>
      <t>변경</t>
    </r>
    <r>
      <rPr>
        <b/>
        <sz val="20"/>
        <rFont val="굴림체"/>
        <family val="3"/>
        <charset val="129"/>
      </rPr>
      <t>)</t>
    </r>
    <phoneticPr fontId="4" type="noConversion"/>
  </si>
  <si>
    <r>
      <t>장비투입계획서 (</t>
    </r>
    <r>
      <rPr>
        <b/>
        <sz val="20"/>
        <color rgb="FFFF0000"/>
        <rFont val="굴림체"/>
        <family val="3"/>
        <charset val="129"/>
      </rPr>
      <t>변경</t>
    </r>
    <r>
      <rPr>
        <b/>
        <sz val="20"/>
        <rFont val="굴림체"/>
        <family val="3"/>
        <charset val="129"/>
      </rPr>
      <t>)</t>
    </r>
    <phoneticPr fontId="4" type="noConversion"/>
  </si>
  <si>
    <t>2025년 05 월 20 일 ~ 2026년  03 월  15 일</t>
  </si>
  <si>
    <t>국도17호선 순천 서면 학구 등 4개소 낙석산사태 정비공사</t>
    <phoneticPr fontId="4" type="noConversion"/>
  </si>
  <si>
    <t>공사기간</t>
    <phoneticPr fontId="4" type="noConversion"/>
  </si>
  <si>
    <t>공 사 명</t>
    <phoneticPr fontId="4" type="noConversion"/>
  </si>
  <si>
    <r>
      <t>예 정 공 정 표 (</t>
    </r>
    <r>
      <rPr>
        <b/>
        <sz val="22"/>
        <color rgb="FFFF0000"/>
        <rFont val="굴림체"/>
        <family val="3"/>
        <charset val="129"/>
      </rPr>
      <t>변 경</t>
    </r>
    <r>
      <rPr>
        <b/>
        <sz val="22"/>
        <rFont val="굴림체"/>
        <family val="3"/>
      </rPr>
      <t>)</t>
    </r>
    <phoneticPr fontId="4" type="noConversion"/>
  </si>
  <si>
    <t xml:space="preserve">                                 
                  일별
    공종
  </t>
    <phoneticPr fontId="4" type="noConversion"/>
  </si>
  <si>
    <t>전라남도 장성군 장성읍 단풍로 190</t>
  </si>
  <si>
    <t>주식회사 에스지이테크</t>
  </si>
  <si>
    <t>황 종 태</t>
  </si>
  <si>
    <t>국도17호선 순천 서면 학구 등 4개소 낙석산사태 정비공사</t>
  </si>
  <si>
    <t>순천국토관리사무소장 귀하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</si>
</sst>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General&quot;일&quot;"/>
    <numFmt numFmtId="177" formatCode="0.0"/>
    <numFmt numFmtId="178" formatCode="0.00_ "/>
    <numFmt numFmtId="179" formatCode="0.0_ "/>
  </numFmts>
  <fonts count="29" x14ac:knownFonts="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40"/>
      <name val="굴림체"/>
      <family val="3"/>
      <charset val="129"/>
    </font>
    <font>
      <b/>
      <sz val="11"/>
      <name val="굴림체"/>
      <family val="3"/>
      <charset val="129"/>
    </font>
    <font>
      <sz val="8"/>
      <name val="맑은 고딕"/>
      <family val="3"/>
      <charset val="129"/>
    </font>
    <font>
      <b/>
      <sz val="11"/>
      <name val="돋움"/>
      <family val="3"/>
      <charset val="129"/>
    </font>
    <font>
      <sz val="10"/>
      <name val="굴림체"/>
      <family val="3"/>
      <charset val="129"/>
    </font>
    <font>
      <b/>
      <sz val="10"/>
      <name val="돋움"/>
      <family val="3"/>
      <charset val="129"/>
    </font>
    <font>
      <sz val="8"/>
      <name val="굴림체"/>
      <family val="3"/>
      <charset val="129"/>
    </font>
    <font>
      <sz val="6"/>
      <name val="굴림체"/>
      <family val="3"/>
      <charset val="129"/>
    </font>
    <font>
      <sz val="12"/>
      <name val="굴림체"/>
      <family val="3"/>
      <charset val="129"/>
    </font>
    <font>
      <b/>
      <sz val="16"/>
      <name val="굴림체"/>
      <family val="3"/>
      <charset val="129"/>
    </font>
    <font>
      <u/>
      <sz val="16"/>
      <color indexed="8"/>
      <name val="HY헤드라인M"/>
      <family val="1"/>
      <charset val="129"/>
    </font>
    <font>
      <b/>
      <sz val="26"/>
      <name val="굴림체"/>
      <family val="3"/>
    </font>
    <font>
      <sz val="12"/>
      <name val="굴림체"/>
      <family val="3"/>
    </font>
    <font>
      <b/>
      <sz val="12"/>
      <name val="굴림체"/>
      <family val="3"/>
    </font>
    <font>
      <sz val="10"/>
      <name val="돋움"/>
      <family val="3"/>
      <charset val="129"/>
    </font>
    <font>
      <b/>
      <sz val="22"/>
      <name val="굴림체"/>
      <family val="3"/>
    </font>
    <font>
      <sz val="11"/>
      <color rgb="FFFF0000"/>
      <name val="돋움"/>
      <family val="3"/>
      <charset val="129"/>
    </font>
    <font>
      <sz val="11"/>
      <color rgb="FFFF0000"/>
      <name val="굴림체"/>
      <family val="3"/>
      <charset val="129"/>
    </font>
    <font>
      <b/>
      <sz val="22"/>
      <color rgb="FFFF0000"/>
      <name val="굴림체"/>
      <family val="3"/>
      <charset val="129"/>
    </font>
    <font>
      <b/>
      <sz val="20"/>
      <name val="굴림체"/>
      <family val="3"/>
    </font>
    <font>
      <b/>
      <sz val="20"/>
      <color rgb="FFFF0000"/>
      <name val="굴림체"/>
      <family val="3"/>
      <charset val="129"/>
    </font>
    <font>
      <b/>
      <sz val="2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1"/>
      <name val="굴림체"/>
      <family val="3"/>
    </font>
  </fonts>
  <fills count="2">
    <fill>
      <patternFill patternType="none"/>
    </fill>
    <fill>
      <patternFill patternType="gray125"/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/>
  </cellStyleXfs>
  <cellXfs count="157">
    <xf numFmtId="0" fontId="0" fillId="0" borderId="0" xfId="0">
      <alignment vertical="center"/>
    </xf>
    <xf numFmtId="0" fontId="3" fillId="0" borderId="0" xfId="3" applyFont="1" applyAlignment="1">
      <alignment vertical="center"/>
    </xf>
    <xf numFmtId="0" fontId="5" fillId="0" borderId="0" xfId="3" applyFont="1" applyAlignment="1">
      <alignment vertical="center"/>
    </xf>
    <xf numFmtId="0" fontId="6" fillId="0" borderId="0" xfId="3" applyFont="1" applyAlignment="1">
      <alignment horizontal="center" vertical="center"/>
    </xf>
    <xf numFmtId="0" fontId="6" fillId="0" borderId="0" xfId="3" applyFont="1" applyAlignment="1">
      <alignment vertical="center"/>
    </xf>
    <xf numFmtId="0" fontId="3" fillId="0" borderId="0" xfId="3" applyFont="1"/>
    <xf numFmtId="0" fontId="3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 justifyLastLine="1"/>
    </xf>
    <xf numFmtId="2" fontId="3" fillId="0" borderId="0" xfId="3" applyNumberFormat="1" applyFont="1"/>
    <xf numFmtId="0" fontId="9" fillId="0" borderId="0" xfId="3" applyFont="1" applyAlignment="1">
      <alignment vertical="center"/>
    </xf>
    <xf numFmtId="0" fontId="11" fillId="0" borderId="0" xfId="3" applyFont="1" applyAlignment="1">
      <alignment horizontal="center" vertical="center" shrinkToFit="1"/>
    </xf>
    <xf numFmtId="0" fontId="12" fillId="0" borderId="0" xfId="3" applyFont="1" applyAlignment="1">
      <alignment horizontal="center" vertical="center"/>
    </xf>
    <xf numFmtId="0" fontId="13" fillId="0" borderId="0" xfId="3" applyFont="1" applyAlignment="1">
      <alignment vertical="center"/>
    </xf>
    <xf numFmtId="0" fontId="14" fillId="0" borderId="0" xfId="3" applyFont="1"/>
    <xf numFmtId="0" fontId="13" fillId="0" borderId="0" xfId="3" applyFont="1" applyAlignment="1">
      <alignment horizontal="left" vertical="center"/>
    </xf>
    <xf numFmtId="0" fontId="15" fillId="0" borderId="0" xfId="0" applyFont="1">
      <alignment vertical="center"/>
    </xf>
    <xf numFmtId="0" fontId="3" fillId="0" borderId="0" xfId="3" applyFont="1" applyAlignment="1">
      <alignment horizontal="left"/>
    </xf>
    <xf numFmtId="0" fontId="16" fillId="0" borderId="0" xfId="3" applyFont="1" applyAlignment="1">
      <alignment vertical="center"/>
    </xf>
    <xf numFmtId="0" fontId="17" fillId="0" borderId="0" xfId="3" applyFont="1" applyAlignment="1">
      <alignment vertical="center"/>
    </xf>
    <xf numFmtId="0" fontId="18" fillId="0" borderId="0" xfId="3" applyFont="1" applyAlignment="1">
      <alignment vertical="center"/>
    </xf>
    <xf numFmtId="41" fontId="3" fillId="0" borderId="0" xfId="1" applyFont="1" applyAlignment="1">
      <alignment vertical="center"/>
    </xf>
    <xf numFmtId="0" fontId="18" fillId="0" borderId="0" xfId="3" applyFont="1" applyAlignment="1">
      <alignment horizontal="center" vertical="center"/>
    </xf>
    <xf numFmtId="0" fontId="6" fillId="0" borderId="0" xfId="3" applyFont="1"/>
    <xf numFmtId="20" fontId="8" fillId="0" borderId="0" xfId="0" applyNumberFormat="1" applyFont="1">
      <alignment vertical="center"/>
    </xf>
    <xf numFmtId="0" fontId="8" fillId="0" borderId="0" xfId="0" applyFont="1">
      <alignment vertical="center"/>
    </xf>
    <xf numFmtId="0" fontId="22" fillId="0" borderId="0" xfId="3" applyFont="1"/>
    <xf numFmtId="0" fontId="27" fillId="0" borderId="0" xfId="3" applyFont="1" applyAlignment="1">
      <alignment horizontal="left" vertical="center" wrapText="1" justifyLastLine="1"/>
    </xf>
    <xf numFmtId="0" fontId="21" fillId="0" borderId="0" xfId="0" applyFont="1">
      <alignment vertical="center"/>
    </xf>
    <xf numFmtId="20" fontId="8" fillId="0" borderId="0" xfId="0" applyNumberFormat="1" applyFont="1" applyAlignment="1">
      <alignment horizontal="center" vertical="center"/>
    </xf>
    <xf numFmtId="41" fontId="3" fillId="0" borderId="0" xfId="3" applyNumberFormat="1" applyFont="1"/>
    <xf numFmtId="41" fontId="22" fillId="0" borderId="0" xfId="1" applyFont="1" applyAlignment="1">
      <alignment vertical="center"/>
    </xf>
    <xf numFmtId="10" fontId="3" fillId="0" borderId="0" xfId="3" applyNumberFormat="1" applyFont="1" applyAlignment="1">
      <alignment vertical="center"/>
    </xf>
    <xf numFmtId="1" fontId="3" fillId="0" borderId="0" xfId="3" applyNumberFormat="1" applyFont="1"/>
    <xf numFmtId="41" fontId="0" fillId="0" borderId="1" xfId="1" applyFont="1" applyBorder="1" applyAlignment="1">
      <alignment horizontal="center" vertical="center"/>
    </xf>
    <xf numFmtId="41" fontId="21" fillId="0" borderId="1" xfId="1" applyFont="1" applyBorder="1" applyAlignment="1">
      <alignment horizontal="center" vertical="center"/>
    </xf>
    <xf numFmtId="3" fontId="22" fillId="0" borderId="13" xfId="3" applyNumberFormat="1" applyFont="1" applyBorder="1" applyAlignment="1">
      <alignment horizontal="center" vertical="center"/>
    </xf>
    <xf numFmtId="3" fontId="22" fillId="0" borderId="14" xfId="3" applyNumberFormat="1" applyFont="1" applyBorder="1" applyAlignment="1">
      <alignment horizontal="center" vertical="center"/>
    </xf>
    <xf numFmtId="178" fontId="21" fillId="0" borderId="11" xfId="0" applyNumberFormat="1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3" fillId="0" borderId="0" xfId="3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9" fontId="21" fillId="0" borderId="11" xfId="0" applyNumberFormat="1" applyFont="1" applyBorder="1" applyAlignment="1">
      <alignment horizontal="center" vertical="center"/>
    </xf>
    <xf numFmtId="10" fontId="21" fillId="0" borderId="1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9" fontId="0" fillId="0" borderId="10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" fontId="0" fillId="0" borderId="10" xfId="2" applyNumberFormat="1" applyFont="1" applyBorder="1" applyAlignment="1">
      <alignment horizontal="center" vertical="center"/>
    </xf>
    <xf numFmtId="2" fontId="0" fillId="0" borderId="11" xfId="2" applyNumberFormat="1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/>
    <xf numFmtId="0" fontId="0" fillId="0" borderId="12" xfId="0" applyBorder="1" applyAlignment="1"/>
    <xf numFmtId="0" fontId="0" fillId="0" borderId="10" xfId="0" applyBorder="1" applyAlignment="1">
      <alignment horizontal="center"/>
    </xf>
    <xf numFmtId="177" fontId="0" fillId="0" borderId="10" xfId="0" applyNumberFormat="1" applyBorder="1" applyAlignment="1"/>
    <xf numFmtId="177" fontId="0" fillId="0" borderId="11" xfId="0" applyNumberFormat="1" applyBorder="1" applyAlignment="1"/>
    <xf numFmtId="2" fontId="21" fillId="0" borderId="11" xfId="2" applyNumberFormat="1" applyFont="1" applyBorder="1" applyAlignment="1">
      <alignment horizontal="center" vertical="center"/>
    </xf>
    <xf numFmtId="2" fontId="21" fillId="0" borderId="12" xfId="2" applyNumberFormat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1" fillId="0" borderId="15" xfId="0" applyFont="1" applyBorder="1" applyAlignment="1">
      <alignment horizontal="center"/>
    </xf>
    <xf numFmtId="0" fontId="21" fillId="0" borderId="16" xfId="0" applyFont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177" fontId="21" fillId="0" borderId="11" xfId="0" applyNumberFormat="1" applyFont="1" applyBorder="1" applyAlignment="1"/>
    <xf numFmtId="177" fontId="21" fillId="0" borderId="12" xfId="0" applyNumberFormat="1" applyFont="1" applyBorder="1" applyAlignment="1"/>
    <xf numFmtId="0" fontId="21" fillId="0" borderId="11" xfId="0" applyFont="1" applyBorder="1" applyAlignment="1">
      <alignment horizontal="center"/>
    </xf>
    <xf numFmtId="0" fontId="21" fillId="0" borderId="12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21" fillId="0" borderId="20" xfId="0" applyFont="1" applyBorder="1" applyAlignment="1">
      <alignment horizontal="center"/>
    </xf>
    <xf numFmtId="0" fontId="21" fillId="0" borderId="21" xfId="0" applyFont="1" applyBorder="1" applyAlignment="1">
      <alignment horizontal="center"/>
    </xf>
    <xf numFmtId="0" fontId="21" fillId="0" borderId="22" xfId="0" applyFont="1" applyBorder="1" applyAlignment="1">
      <alignment horizontal="center"/>
    </xf>
    <xf numFmtId="0" fontId="21" fillId="0" borderId="23" xfId="0" applyFont="1" applyBorder="1" applyAlignment="1">
      <alignment horizontal="center"/>
    </xf>
    <xf numFmtId="177" fontId="0" fillId="0" borderId="11" xfId="0" applyNumberFormat="1" applyBorder="1" applyAlignment="1">
      <alignment horizontal="center"/>
    </xf>
    <xf numFmtId="177" fontId="0" fillId="0" borderId="12" xfId="0" applyNumberFormat="1" applyBorder="1" applyAlignment="1">
      <alignment horizontal="center"/>
    </xf>
    <xf numFmtId="41" fontId="21" fillId="0" borderId="11" xfId="0" applyNumberFormat="1" applyFont="1" applyBorder="1" applyAlignment="1">
      <alignment horizontal="center"/>
    </xf>
    <xf numFmtId="41" fontId="21" fillId="0" borderId="12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 vertical="center"/>
    </xf>
    <xf numFmtId="0" fontId="21" fillId="0" borderId="11" xfId="0" applyFont="1" applyBorder="1" applyAlignment="1"/>
    <xf numFmtId="0" fontId="21" fillId="0" borderId="12" xfId="0" applyFont="1" applyBorder="1" applyAlignment="1"/>
    <xf numFmtId="2" fontId="0" fillId="0" borderId="12" xfId="2" applyNumberFormat="1" applyFont="1" applyBorder="1" applyAlignment="1">
      <alignment horizontal="center" vertical="center"/>
    </xf>
    <xf numFmtId="0" fontId="0" fillId="0" borderId="10" xfId="0" applyBorder="1" applyAlignment="1"/>
    <xf numFmtId="176" fontId="10" fillId="0" borderId="2" xfId="0" applyNumberFormat="1" applyFont="1" applyBorder="1" applyAlignment="1">
      <alignment horizontal="center" vertical="center"/>
    </xf>
    <xf numFmtId="176" fontId="10" fillId="0" borderId="3" xfId="0" applyNumberFormat="1" applyFont="1" applyBorder="1" applyAlignment="1">
      <alignment horizontal="center" vertical="center"/>
    </xf>
    <xf numFmtId="176" fontId="10" fillId="0" borderId="4" xfId="0" applyNumberFormat="1" applyFont="1" applyBorder="1" applyAlignment="1">
      <alignment horizontal="center" vertical="center"/>
    </xf>
    <xf numFmtId="176" fontId="10" fillId="0" borderId="5" xfId="0" applyNumberFormat="1" applyFont="1" applyBorder="1" applyAlignment="1">
      <alignment horizontal="center" vertical="center"/>
    </xf>
    <xf numFmtId="176" fontId="10" fillId="0" borderId="6" xfId="0" applyNumberFormat="1" applyFont="1" applyBorder="1" applyAlignment="1">
      <alignment horizontal="center" vertical="center"/>
    </xf>
    <xf numFmtId="176" fontId="10" fillId="0" borderId="7" xfId="0" applyNumberFormat="1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3" fillId="0" borderId="0" xfId="3" applyFont="1" applyAlignment="1">
      <alignment horizontal="center"/>
    </xf>
    <xf numFmtId="0" fontId="21" fillId="0" borderId="15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21" fillId="0" borderId="11" xfId="0" applyFont="1" applyBorder="1">
      <alignment vertical="center"/>
    </xf>
    <xf numFmtId="0" fontId="21" fillId="0" borderId="12" xfId="0" applyFont="1" applyBorder="1">
      <alignment vertical="center"/>
    </xf>
    <xf numFmtId="0" fontId="24" fillId="0" borderId="0" xfId="3" applyFont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176" fontId="19" fillId="0" borderId="13" xfId="0" applyNumberFormat="1" applyFont="1" applyBorder="1" applyAlignment="1">
      <alignment horizontal="center" vertical="center"/>
    </xf>
    <xf numFmtId="176" fontId="19" fillId="0" borderId="14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</cellXfs>
  <cellStyles count="4">
    <cellStyle name="백분율" xfId="2" builtinId="5"/>
    <cellStyle name="쉼표 [0]" xfId="1" builtinId="6"/>
    <cellStyle name="표준" xfId="0" builtinId="0"/>
    <cellStyle name="표준_공정표" xfId="3" xr:uid="{003E8B18-950B-4E8C-8DAA-2162F79360C1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48</xdr:col>
      <xdr:colOff>0</xdr:colOff>
      <xdr:row>48</xdr:row>
      <xdr:rowOff>0</xdr:rowOff>
    </xdr:from>
    <xdr:to>
      <xdr:col>48</xdr:col>
      <xdr:colOff>0</xdr:colOff>
      <xdr:row>48</xdr:row>
      <xdr:rowOff>0</xdr:rowOff>
    </xdr:to>
    <xdr:sp macro="" textlink="">
      <xdr:nvSpPr>
        <xdr:cNvPr id="2" name="Line 12">
          <a:extLst>
            <a:ext uri="{FF2B5EF4-FFF2-40B4-BE49-F238E27FC236}">
              <a16:creationId xmlns:a16="http://schemas.microsoft.com/office/drawing/2014/main" id="{A0CA3304-96DC-4D7B-AAA0-C390E4830E51}"/>
            </a:ext>
          </a:extLst>
        </xdr:cNvPr>
        <xdr:cNvSpPr>
          <a:spLocks noChangeShapeType="1"/>
        </xdr:cNvSpPr>
      </xdr:nvSpPr>
      <xdr:spPr bwMode="auto">
        <a:xfrm>
          <a:off x="11077575" y="760095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0</xdr:colOff>
      <xdr:row>46</xdr:row>
      <xdr:rowOff>123825</xdr:rowOff>
    </xdr:from>
    <xdr:to>
      <xdr:col>48</xdr:col>
      <xdr:colOff>0</xdr:colOff>
      <xdr:row>46</xdr:row>
      <xdr:rowOff>123825</xdr:rowOff>
    </xdr:to>
    <xdr:sp macro="" textlink="">
      <xdr:nvSpPr>
        <xdr:cNvPr id="3" name="Line 16">
          <a:extLst>
            <a:ext uri="{FF2B5EF4-FFF2-40B4-BE49-F238E27FC236}">
              <a16:creationId xmlns:a16="http://schemas.microsoft.com/office/drawing/2014/main" id="{503C4B80-46CE-4915-9290-05751EE7DFB1}"/>
            </a:ext>
          </a:extLst>
        </xdr:cNvPr>
        <xdr:cNvSpPr>
          <a:spLocks noChangeShapeType="1"/>
        </xdr:cNvSpPr>
      </xdr:nvSpPr>
      <xdr:spPr bwMode="auto">
        <a:xfrm>
          <a:off x="11077575" y="7019925"/>
          <a:ext cx="0" cy="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0</xdr:colOff>
      <xdr:row>46</xdr:row>
      <xdr:rowOff>0</xdr:rowOff>
    </xdr:from>
    <xdr:to>
      <xdr:col>48</xdr:col>
      <xdr:colOff>0</xdr:colOff>
      <xdr:row>46</xdr:row>
      <xdr:rowOff>0</xdr:rowOff>
    </xdr:to>
    <xdr:sp macro="" textlink="">
      <xdr:nvSpPr>
        <xdr:cNvPr id="4" name="Line 12">
          <a:extLst>
            <a:ext uri="{FF2B5EF4-FFF2-40B4-BE49-F238E27FC236}">
              <a16:creationId xmlns:a16="http://schemas.microsoft.com/office/drawing/2014/main" id="{577E461F-FA5A-41B9-9698-2AFE738811D1}"/>
            </a:ext>
          </a:extLst>
        </xdr:cNvPr>
        <xdr:cNvSpPr>
          <a:spLocks noChangeShapeType="1"/>
        </xdr:cNvSpPr>
      </xdr:nvSpPr>
      <xdr:spPr bwMode="auto">
        <a:xfrm>
          <a:off x="11077575" y="689610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0</xdr:colOff>
      <xdr:row>43</xdr:row>
      <xdr:rowOff>123825</xdr:rowOff>
    </xdr:from>
    <xdr:to>
      <xdr:col>48</xdr:col>
      <xdr:colOff>0</xdr:colOff>
      <xdr:row>43</xdr:row>
      <xdr:rowOff>123825</xdr:rowOff>
    </xdr:to>
    <xdr:sp macro="" textlink="">
      <xdr:nvSpPr>
        <xdr:cNvPr id="5" name="Line 16">
          <a:extLst>
            <a:ext uri="{FF2B5EF4-FFF2-40B4-BE49-F238E27FC236}">
              <a16:creationId xmlns:a16="http://schemas.microsoft.com/office/drawing/2014/main" id="{02FBEF64-095B-4574-81B1-457D65A9680A}"/>
            </a:ext>
          </a:extLst>
        </xdr:cNvPr>
        <xdr:cNvSpPr>
          <a:spLocks noChangeShapeType="1"/>
        </xdr:cNvSpPr>
      </xdr:nvSpPr>
      <xdr:spPr bwMode="auto">
        <a:xfrm>
          <a:off x="11077575" y="6648450"/>
          <a:ext cx="0" cy="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11430</xdr:colOff>
      <xdr:row>8</xdr:row>
      <xdr:rowOff>19050</xdr:rowOff>
    </xdr:from>
    <xdr:to>
      <xdr:col>7</xdr:col>
      <xdr:colOff>11</xdr:colOff>
      <xdr:row>12</xdr:row>
      <xdr:rowOff>0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C20EF89C-920F-49B3-AB40-3CD021180FBF}"/>
            </a:ext>
          </a:extLst>
        </xdr:cNvPr>
        <xdr:cNvCxnSpPr/>
      </xdr:nvCxnSpPr>
      <xdr:spPr>
        <a:xfrm>
          <a:off x="354330" y="1819275"/>
          <a:ext cx="1922156" cy="781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0</xdr:colOff>
      <xdr:row>48</xdr:row>
      <xdr:rowOff>0</xdr:rowOff>
    </xdr:from>
    <xdr:to>
      <xdr:col>43</xdr:col>
      <xdr:colOff>0</xdr:colOff>
      <xdr:row>48</xdr:row>
      <xdr:rowOff>0</xdr:rowOff>
    </xdr:to>
    <xdr:sp macro="" textlink="">
      <xdr:nvSpPr>
        <xdr:cNvPr id="7" name="Line 12">
          <a:extLst>
            <a:ext uri="{FF2B5EF4-FFF2-40B4-BE49-F238E27FC236}">
              <a16:creationId xmlns:a16="http://schemas.microsoft.com/office/drawing/2014/main" id="{462F4DB6-DD05-4F34-B8AF-0DD14C26F51A}"/>
            </a:ext>
          </a:extLst>
        </xdr:cNvPr>
        <xdr:cNvSpPr>
          <a:spLocks noChangeShapeType="1"/>
        </xdr:cNvSpPr>
      </xdr:nvSpPr>
      <xdr:spPr bwMode="auto">
        <a:xfrm>
          <a:off x="9896475" y="760095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43</xdr:col>
      <xdr:colOff>0</xdr:colOff>
      <xdr:row>46</xdr:row>
      <xdr:rowOff>123825</xdr:rowOff>
    </xdr:from>
    <xdr:to>
      <xdr:col>43</xdr:col>
      <xdr:colOff>0</xdr:colOff>
      <xdr:row>46</xdr:row>
      <xdr:rowOff>123825</xdr:rowOff>
    </xdr:to>
    <xdr:sp macro="" textlink="">
      <xdr:nvSpPr>
        <xdr:cNvPr id="8" name="Line 16">
          <a:extLst>
            <a:ext uri="{FF2B5EF4-FFF2-40B4-BE49-F238E27FC236}">
              <a16:creationId xmlns:a16="http://schemas.microsoft.com/office/drawing/2014/main" id="{AF625691-C57C-42C5-8B6D-9BD3503D4FBF}"/>
            </a:ext>
          </a:extLst>
        </xdr:cNvPr>
        <xdr:cNvSpPr>
          <a:spLocks noChangeShapeType="1"/>
        </xdr:cNvSpPr>
      </xdr:nvSpPr>
      <xdr:spPr bwMode="auto">
        <a:xfrm>
          <a:off x="9896475" y="7019925"/>
          <a:ext cx="0" cy="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40</xdr:col>
      <xdr:colOff>0</xdr:colOff>
      <xdr:row>48</xdr:row>
      <xdr:rowOff>0</xdr:rowOff>
    </xdr:from>
    <xdr:to>
      <xdr:col>40</xdr:col>
      <xdr:colOff>0</xdr:colOff>
      <xdr:row>48</xdr:row>
      <xdr:rowOff>0</xdr:rowOff>
    </xdr:to>
    <xdr:sp macro="" textlink="">
      <xdr:nvSpPr>
        <xdr:cNvPr id="9" name="Line 12">
          <a:extLst>
            <a:ext uri="{FF2B5EF4-FFF2-40B4-BE49-F238E27FC236}">
              <a16:creationId xmlns:a16="http://schemas.microsoft.com/office/drawing/2014/main" id="{6027CED3-EE2D-4DA9-80F2-7E302F2A6AEB}"/>
            </a:ext>
          </a:extLst>
        </xdr:cNvPr>
        <xdr:cNvSpPr>
          <a:spLocks noChangeShapeType="1"/>
        </xdr:cNvSpPr>
      </xdr:nvSpPr>
      <xdr:spPr bwMode="auto">
        <a:xfrm>
          <a:off x="9896475" y="760095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40</xdr:col>
      <xdr:colOff>0</xdr:colOff>
      <xdr:row>46</xdr:row>
      <xdr:rowOff>123825</xdr:rowOff>
    </xdr:from>
    <xdr:to>
      <xdr:col>40</xdr:col>
      <xdr:colOff>0</xdr:colOff>
      <xdr:row>46</xdr:row>
      <xdr:rowOff>123825</xdr:rowOff>
    </xdr:to>
    <xdr:sp macro="" textlink="">
      <xdr:nvSpPr>
        <xdr:cNvPr id="10" name="Line 16">
          <a:extLst>
            <a:ext uri="{FF2B5EF4-FFF2-40B4-BE49-F238E27FC236}">
              <a16:creationId xmlns:a16="http://schemas.microsoft.com/office/drawing/2014/main" id="{4F13417E-A72B-40E5-92D5-69CF313E056B}"/>
            </a:ext>
          </a:extLst>
        </xdr:cNvPr>
        <xdr:cNvSpPr>
          <a:spLocks noChangeShapeType="1"/>
        </xdr:cNvSpPr>
      </xdr:nvSpPr>
      <xdr:spPr bwMode="auto">
        <a:xfrm>
          <a:off x="9896475" y="7019925"/>
          <a:ext cx="0" cy="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37</xdr:col>
      <xdr:colOff>0</xdr:colOff>
      <xdr:row>48</xdr:row>
      <xdr:rowOff>0</xdr:rowOff>
    </xdr:from>
    <xdr:to>
      <xdr:col>37</xdr:col>
      <xdr:colOff>0</xdr:colOff>
      <xdr:row>48</xdr:row>
      <xdr:rowOff>0</xdr:rowOff>
    </xdr:to>
    <xdr:sp macro="" textlink="">
      <xdr:nvSpPr>
        <xdr:cNvPr id="11" name="Line 12">
          <a:extLst>
            <a:ext uri="{FF2B5EF4-FFF2-40B4-BE49-F238E27FC236}">
              <a16:creationId xmlns:a16="http://schemas.microsoft.com/office/drawing/2014/main" id="{F27E7B43-7836-4C70-A253-73DBB2219AD8}"/>
            </a:ext>
          </a:extLst>
        </xdr:cNvPr>
        <xdr:cNvSpPr>
          <a:spLocks noChangeShapeType="1"/>
        </xdr:cNvSpPr>
      </xdr:nvSpPr>
      <xdr:spPr bwMode="auto">
        <a:xfrm>
          <a:off x="9439275" y="760095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37</xdr:col>
      <xdr:colOff>0</xdr:colOff>
      <xdr:row>46</xdr:row>
      <xdr:rowOff>123825</xdr:rowOff>
    </xdr:from>
    <xdr:to>
      <xdr:col>37</xdr:col>
      <xdr:colOff>0</xdr:colOff>
      <xdr:row>46</xdr:row>
      <xdr:rowOff>123825</xdr:rowOff>
    </xdr:to>
    <xdr:sp macro="" textlink="">
      <xdr:nvSpPr>
        <xdr:cNvPr id="12" name="Line 16">
          <a:extLst>
            <a:ext uri="{FF2B5EF4-FFF2-40B4-BE49-F238E27FC236}">
              <a16:creationId xmlns:a16="http://schemas.microsoft.com/office/drawing/2014/main" id="{65D28CDC-0200-427E-8FD2-7210F3B7B658}"/>
            </a:ext>
          </a:extLst>
        </xdr:cNvPr>
        <xdr:cNvSpPr>
          <a:spLocks noChangeShapeType="1"/>
        </xdr:cNvSpPr>
      </xdr:nvSpPr>
      <xdr:spPr bwMode="auto">
        <a:xfrm>
          <a:off x="9439275" y="7019925"/>
          <a:ext cx="0" cy="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228599</xdr:colOff>
      <xdr:row>16</xdr:row>
      <xdr:rowOff>76200</xdr:rowOff>
    </xdr:from>
    <xdr:to>
      <xdr:col>33</xdr:col>
      <xdr:colOff>0</xdr:colOff>
      <xdr:row>16</xdr:row>
      <xdr:rowOff>121919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10A8AC59-C0F7-4DE8-A260-03694075B51B}"/>
            </a:ext>
          </a:extLst>
        </xdr:cNvPr>
        <xdr:cNvSpPr/>
      </xdr:nvSpPr>
      <xdr:spPr>
        <a:xfrm>
          <a:off x="5095874" y="2495550"/>
          <a:ext cx="3429001" cy="45719"/>
        </a:xfrm>
        <a:prstGeom prst="rect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/>
          <a:endParaRPr lang="ko-KR" altLang="en-US" sz="1100">
            <a:solidFill>
              <a:srgbClr val="EE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380999</xdr:colOff>
      <xdr:row>28</xdr:row>
      <xdr:rowOff>47624</xdr:rowOff>
    </xdr:from>
    <xdr:to>
      <xdr:col>38</xdr:col>
      <xdr:colOff>200024</xdr:colOff>
      <xdr:row>28</xdr:row>
      <xdr:rowOff>93343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376D15CB-A60B-4EF0-B1FC-9ECC438D0815}"/>
            </a:ext>
          </a:extLst>
        </xdr:cNvPr>
        <xdr:cNvSpPr/>
      </xdr:nvSpPr>
      <xdr:spPr>
        <a:xfrm>
          <a:off x="3038474" y="4067174"/>
          <a:ext cx="6829425" cy="45719"/>
        </a:xfrm>
        <a:prstGeom prst="rect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ko-KR" altLang="en-US">
            <a:solidFill>
              <a:srgbClr val="EE0000"/>
            </a:solidFill>
          </a:endParaRPr>
        </a:p>
      </xdr:txBody>
    </xdr:sp>
    <xdr:clientData/>
  </xdr:twoCellAnchor>
  <xdr:twoCellAnchor>
    <xdr:from>
      <xdr:col>8</xdr:col>
      <xdr:colOff>380999</xdr:colOff>
      <xdr:row>12</xdr:row>
      <xdr:rowOff>76200</xdr:rowOff>
    </xdr:from>
    <xdr:to>
      <xdr:col>32</xdr:col>
      <xdr:colOff>219074</xdr:colOff>
      <xdr:row>12</xdr:row>
      <xdr:rowOff>121919</xdr:rowOff>
    </xdr:to>
    <xdr:sp macro="" textlink="">
      <xdr:nvSpPr>
        <xdr:cNvPr id="18" name="직사각형 17">
          <a:extLst>
            <a:ext uri="{FF2B5EF4-FFF2-40B4-BE49-F238E27FC236}">
              <a16:creationId xmlns:a16="http://schemas.microsoft.com/office/drawing/2014/main" id="{BC2ACD80-DEC8-9FC3-6574-5B76B2955823}"/>
            </a:ext>
          </a:extLst>
        </xdr:cNvPr>
        <xdr:cNvSpPr/>
      </xdr:nvSpPr>
      <xdr:spPr>
        <a:xfrm>
          <a:off x="3038474" y="1962150"/>
          <a:ext cx="5476875" cy="45719"/>
        </a:xfrm>
        <a:prstGeom prst="rect">
          <a:avLst/>
        </a:prstGeom>
        <a:solidFill>
          <a:srgbClr val="0000FF"/>
        </a:solidFill>
        <a:ln>
          <a:solidFill>
            <a:srgbClr val="00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/>
          <a:endParaRPr lang="ko-KR" altLang="en-US" sz="1100">
            <a:solidFill>
              <a:srgbClr val="EE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26</xdr:col>
      <xdr:colOff>219074</xdr:colOff>
      <xdr:row>20</xdr:row>
      <xdr:rowOff>66675</xdr:rowOff>
    </xdr:from>
    <xdr:to>
      <xdr:col>35</xdr:col>
      <xdr:colOff>219075</xdr:colOff>
      <xdr:row>20</xdr:row>
      <xdr:rowOff>112394</xdr:rowOff>
    </xdr:to>
    <xdr:sp macro="" textlink="">
      <xdr:nvSpPr>
        <xdr:cNvPr id="19" name="직사각형 18">
          <a:extLst>
            <a:ext uri="{FF2B5EF4-FFF2-40B4-BE49-F238E27FC236}">
              <a16:creationId xmlns:a16="http://schemas.microsoft.com/office/drawing/2014/main" id="{DE04DAFE-18A4-DF18-1194-DB61C2FE76D4}"/>
            </a:ext>
          </a:extLst>
        </xdr:cNvPr>
        <xdr:cNvSpPr/>
      </xdr:nvSpPr>
      <xdr:spPr>
        <a:xfrm>
          <a:off x="7143749" y="3019425"/>
          <a:ext cx="2057401" cy="45719"/>
        </a:xfrm>
        <a:prstGeom prst="rect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/>
          <a:endParaRPr lang="ko-KR" altLang="en-US" sz="1100">
            <a:solidFill>
              <a:srgbClr val="EE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26</xdr:col>
      <xdr:colOff>219074</xdr:colOff>
      <xdr:row>24</xdr:row>
      <xdr:rowOff>38100</xdr:rowOff>
    </xdr:from>
    <xdr:to>
      <xdr:col>35</xdr:col>
      <xdr:colOff>219075</xdr:colOff>
      <xdr:row>24</xdr:row>
      <xdr:rowOff>83819</xdr:rowOff>
    </xdr:to>
    <xdr:sp macro="" textlink="">
      <xdr:nvSpPr>
        <xdr:cNvPr id="20" name="직사각형 19">
          <a:extLst>
            <a:ext uri="{FF2B5EF4-FFF2-40B4-BE49-F238E27FC236}">
              <a16:creationId xmlns:a16="http://schemas.microsoft.com/office/drawing/2014/main" id="{67718F8C-178B-2382-3DA0-4C7F165CE991}"/>
            </a:ext>
          </a:extLst>
        </xdr:cNvPr>
        <xdr:cNvSpPr/>
      </xdr:nvSpPr>
      <xdr:spPr>
        <a:xfrm>
          <a:off x="7143749" y="3524250"/>
          <a:ext cx="2057401" cy="45719"/>
        </a:xfrm>
        <a:prstGeom prst="rect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/>
          <a:endParaRPr lang="ko-KR" altLang="en-US" sz="1100">
            <a:solidFill>
              <a:srgbClr val="EE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380999</xdr:colOff>
      <xdr:row>14</xdr:row>
      <xdr:rowOff>76200</xdr:rowOff>
    </xdr:from>
    <xdr:to>
      <xdr:col>32</xdr:col>
      <xdr:colOff>219074</xdr:colOff>
      <xdr:row>14</xdr:row>
      <xdr:rowOff>121919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D11E1F12-1562-4E86-A4F9-12A768915AB4}"/>
            </a:ext>
          </a:extLst>
        </xdr:cNvPr>
        <xdr:cNvSpPr/>
      </xdr:nvSpPr>
      <xdr:spPr>
        <a:xfrm>
          <a:off x="3038474" y="1962150"/>
          <a:ext cx="5476875" cy="45719"/>
        </a:xfrm>
        <a:prstGeom prst="rect">
          <a:avLst/>
        </a:prstGeom>
        <a:solidFill>
          <a:srgbClr val="EE0000"/>
        </a:solidFill>
        <a:ln>
          <a:solidFill>
            <a:srgbClr val="EE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/>
          <a:endParaRPr lang="ko-KR" altLang="en-US" sz="1100">
            <a:solidFill>
              <a:srgbClr val="EE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19051</xdr:colOff>
      <xdr:row>18</xdr:row>
      <xdr:rowOff>57150</xdr:rowOff>
    </xdr:from>
    <xdr:to>
      <xdr:col>33</xdr:col>
      <xdr:colOff>1</xdr:colOff>
      <xdr:row>18</xdr:row>
      <xdr:rowOff>102869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EF74DD7C-589E-420F-ACBC-C43F83A1C97A}"/>
            </a:ext>
          </a:extLst>
        </xdr:cNvPr>
        <xdr:cNvSpPr/>
      </xdr:nvSpPr>
      <xdr:spPr>
        <a:xfrm>
          <a:off x="5114926" y="2743200"/>
          <a:ext cx="3409950" cy="45719"/>
        </a:xfrm>
        <a:prstGeom prst="rect">
          <a:avLst/>
        </a:prstGeom>
        <a:solidFill>
          <a:srgbClr val="EE0000"/>
        </a:solidFill>
        <a:ln>
          <a:solidFill>
            <a:srgbClr val="EE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/>
          <a:endParaRPr lang="ko-KR" altLang="en-US" sz="1100">
            <a:solidFill>
              <a:srgbClr val="EE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380999</xdr:colOff>
      <xdr:row>30</xdr:row>
      <xdr:rowOff>38099</xdr:rowOff>
    </xdr:from>
    <xdr:to>
      <xdr:col>38</xdr:col>
      <xdr:colOff>200024</xdr:colOff>
      <xdr:row>30</xdr:row>
      <xdr:rowOff>83818</xdr:rowOff>
    </xdr:to>
    <xdr:sp macro="" textlink="">
      <xdr:nvSpPr>
        <xdr:cNvPr id="23" name="직사각형 22">
          <a:extLst>
            <a:ext uri="{FF2B5EF4-FFF2-40B4-BE49-F238E27FC236}">
              <a16:creationId xmlns:a16="http://schemas.microsoft.com/office/drawing/2014/main" id="{A9B6C646-B5A3-1556-B33F-F9EE1D6088EA}"/>
            </a:ext>
          </a:extLst>
        </xdr:cNvPr>
        <xdr:cNvSpPr/>
      </xdr:nvSpPr>
      <xdr:spPr>
        <a:xfrm>
          <a:off x="3038474" y="4324349"/>
          <a:ext cx="6829425" cy="45719"/>
        </a:xfrm>
        <a:prstGeom prst="rect">
          <a:avLst/>
        </a:prstGeom>
        <a:solidFill>
          <a:srgbClr val="EE0000"/>
        </a:solidFill>
        <a:ln>
          <a:solidFill>
            <a:srgbClr val="EE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/>
          <a:endParaRPr lang="ko-KR" altLang="en-US" sz="1100">
            <a:solidFill>
              <a:srgbClr val="EE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27</xdr:col>
      <xdr:colOff>9526</xdr:colOff>
      <xdr:row>26</xdr:row>
      <xdr:rowOff>47625</xdr:rowOff>
    </xdr:from>
    <xdr:to>
      <xdr:col>35</xdr:col>
      <xdr:colOff>209550</xdr:colOff>
      <xdr:row>26</xdr:row>
      <xdr:rowOff>93344</xdr:rowOff>
    </xdr:to>
    <xdr:sp macro="" textlink="">
      <xdr:nvSpPr>
        <xdr:cNvPr id="24" name="직사각형 23">
          <a:extLst>
            <a:ext uri="{FF2B5EF4-FFF2-40B4-BE49-F238E27FC236}">
              <a16:creationId xmlns:a16="http://schemas.microsoft.com/office/drawing/2014/main" id="{D797B88C-4EBD-6411-484B-862FC967434B}"/>
            </a:ext>
          </a:extLst>
        </xdr:cNvPr>
        <xdr:cNvSpPr/>
      </xdr:nvSpPr>
      <xdr:spPr>
        <a:xfrm>
          <a:off x="7162801" y="3800475"/>
          <a:ext cx="2028824" cy="45719"/>
        </a:xfrm>
        <a:prstGeom prst="rect">
          <a:avLst/>
        </a:prstGeom>
        <a:solidFill>
          <a:srgbClr val="EE0000"/>
        </a:solidFill>
        <a:ln>
          <a:solidFill>
            <a:srgbClr val="EE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/>
          <a:endParaRPr lang="ko-KR" altLang="en-US" sz="1100">
            <a:solidFill>
              <a:srgbClr val="EE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48</xdr:col>
      <xdr:colOff>0</xdr:colOff>
      <xdr:row>35</xdr:row>
      <xdr:rowOff>0</xdr:rowOff>
    </xdr:from>
    <xdr:to>
      <xdr:col>48</xdr:col>
      <xdr:colOff>0</xdr:colOff>
      <xdr:row>35</xdr:row>
      <xdr:rowOff>0</xdr:rowOff>
    </xdr:to>
    <xdr:sp macro="" textlink="">
      <xdr:nvSpPr>
        <xdr:cNvPr id="2" name="Line 12">
          <a:extLst>
            <a:ext uri="{FF2B5EF4-FFF2-40B4-BE49-F238E27FC236}">
              <a16:creationId xmlns:a16="http://schemas.microsoft.com/office/drawing/2014/main" id="{BABE8E45-F2E6-46EB-B299-7B30E1441485}"/>
            </a:ext>
          </a:extLst>
        </xdr:cNvPr>
        <xdr:cNvSpPr>
          <a:spLocks noChangeShapeType="1"/>
        </xdr:cNvSpPr>
      </xdr:nvSpPr>
      <xdr:spPr bwMode="auto">
        <a:xfrm>
          <a:off x="10591800" y="5495925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0</xdr:colOff>
      <xdr:row>33</xdr:row>
      <xdr:rowOff>123825</xdr:rowOff>
    </xdr:from>
    <xdr:to>
      <xdr:col>48</xdr:col>
      <xdr:colOff>0</xdr:colOff>
      <xdr:row>33</xdr:row>
      <xdr:rowOff>123825</xdr:rowOff>
    </xdr:to>
    <xdr:sp macro="" textlink="">
      <xdr:nvSpPr>
        <xdr:cNvPr id="3" name="Line 16">
          <a:extLst>
            <a:ext uri="{FF2B5EF4-FFF2-40B4-BE49-F238E27FC236}">
              <a16:creationId xmlns:a16="http://schemas.microsoft.com/office/drawing/2014/main" id="{351DF76E-CCC7-4917-ACA5-427F10B31243}"/>
            </a:ext>
          </a:extLst>
        </xdr:cNvPr>
        <xdr:cNvSpPr>
          <a:spLocks noChangeShapeType="1"/>
        </xdr:cNvSpPr>
      </xdr:nvSpPr>
      <xdr:spPr bwMode="auto">
        <a:xfrm>
          <a:off x="10591800" y="4914900"/>
          <a:ext cx="0" cy="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0</xdr:colOff>
      <xdr:row>33</xdr:row>
      <xdr:rowOff>0</xdr:rowOff>
    </xdr:from>
    <xdr:to>
      <xdr:col>48</xdr:col>
      <xdr:colOff>0</xdr:colOff>
      <xdr:row>33</xdr:row>
      <xdr:rowOff>0</xdr:rowOff>
    </xdr:to>
    <xdr:sp macro="" textlink="">
      <xdr:nvSpPr>
        <xdr:cNvPr id="4" name="Line 12">
          <a:extLst>
            <a:ext uri="{FF2B5EF4-FFF2-40B4-BE49-F238E27FC236}">
              <a16:creationId xmlns:a16="http://schemas.microsoft.com/office/drawing/2014/main" id="{3DEDEDAD-3BF0-43CB-85EF-5C30964CBF71}"/>
            </a:ext>
          </a:extLst>
        </xdr:cNvPr>
        <xdr:cNvSpPr>
          <a:spLocks noChangeShapeType="1"/>
        </xdr:cNvSpPr>
      </xdr:nvSpPr>
      <xdr:spPr bwMode="auto">
        <a:xfrm>
          <a:off x="10591800" y="4791075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0</xdr:colOff>
      <xdr:row>31</xdr:row>
      <xdr:rowOff>123825</xdr:rowOff>
    </xdr:from>
    <xdr:to>
      <xdr:col>48</xdr:col>
      <xdr:colOff>0</xdr:colOff>
      <xdr:row>31</xdr:row>
      <xdr:rowOff>123825</xdr:rowOff>
    </xdr:to>
    <xdr:sp macro="" textlink="">
      <xdr:nvSpPr>
        <xdr:cNvPr id="5" name="Line 16">
          <a:extLst>
            <a:ext uri="{FF2B5EF4-FFF2-40B4-BE49-F238E27FC236}">
              <a16:creationId xmlns:a16="http://schemas.microsoft.com/office/drawing/2014/main" id="{A296E694-A89B-4DE5-9869-C7DCC60E4720}"/>
            </a:ext>
          </a:extLst>
        </xdr:cNvPr>
        <xdr:cNvSpPr>
          <a:spLocks noChangeShapeType="1"/>
        </xdr:cNvSpPr>
      </xdr:nvSpPr>
      <xdr:spPr bwMode="auto">
        <a:xfrm>
          <a:off x="10591800" y="4514850"/>
          <a:ext cx="0" cy="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11430</xdr:colOff>
      <xdr:row>7</xdr:row>
      <xdr:rowOff>19050</xdr:rowOff>
    </xdr:from>
    <xdr:to>
      <xdr:col>5</xdr:col>
      <xdr:colOff>11</xdr:colOff>
      <xdr:row>11</xdr:row>
      <xdr:rowOff>0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DFFB1DBA-C77C-4E67-B23F-63FE8E7AF890}"/>
            </a:ext>
          </a:extLst>
        </xdr:cNvPr>
        <xdr:cNvCxnSpPr/>
      </xdr:nvCxnSpPr>
      <xdr:spPr>
        <a:xfrm>
          <a:off x="640080" y="1285875"/>
          <a:ext cx="1322081" cy="476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0</xdr:colOff>
      <xdr:row>83</xdr:row>
      <xdr:rowOff>0</xdr:rowOff>
    </xdr:from>
    <xdr:to>
      <xdr:col>48</xdr:col>
      <xdr:colOff>0</xdr:colOff>
      <xdr:row>83</xdr:row>
      <xdr:rowOff>0</xdr:rowOff>
    </xdr:to>
    <xdr:sp macro="" textlink="">
      <xdr:nvSpPr>
        <xdr:cNvPr id="7" name="Line 12">
          <a:extLst>
            <a:ext uri="{FF2B5EF4-FFF2-40B4-BE49-F238E27FC236}">
              <a16:creationId xmlns:a16="http://schemas.microsoft.com/office/drawing/2014/main" id="{FA271ECF-BEE8-4EAB-9709-45F8E73BFC88}"/>
            </a:ext>
          </a:extLst>
        </xdr:cNvPr>
        <xdr:cNvSpPr>
          <a:spLocks noChangeShapeType="1"/>
        </xdr:cNvSpPr>
      </xdr:nvSpPr>
      <xdr:spPr bwMode="auto">
        <a:xfrm>
          <a:off x="10591800" y="1162050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0</xdr:colOff>
      <xdr:row>81</xdr:row>
      <xdr:rowOff>123825</xdr:rowOff>
    </xdr:from>
    <xdr:to>
      <xdr:col>48</xdr:col>
      <xdr:colOff>0</xdr:colOff>
      <xdr:row>81</xdr:row>
      <xdr:rowOff>123825</xdr:rowOff>
    </xdr:to>
    <xdr:sp macro="" textlink="">
      <xdr:nvSpPr>
        <xdr:cNvPr id="8" name="Line 16">
          <a:extLst>
            <a:ext uri="{FF2B5EF4-FFF2-40B4-BE49-F238E27FC236}">
              <a16:creationId xmlns:a16="http://schemas.microsoft.com/office/drawing/2014/main" id="{6809EFA2-34E5-49E2-8888-245B785C5807}"/>
            </a:ext>
          </a:extLst>
        </xdr:cNvPr>
        <xdr:cNvSpPr>
          <a:spLocks noChangeShapeType="1"/>
        </xdr:cNvSpPr>
      </xdr:nvSpPr>
      <xdr:spPr bwMode="auto">
        <a:xfrm>
          <a:off x="10591800" y="11039475"/>
          <a:ext cx="0" cy="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0</xdr:colOff>
      <xdr:row>81</xdr:row>
      <xdr:rowOff>0</xdr:rowOff>
    </xdr:from>
    <xdr:to>
      <xdr:col>48</xdr:col>
      <xdr:colOff>0</xdr:colOff>
      <xdr:row>81</xdr:row>
      <xdr:rowOff>0</xdr:rowOff>
    </xdr:to>
    <xdr:sp macro="" textlink="">
      <xdr:nvSpPr>
        <xdr:cNvPr id="9" name="Line 12">
          <a:extLst>
            <a:ext uri="{FF2B5EF4-FFF2-40B4-BE49-F238E27FC236}">
              <a16:creationId xmlns:a16="http://schemas.microsoft.com/office/drawing/2014/main" id="{7A0386DC-7857-4BC7-BA25-7C2806DA768F}"/>
            </a:ext>
          </a:extLst>
        </xdr:cNvPr>
        <xdr:cNvSpPr>
          <a:spLocks noChangeShapeType="1"/>
        </xdr:cNvSpPr>
      </xdr:nvSpPr>
      <xdr:spPr bwMode="auto">
        <a:xfrm>
          <a:off x="10591800" y="1091565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0</xdr:colOff>
      <xdr:row>79</xdr:row>
      <xdr:rowOff>123825</xdr:rowOff>
    </xdr:from>
    <xdr:to>
      <xdr:col>48</xdr:col>
      <xdr:colOff>0</xdr:colOff>
      <xdr:row>79</xdr:row>
      <xdr:rowOff>123825</xdr:rowOff>
    </xdr:to>
    <xdr:sp macro="" textlink="">
      <xdr:nvSpPr>
        <xdr:cNvPr id="10" name="Line 16">
          <a:extLst>
            <a:ext uri="{FF2B5EF4-FFF2-40B4-BE49-F238E27FC236}">
              <a16:creationId xmlns:a16="http://schemas.microsoft.com/office/drawing/2014/main" id="{B69DBBD0-35F0-4135-858D-427D29ECDD73}"/>
            </a:ext>
          </a:extLst>
        </xdr:cNvPr>
        <xdr:cNvSpPr>
          <a:spLocks noChangeShapeType="1"/>
        </xdr:cNvSpPr>
      </xdr:nvSpPr>
      <xdr:spPr bwMode="auto">
        <a:xfrm>
          <a:off x="10591800" y="10734675"/>
          <a:ext cx="0" cy="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11430</xdr:colOff>
      <xdr:row>47</xdr:row>
      <xdr:rowOff>19050</xdr:rowOff>
    </xdr:from>
    <xdr:to>
      <xdr:col>7</xdr:col>
      <xdr:colOff>11</xdr:colOff>
      <xdr:row>51</xdr:row>
      <xdr:rowOff>0</xdr:rowOff>
    </xdr:to>
    <xdr:cxnSp macro="">
      <xdr:nvCxnSpPr>
        <xdr:cNvPr id="11" name="직선 연결선 10">
          <a:extLst>
            <a:ext uri="{FF2B5EF4-FFF2-40B4-BE49-F238E27FC236}">
              <a16:creationId xmlns:a16="http://schemas.microsoft.com/office/drawing/2014/main" id="{C588FEAD-E938-4BA1-B3D4-B13243FCA603}"/>
            </a:ext>
          </a:extLst>
        </xdr:cNvPr>
        <xdr:cNvCxnSpPr/>
      </xdr:nvCxnSpPr>
      <xdr:spPr>
        <a:xfrm>
          <a:off x="640080" y="7715250"/>
          <a:ext cx="1474481" cy="6286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BF140-A1BC-44F7-9625-87CA50EBB900}">
  <sheetPr codeName="Sheet19"/>
  <dimension ref="A1:BE55"/>
  <sheetViews>
    <sheetView tabSelected="1" view="pageBreakPreview" zoomScaleNormal="85" zoomScaleSheetLayoutView="100" workbookViewId="0">
      <selection activeCell="X48" sqref="X48"/>
    </sheetView>
  </sheetViews>
  <sheetFormatPr defaultRowHeight="21.6" customHeight="1" x14ac:dyDescent="0.15"/>
  <cols>
    <col min="1" max="1" width="1.33203125" style="5" customWidth="1"/>
    <col min="2" max="2" width="2.6640625" style="5" customWidth="1"/>
    <col min="3" max="3" width="9" style="5" customWidth="1"/>
    <col min="4" max="4" width="3.44140625" style="5" customWidth="1"/>
    <col min="5" max="5" width="6.77734375" style="5" customWidth="1"/>
    <col min="6" max="6" width="8.5546875" style="5" hidden="1" customWidth="1"/>
    <col min="7" max="7" width="4.77734375" style="5" hidden="1" customWidth="1"/>
    <col min="8" max="9" width="4.44140625" style="5" customWidth="1"/>
    <col min="10" max="39" width="2.6640625" style="5" customWidth="1"/>
    <col min="40" max="45" width="2.6640625" style="5" hidden="1" customWidth="1"/>
    <col min="46" max="46" width="5.44140625" style="5" customWidth="1"/>
    <col min="47" max="47" width="3.5546875" style="5" customWidth="1"/>
    <col min="48" max="48" width="4.77734375" style="5" customWidth="1"/>
    <col min="49" max="49" width="10.88671875" style="5" customWidth="1"/>
    <col min="50" max="50" width="4.44140625" style="5" customWidth="1"/>
    <col min="51" max="51" width="17.109375" style="5" customWidth="1"/>
    <col min="52" max="52" width="10.6640625" style="5" customWidth="1"/>
    <col min="53" max="53" width="3.5546875" style="5" customWidth="1"/>
    <col min="54" max="54" width="11.33203125" style="5" customWidth="1"/>
    <col min="55" max="55" width="9.88671875" style="5" customWidth="1"/>
    <col min="56" max="56" width="3.5546875" style="5" customWidth="1"/>
    <col min="57" max="256" width="8.88671875" style="5"/>
    <col min="257" max="257" width="1.33203125" style="5" customWidth="1"/>
    <col min="258" max="258" width="2.6640625" style="5" customWidth="1"/>
    <col min="259" max="259" width="9" style="5" customWidth="1"/>
    <col min="260" max="261" width="6.77734375" style="5" customWidth="1"/>
    <col min="262" max="263" width="0" style="5" hidden="1" customWidth="1"/>
    <col min="264" max="265" width="4.44140625" style="5" customWidth="1"/>
    <col min="266" max="295" width="2.6640625" style="5" customWidth="1"/>
    <col min="296" max="301" width="0" style="5" hidden="1" customWidth="1"/>
    <col min="302" max="302" width="5.44140625" style="5" customWidth="1"/>
    <col min="303" max="303" width="3.5546875" style="5" customWidth="1"/>
    <col min="304" max="304" width="4.77734375" style="5" customWidth="1"/>
    <col min="305" max="305" width="10.88671875" style="5" customWidth="1"/>
    <col min="306" max="306" width="4.44140625" style="5" customWidth="1"/>
    <col min="307" max="307" width="17.109375" style="5" customWidth="1"/>
    <col min="308" max="308" width="5.21875" style="5" customWidth="1"/>
    <col min="309" max="309" width="3.5546875" style="5" customWidth="1"/>
    <col min="310" max="310" width="11.33203125" style="5" customWidth="1"/>
    <col min="311" max="311" width="9.88671875" style="5" customWidth="1"/>
    <col min="312" max="312" width="3.5546875" style="5" customWidth="1"/>
    <col min="313" max="512" width="8.88671875" style="5"/>
    <col min="513" max="513" width="1.33203125" style="5" customWidth="1"/>
    <col min="514" max="514" width="2.6640625" style="5" customWidth="1"/>
    <col min="515" max="515" width="9" style="5" customWidth="1"/>
    <col min="516" max="517" width="6.77734375" style="5" customWidth="1"/>
    <col min="518" max="519" width="0" style="5" hidden="1" customWidth="1"/>
    <col min="520" max="521" width="4.44140625" style="5" customWidth="1"/>
    <col min="522" max="551" width="2.6640625" style="5" customWidth="1"/>
    <col min="552" max="557" width="0" style="5" hidden="1" customWidth="1"/>
    <col min="558" max="558" width="5.44140625" style="5" customWidth="1"/>
    <col min="559" max="559" width="3.5546875" style="5" customWidth="1"/>
    <col min="560" max="560" width="4.77734375" style="5" customWidth="1"/>
    <col min="561" max="561" width="10.88671875" style="5" customWidth="1"/>
    <col min="562" max="562" width="4.44140625" style="5" customWidth="1"/>
    <col min="563" max="563" width="17.109375" style="5" customWidth="1"/>
    <col min="564" max="564" width="5.21875" style="5" customWidth="1"/>
    <col min="565" max="565" width="3.5546875" style="5" customWidth="1"/>
    <col min="566" max="566" width="11.33203125" style="5" customWidth="1"/>
    <col min="567" max="567" width="9.88671875" style="5" customWidth="1"/>
    <col min="568" max="568" width="3.5546875" style="5" customWidth="1"/>
    <col min="569" max="768" width="8.88671875" style="5"/>
    <col min="769" max="769" width="1.33203125" style="5" customWidth="1"/>
    <col min="770" max="770" width="2.6640625" style="5" customWidth="1"/>
    <col min="771" max="771" width="9" style="5" customWidth="1"/>
    <col min="772" max="773" width="6.77734375" style="5" customWidth="1"/>
    <col min="774" max="775" width="0" style="5" hidden="1" customWidth="1"/>
    <col min="776" max="777" width="4.44140625" style="5" customWidth="1"/>
    <col min="778" max="807" width="2.6640625" style="5" customWidth="1"/>
    <col min="808" max="813" width="0" style="5" hidden="1" customWidth="1"/>
    <col min="814" max="814" width="5.44140625" style="5" customWidth="1"/>
    <col min="815" max="815" width="3.5546875" style="5" customWidth="1"/>
    <col min="816" max="816" width="4.77734375" style="5" customWidth="1"/>
    <col min="817" max="817" width="10.88671875" style="5" customWidth="1"/>
    <col min="818" max="818" width="4.44140625" style="5" customWidth="1"/>
    <col min="819" max="819" width="17.109375" style="5" customWidth="1"/>
    <col min="820" max="820" width="5.21875" style="5" customWidth="1"/>
    <col min="821" max="821" width="3.5546875" style="5" customWidth="1"/>
    <col min="822" max="822" width="11.33203125" style="5" customWidth="1"/>
    <col min="823" max="823" width="9.88671875" style="5" customWidth="1"/>
    <col min="824" max="824" width="3.5546875" style="5" customWidth="1"/>
    <col min="825" max="1024" width="8.88671875" style="5"/>
    <col min="1025" max="1025" width="1.33203125" style="5" customWidth="1"/>
    <col min="1026" max="1026" width="2.6640625" style="5" customWidth="1"/>
    <col min="1027" max="1027" width="9" style="5" customWidth="1"/>
    <col min="1028" max="1029" width="6.77734375" style="5" customWidth="1"/>
    <col min="1030" max="1031" width="0" style="5" hidden="1" customWidth="1"/>
    <col min="1032" max="1033" width="4.44140625" style="5" customWidth="1"/>
    <col min="1034" max="1063" width="2.6640625" style="5" customWidth="1"/>
    <col min="1064" max="1069" width="0" style="5" hidden="1" customWidth="1"/>
    <col min="1070" max="1070" width="5.44140625" style="5" customWidth="1"/>
    <col min="1071" max="1071" width="3.5546875" style="5" customWidth="1"/>
    <col min="1072" max="1072" width="4.77734375" style="5" customWidth="1"/>
    <col min="1073" max="1073" width="10.88671875" style="5" customWidth="1"/>
    <col min="1074" max="1074" width="4.44140625" style="5" customWidth="1"/>
    <col min="1075" max="1075" width="17.109375" style="5" customWidth="1"/>
    <col min="1076" max="1076" width="5.21875" style="5" customWidth="1"/>
    <col min="1077" max="1077" width="3.5546875" style="5" customWidth="1"/>
    <col min="1078" max="1078" width="11.33203125" style="5" customWidth="1"/>
    <col min="1079" max="1079" width="9.88671875" style="5" customWidth="1"/>
    <col min="1080" max="1080" width="3.5546875" style="5" customWidth="1"/>
    <col min="1081" max="1280" width="8.88671875" style="5"/>
    <col min="1281" max="1281" width="1.33203125" style="5" customWidth="1"/>
    <col min="1282" max="1282" width="2.6640625" style="5" customWidth="1"/>
    <col min="1283" max="1283" width="9" style="5" customWidth="1"/>
    <col min="1284" max="1285" width="6.77734375" style="5" customWidth="1"/>
    <col min="1286" max="1287" width="0" style="5" hidden="1" customWidth="1"/>
    <col min="1288" max="1289" width="4.44140625" style="5" customWidth="1"/>
    <col min="1290" max="1319" width="2.6640625" style="5" customWidth="1"/>
    <col min="1320" max="1325" width="0" style="5" hidden="1" customWidth="1"/>
    <col min="1326" max="1326" width="5.44140625" style="5" customWidth="1"/>
    <col min="1327" max="1327" width="3.5546875" style="5" customWidth="1"/>
    <col min="1328" max="1328" width="4.77734375" style="5" customWidth="1"/>
    <col min="1329" max="1329" width="10.88671875" style="5" customWidth="1"/>
    <col min="1330" max="1330" width="4.44140625" style="5" customWidth="1"/>
    <col min="1331" max="1331" width="17.109375" style="5" customWidth="1"/>
    <col min="1332" max="1332" width="5.21875" style="5" customWidth="1"/>
    <col min="1333" max="1333" width="3.5546875" style="5" customWidth="1"/>
    <col min="1334" max="1334" width="11.33203125" style="5" customWidth="1"/>
    <col min="1335" max="1335" width="9.88671875" style="5" customWidth="1"/>
    <col min="1336" max="1336" width="3.5546875" style="5" customWidth="1"/>
    <col min="1337" max="1536" width="8.88671875" style="5"/>
    <col min="1537" max="1537" width="1.33203125" style="5" customWidth="1"/>
    <col min="1538" max="1538" width="2.6640625" style="5" customWidth="1"/>
    <col min="1539" max="1539" width="9" style="5" customWidth="1"/>
    <col min="1540" max="1541" width="6.77734375" style="5" customWidth="1"/>
    <col min="1542" max="1543" width="0" style="5" hidden="1" customWidth="1"/>
    <col min="1544" max="1545" width="4.44140625" style="5" customWidth="1"/>
    <col min="1546" max="1575" width="2.6640625" style="5" customWidth="1"/>
    <col min="1576" max="1581" width="0" style="5" hidden="1" customWidth="1"/>
    <col min="1582" max="1582" width="5.44140625" style="5" customWidth="1"/>
    <col min="1583" max="1583" width="3.5546875" style="5" customWidth="1"/>
    <col min="1584" max="1584" width="4.77734375" style="5" customWidth="1"/>
    <col min="1585" max="1585" width="10.88671875" style="5" customWidth="1"/>
    <col min="1586" max="1586" width="4.44140625" style="5" customWidth="1"/>
    <col min="1587" max="1587" width="17.109375" style="5" customWidth="1"/>
    <col min="1588" max="1588" width="5.21875" style="5" customWidth="1"/>
    <col min="1589" max="1589" width="3.5546875" style="5" customWidth="1"/>
    <col min="1590" max="1590" width="11.33203125" style="5" customWidth="1"/>
    <col min="1591" max="1591" width="9.88671875" style="5" customWidth="1"/>
    <col min="1592" max="1592" width="3.5546875" style="5" customWidth="1"/>
    <col min="1593" max="1792" width="8.88671875" style="5"/>
    <col min="1793" max="1793" width="1.33203125" style="5" customWidth="1"/>
    <col min="1794" max="1794" width="2.6640625" style="5" customWidth="1"/>
    <col min="1795" max="1795" width="9" style="5" customWidth="1"/>
    <col min="1796" max="1797" width="6.77734375" style="5" customWidth="1"/>
    <col min="1798" max="1799" width="0" style="5" hidden="1" customWidth="1"/>
    <col min="1800" max="1801" width="4.44140625" style="5" customWidth="1"/>
    <col min="1802" max="1831" width="2.6640625" style="5" customWidth="1"/>
    <col min="1832" max="1837" width="0" style="5" hidden="1" customWidth="1"/>
    <col min="1838" max="1838" width="5.44140625" style="5" customWidth="1"/>
    <col min="1839" max="1839" width="3.5546875" style="5" customWidth="1"/>
    <col min="1840" max="1840" width="4.77734375" style="5" customWidth="1"/>
    <col min="1841" max="1841" width="10.88671875" style="5" customWidth="1"/>
    <col min="1842" max="1842" width="4.44140625" style="5" customWidth="1"/>
    <col min="1843" max="1843" width="17.109375" style="5" customWidth="1"/>
    <col min="1844" max="1844" width="5.21875" style="5" customWidth="1"/>
    <col min="1845" max="1845" width="3.5546875" style="5" customWidth="1"/>
    <col min="1846" max="1846" width="11.33203125" style="5" customWidth="1"/>
    <col min="1847" max="1847" width="9.88671875" style="5" customWidth="1"/>
    <col min="1848" max="1848" width="3.5546875" style="5" customWidth="1"/>
    <col min="1849" max="2048" width="8.88671875" style="5"/>
    <col min="2049" max="2049" width="1.33203125" style="5" customWidth="1"/>
    <col min="2050" max="2050" width="2.6640625" style="5" customWidth="1"/>
    <col min="2051" max="2051" width="9" style="5" customWidth="1"/>
    <col min="2052" max="2053" width="6.77734375" style="5" customWidth="1"/>
    <col min="2054" max="2055" width="0" style="5" hidden="1" customWidth="1"/>
    <col min="2056" max="2057" width="4.44140625" style="5" customWidth="1"/>
    <col min="2058" max="2087" width="2.6640625" style="5" customWidth="1"/>
    <col min="2088" max="2093" width="0" style="5" hidden="1" customWidth="1"/>
    <col min="2094" max="2094" width="5.44140625" style="5" customWidth="1"/>
    <col min="2095" max="2095" width="3.5546875" style="5" customWidth="1"/>
    <col min="2096" max="2096" width="4.77734375" style="5" customWidth="1"/>
    <col min="2097" max="2097" width="10.88671875" style="5" customWidth="1"/>
    <col min="2098" max="2098" width="4.44140625" style="5" customWidth="1"/>
    <col min="2099" max="2099" width="17.109375" style="5" customWidth="1"/>
    <col min="2100" max="2100" width="5.21875" style="5" customWidth="1"/>
    <col min="2101" max="2101" width="3.5546875" style="5" customWidth="1"/>
    <col min="2102" max="2102" width="11.33203125" style="5" customWidth="1"/>
    <col min="2103" max="2103" width="9.88671875" style="5" customWidth="1"/>
    <col min="2104" max="2104" width="3.5546875" style="5" customWidth="1"/>
    <col min="2105" max="2304" width="8.88671875" style="5"/>
    <col min="2305" max="2305" width="1.33203125" style="5" customWidth="1"/>
    <col min="2306" max="2306" width="2.6640625" style="5" customWidth="1"/>
    <col min="2307" max="2307" width="9" style="5" customWidth="1"/>
    <col min="2308" max="2309" width="6.77734375" style="5" customWidth="1"/>
    <col min="2310" max="2311" width="0" style="5" hidden="1" customWidth="1"/>
    <col min="2312" max="2313" width="4.44140625" style="5" customWidth="1"/>
    <col min="2314" max="2343" width="2.6640625" style="5" customWidth="1"/>
    <col min="2344" max="2349" width="0" style="5" hidden="1" customWidth="1"/>
    <col min="2350" max="2350" width="5.44140625" style="5" customWidth="1"/>
    <col min="2351" max="2351" width="3.5546875" style="5" customWidth="1"/>
    <col min="2352" max="2352" width="4.77734375" style="5" customWidth="1"/>
    <col min="2353" max="2353" width="10.88671875" style="5" customWidth="1"/>
    <col min="2354" max="2354" width="4.44140625" style="5" customWidth="1"/>
    <col min="2355" max="2355" width="17.109375" style="5" customWidth="1"/>
    <col min="2356" max="2356" width="5.21875" style="5" customWidth="1"/>
    <col min="2357" max="2357" width="3.5546875" style="5" customWidth="1"/>
    <col min="2358" max="2358" width="11.33203125" style="5" customWidth="1"/>
    <col min="2359" max="2359" width="9.88671875" style="5" customWidth="1"/>
    <col min="2360" max="2360" width="3.5546875" style="5" customWidth="1"/>
    <col min="2361" max="2560" width="8.88671875" style="5"/>
    <col min="2561" max="2561" width="1.33203125" style="5" customWidth="1"/>
    <col min="2562" max="2562" width="2.6640625" style="5" customWidth="1"/>
    <col min="2563" max="2563" width="9" style="5" customWidth="1"/>
    <col min="2564" max="2565" width="6.77734375" style="5" customWidth="1"/>
    <col min="2566" max="2567" width="0" style="5" hidden="1" customWidth="1"/>
    <col min="2568" max="2569" width="4.44140625" style="5" customWidth="1"/>
    <col min="2570" max="2599" width="2.6640625" style="5" customWidth="1"/>
    <col min="2600" max="2605" width="0" style="5" hidden="1" customWidth="1"/>
    <col min="2606" max="2606" width="5.44140625" style="5" customWidth="1"/>
    <col min="2607" max="2607" width="3.5546875" style="5" customWidth="1"/>
    <col min="2608" max="2608" width="4.77734375" style="5" customWidth="1"/>
    <col min="2609" max="2609" width="10.88671875" style="5" customWidth="1"/>
    <col min="2610" max="2610" width="4.44140625" style="5" customWidth="1"/>
    <col min="2611" max="2611" width="17.109375" style="5" customWidth="1"/>
    <col min="2612" max="2612" width="5.21875" style="5" customWidth="1"/>
    <col min="2613" max="2613" width="3.5546875" style="5" customWidth="1"/>
    <col min="2614" max="2614" width="11.33203125" style="5" customWidth="1"/>
    <col min="2615" max="2615" width="9.88671875" style="5" customWidth="1"/>
    <col min="2616" max="2616" width="3.5546875" style="5" customWidth="1"/>
    <col min="2617" max="2816" width="8.88671875" style="5"/>
    <col min="2817" max="2817" width="1.33203125" style="5" customWidth="1"/>
    <col min="2818" max="2818" width="2.6640625" style="5" customWidth="1"/>
    <col min="2819" max="2819" width="9" style="5" customWidth="1"/>
    <col min="2820" max="2821" width="6.77734375" style="5" customWidth="1"/>
    <col min="2822" max="2823" width="0" style="5" hidden="1" customWidth="1"/>
    <col min="2824" max="2825" width="4.44140625" style="5" customWidth="1"/>
    <col min="2826" max="2855" width="2.6640625" style="5" customWidth="1"/>
    <col min="2856" max="2861" width="0" style="5" hidden="1" customWidth="1"/>
    <col min="2862" max="2862" width="5.44140625" style="5" customWidth="1"/>
    <col min="2863" max="2863" width="3.5546875" style="5" customWidth="1"/>
    <col min="2864" max="2864" width="4.77734375" style="5" customWidth="1"/>
    <col min="2865" max="2865" width="10.88671875" style="5" customWidth="1"/>
    <col min="2866" max="2866" width="4.44140625" style="5" customWidth="1"/>
    <col min="2867" max="2867" width="17.109375" style="5" customWidth="1"/>
    <col min="2868" max="2868" width="5.21875" style="5" customWidth="1"/>
    <col min="2869" max="2869" width="3.5546875" style="5" customWidth="1"/>
    <col min="2870" max="2870" width="11.33203125" style="5" customWidth="1"/>
    <col min="2871" max="2871" width="9.88671875" style="5" customWidth="1"/>
    <col min="2872" max="2872" width="3.5546875" style="5" customWidth="1"/>
    <col min="2873" max="3072" width="8.88671875" style="5"/>
    <col min="3073" max="3073" width="1.33203125" style="5" customWidth="1"/>
    <col min="3074" max="3074" width="2.6640625" style="5" customWidth="1"/>
    <col min="3075" max="3075" width="9" style="5" customWidth="1"/>
    <col min="3076" max="3077" width="6.77734375" style="5" customWidth="1"/>
    <col min="3078" max="3079" width="0" style="5" hidden="1" customWidth="1"/>
    <col min="3080" max="3081" width="4.44140625" style="5" customWidth="1"/>
    <col min="3082" max="3111" width="2.6640625" style="5" customWidth="1"/>
    <col min="3112" max="3117" width="0" style="5" hidden="1" customWidth="1"/>
    <col min="3118" max="3118" width="5.44140625" style="5" customWidth="1"/>
    <col min="3119" max="3119" width="3.5546875" style="5" customWidth="1"/>
    <col min="3120" max="3120" width="4.77734375" style="5" customWidth="1"/>
    <col min="3121" max="3121" width="10.88671875" style="5" customWidth="1"/>
    <col min="3122" max="3122" width="4.44140625" style="5" customWidth="1"/>
    <col min="3123" max="3123" width="17.109375" style="5" customWidth="1"/>
    <col min="3124" max="3124" width="5.21875" style="5" customWidth="1"/>
    <col min="3125" max="3125" width="3.5546875" style="5" customWidth="1"/>
    <col min="3126" max="3126" width="11.33203125" style="5" customWidth="1"/>
    <col min="3127" max="3127" width="9.88671875" style="5" customWidth="1"/>
    <col min="3128" max="3128" width="3.5546875" style="5" customWidth="1"/>
    <col min="3129" max="3328" width="8.88671875" style="5"/>
    <col min="3329" max="3329" width="1.33203125" style="5" customWidth="1"/>
    <col min="3330" max="3330" width="2.6640625" style="5" customWidth="1"/>
    <col min="3331" max="3331" width="9" style="5" customWidth="1"/>
    <col min="3332" max="3333" width="6.77734375" style="5" customWidth="1"/>
    <col min="3334" max="3335" width="0" style="5" hidden="1" customWidth="1"/>
    <col min="3336" max="3337" width="4.44140625" style="5" customWidth="1"/>
    <col min="3338" max="3367" width="2.6640625" style="5" customWidth="1"/>
    <col min="3368" max="3373" width="0" style="5" hidden="1" customWidth="1"/>
    <col min="3374" max="3374" width="5.44140625" style="5" customWidth="1"/>
    <col min="3375" max="3375" width="3.5546875" style="5" customWidth="1"/>
    <col min="3376" max="3376" width="4.77734375" style="5" customWidth="1"/>
    <col min="3377" max="3377" width="10.88671875" style="5" customWidth="1"/>
    <col min="3378" max="3378" width="4.44140625" style="5" customWidth="1"/>
    <col min="3379" max="3379" width="17.109375" style="5" customWidth="1"/>
    <col min="3380" max="3380" width="5.21875" style="5" customWidth="1"/>
    <col min="3381" max="3381" width="3.5546875" style="5" customWidth="1"/>
    <col min="3382" max="3382" width="11.33203125" style="5" customWidth="1"/>
    <col min="3383" max="3383" width="9.88671875" style="5" customWidth="1"/>
    <col min="3384" max="3384" width="3.5546875" style="5" customWidth="1"/>
    <col min="3385" max="3584" width="8.88671875" style="5"/>
    <col min="3585" max="3585" width="1.33203125" style="5" customWidth="1"/>
    <col min="3586" max="3586" width="2.6640625" style="5" customWidth="1"/>
    <col min="3587" max="3587" width="9" style="5" customWidth="1"/>
    <col min="3588" max="3589" width="6.77734375" style="5" customWidth="1"/>
    <col min="3590" max="3591" width="0" style="5" hidden="1" customWidth="1"/>
    <col min="3592" max="3593" width="4.44140625" style="5" customWidth="1"/>
    <col min="3594" max="3623" width="2.6640625" style="5" customWidth="1"/>
    <col min="3624" max="3629" width="0" style="5" hidden="1" customWidth="1"/>
    <col min="3630" max="3630" width="5.44140625" style="5" customWidth="1"/>
    <col min="3631" max="3631" width="3.5546875" style="5" customWidth="1"/>
    <col min="3632" max="3632" width="4.77734375" style="5" customWidth="1"/>
    <col min="3633" max="3633" width="10.88671875" style="5" customWidth="1"/>
    <col min="3634" max="3634" width="4.44140625" style="5" customWidth="1"/>
    <col min="3635" max="3635" width="17.109375" style="5" customWidth="1"/>
    <col min="3636" max="3636" width="5.21875" style="5" customWidth="1"/>
    <col min="3637" max="3637" width="3.5546875" style="5" customWidth="1"/>
    <col min="3638" max="3638" width="11.33203125" style="5" customWidth="1"/>
    <col min="3639" max="3639" width="9.88671875" style="5" customWidth="1"/>
    <col min="3640" max="3640" width="3.5546875" style="5" customWidth="1"/>
    <col min="3641" max="3840" width="8.88671875" style="5"/>
    <col min="3841" max="3841" width="1.33203125" style="5" customWidth="1"/>
    <col min="3842" max="3842" width="2.6640625" style="5" customWidth="1"/>
    <col min="3843" max="3843" width="9" style="5" customWidth="1"/>
    <col min="3844" max="3845" width="6.77734375" style="5" customWidth="1"/>
    <col min="3846" max="3847" width="0" style="5" hidden="1" customWidth="1"/>
    <col min="3848" max="3849" width="4.44140625" style="5" customWidth="1"/>
    <col min="3850" max="3879" width="2.6640625" style="5" customWidth="1"/>
    <col min="3880" max="3885" width="0" style="5" hidden="1" customWidth="1"/>
    <col min="3886" max="3886" width="5.44140625" style="5" customWidth="1"/>
    <col min="3887" max="3887" width="3.5546875" style="5" customWidth="1"/>
    <col min="3888" max="3888" width="4.77734375" style="5" customWidth="1"/>
    <col min="3889" max="3889" width="10.88671875" style="5" customWidth="1"/>
    <col min="3890" max="3890" width="4.44140625" style="5" customWidth="1"/>
    <col min="3891" max="3891" width="17.109375" style="5" customWidth="1"/>
    <col min="3892" max="3892" width="5.21875" style="5" customWidth="1"/>
    <col min="3893" max="3893" width="3.5546875" style="5" customWidth="1"/>
    <col min="3894" max="3894" width="11.33203125" style="5" customWidth="1"/>
    <col min="3895" max="3895" width="9.88671875" style="5" customWidth="1"/>
    <col min="3896" max="3896" width="3.5546875" style="5" customWidth="1"/>
    <col min="3897" max="4096" width="8.88671875" style="5"/>
    <col min="4097" max="4097" width="1.33203125" style="5" customWidth="1"/>
    <col min="4098" max="4098" width="2.6640625" style="5" customWidth="1"/>
    <col min="4099" max="4099" width="9" style="5" customWidth="1"/>
    <col min="4100" max="4101" width="6.77734375" style="5" customWidth="1"/>
    <col min="4102" max="4103" width="0" style="5" hidden="1" customWidth="1"/>
    <col min="4104" max="4105" width="4.44140625" style="5" customWidth="1"/>
    <col min="4106" max="4135" width="2.6640625" style="5" customWidth="1"/>
    <col min="4136" max="4141" width="0" style="5" hidden="1" customWidth="1"/>
    <col min="4142" max="4142" width="5.44140625" style="5" customWidth="1"/>
    <col min="4143" max="4143" width="3.5546875" style="5" customWidth="1"/>
    <col min="4144" max="4144" width="4.77734375" style="5" customWidth="1"/>
    <col min="4145" max="4145" width="10.88671875" style="5" customWidth="1"/>
    <col min="4146" max="4146" width="4.44140625" style="5" customWidth="1"/>
    <col min="4147" max="4147" width="17.109375" style="5" customWidth="1"/>
    <col min="4148" max="4148" width="5.21875" style="5" customWidth="1"/>
    <col min="4149" max="4149" width="3.5546875" style="5" customWidth="1"/>
    <col min="4150" max="4150" width="11.33203125" style="5" customWidth="1"/>
    <col min="4151" max="4151" width="9.88671875" style="5" customWidth="1"/>
    <col min="4152" max="4152" width="3.5546875" style="5" customWidth="1"/>
    <col min="4153" max="4352" width="8.88671875" style="5"/>
    <col min="4353" max="4353" width="1.33203125" style="5" customWidth="1"/>
    <col min="4354" max="4354" width="2.6640625" style="5" customWidth="1"/>
    <col min="4355" max="4355" width="9" style="5" customWidth="1"/>
    <col min="4356" max="4357" width="6.77734375" style="5" customWidth="1"/>
    <col min="4358" max="4359" width="0" style="5" hidden="1" customWidth="1"/>
    <col min="4360" max="4361" width="4.44140625" style="5" customWidth="1"/>
    <col min="4362" max="4391" width="2.6640625" style="5" customWidth="1"/>
    <col min="4392" max="4397" width="0" style="5" hidden="1" customWidth="1"/>
    <col min="4398" max="4398" width="5.44140625" style="5" customWidth="1"/>
    <col min="4399" max="4399" width="3.5546875" style="5" customWidth="1"/>
    <col min="4400" max="4400" width="4.77734375" style="5" customWidth="1"/>
    <col min="4401" max="4401" width="10.88671875" style="5" customWidth="1"/>
    <col min="4402" max="4402" width="4.44140625" style="5" customWidth="1"/>
    <col min="4403" max="4403" width="17.109375" style="5" customWidth="1"/>
    <col min="4404" max="4404" width="5.21875" style="5" customWidth="1"/>
    <col min="4405" max="4405" width="3.5546875" style="5" customWidth="1"/>
    <col min="4406" max="4406" width="11.33203125" style="5" customWidth="1"/>
    <col min="4407" max="4407" width="9.88671875" style="5" customWidth="1"/>
    <col min="4408" max="4408" width="3.5546875" style="5" customWidth="1"/>
    <col min="4409" max="4608" width="8.88671875" style="5"/>
    <col min="4609" max="4609" width="1.33203125" style="5" customWidth="1"/>
    <col min="4610" max="4610" width="2.6640625" style="5" customWidth="1"/>
    <col min="4611" max="4611" width="9" style="5" customWidth="1"/>
    <col min="4612" max="4613" width="6.77734375" style="5" customWidth="1"/>
    <col min="4614" max="4615" width="0" style="5" hidden="1" customWidth="1"/>
    <col min="4616" max="4617" width="4.44140625" style="5" customWidth="1"/>
    <col min="4618" max="4647" width="2.6640625" style="5" customWidth="1"/>
    <col min="4648" max="4653" width="0" style="5" hidden="1" customWidth="1"/>
    <col min="4654" max="4654" width="5.44140625" style="5" customWidth="1"/>
    <col min="4655" max="4655" width="3.5546875" style="5" customWidth="1"/>
    <col min="4656" max="4656" width="4.77734375" style="5" customWidth="1"/>
    <col min="4657" max="4657" width="10.88671875" style="5" customWidth="1"/>
    <col min="4658" max="4658" width="4.44140625" style="5" customWidth="1"/>
    <col min="4659" max="4659" width="17.109375" style="5" customWidth="1"/>
    <col min="4660" max="4660" width="5.21875" style="5" customWidth="1"/>
    <col min="4661" max="4661" width="3.5546875" style="5" customWidth="1"/>
    <col min="4662" max="4662" width="11.33203125" style="5" customWidth="1"/>
    <col min="4663" max="4663" width="9.88671875" style="5" customWidth="1"/>
    <col min="4664" max="4664" width="3.5546875" style="5" customWidth="1"/>
    <col min="4665" max="4864" width="8.88671875" style="5"/>
    <col min="4865" max="4865" width="1.33203125" style="5" customWidth="1"/>
    <col min="4866" max="4866" width="2.6640625" style="5" customWidth="1"/>
    <col min="4867" max="4867" width="9" style="5" customWidth="1"/>
    <col min="4868" max="4869" width="6.77734375" style="5" customWidth="1"/>
    <col min="4870" max="4871" width="0" style="5" hidden="1" customWidth="1"/>
    <col min="4872" max="4873" width="4.44140625" style="5" customWidth="1"/>
    <col min="4874" max="4903" width="2.6640625" style="5" customWidth="1"/>
    <col min="4904" max="4909" width="0" style="5" hidden="1" customWidth="1"/>
    <col min="4910" max="4910" width="5.44140625" style="5" customWidth="1"/>
    <col min="4911" max="4911" width="3.5546875" style="5" customWidth="1"/>
    <col min="4912" max="4912" width="4.77734375" style="5" customWidth="1"/>
    <col min="4913" max="4913" width="10.88671875" style="5" customWidth="1"/>
    <col min="4914" max="4914" width="4.44140625" style="5" customWidth="1"/>
    <col min="4915" max="4915" width="17.109375" style="5" customWidth="1"/>
    <col min="4916" max="4916" width="5.21875" style="5" customWidth="1"/>
    <col min="4917" max="4917" width="3.5546875" style="5" customWidth="1"/>
    <col min="4918" max="4918" width="11.33203125" style="5" customWidth="1"/>
    <col min="4919" max="4919" width="9.88671875" style="5" customWidth="1"/>
    <col min="4920" max="4920" width="3.5546875" style="5" customWidth="1"/>
    <col min="4921" max="5120" width="8.88671875" style="5"/>
    <col min="5121" max="5121" width="1.33203125" style="5" customWidth="1"/>
    <col min="5122" max="5122" width="2.6640625" style="5" customWidth="1"/>
    <col min="5123" max="5123" width="9" style="5" customWidth="1"/>
    <col min="5124" max="5125" width="6.77734375" style="5" customWidth="1"/>
    <col min="5126" max="5127" width="0" style="5" hidden="1" customWidth="1"/>
    <col min="5128" max="5129" width="4.44140625" style="5" customWidth="1"/>
    <col min="5130" max="5159" width="2.6640625" style="5" customWidth="1"/>
    <col min="5160" max="5165" width="0" style="5" hidden="1" customWidth="1"/>
    <col min="5166" max="5166" width="5.44140625" style="5" customWidth="1"/>
    <col min="5167" max="5167" width="3.5546875" style="5" customWidth="1"/>
    <col min="5168" max="5168" width="4.77734375" style="5" customWidth="1"/>
    <col min="5169" max="5169" width="10.88671875" style="5" customWidth="1"/>
    <col min="5170" max="5170" width="4.44140625" style="5" customWidth="1"/>
    <col min="5171" max="5171" width="17.109375" style="5" customWidth="1"/>
    <col min="5172" max="5172" width="5.21875" style="5" customWidth="1"/>
    <col min="5173" max="5173" width="3.5546875" style="5" customWidth="1"/>
    <col min="5174" max="5174" width="11.33203125" style="5" customWidth="1"/>
    <col min="5175" max="5175" width="9.88671875" style="5" customWidth="1"/>
    <col min="5176" max="5176" width="3.5546875" style="5" customWidth="1"/>
    <col min="5177" max="5376" width="8.88671875" style="5"/>
    <col min="5377" max="5377" width="1.33203125" style="5" customWidth="1"/>
    <col min="5378" max="5378" width="2.6640625" style="5" customWidth="1"/>
    <col min="5379" max="5379" width="9" style="5" customWidth="1"/>
    <col min="5380" max="5381" width="6.77734375" style="5" customWidth="1"/>
    <col min="5382" max="5383" width="0" style="5" hidden="1" customWidth="1"/>
    <col min="5384" max="5385" width="4.44140625" style="5" customWidth="1"/>
    <col min="5386" max="5415" width="2.6640625" style="5" customWidth="1"/>
    <col min="5416" max="5421" width="0" style="5" hidden="1" customWidth="1"/>
    <col min="5422" max="5422" width="5.44140625" style="5" customWidth="1"/>
    <col min="5423" max="5423" width="3.5546875" style="5" customWidth="1"/>
    <col min="5424" max="5424" width="4.77734375" style="5" customWidth="1"/>
    <col min="5425" max="5425" width="10.88671875" style="5" customWidth="1"/>
    <col min="5426" max="5426" width="4.44140625" style="5" customWidth="1"/>
    <col min="5427" max="5427" width="17.109375" style="5" customWidth="1"/>
    <col min="5428" max="5428" width="5.21875" style="5" customWidth="1"/>
    <col min="5429" max="5429" width="3.5546875" style="5" customWidth="1"/>
    <col min="5430" max="5430" width="11.33203125" style="5" customWidth="1"/>
    <col min="5431" max="5431" width="9.88671875" style="5" customWidth="1"/>
    <col min="5432" max="5432" width="3.5546875" style="5" customWidth="1"/>
    <col min="5433" max="5632" width="8.88671875" style="5"/>
    <col min="5633" max="5633" width="1.33203125" style="5" customWidth="1"/>
    <col min="5634" max="5634" width="2.6640625" style="5" customWidth="1"/>
    <col min="5635" max="5635" width="9" style="5" customWidth="1"/>
    <col min="5636" max="5637" width="6.77734375" style="5" customWidth="1"/>
    <col min="5638" max="5639" width="0" style="5" hidden="1" customWidth="1"/>
    <col min="5640" max="5641" width="4.44140625" style="5" customWidth="1"/>
    <col min="5642" max="5671" width="2.6640625" style="5" customWidth="1"/>
    <col min="5672" max="5677" width="0" style="5" hidden="1" customWidth="1"/>
    <col min="5678" max="5678" width="5.44140625" style="5" customWidth="1"/>
    <col min="5679" max="5679" width="3.5546875" style="5" customWidth="1"/>
    <col min="5680" max="5680" width="4.77734375" style="5" customWidth="1"/>
    <col min="5681" max="5681" width="10.88671875" style="5" customWidth="1"/>
    <col min="5682" max="5682" width="4.44140625" style="5" customWidth="1"/>
    <col min="5683" max="5683" width="17.109375" style="5" customWidth="1"/>
    <col min="5684" max="5684" width="5.21875" style="5" customWidth="1"/>
    <col min="5685" max="5685" width="3.5546875" style="5" customWidth="1"/>
    <col min="5686" max="5686" width="11.33203125" style="5" customWidth="1"/>
    <col min="5687" max="5687" width="9.88671875" style="5" customWidth="1"/>
    <col min="5688" max="5688" width="3.5546875" style="5" customWidth="1"/>
    <col min="5689" max="5888" width="8.88671875" style="5"/>
    <col min="5889" max="5889" width="1.33203125" style="5" customWidth="1"/>
    <col min="5890" max="5890" width="2.6640625" style="5" customWidth="1"/>
    <col min="5891" max="5891" width="9" style="5" customWidth="1"/>
    <col min="5892" max="5893" width="6.77734375" style="5" customWidth="1"/>
    <col min="5894" max="5895" width="0" style="5" hidden="1" customWidth="1"/>
    <col min="5896" max="5897" width="4.44140625" style="5" customWidth="1"/>
    <col min="5898" max="5927" width="2.6640625" style="5" customWidth="1"/>
    <col min="5928" max="5933" width="0" style="5" hidden="1" customWidth="1"/>
    <col min="5934" max="5934" width="5.44140625" style="5" customWidth="1"/>
    <col min="5935" max="5935" width="3.5546875" style="5" customWidth="1"/>
    <col min="5936" max="5936" width="4.77734375" style="5" customWidth="1"/>
    <col min="5937" max="5937" width="10.88671875" style="5" customWidth="1"/>
    <col min="5938" max="5938" width="4.44140625" style="5" customWidth="1"/>
    <col min="5939" max="5939" width="17.109375" style="5" customWidth="1"/>
    <col min="5940" max="5940" width="5.21875" style="5" customWidth="1"/>
    <col min="5941" max="5941" width="3.5546875" style="5" customWidth="1"/>
    <col min="5942" max="5942" width="11.33203125" style="5" customWidth="1"/>
    <col min="5943" max="5943" width="9.88671875" style="5" customWidth="1"/>
    <col min="5944" max="5944" width="3.5546875" style="5" customWidth="1"/>
    <col min="5945" max="6144" width="8.88671875" style="5"/>
    <col min="6145" max="6145" width="1.33203125" style="5" customWidth="1"/>
    <col min="6146" max="6146" width="2.6640625" style="5" customWidth="1"/>
    <col min="6147" max="6147" width="9" style="5" customWidth="1"/>
    <col min="6148" max="6149" width="6.77734375" style="5" customWidth="1"/>
    <col min="6150" max="6151" width="0" style="5" hidden="1" customWidth="1"/>
    <col min="6152" max="6153" width="4.44140625" style="5" customWidth="1"/>
    <col min="6154" max="6183" width="2.6640625" style="5" customWidth="1"/>
    <col min="6184" max="6189" width="0" style="5" hidden="1" customWidth="1"/>
    <col min="6190" max="6190" width="5.44140625" style="5" customWidth="1"/>
    <col min="6191" max="6191" width="3.5546875" style="5" customWidth="1"/>
    <col min="6192" max="6192" width="4.77734375" style="5" customWidth="1"/>
    <col min="6193" max="6193" width="10.88671875" style="5" customWidth="1"/>
    <col min="6194" max="6194" width="4.44140625" style="5" customWidth="1"/>
    <col min="6195" max="6195" width="17.109375" style="5" customWidth="1"/>
    <col min="6196" max="6196" width="5.21875" style="5" customWidth="1"/>
    <col min="6197" max="6197" width="3.5546875" style="5" customWidth="1"/>
    <col min="6198" max="6198" width="11.33203125" style="5" customWidth="1"/>
    <col min="6199" max="6199" width="9.88671875" style="5" customWidth="1"/>
    <col min="6200" max="6200" width="3.5546875" style="5" customWidth="1"/>
    <col min="6201" max="6400" width="8.88671875" style="5"/>
    <col min="6401" max="6401" width="1.33203125" style="5" customWidth="1"/>
    <col min="6402" max="6402" width="2.6640625" style="5" customWidth="1"/>
    <col min="6403" max="6403" width="9" style="5" customWidth="1"/>
    <col min="6404" max="6405" width="6.77734375" style="5" customWidth="1"/>
    <col min="6406" max="6407" width="0" style="5" hidden="1" customWidth="1"/>
    <col min="6408" max="6409" width="4.44140625" style="5" customWidth="1"/>
    <col min="6410" max="6439" width="2.6640625" style="5" customWidth="1"/>
    <col min="6440" max="6445" width="0" style="5" hidden="1" customWidth="1"/>
    <col min="6446" max="6446" width="5.44140625" style="5" customWidth="1"/>
    <col min="6447" max="6447" width="3.5546875" style="5" customWidth="1"/>
    <col min="6448" max="6448" width="4.77734375" style="5" customWidth="1"/>
    <col min="6449" max="6449" width="10.88671875" style="5" customWidth="1"/>
    <col min="6450" max="6450" width="4.44140625" style="5" customWidth="1"/>
    <col min="6451" max="6451" width="17.109375" style="5" customWidth="1"/>
    <col min="6452" max="6452" width="5.21875" style="5" customWidth="1"/>
    <col min="6453" max="6453" width="3.5546875" style="5" customWidth="1"/>
    <col min="6454" max="6454" width="11.33203125" style="5" customWidth="1"/>
    <col min="6455" max="6455" width="9.88671875" style="5" customWidth="1"/>
    <col min="6456" max="6456" width="3.5546875" style="5" customWidth="1"/>
    <col min="6457" max="6656" width="8.88671875" style="5"/>
    <col min="6657" max="6657" width="1.33203125" style="5" customWidth="1"/>
    <col min="6658" max="6658" width="2.6640625" style="5" customWidth="1"/>
    <col min="6659" max="6659" width="9" style="5" customWidth="1"/>
    <col min="6660" max="6661" width="6.77734375" style="5" customWidth="1"/>
    <col min="6662" max="6663" width="0" style="5" hidden="1" customWidth="1"/>
    <col min="6664" max="6665" width="4.44140625" style="5" customWidth="1"/>
    <col min="6666" max="6695" width="2.6640625" style="5" customWidth="1"/>
    <col min="6696" max="6701" width="0" style="5" hidden="1" customWidth="1"/>
    <col min="6702" max="6702" width="5.44140625" style="5" customWidth="1"/>
    <col min="6703" max="6703" width="3.5546875" style="5" customWidth="1"/>
    <col min="6704" max="6704" width="4.77734375" style="5" customWidth="1"/>
    <col min="6705" max="6705" width="10.88671875" style="5" customWidth="1"/>
    <col min="6706" max="6706" width="4.44140625" style="5" customWidth="1"/>
    <col min="6707" max="6707" width="17.109375" style="5" customWidth="1"/>
    <col min="6708" max="6708" width="5.21875" style="5" customWidth="1"/>
    <col min="6709" max="6709" width="3.5546875" style="5" customWidth="1"/>
    <col min="6710" max="6710" width="11.33203125" style="5" customWidth="1"/>
    <col min="6711" max="6711" width="9.88671875" style="5" customWidth="1"/>
    <col min="6712" max="6712" width="3.5546875" style="5" customWidth="1"/>
    <col min="6713" max="6912" width="8.88671875" style="5"/>
    <col min="6913" max="6913" width="1.33203125" style="5" customWidth="1"/>
    <col min="6914" max="6914" width="2.6640625" style="5" customWidth="1"/>
    <col min="6915" max="6915" width="9" style="5" customWidth="1"/>
    <col min="6916" max="6917" width="6.77734375" style="5" customWidth="1"/>
    <col min="6918" max="6919" width="0" style="5" hidden="1" customWidth="1"/>
    <col min="6920" max="6921" width="4.44140625" style="5" customWidth="1"/>
    <col min="6922" max="6951" width="2.6640625" style="5" customWidth="1"/>
    <col min="6952" max="6957" width="0" style="5" hidden="1" customWidth="1"/>
    <col min="6958" max="6958" width="5.44140625" style="5" customWidth="1"/>
    <col min="6959" max="6959" width="3.5546875" style="5" customWidth="1"/>
    <col min="6960" max="6960" width="4.77734375" style="5" customWidth="1"/>
    <col min="6961" max="6961" width="10.88671875" style="5" customWidth="1"/>
    <col min="6962" max="6962" width="4.44140625" style="5" customWidth="1"/>
    <col min="6963" max="6963" width="17.109375" style="5" customWidth="1"/>
    <col min="6964" max="6964" width="5.21875" style="5" customWidth="1"/>
    <col min="6965" max="6965" width="3.5546875" style="5" customWidth="1"/>
    <col min="6966" max="6966" width="11.33203125" style="5" customWidth="1"/>
    <col min="6967" max="6967" width="9.88671875" style="5" customWidth="1"/>
    <col min="6968" max="6968" width="3.5546875" style="5" customWidth="1"/>
    <col min="6969" max="7168" width="8.88671875" style="5"/>
    <col min="7169" max="7169" width="1.33203125" style="5" customWidth="1"/>
    <col min="7170" max="7170" width="2.6640625" style="5" customWidth="1"/>
    <col min="7171" max="7171" width="9" style="5" customWidth="1"/>
    <col min="7172" max="7173" width="6.77734375" style="5" customWidth="1"/>
    <col min="7174" max="7175" width="0" style="5" hidden="1" customWidth="1"/>
    <col min="7176" max="7177" width="4.44140625" style="5" customWidth="1"/>
    <col min="7178" max="7207" width="2.6640625" style="5" customWidth="1"/>
    <col min="7208" max="7213" width="0" style="5" hidden="1" customWidth="1"/>
    <col min="7214" max="7214" width="5.44140625" style="5" customWidth="1"/>
    <col min="7215" max="7215" width="3.5546875" style="5" customWidth="1"/>
    <col min="7216" max="7216" width="4.77734375" style="5" customWidth="1"/>
    <col min="7217" max="7217" width="10.88671875" style="5" customWidth="1"/>
    <col min="7218" max="7218" width="4.44140625" style="5" customWidth="1"/>
    <col min="7219" max="7219" width="17.109375" style="5" customWidth="1"/>
    <col min="7220" max="7220" width="5.21875" style="5" customWidth="1"/>
    <col min="7221" max="7221" width="3.5546875" style="5" customWidth="1"/>
    <col min="7222" max="7222" width="11.33203125" style="5" customWidth="1"/>
    <col min="7223" max="7223" width="9.88671875" style="5" customWidth="1"/>
    <col min="7224" max="7224" width="3.5546875" style="5" customWidth="1"/>
    <col min="7225" max="7424" width="8.88671875" style="5"/>
    <col min="7425" max="7425" width="1.33203125" style="5" customWidth="1"/>
    <col min="7426" max="7426" width="2.6640625" style="5" customWidth="1"/>
    <col min="7427" max="7427" width="9" style="5" customWidth="1"/>
    <col min="7428" max="7429" width="6.77734375" style="5" customWidth="1"/>
    <col min="7430" max="7431" width="0" style="5" hidden="1" customWidth="1"/>
    <col min="7432" max="7433" width="4.44140625" style="5" customWidth="1"/>
    <col min="7434" max="7463" width="2.6640625" style="5" customWidth="1"/>
    <col min="7464" max="7469" width="0" style="5" hidden="1" customWidth="1"/>
    <col min="7470" max="7470" width="5.44140625" style="5" customWidth="1"/>
    <col min="7471" max="7471" width="3.5546875" style="5" customWidth="1"/>
    <col min="7472" max="7472" width="4.77734375" style="5" customWidth="1"/>
    <col min="7473" max="7473" width="10.88671875" style="5" customWidth="1"/>
    <col min="7474" max="7474" width="4.44140625" style="5" customWidth="1"/>
    <col min="7475" max="7475" width="17.109375" style="5" customWidth="1"/>
    <col min="7476" max="7476" width="5.21875" style="5" customWidth="1"/>
    <col min="7477" max="7477" width="3.5546875" style="5" customWidth="1"/>
    <col min="7478" max="7478" width="11.33203125" style="5" customWidth="1"/>
    <col min="7479" max="7479" width="9.88671875" style="5" customWidth="1"/>
    <col min="7480" max="7480" width="3.5546875" style="5" customWidth="1"/>
    <col min="7481" max="7680" width="8.88671875" style="5"/>
    <col min="7681" max="7681" width="1.33203125" style="5" customWidth="1"/>
    <col min="7682" max="7682" width="2.6640625" style="5" customWidth="1"/>
    <col min="7683" max="7683" width="9" style="5" customWidth="1"/>
    <col min="7684" max="7685" width="6.77734375" style="5" customWidth="1"/>
    <col min="7686" max="7687" width="0" style="5" hidden="1" customWidth="1"/>
    <col min="7688" max="7689" width="4.44140625" style="5" customWidth="1"/>
    <col min="7690" max="7719" width="2.6640625" style="5" customWidth="1"/>
    <col min="7720" max="7725" width="0" style="5" hidden="1" customWidth="1"/>
    <col min="7726" max="7726" width="5.44140625" style="5" customWidth="1"/>
    <col min="7727" max="7727" width="3.5546875" style="5" customWidth="1"/>
    <col min="7728" max="7728" width="4.77734375" style="5" customWidth="1"/>
    <col min="7729" max="7729" width="10.88671875" style="5" customWidth="1"/>
    <col min="7730" max="7730" width="4.44140625" style="5" customWidth="1"/>
    <col min="7731" max="7731" width="17.109375" style="5" customWidth="1"/>
    <col min="7732" max="7732" width="5.21875" style="5" customWidth="1"/>
    <col min="7733" max="7733" width="3.5546875" style="5" customWidth="1"/>
    <col min="7734" max="7734" width="11.33203125" style="5" customWidth="1"/>
    <col min="7735" max="7735" width="9.88671875" style="5" customWidth="1"/>
    <col min="7736" max="7736" width="3.5546875" style="5" customWidth="1"/>
    <col min="7737" max="7936" width="8.88671875" style="5"/>
    <col min="7937" max="7937" width="1.33203125" style="5" customWidth="1"/>
    <col min="7938" max="7938" width="2.6640625" style="5" customWidth="1"/>
    <col min="7939" max="7939" width="9" style="5" customWidth="1"/>
    <col min="7940" max="7941" width="6.77734375" style="5" customWidth="1"/>
    <col min="7942" max="7943" width="0" style="5" hidden="1" customWidth="1"/>
    <col min="7944" max="7945" width="4.44140625" style="5" customWidth="1"/>
    <col min="7946" max="7975" width="2.6640625" style="5" customWidth="1"/>
    <col min="7976" max="7981" width="0" style="5" hidden="1" customWidth="1"/>
    <col min="7982" max="7982" width="5.44140625" style="5" customWidth="1"/>
    <col min="7983" max="7983" width="3.5546875" style="5" customWidth="1"/>
    <col min="7984" max="7984" width="4.77734375" style="5" customWidth="1"/>
    <col min="7985" max="7985" width="10.88671875" style="5" customWidth="1"/>
    <col min="7986" max="7986" width="4.44140625" style="5" customWidth="1"/>
    <col min="7987" max="7987" width="17.109375" style="5" customWidth="1"/>
    <col min="7988" max="7988" width="5.21875" style="5" customWidth="1"/>
    <col min="7989" max="7989" width="3.5546875" style="5" customWidth="1"/>
    <col min="7990" max="7990" width="11.33203125" style="5" customWidth="1"/>
    <col min="7991" max="7991" width="9.88671875" style="5" customWidth="1"/>
    <col min="7992" max="7992" width="3.5546875" style="5" customWidth="1"/>
    <col min="7993" max="8192" width="8.88671875" style="5"/>
    <col min="8193" max="8193" width="1.33203125" style="5" customWidth="1"/>
    <col min="8194" max="8194" width="2.6640625" style="5" customWidth="1"/>
    <col min="8195" max="8195" width="9" style="5" customWidth="1"/>
    <col min="8196" max="8197" width="6.77734375" style="5" customWidth="1"/>
    <col min="8198" max="8199" width="0" style="5" hidden="1" customWidth="1"/>
    <col min="8200" max="8201" width="4.44140625" style="5" customWidth="1"/>
    <col min="8202" max="8231" width="2.6640625" style="5" customWidth="1"/>
    <col min="8232" max="8237" width="0" style="5" hidden="1" customWidth="1"/>
    <col min="8238" max="8238" width="5.44140625" style="5" customWidth="1"/>
    <col min="8239" max="8239" width="3.5546875" style="5" customWidth="1"/>
    <col min="8240" max="8240" width="4.77734375" style="5" customWidth="1"/>
    <col min="8241" max="8241" width="10.88671875" style="5" customWidth="1"/>
    <col min="8242" max="8242" width="4.44140625" style="5" customWidth="1"/>
    <col min="8243" max="8243" width="17.109375" style="5" customWidth="1"/>
    <col min="8244" max="8244" width="5.21875" style="5" customWidth="1"/>
    <col min="8245" max="8245" width="3.5546875" style="5" customWidth="1"/>
    <col min="8246" max="8246" width="11.33203125" style="5" customWidth="1"/>
    <col min="8247" max="8247" width="9.88671875" style="5" customWidth="1"/>
    <col min="8248" max="8248" width="3.5546875" style="5" customWidth="1"/>
    <col min="8249" max="8448" width="8.88671875" style="5"/>
    <col min="8449" max="8449" width="1.33203125" style="5" customWidth="1"/>
    <col min="8450" max="8450" width="2.6640625" style="5" customWidth="1"/>
    <col min="8451" max="8451" width="9" style="5" customWidth="1"/>
    <col min="8452" max="8453" width="6.77734375" style="5" customWidth="1"/>
    <col min="8454" max="8455" width="0" style="5" hidden="1" customWidth="1"/>
    <col min="8456" max="8457" width="4.44140625" style="5" customWidth="1"/>
    <col min="8458" max="8487" width="2.6640625" style="5" customWidth="1"/>
    <col min="8488" max="8493" width="0" style="5" hidden="1" customWidth="1"/>
    <col min="8494" max="8494" width="5.44140625" style="5" customWidth="1"/>
    <col min="8495" max="8495" width="3.5546875" style="5" customWidth="1"/>
    <col min="8496" max="8496" width="4.77734375" style="5" customWidth="1"/>
    <col min="8497" max="8497" width="10.88671875" style="5" customWidth="1"/>
    <col min="8498" max="8498" width="4.44140625" style="5" customWidth="1"/>
    <col min="8499" max="8499" width="17.109375" style="5" customWidth="1"/>
    <col min="8500" max="8500" width="5.21875" style="5" customWidth="1"/>
    <col min="8501" max="8501" width="3.5546875" style="5" customWidth="1"/>
    <col min="8502" max="8502" width="11.33203125" style="5" customWidth="1"/>
    <col min="8503" max="8503" width="9.88671875" style="5" customWidth="1"/>
    <col min="8504" max="8504" width="3.5546875" style="5" customWidth="1"/>
    <col min="8505" max="8704" width="8.88671875" style="5"/>
    <col min="8705" max="8705" width="1.33203125" style="5" customWidth="1"/>
    <col min="8706" max="8706" width="2.6640625" style="5" customWidth="1"/>
    <col min="8707" max="8707" width="9" style="5" customWidth="1"/>
    <col min="8708" max="8709" width="6.77734375" style="5" customWidth="1"/>
    <col min="8710" max="8711" width="0" style="5" hidden="1" customWidth="1"/>
    <col min="8712" max="8713" width="4.44140625" style="5" customWidth="1"/>
    <col min="8714" max="8743" width="2.6640625" style="5" customWidth="1"/>
    <col min="8744" max="8749" width="0" style="5" hidden="1" customWidth="1"/>
    <col min="8750" max="8750" width="5.44140625" style="5" customWidth="1"/>
    <col min="8751" max="8751" width="3.5546875" style="5" customWidth="1"/>
    <col min="8752" max="8752" width="4.77734375" style="5" customWidth="1"/>
    <col min="8753" max="8753" width="10.88671875" style="5" customWidth="1"/>
    <col min="8754" max="8754" width="4.44140625" style="5" customWidth="1"/>
    <col min="8755" max="8755" width="17.109375" style="5" customWidth="1"/>
    <col min="8756" max="8756" width="5.21875" style="5" customWidth="1"/>
    <col min="8757" max="8757" width="3.5546875" style="5" customWidth="1"/>
    <col min="8758" max="8758" width="11.33203125" style="5" customWidth="1"/>
    <col min="8759" max="8759" width="9.88671875" style="5" customWidth="1"/>
    <col min="8760" max="8760" width="3.5546875" style="5" customWidth="1"/>
    <col min="8761" max="8960" width="8.88671875" style="5"/>
    <col min="8961" max="8961" width="1.33203125" style="5" customWidth="1"/>
    <col min="8962" max="8962" width="2.6640625" style="5" customWidth="1"/>
    <col min="8963" max="8963" width="9" style="5" customWidth="1"/>
    <col min="8964" max="8965" width="6.77734375" style="5" customWidth="1"/>
    <col min="8966" max="8967" width="0" style="5" hidden="1" customWidth="1"/>
    <col min="8968" max="8969" width="4.44140625" style="5" customWidth="1"/>
    <col min="8970" max="8999" width="2.6640625" style="5" customWidth="1"/>
    <col min="9000" max="9005" width="0" style="5" hidden="1" customWidth="1"/>
    <col min="9006" max="9006" width="5.44140625" style="5" customWidth="1"/>
    <col min="9007" max="9007" width="3.5546875" style="5" customWidth="1"/>
    <col min="9008" max="9008" width="4.77734375" style="5" customWidth="1"/>
    <col min="9009" max="9009" width="10.88671875" style="5" customWidth="1"/>
    <col min="9010" max="9010" width="4.44140625" style="5" customWidth="1"/>
    <col min="9011" max="9011" width="17.109375" style="5" customWidth="1"/>
    <col min="9012" max="9012" width="5.21875" style="5" customWidth="1"/>
    <col min="9013" max="9013" width="3.5546875" style="5" customWidth="1"/>
    <col min="9014" max="9014" width="11.33203125" style="5" customWidth="1"/>
    <col min="9015" max="9015" width="9.88671875" style="5" customWidth="1"/>
    <col min="9016" max="9016" width="3.5546875" style="5" customWidth="1"/>
    <col min="9017" max="9216" width="8.88671875" style="5"/>
    <col min="9217" max="9217" width="1.33203125" style="5" customWidth="1"/>
    <col min="9218" max="9218" width="2.6640625" style="5" customWidth="1"/>
    <col min="9219" max="9219" width="9" style="5" customWidth="1"/>
    <col min="9220" max="9221" width="6.77734375" style="5" customWidth="1"/>
    <col min="9222" max="9223" width="0" style="5" hidden="1" customWidth="1"/>
    <col min="9224" max="9225" width="4.44140625" style="5" customWidth="1"/>
    <col min="9226" max="9255" width="2.6640625" style="5" customWidth="1"/>
    <col min="9256" max="9261" width="0" style="5" hidden="1" customWidth="1"/>
    <col min="9262" max="9262" width="5.44140625" style="5" customWidth="1"/>
    <col min="9263" max="9263" width="3.5546875" style="5" customWidth="1"/>
    <col min="9264" max="9264" width="4.77734375" style="5" customWidth="1"/>
    <col min="9265" max="9265" width="10.88671875" style="5" customWidth="1"/>
    <col min="9266" max="9266" width="4.44140625" style="5" customWidth="1"/>
    <col min="9267" max="9267" width="17.109375" style="5" customWidth="1"/>
    <col min="9268" max="9268" width="5.21875" style="5" customWidth="1"/>
    <col min="9269" max="9269" width="3.5546875" style="5" customWidth="1"/>
    <col min="9270" max="9270" width="11.33203125" style="5" customWidth="1"/>
    <col min="9271" max="9271" width="9.88671875" style="5" customWidth="1"/>
    <col min="9272" max="9272" width="3.5546875" style="5" customWidth="1"/>
    <col min="9273" max="9472" width="8.88671875" style="5"/>
    <col min="9473" max="9473" width="1.33203125" style="5" customWidth="1"/>
    <col min="9474" max="9474" width="2.6640625" style="5" customWidth="1"/>
    <col min="9475" max="9475" width="9" style="5" customWidth="1"/>
    <col min="9476" max="9477" width="6.77734375" style="5" customWidth="1"/>
    <col min="9478" max="9479" width="0" style="5" hidden="1" customWidth="1"/>
    <col min="9480" max="9481" width="4.44140625" style="5" customWidth="1"/>
    <col min="9482" max="9511" width="2.6640625" style="5" customWidth="1"/>
    <col min="9512" max="9517" width="0" style="5" hidden="1" customWidth="1"/>
    <col min="9518" max="9518" width="5.44140625" style="5" customWidth="1"/>
    <col min="9519" max="9519" width="3.5546875" style="5" customWidth="1"/>
    <col min="9520" max="9520" width="4.77734375" style="5" customWidth="1"/>
    <col min="9521" max="9521" width="10.88671875" style="5" customWidth="1"/>
    <col min="9522" max="9522" width="4.44140625" style="5" customWidth="1"/>
    <col min="9523" max="9523" width="17.109375" style="5" customWidth="1"/>
    <col min="9524" max="9524" width="5.21875" style="5" customWidth="1"/>
    <col min="9525" max="9525" width="3.5546875" style="5" customWidth="1"/>
    <col min="9526" max="9526" width="11.33203125" style="5" customWidth="1"/>
    <col min="9527" max="9527" width="9.88671875" style="5" customWidth="1"/>
    <col min="9528" max="9528" width="3.5546875" style="5" customWidth="1"/>
    <col min="9529" max="9728" width="8.88671875" style="5"/>
    <col min="9729" max="9729" width="1.33203125" style="5" customWidth="1"/>
    <col min="9730" max="9730" width="2.6640625" style="5" customWidth="1"/>
    <col min="9731" max="9731" width="9" style="5" customWidth="1"/>
    <col min="9732" max="9733" width="6.77734375" style="5" customWidth="1"/>
    <col min="9734" max="9735" width="0" style="5" hidden="1" customWidth="1"/>
    <col min="9736" max="9737" width="4.44140625" style="5" customWidth="1"/>
    <col min="9738" max="9767" width="2.6640625" style="5" customWidth="1"/>
    <col min="9768" max="9773" width="0" style="5" hidden="1" customWidth="1"/>
    <col min="9774" max="9774" width="5.44140625" style="5" customWidth="1"/>
    <col min="9775" max="9775" width="3.5546875" style="5" customWidth="1"/>
    <col min="9776" max="9776" width="4.77734375" style="5" customWidth="1"/>
    <col min="9777" max="9777" width="10.88671875" style="5" customWidth="1"/>
    <col min="9778" max="9778" width="4.44140625" style="5" customWidth="1"/>
    <col min="9779" max="9779" width="17.109375" style="5" customWidth="1"/>
    <col min="9780" max="9780" width="5.21875" style="5" customWidth="1"/>
    <col min="9781" max="9781" width="3.5546875" style="5" customWidth="1"/>
    <col min="9782" max="9782" width="11.33203125" style="5" customWidth="1"/>
    <col min="9783" max="9783" width="9.88671875" style="5" customWidth="1"/>
    <col min="9784" max="9784" width="3.5546875" style="5" customWidth="1"/>
    <col min="9785" max="9984" width="8.88671875" style="5"/>
    <col min="9985" max="9985" width="1.33203125" style="5" customWidth="1"/>
    <col min="9986" max="9986" width="2.6640625" style="5" customWidth="1"/>
    <col min="9987" max="9987" width="9" style="5" customWidth="1"/>
    <col min="9988" max="9989" width="6.77734375" style="5" customWidth="1"/>
    <col min="9990" max="9991" width="0" style="5" hidden="1" customWidth="1"/>
    <col min="9992" max="9993" width="4.44140625" style="5" customWidth="1"/>
    <col min="9994" max="10023" width="2.6640625" style="5" customWidth="1"/>
    <col min="10024" max="10029" width="0" style="5" hidden="1" customWidth="1"/>
    <col min="10030" max="10030" width="5.44140625" style="5" customWidth="1"/>
    <col min="10031" max="10031" width="3.5546875" style="5" customWidth="1"/>
    <col min="10032" max="10032" width="4.77734375" style="5" customWidth="1"/>
    <col min="10033" max="10033" width="10.88671875" style="5" customWidth="1"/>
    <col min="10034" max="10034" width="4.44140625" style="5" customWidth="1"/>
    <col min="10035" max="10035" width="17.109375" style="5" customWidth="1"/>
    <col min="10036" max="10036" width="5.21875" style="5" customWidth="1"/>
    <col min="10037" max="10037" width="3.5546875" style="5" customWidth="1"/>
    <col min="10038" max="10038" width="11.33203125" style="5" customWidth="1"/>
    <col min="10039" max="10039" width="9.88671875" style="5" customWidth="1"/>
    <col min="10040" max="10040" width="3.5546875" style="5" customWidth="1"/>
    <col min="10041" max="10240" width="8.88671875" style="5"/>
    <col min="10241" max="10241" width="1.33203125" style="5" customWidth="1"/>
    <col min="10242" max="10242" width="2.6640625" style="5" customWidth="1"/>
    <col min="10243" max="10243" width="9" style="5" customWidth="1"/>
    <col min="10244" max="10245" width="6.77734375" style="5" customWidth="1"/>
    <col min="10246" max="10247" width="0" style="5" hidden="1" customWidth="1"/>
    <col min="10248" max="10249" width="4.44140625" style="5" customWidth="1"/>
    <col min="10250" max="10279" width="2.6640625" style="5" customWidth="1"/>
    <col min="10280" max="10285" width="0" style="5" hidden="1" customWidth="1"/>
    <col min="10286" max="10286" width="5.44140625" style="5" customWidth="1"/>
    <col min="10287" max="10287" width="3.5546875" style="5" customWidth="1"/>
    <col min="10288" max="10288" width="4.77734375" style="5" customWidth="1"/>
    <col min="10289" max="10289" width="10.88671875" style="5" customWidth="1"/>
    <col min="10290" max="10290" width="4.44140625" style="5" customWidth="1"/>
    <col min="10291" max="10291" width="17.109375" style="5" customWidth="1"/>
    <col min="10292" max="10292" width="5.21875" style="5" customWidth="1"/>
    <col min="10293" max="10293" width="3.5546875" style="5" customWidth="1"/>
    <col min="10294" max="10294" width="11.33203125" style="5" customWidth="1"/>
    <col min="10295" max="10295" width="9.88671875" style="5" customWidth="1"/>
    <col min="10296" max="10296" width="3.5546875" style="5" customWidth="1"/>
    <col min="10297" max="10496" width="8.88671875" style="5"/>
    <col min="10497" max="10497" width="1.33203125" style="5" customWidth="1"/>
    <col min="10498" max="10498" width="2.6640625" style="5" customWidth="1"/>
    <col min="10499" max="10499" width="9" style="5" customWidth="1"/>
    <col min="10500" max="10501" width="6.77734375" style="5" customWidth="1"/>
    <col min="10502" max="10503" width="0" style="5" hidden="1" customWidth="1"/>
    <col min="10504" max="10505" width="4.44140625" style="5" customWidth="1"/>
    <col min="10506" max="10535" width="2.6640625" style="5" customWidth="1"/>
    <col min="10536" max="10541" width="0" style="5" hidden="1" customWidth="1"/>
    <col min="10542" max="10542" width="5.44140625" style="5" customWidth="1"/>
    <col min="10543" max="10543" width="3.5546875" style="5" customWidth="1"/>
    <col min="10544" max="10544" width="4.77734375" style="5" customWidth="1"/>
    <col min="10545" max="10545" width="10.88671875" style="5" customWidth="1"/>
    <col min="10546" max="10546" width="4.44140625" style="5" customWidth="1"/>
    <col min="10547" max="10547" width="17.109375" style="5" customWidth="1"/>
    <col min="10548" max="10548" width="5.21875" style="5" customWidth="1"/>
    <col min="10549" max="10549" width="3.5546875" style="5" customWidth="1"/>
    <col min="10550" max="10550" width="11.33203125" style="5" customWidth="1"/>
    <col min="10551" max="10551" width="9.88671875" style="5" customWidth="1"/>
    <col min="10552" max="10552" width="3.5546875" style="5" customWidth="1"/>
    <col min="10553" max="10752" width="8.88671875" style="5"/>
    <col min="10753" max="10753" width="1.33203125" style="5" customWidth="1"/>
    <col min="10754" max="10754" width="2.6640625" style="5" customWidth="1"/>
    <col min="10755" max="10755" width="9" style="5" customWidth="1"/>
    <col min="10756" max="10757" width="6.77734375" style="5" customWidth="1"/>
    <col min="10758" max="10759" width="0" style="5" hidden="1" customWidth="1"/>
    <col min="10760" max="10761" width="4.44140625" style="5" customWidth="1"/>
    <col min="10762" max="10791" width="2.6640625" style="5" customWidth="1"/>
    <col min="10792" max="10797" width="0" style="5" hidden="1" customWidth="1"/>
    <col min="10798" max="10798" width="5.44140625" style="5" customWidth="1"/>
    <col min="10799" max="10799" width="3.5546875" style="5" customWidth="1"/>
    <col min="10800" max="10800" width="4.77734375" style="5" customWidth="1"/>
    <col min="10801" max="10801" width="10.88671875" style="5" customWidth="1"/>
    <col min="10802" max="10802" width="4.44140625" style="5" customWidth="1"/>
    <col min="10803" max="10803" width="17.109375" style="5" customWidth="1"/>
    <col min="10804" max="10804" width="5.21875" style="5" customWidth="1"/>
    <col min="10805" max="10805" width="3.5546875" style="5" customWidth="1"/>
    <col min="10806" max="10806" width="11.33203125" style="5" customWidth="1"/>
    <col min="10807" max="10807" width="9.88671875" style="5" customWidth="1"/>
    <col min="10808" max="10808" width="3.5546875" style="5" customWidth="1"/>
    <col min="10809" max="11008" width="8.88671875" style="5"/>
    <col min="11009" max="11009" width="1.33203125" style="5" customWidth="1"/>
    <col min="11010" max="11010" width="2.6640625" style="5" customWidth="1"/>
    <col min="11011" max="11011" width="9" style="5" customWidth="1"/>
    <col min="11012" max="11013" width="6.77734375" style="5" customWidth="1"/>
    <col min="11014" max="11015" width="0" style="5" hidden="1" customWidth="1"/>
    <col min="11016" max="11017" width="4.44140625" style="5" customWidth="1"/>
    <col min="11018" max="11047" width="2.6640625" style="5" customWidth="1"/>
    <col min="11048" max="11053" width="0" style="5" hidden="1" customWidth="1"/>
    <col min="11054" max="11054" width="5.44140625" style="5" customWidth="1"/>
    <col min="11055" max="11055" width="3.5546875" style="5" customWidth="1"/>
    <col min="11056" max="11056" width="4.77734375" style="5" customWidth="1"/>
    <col min="11057" max="11057" width="10.88671875" style="5" customWidth="1"/>
    <col min="11058" max="11058" width="4.44140625" style="5" customWidth="1"/>
    <col min="11059" max="11059" width="17.109375" style="5" customWidth="1"/>
    <col min="11060" max="11060" width="5.21875" style="5" customWidth="1"/>
    <col min="11061" max="11061" width="3.5546875" style="5" customWidth="1"/>
    <col min="11062" max="11062" width="11.33203125" style="5" customWidth="1"/>
    <col min="11063" max="11063" width="9.88671875" style="5" customWidth="1"/>
    <col min="11064" max="11064" width="3.5546875" style="5" customWidth="1"/>
    <col min="11065" max="11264" width="8.88671875" style="5"/>
    <col min="11265" max="11265" width="1.33203125" style="5" customWidth="1"/>
    <col min="11266" max="11266" width="2.6640625" style="5" customWidth="1"/>
    <col min="11267" max="11267" width="9" style="5" customWidth="1"/>
    <col min="11268" max="11269" width="6.77734375" style="5" customWidth="1"/>
    <col min="11270" max="11271" width="0" style="5" hidden="1" customWidth="1"/>
    <col min="11272" max="11273" width="4.44140625" style="5" customWidth="1"/>
    <col min="11274" max="11303" width="2.6640625" style="5" customWidth="1"/>
    <col min="11304" max="11309" width="0" style="5" hidden="1" customWidth="1"/>
    <col min="11310" max="11310" width="5.44140625" style="5" customWidth="1"/>
    <col min="11311" max="11311" width="3.5546875" style="5" customWidth="1"/>
    <col min="11312" max="11312" width="4.77734375" style="5" customWidth="1"/>
    <col min="11313" max="11313" width="10.88671875" style="5" customWidth="1"/>
    <col min="11314" max="11314" width="4.44140625" style="5" customWidth="1"/>
    <col min="11315" max="11315" width="17.109375" style="5" customWidth="1"/>
    <col min="11316" max="11316" width="5.21875" style="5" customWidth="1"/>
    <col min="11317" max="11317" width="3.5546875" style="5" customWidth="1"/>
    <col min="11318" max="11318" width="11.33203125" style="5" customWidth="1"/>
    <col min="11319" max="11319" width="9.88671875" style="5" customWidth="1"/>
    <col min="11320" max="11320" width="3.5546875" style="5" customWidth="1"/>
    <col min="11321" max="11520" width="8.88671875" style="5"/>
    <col min="11521" max="11521" width="1.33203125" style="5" customWidth="1"/>
    <col min="11522" max="11522" width="2.6640625" style="5" customWidth="1"/>
    <col min="11523" max="11523" width="9" style="5" customWidth="1"/>
    <col min="11524" max="11525" width="6.77734375" style="5" customWidth="1"/>
    <col min="11526" max="11527" width="0" style="5" hidden="1" customWidth="1"/>
    <col min="11528" max="11529" width="4.44140625" style="5" customWidth="1"/>
    <col min="11530" max="11559" width="2.6640625" style="5" customWidth="1"/>
    <col min="11560" max="11565" width="0" style="5" hidden="1" customWidth="1"/>
    <col min="11566" max="11566" width="5.44140625" style="5" customWidth="1"/>
    <col min="11567" max="11567" width="3.5546875" style="5" customWidth="1"/>
    <col min="11568" max="11568" width="4.77734375" style="5" customWidth="1"/>
    <col min="11569" max="11569" width="10.88671875" style="5" customWidth="1"/>
    <col min="11570" max="11570" width="4.44140625" style="5" customWidth="1"/>
    <col min="11571" max="11571" width="17.109375" style="5" customWidth="1"/>
    <col min="11572" max="11572" width="5.21875" style="5" customWidth="1"/>
    <col min="11573" max="11573" width="3.5546875" style="5" customWidth="1"/>
    <col min="11574" max="11574" width="11.33203125" style="5" customWidth="1"/>
    <col min="11575" max="11575" width="9.88671875" style="5" customWidth="1"/>
    <col min="11576" max="11576" width="3.5546875" style="5" customWidth="1"/>
    <col min="11577" max="11776" width="8.88671875" style="5"/>
    <col min="11777" max="11777" width="1.33203125" style="5" customWidth="1"/>
    <col min="11778" max="11778" width="2.6640625" style="5" customWidth="1"/>
    <col min="11779" max="11779" width="9" style="5" customWidth="1"/>
    <col min="11780" max="11781" width="6.77734375" style="5" customWidth="1"/>
    <col min="11782" max="11783" width="0" style="5" hidden="1" customWidth="1"/>
    <col min="11784" max="11785" width="4.44140625" style="5" customWidth="1"/>
    <col min="11786" max="11815" width="2.6640625" style="5" customWidth="1"/>
    <col min="11816" max="11821" width="0" style="5" hidden="1" customWidth="1"/>
    <col min="11822" max="11822" width="5.44140625" style="5" customWidth="1"/>
    <col min="11823" max="11823" width="3.5546875" style="5" customWidth="1"/>
    <col min="11824" max="11824" width="4.77734375" style="5" customWidth="1"/>
    <col min="11825" max="11825" width="10.88671875" style="5" customWidth="1"/>
    <col min="11826" max="11826" width="4.44140625" style="5" customWidth="1"/>
    <col min="11827" max="11827" width="17.109375" style="5" customWidth="1"/>
    <col min="11828" max="11828" width="5.21875" style="5" customWidth="1"/>
    <col min="11829" max="11829" width="3.5546875" style="5" customWidth="1"/>
    <col min="11830" max="11830" width="11.33203125" style="5" customWidth="1"/>
    <col min="11831" max="11831" width="9.88671875" style="5" customWidth="1"/>
    <col min="11832" max="11832" width="3.5546875" style="5" customWidth="1"/>
    <col min="11833" max="12032" width="8.88671875" style="5"/>
    <col min="12033" max="12033" width="1.33203125" style="5" customWidth="1"/>
    <col min="12034" max="12034" width="2.6640625" style="5" customWidth="1"/>
    <col min="12035" max="12035" width="9" style="5" customWidth="1"/>
    <col min="12036" max="12037" width="6.77734375" style="5" customWidth="1"/>
    <col min="12038" max="12039" width="0" style="5" hidden="1" customWidth="1"/>
    <col min="12040" max="12041" width="4.44140625" style="5" customWidth="1"/>
    <col min="12042" max="12071" width="2.6640625" style="5" customWidth="1"/>
    <col min="12072" max="12077" width="0" style="5" hidden="1" customWidth="1"/>
    <col min="12078" max="12078" width="5.44140625" style="5" customWidth="1"/>
    <col min="12079" max="12079" width="3.5546875" style="5" customWidth="1"/>
    <col min="12080" max="12080" width="4.77734375" style="5" customWidth="1"/>
    <col min="12081" max="12081" width="10.88671875" style="5" customWidth="1"/>
    <col min="12082" max="12082" width="4.44140625" style="5" customWidth="1"/>
    <col min="12083" max="12083" width="17.109375" style="5" customWidth="1"/>
    <col min="12084" max="12084" width="5.21875" style="5" customWidth="1"/>
    <col min="12085" max="12085" width="3.5546875" style="5" customWidth="1"/>
    <col min="12086" max="12086" width="11.33203125" style="5" customWidth="1"/>
    <col min="12087" max="12087" width="9.88671875" style="5" customWidth="1"/>
    <col min="12088" max="12088" width="3.5546875" style="5" customWidth="1"/>
    <col min="12089" max="12288" width="8.88671875" style="5"/>
    <col min="12289" max="12289" width="1.33203125" style="5" customWidth="1"/>
    <col min="12290" max="12290" width="2.6640625" style="5" customWidth="1"/>
    <col min="12291" max="12291" width="9" style="5" customWidth="1"/>
    <col min="12292" max="12293" width="6.77734375" style="5" customWidth="1"/>
    <col min="12294" max="12295" width="0" style="5" hidden="1" customWidth="1"/>
    <col min="12296" max="12297" width="4.44140625" style="5" customWidth="1"/>
    <col min="12298" max="12327" width="2.6640625" style="5" customWidth="1"/>
    <col min="12328" max="12333" width="0" style="5" hidden="1" customWidth="1"/>
    <col min="12334" max="12334" width="5.44140625" style="5" customWidth="1"/>
    <col min="12335" max="12335" width="3.5546875" style="5" customWidth="1"/>
    <col min="12336" max="12336" width="4.77734375" style="5" customWidth="1"/>
    <col min="12337" max="12337" width="10.88671875" style="5" customWidth="1"/>
    <col min="12338" max="12338" width="4.44140625" style="5" customWidth="1"/>
    <col min="12339" max="12339" width="17.109375" style="5" customWidth="1"/>
    <col min="12340" max="12340" width="5.21875" style="5" customWidth="1"/>
    <col min="12341" max="12341" width="3.5546875" style="5" customWidth="1"/>
    <col min="12342" max="12342" width="11.33203125" style="5" customWidth="1"/>
    <col min="12343" max="12343" width="9.88671875" style="5" customWidth="1"/>
    <col min="12344" max="12344" width="3.5546875" style="5" customWidth="1"/>
    <col min="12345" max="12544" width="8.88671875" style="5"/>
    <col min="12545" max="12545" width="1.33203125" style="5" customWidth="1"/>
    <col min="12546" max="12546" width="2.6640625" style="5" customWidth="1"/>
    <col min="12547" max="12547" width="9" style="5" customWidth="1"/>
    <col min="12548" max="12549" width="6.77734375" style="5" customWidth="1"/>
    <col min="12550" max="12551" width="0" style="5" hidden="1" customWidth="1"/>
    <col min="12552" max="12553" width="4.44140625" style="5" customWidth="1"/>
    <col min="12554" max="12583" width="2.6640625" style="5" customWidth="1"/>
    <col min="12584" max="12589" width="0" style="5" hidden="1" customWidth="1"/>
    <col min="12590" max="12590" width="5.44140625" style="5" customWidth="1"/>
    <col min="12591" max="12591" width="3.5546875" style="5" customWidth="1"/>
    <col min="12592" max="12592" width="4.77734375" style="5" customWidth="1"/>
    <col min="12593" max="12593" width="10.88671875" style="5" customWidth="1"/>
    <col min="12594" max="12594" width="4.44140625" style="5" customWidth="1"/>
    <col min="12595" max="12595" width="17.109375" style="5" customWidth="1"/>
    <col min="12596" max="12596" width="5.21875" style="5" customWidth="1"/>
    <col min="12597" max="12597" width="3.5546875" style="5" customWidth="1"/>
    <col min="12598" max="12598" width="11.33203125" style="5" customWidth="1"/>
    <col min="12599" max="12599" width="9.88671875" style="5" customWidth="1"/>
    <col min="12600" max="12600" width="3.5546875" style="5" customWidth="1"/>
    <col min="12601" max="12800" width="8.88671875" style="5"/>
    <col min="12801" max="12801" width="1.33203125" style="5" customWidth="1"/>
    <col min="12802" max="12802" width="2.6640625" style="5" customWidth="1"/>
    <col min="12803" max="12803" width="9" style="5" customWidth="1"/>
    <col min="12804" max="12805" width="6.77734375" style="5" customWidth="1"/>
    <col min="12806" max="12807" width="0" style="5" hidden="1" customWidth="1"/>
    <col min="12808" max="12809" width="4.44140625" style="5" customWidth="1"/>
    <col min="12810" max="12839" width="2.6640625" style="5" customWidth="1"/>
    <col min="12840" max="12845" width="0" style="5" hidden="1" customWidth="1"/>
    <col min="12846" max="12846" width="5.44140625" style="5" customWidth="1"/>
    <col min="12847" max="12847" width="3.5546875" style="5" customWidth="1"/>
    <col min="12848" max="12848" width="4.77734375" style="5" customWidth="1"/>
    <col min="12849" max="12849" width="10.88671875" style="5" customWidth="1"/>
    <col min="12850" max="12850" width="4.44140625" style="5" customWidth="1"/>
    <col min="12851" max="12851" width="17.109375" style="5" customWidth="1"/>
    <col min="12852" max="12852" width="5.21875" style="5" customWidth="1"/>
    <col min="12853" max="12853" width="3.5546875" style="5" customWidth="1"/>
    <col min="12854" max="12854" width="11.33203125" style="5" customWidth="1"/>
    <col min="12855" max="12855" width="9.88671875" style="5" customWidth="1"/>
    <col min="12856" max="12856" width="3.5546875" style="5" customWidth="1"/>
    <col min="12857" max="13056" width="8.88671875" style="5"/>
    <col min="13057" max="13057" width="1.33203125" style="5" customWidth="1"/>
    <col min="13058" max="13058" width="2.6640625" style="5" customWidth="1"/>
    <col min="13059" max="13059" width="9" style="5" customWidth="1"/>
    <col min="13060" max="13061" width="6.77734375" style="5" customWidth="1"/>
    <col min="13062" max="13063" width="0" style="5" hidden="1" customWidth="1"/>
    <col min="13064" max="13065" width="4.44140625" style="5" customWidth="1"/>
    <col min="13066" max="13095" width="2.6640625" style="5" customWidth="1"/>
    <col min="13096" max="13101" width="0" style="5" hidden="1" customWidth="1"/>
    <col min="13102" max="13102" width="5.44140625" style="5" customWidth="1"/>
    <col min="13103" max="13103" width="3.5546875" style="5" customWidth="1"/>
    <col min="13104" max="13104" width="4.77734375" style="5" customWidth="1"/>
    <col min="13105" max="13105" width="10.88671875" style="5" customWidth="1"/>
    <col min="13106" max="13106" width="4.44140625" style="5" customWidth="1"/>
    <col min="13107" max="13107" width="17.109375" style="5" customWidth="1"/>
    <col min="13108" max="13108" width="5.21875" style="5" customWidth="1"/>
    <col min="13109" max="13109" width="3.5546875" style="5" customWidth="1"/>
    <col min="13110" max="13110" width="11.33203125" style="5" customWidth="1"/>
    <col min="13111" max="13111" width="9.88671875" style="5" customWidth="1"/>
    <col min="13112" max="13112" width="3.5546875" style="5" customWidth="1"/>
    <col min="13113" max="13312" width="8.88671875" style="5"/>
    <col min="13313" max="13313" width="1.33203125" style="5" customWidth="1"/>
    <col min="13314" max="13314" width="2.6640625" style="5" customWidth="1"/>
    <col min="13315" max="13315" width="9" style="5" customWidth="1"/>
    <col min="13316" max="13317" width="6.77734375" style="5" customWidth="1"/>
    <col min="13318" max="13319" width="0" style="5" hidden="1" customWidth="1"/>
    <col min="13320" max="13321" width="4.44140625" style="5" customWidth="1"/>
    <col min="13322" max="13351" width="2.6640625" style="5" customWidth="1"/>
    <col min="13352" max="13357" width="0" style="5" hidden="1" customWidth="1"/>
    <col min="13358" max="13358" width="5.44140625" style="5" customWidth="1"/>
    <col min="13359" max="13359" width="3.5546875" style="5" customWidth="1"/>
    <col min="13360" max="13360" width="4.77734375" style="5" customWidth="1"/>
    <col min="13361" max="13361" width="10.88671875" style="5" customWidth="1"/>
    <col min="13362" max="13362" width="4.44140625" style="5" customWidth="1"/>
    <col min="13363" max="13363" width="17.109375" style="5" customWidth="1"/>
    <col min="13364" max="13364" width="5.21875" style="5" customWidth="1"/>
    <col min="13365" max="13365" width="3.5546875" style="5" customWidth="1"/>
    <col min="13366" max="13366" width="11.33203125" style="5" customWidth="1"/>
    <col min="13367" max="13367" width="9.88671875" style="5" customWidth="1"/>
    <col min="13368" max="13368" width="3.5546875" style="5" customWidth="1"/>
    <col min="13369" max="13568" width="8.88671875" style="5"/>
    <col min="13569" max="13569" width="1.33203125" style="5" customWidth="1"/>
    <col min="13570" max="13570" width="2.6640625" style="5" customWidth="1"/>
    <col min="13571" max="13571" width="9" style="5" customWidth="1"/>
    <col min="13572" max="13573" width="6.77734375" style="5" customWidth="1"/>
    <col min="13574" max="13575" width="0" style="5" hidden="1" customWidth="1"/>
    <col min="13576" max="13577" width="4.44140625" style="5" customWidth="1"/>
    <col min="13578" max="13607" width="2.6640625" style="5" customWidth="1"/>
    <col min="13608" max="13613" width="0" style="5" hidden="1" customWidth="1"/>
    <col min="13614" max="13614" width="5.44140625" style="5" customWidth="1"/>
    <col min="13615" max="13615" width="3.5546875" style="5" customWidth="1"/>
    <col min="13616" max="13616" width="4.77734375" style="5" customWidth="1"/>
    <col min="13617" max="13617" width="10.88671875" style="5" customWidth="1"/>
    <col min="13618" max="13618" width="4.44140625" style="5" customWidth="1"/>
    <col min="13619" max="13619" width="17.109375" style="5" customWidth="1"/>
    <col min="13620" max="13620" width="5.21875" style="5" customWidth="1"/>
    <col min="13621" max="13621" width="3.5546875" style="5" customWidth="1"/>
    <col min="13622" max="13622" width="11.33203125" style="5" customWidth="1"/>
    <col min="13623" max="13623" width="9.88671875" style="5" customWidth="1"/>
    <col min="13624" max="13624" width="3.5546875" style="5" customWidth="1"/>
    <col min="13625" max="13824" width="8.88671875" style="5"/>
    <col min="13825" max="13825" width="1.33203125" style="5" customWidth="1"/>
    <col min="13826" max="13826" width="2.6640625" style="5" customWidth="1"/>
    <col min="13827" max="13827" width="9" style="5" customWidth="1"/>
    <col min="13828" max="13829" width="6.77734375" style="5" customWidth="1"/>
    <col min="13830" max="13831" width="0" style="5" hidden="1" customWidth="1"/>
    <col min="13832" max="13833" width="4.44140625" style="5" customWidth="1"/>
    <col min="13834" max="13863" width="2.6640625" style="5" customWidth="1"/>
    <col min="13864" max="13869" width="0" style="5" hidden="1" customWidth="1"/>
    <col min="13870" max="13870" width="5.44140625" style="5" customWidth="1"/>
    <col min="13871" max="13871" width="3.5546875" style="5" customWidth="1"/>
    <col min="13872" max="13872" width="4.77734375" style="5" customWidth="1"/>
    <col min="13873" max="13873" width="10.88671875" style="5" customWidth="1"/>
    <col min="13874" max="13874" width="4.44140625" style="5" customWidth="1"/>
    <col min="13875" max="13875" width="17.109375" style="5" customWidth="1"/>
    <col min="13876" max="13876" width="5.21875" style="5" customWidth="1"/>
    <col min="13877" max="13877" width="3.5546875" style="5" customWidth="1"/>
    <col min="13878" max="13878" width="11.33203125" style="5" customWidth="1"/>
    <col min="13879" max="13879" width="9.88671875" style="5" customWidth="1"/>
    <col min="13880" max="13880" width="3.5546875" style="5" customWidth="1"/>
    <col min="13881" max="14080" width="8.88671875" style="5"/>
    <col min="14081" max="14081" width="1.33203125" style="5" customWidth="1"/>
    <col min="14082" max="14082" width="2.6640625" style="5" customWidth="1"/>
    <col min="14083" max="14083" width="9" style="5" customWidth="1"/>
    <col min="14084" max="14085" width="6.77734375" style="5" customWidth="1"/>
    <col min="14086" max="14087" width="0" style="5" hidden="1" customWidth="1"/>
    <col min="14088" max="14089" width="4.44140625" style="5" customWidth="1"/>
    <col min="14090" max="14119" width="2.6640625" style="5" customWidth="1"/>
    <col min="14120" max="14125" width="0" style="5" hidden="1" customWidth="1"/>
    <col min="14126" max="14126" width="5.44140625" style="5" customWidth="1"/>
    <col min="14127" max="14127" width="3.5546875" style="5" customWidth="1"/>
    <col min="14128" max="14128" width="4.77734375" style="5" customWidth="1"/>
    <col min="14129" max="14129" width="10.88671875" style="5" customWidth="1"/>
    <col min="14130" max="14130" width="4.44140625" style="5" customWidth="1"/>
    <col min="14131" max="14131" width="17.109375" style="5" customWidth="1"/>
    <col min="14132" max="14132" width="5.21875" style="5" customWidth="1"/>
    <col min="14133" max="14133" width="3.5546875" style="5" customWidth="1"/>
    <col min="14134" max="14134" width="11.33203125" style="5" customWidth="1"/>
    <col min="14135" max="14135" width="9.88671875" style="5" customWidth="1"/>
    <col min="14136" max="14136" width="3.5546875" style="5" customWidth="1"/>
    <col min="14137" max="14336" width="8.88671875" style="5"/>
    <col min="14337" max="14337" width="1.33203125" style="5" customWidth="1"/>
    <col min="14338" max="14338" width="2.6640625" style="5" customWidth="1"/>
    <col min="14339" max="14339" width="9" style="5" customWidth="1"/>
    <col min="14340" max="14341" width="6.77734375" style="5" customWidth="1"/>
    <col min="14342" max="14343" width="0" style="5" hidden="1" customWidth="1"/>
    <col min="14344" max="14345" width="4.44140625" style="5" customWidth="1"/>
    <col min="14346" max="14375" width="2.6640625" style="5" customWidth="1"/>
    <col min="14376" max="14381" width="0" style="5" hidden="1" customWidth="1"/>
    <col min="14382" max="14382" width="5.44140625" style="5" customWidth="1"/>
    <col min="14383" max="14383" width="3.5546875" style="5" customWidth="1"/>
    <col min="14384" max="14384" width="4.77734375" style="5" customWidth="1"/>
    <col min="14385" max="14385" width="10.88671875" style="5" customWidth="1"/>
    <col min="14386" max="14386" width="4.44140625" style="5" customWidth="1"/>
    <col min="14387" max="14387" width="17.109375" style="5" customWidth="1"/>
    <col min="14388" max="14388" width="5.21875" style="5" customWidth="1"/>
    <col min="14389" max="14389" width="3.5546875" style="5" customWidth="1"/>
    <col min="14390" max="14390" width="11.33203125" style="5" customWidth="1"/>
    <col min="14391" max="14391" width="9.88671875" style="5" customWidth="1"/>
    <col min="14392" max="14392" width="3.5546875" style="5" customWidth="1"/>
    <col min="14393" max="14592" width="8.88671875" style="5"/>
    <col min="14593" max="14593" width="1.33203125" style="5" customWidth="1"/>
    <col min="14594" max="14594" width="2.6640625" style="5" customWidth="1"/>
    <col min="14595" max="14595" width="9" style="5" customWidth="1"/>
    <col min="14596" max="14597" width="6.77734375" style="5" customWidth="1"/>
    <col min="14598" max="14599" width="0" style="5" hidden="1" customWidth="1"/>
    <col min="14600" max="14601" width="4.44140625" style="5" customWidth="1"/>
    <col min="14602" max="14631" width="2.6640625" style="5" customWidth="1"/>
    <col min="14632" max="14637" width="0" style="5" hidden="1" customWidth="1"/>
    <col min="14638" max="14638" width="5.44140625" style="5" customWidth="1"/>
    <col min="14639" max="14639" width="3.5546875" style="5" customWidth="1"/>
    <col min="14640" max="14640" width="4.77734375" style="5" customWidth="1"/>
    <col min="14641" max="14641" width="10.88671875" style="5" customWidth="1"/>
    <col min="14642" max="14642" width="4.44140625" style="5" customWidth="1"/>
    <col min="14643" max="14643" width="17.109375" style="5" customWidth="1"/>
    <col min="14644" max="14644" width="5.21875" style="5" customWidth="1"/>
    <col min="14645" max="14645" width="3.5546875" style="5" customWidth="1"/>
    <col min="14646" max="14646" width="11.33203125" style="5" customWidth="1"/>
    <col min="14647" max="14647" width="9.88671875" style="5" customWidth="1"/>
    <col min="14648" max="14648" width="3.5546875" style="5" customWidth="1"/>
    <col min="14649" max="14848" width="8.88671875" style="5"/>
    <col min="14849" max="14849" width="1.33203125" style="5" customWidth="1"/>
    <col min="14850" max="14850" width="2.6640625" style="5" customWidth="1"/>
    <col min="14851" max="14851" width="9" style="5" customWidth="1"/>
    <col min="14852" max="14853" width="6.77734375" style="5" customWidth="1"/>
    <col min="14854" max="14855" width="0" style="5" hidden="1" customWidth="1"/>
    <col min="14856" max="14857" width="4.44140625" style="5" customWidth="1"/>
    <col min="14858" max="14887" width="2.6640625" style="5" customWidth="1"/>
    <col min="14888" max="14893" width="0" style="5" hidden="1" customWidth="1"/>
    <col min="14894" max="14894" width="5.44140625" style="5" customWidth="1"/>
    <col min="14895" max="14895" width="3.5546875" style="5" customWidth="1"/>
    <col min="14896" max="14896" width="4.77734375" style="5" customWidth="1"/>
    <col min="14897" max="14897" width="10.88671875" style="5" customWidth="1"/>
    <col min="14898" max="14898" width="4.44140625" style="5" customWidth="1"/>
    <col min="14899" max="14899" width="17.109375" style="5" customWidth="1"/>
    <col min="14900" max="14900" width="5.21875" style="5" customWidth="1"/>
    <col min="14901" max="14901" width="3.5546875" style="5" customWidth="1"/>
    <col min="14902" max="14902" width="11.33203125" style="5" customWidth="1"/>
    <col min="14903" max="14903" width="9.88671875" style="5" customWidth="1"/>
    <col min="14904" max="14904" width="3.5546875" style="5" customWidth="1"/>
    <col min="14905" max="15104" width="8.88671875" style="5"/>
    <col min="15105" max="15105" width="1.33203125" style="5" customWidth="1"/>
    <col min="15106" max="15106" width="2.6640625" style="5" customWidth="1"/>
    <col min="15107" max="15107" width="9" style="5" customWidth="1"/>
    <col min="15108" max="15109" width="6.77734375" style="5" customWidth="1"/>
    <col min="15110" max="15111" width="0" style="5" hidden="1" customWidth="1"/>
    <col min="15112" max="15113" width="4.44140625" style="5" customWidth="1"/>
    <col min="15114" max="15143" width="2.6640625" style="5" customWidth="1"/>
    <col min="15144" max="15149" width="0" style="5" hidden="1" customWidth="1"/>
    <col min="15150" max="15150" width="5.44140625" style="5" customWidth="1"/>
    <col min="15151" max="15151" width="3.5546875" style="5" customWidth="1"/>
    <col min="15152" max="15152" width="4.77734375" style="5" customWidth="1"/>
    <col min="15153" max="15153" width="10.88671875" style="5" customWidth="1"/>
    <col min="15154" max="15154" width="4.44140625" style="5" customWidth="1"/>
    <col min="15155" max="15155" width="17.109375" style="5" customWidth="1"/>
    <col min="15156" max="15156" width="5.21875" style="5" customWidth="1"/>
    <col min="15157" max="15157" width="3.5546875" style="5" customWidth="1"/>
    <col min="15158" max="15158" width="11.33203125" style="5" customWidth="1"/>
    <col min="15159" max="15159" width="9.88671875" style="5" customWidth="1"/>
    <col min="15160" max="15160" width="3.5546875" style="5" customWidth="1"/>
    <col min="15161" max="15360" width="8.88671875" style="5"/>
    <col min="15361" max="15361" width="1.33203125" style="5" customWidth="1"/>
    <col min="15362" max="15362" width="2.6640625" style="5" customWidth="1"/>
    <col min="15363" max="15363" width="9" style="5" customWidth="1"/>
    <col min="15364" max="15365" width="6.77734375" style="5" customWidth="1"/>
    <col min="15366" max="15367" width="0" style="5" hidden="1" customWidth="1"/>
    <col min="15368" max="15369" width="4.44140625" style="5" customWidth="1"/>
    <col min="15370" max="15399" width="2.6640625" style="5" customWidth="1"/>
    <col min="15400" max="15405" width="0" style="5" hidden="1" customWidth="1"/>
    <col min="15406" max="15406" width="5.44140625" style="5" customWidth="1"/>
    <col min="15407" max="15407" width="3.5546875" style="5" customWidth="1"/>
    <col min="15408" max="15408" width="4.77734375" style="5" customWidth="1"/>
    <col min="15409" max="15409" width="10.88671875" style="5" customWidth="1"/>
    <col min="15410" max="15410" width="4.44140625" style="5" customWidth="1"/>
    <col min="15411" max="15411" width="17.109375" style="5" customWidth="1"/>
    <col min="15412" max="15412" width="5.21875" style="5" customWidth="1"/>
    <col min="15413" max="15413" width="3.5546875" style="5" customWidth="1"/>
    <col min="15414" max="15414" width="11.33203125" style="5" customWidth="1"/>
    <col min="15415" max="15415" width="9.88671875" style="5" customWidth="1"/>
    <col min="15416" max="15416" width="3.5546875" style="5" customWidth="1"/>
    <col min="15417" max="15616" width="8.88671875" style="5"/>
    <col min="15617" max="15617" width="1.33203125" style="5" customWidth="1"/>
    <col min="15618" max="15618" width="2.6640625" style="5" customWidth="1"/>
    <col min="15619" max="15619" width="9" style="5" customWidth="1"/>
    <col min="15620" max="15621" width="6.77734375" style="5" customWidth="1"/>
    <col min="15622" max="15623" width="0" style="5" hidden="1" customWidth="1"/>
    <col min="15624" max="15625" width="4.44140625" style="5" customWidth="1"/>
    <col min="15626" max="15655" width="2.6640625" style="5" customWidth="1"/>
    <col min="15656" max="15661" width="0" style="5" hidden="1" customWidth="1"/>
    <col min="15662" max="15662" width="5.44140625" style="5" customWidth="1"/>
    <col min="15663" max="15663" width="3.5546875" style="5" customWidth="1"/>
    <col min="15664" max="15664" width="4.77734375" style="5" customWidth="1"/>
    <col min="15665" max="15665" width="10.88671875" style="5" customWidth="1"/>
    <col min="15666" max="15666" width="4.44140625" style="5" customWidth="1"/>
    <col min="15667" max="15667" width="17.109375" style="5" customWidth="1"/>
    <col min="15668" max="15668" width="5.21875" style="5" customWidth="1"/>
    <col min="15669" max="15669" width="3.5546875" style="5" customWidth="1"/>
    <col min="15670" max="15670" width="11.33203125" style="5" customWidth="1"/>
    <col min="15671" max="15671" width="9.88671875" style="5" customWidth="1"/>
    <col min="15672" max="15672" width="3.5546875" style="5" customWidth="1"/>
    <col min="15673" max="15872" width="8.88671875" style="5"/>
    <col min="15873" max="15873" width="1.33203125" style="5" customWidth="1"/>
    <col min="15874" max="15874" width="2.6640625" style="5" customWidth="1"/>
    <col min="15875" max="15875" width="9" style="5" customWidth="1"/>
    <col min="15876" max="15877" width="6.77734375" style="5" customWidth="1"/>
    <col min="15878" max="15879" width="0" style="5" hidden="1" customWidth="1"/>
    <col min="15880" max="15881" width="4.44140625" style="5" customWidth="1"/>
    <col min="15882" max="15911" width="2.6640625" style="5" customWidth="1"/>
    <col min="15912" max="15917" width="0" style="5" hidden="1" customWidth="1"/>
    <col min="15918" max="15918" width="5.44140625" style="5" customWidth="1"/>
    <col min="15919" max="15919" width="3.5546875" style="5" customWidth="1"/>
    <col min="15920" max="15920" width="4.77734375" style="5" customWidth="1"/>
    <col min="15921" max="15921" width="10.88671875" style="5" customWidth="1"/>
    <col min="15922" max="15922" width="4.44140625" style="5" customWidth="1"/>
    <col min="15923" max="15923" width="17.109375" style="5" customWidth="1"/>
    <col min="15924" max="15924" width="5.21875" style="5" customWidth="1"/>
    <col min="15925" max="15925" width="3.5546875" style="5" customWidth="1"/>
    <col min="15926" max="15926" width="11.33203125" style="5" customWidth="1"/>
    <col min="15927" max="15927" width="9.88671875" style="5" customWidth="1"/>
    <col min="15928" max="15928" width="3.5546875" style="5" customWidth="1"/>
    <col min="15929" max="16128" width="8.88671875" style="5"/>
    <col min="16129" max="16129" width="1.33203125" style="5" customWidth="1"/>
    <col min="16130" max="16130" width="2.6640625" style="5" customWidth="1"/>
    <col min="16131" max="16131" width="9" style="5" customWidth="1"/>
    <col min="16132" max="16133" width="6.77734375" style="5" customWidth="1"/>
    <col min="16134" max="16135" width="0" style="5" hidden="1" customWidth="1"/>
    <col min="16136" max="16137" width="4.44140625" style="5" customWidth="1"/>
    <col min="16138" max="16167" width="2.6640625" style="5" customWidth="1"/>
    <col min="16168" max="16173" width="0" style="5" hidden="1" customWidth="1"/>
    <col min="16174" max="16174" width="5.44140625" style="5" customWidth="1"/>
    <col min="16175" max="16175" width="3.5546875" style="5" customWidth="1"/>
    <col min="16176" max="16176" width="4.77734375" style="5" customWidth="1"/>
    <col min="16177" max="16177" width="10.88671875" style="5" customWidth="1"/>
    <col min="16178" max="16178" width="4.44140625" style="5" customWidth="1"/>
    <col min="16179" max="16179" width="17.109375" style="5" customWidth="1"/>
    <col min="16180" max="16180" width="5.21875" style="5" customWidth="1"/>
    <col min="16181" max="16181" width="3.5546875" style="5" customWidth="1"/>
    <col min="16182" max="16182" width="11.33203125" style="5" customWidth="1"/>
    <col min="16183" max="16183" width="9.88671875" style="5" customWidth="1"/>
    <col min="16184" max="16184" width="3.5546875" style="5" customWidth="1"/>
    <col min="16185" max="16384" width="8.88671875" style="5"/>
  </cols>
  <sheetData>
    <row r="1" spans="1:54" s="1" customFormat="1" ht="6.75" customHeight="1" x14ac:dyDescent="0.15"/>
    <row r="2" spans="1:54" s="1" customFormat="1" ht="19.5" customHeight="1" x14ac:dyDescent="0.15">
      <c r="B2" s="108" t="s">
        <v>47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  <c r="AS2" s="108"/>
      <c r="AT2" s="108"/>
      <c r="AU2" s="108"/>
      <c r="AV2" s="2"/>
      <c r="AW2" s="2"/>
      <c r="AX2" s="2"/>
      <c r="AY2" s="2"/>
      <c r="AZ2" s="2"/>
    </row>
    <row r="3" spans="1:54" s="1" customFormat="1" ht="19.5" customHeight="1" x14ac:dyDescent="0.15"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  <c r="AT3" s="108"/>
      <c r="AU3" s="108"/>
      <c r="AV3" s="2"/>
      <c r="AW3" s="2"/>
      <c r="AX3" s="2"/>
      <c r="AY3" s="2"/>
      <c r="AZ3" s="2"/>
    </row>
    <row r="4" spans="1:54" s="1" customFormat="1" ht="27.75" customHeight="1" x14ac:dyDescent="0.15">
      <c r="B4" s="109" t="s">
        <v>0</v>
      </c>
      <c r="C4" s="109"/>
      <c r="D4" s="3" t="s">
        <v>1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</row>
    <row r="5" spans="1:54" s="1" customFormat="1" ht="3.75" customHeight="1" x14ac:dyDescent="0.15"/>
    <row r="6" spans="1:54" ht="21.6" customHeight="1" x14ac:dyDescent="0.15">
      <c r="B6" s="4" t="s">
        <v>2</v>
      </c>
      <c r="C6"/>
      <c r="D6"/>
      <c r="E6"/>
      <c r="F6"/>
      <c r="Y6" s="4"/>
      <c r="Z6" s="4"/>
      <c r="AT6" s="4"/>
      <c r="AU6" s="4"/>
      <c r="AV6" s="4"/>
    </row>
    <row r="7" spans="1:54" ht="4.5" customHeight="1" x14ac:dyDescent="0.15">
      <c r="A7" s="5" t="s">
        <v>3</v>
      </c>
      <c r="B7" s="3"/>
      <c r="C7" s="3"/>
      <c r="D7" s="3"/>
      <c r="E7" s="3"/>
      <c r="F7" s="3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 s="1"/>
      <c r="AX7" s="1"/>
      <c r="AY7" s="1"/>
      <c r="AZ7" s="1"/>
      <c r="BA7" s="6"/>
      <c r="BB7" s="6"/>
    </row>
    <row r="8" spans="1:54" ht="3.75" customHeight="1" x14ac:dyDescent="0.15">
      <c r="B8" s="3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 s="1"/>
      <c r="AX8" s="1"/>
      <c r="AY8" s="1"/>
      <c r="AZ8" s="1"/>
      <c r="BA8" s="6"/>
      <c r="BB8" s="6"/>
    </row>
    <row r="9" spans="1:54" ht="10.5" customHeight="1" x14ac:dyDescent="0.15">
      <c r="B9" s="3"/>
      <c r="C9" s="110" t="s">
        <v>4</v>
      </c>
      <c r="D9" s="111"/>
      <c r="E9" s="111"/>
      <c r="F9" s="111"/>
      <c r="G9" s="111"/>
      <c r="H9" s="112" t="s">
        <v>5</v>
      </c>
      <c r="I9" s="113"/>
      <c r="J9" s="114" t="s">
        <v>6</v>
      </c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  <c r="AD9" s="115"/>
      <c r="AE9" s="115"/>
      <c r="AF9" s="115"/>
      <c r="AG9" s="115"/>
      <c r="AH9" s="115"/>
      <c r="AI9" s="115"/>
      <c r="AJ9" s="115"/>
      <c r="AK9" s="115"/>
      <c r="AL9" s="115"/>
      <c r="AM9" s="115"/>
      <c r="AN9" s="115"/>
      <c r="AO9" s="115"/>
      <c r="AP9" s="115"/>
      <c r="AQ9" s="115"/>
      <c r="AR9" s="115"/>
      <c r="AS9" s="116"/>
      <c r="AT9" s="113" t="s">
        <v>7</v>
      </c>
      <c r="AU9" s="113"/>
      <c r="AV9"/>
      <c r="AW9" s="1"/>
      <c r="AX9" s="1"/>
      <c r="AY9" s="1"/>
      <c r="AZ9" s="1"/>
      <c r="BA9" s="6"/>
      <c r="BB9" s="6"/>
    </row>
    <row r="10" spans="1:54" ht="10.5" customHeight="1" x14ac:dyDescent="0.15">
      <c r="B10" s="3"/>
      <c r="C10" s="111"/>
      <c r="D10" s="111"/>
      <c r="E10" s="111"/>
      <c r="F10" s="111"/>
      <c r="G10" s="111"/>
      <c r="H10" s="113"/>
      <c r="I10" s="113"/>
      <c r="J10" s="117"/>
      <c r="K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  <c r="AD10" s="118"/>
      <c r="AE10" s="118"/>
      <c r="AF10" s="118"/>
      <c r="AG10" s="118"/>
      <c r="AH10" s="118"/>
      <c r="AI10" s="118"/>
      <c r="AJ10" s="118"/>
      <c r="AK10" s="118"/>
      <c r="AL10" s="118"/>
      <c r="AM10" s="118"/>
      <c r="AN10" s="118"/>
      <c r="AO10" s="118"/>
      <c r="AP10" s="118"/>
      <c r="AQ10" s="118"/>
      <c r="AR10" s="118"/>
      <c r="AS10" s="119"/>
      <c r="AT10" s="113"/>
      <c r="AU10" s="113"/>
      <c r="AV10"/>
      <c r="AW10" s="1"/>
      <c r="AX10" s="1"/>
      <c r="AY10" s="1"/>
      <c r="AZ10" s="1"/>
    </row>
    <row r="11" spans="1:54" ht="10.5" customHeight="1" x14ac:dyDescent="0.15">
      <c r="B11" s="7"/>
      <c r="C11" s="111"/>
      <c r="D11" s="111"/>
      <c r="E11" s="111"/>
      <c r="F11" s="111"/>
      <c r="G11" s="111"/>
      <c r="H11" s="113"/>
      <c r="I11" s="113"/>
      <c r="J11" s="102" t="s">
        <v>8</v>
      </c>
      <c r="K11" s="103"/>
      <c r="L11" s="104"/>
      <c r="M11" s="102" t="s">
        <v>9</v>
      </c>
      <c r="N11" s="103"/>
      <c r="O11" s="104"/>
      <c r="P11" s="102" t="s">
        <v>10</v>
      </c>
      <c r="Q11" s="103"/>
      <c r="R11" s="104"/>
      <c r="S11" s="102" t="s">
        <v>11</v>
      </c>
      <c r="T11" s="103"/>
      <c r="U11" s="104"/>
      <c r="V11" s="102" t="s">
        <v>12</v>
      </c>
      <c r="W11" s="103"/>
      <c r="X11" s="104"/>
      <c r="Y11" s="102" t="s">
        <v>13</v>
      </c>
      <c r="Z11" s="103"/>
      <c r="AA11" s="104"/>
      <c r="AB11" s="102" t="s">
        <v>14</v>
      </c>
      <c r="AC11" s="103"/>
      <c r="AD11" s="104"/>
      <c r="AE11" s="102" t="s">
        <v>15</v>
      </c>
      <c r="AF11" s="103"/>
      <c r="AG11" s="104"/>
      <c r="AH11" s="102" t="s">
        <v>16</v>
      </c>
      <c r="AI11" s="103"/>
      <c r="AJ11" s="104"/>
      <c r="AK11" s="102" t="s">
        <v>17</v>
      </c>
      <c r="AL11" s="103"/>
      <c r="AM11" s="104"/>
      <c r="AN11" s="102" t="s">
        <v>18</v>
      </c>
      <c r="AO11" s="103"/>
      <c r="AP11" s="104"/>
      <c r="AQ11" s="102" t="s">
        <v>19</v>
      </c>
      <c r="AR11" s="103"/>
      <c r="AS11" s="104"/>
      <c r="AT11" s="113"/>
      <c r="AU11" s="113"/>
      <c r="AV11"/>
      <c r="AW11" s="1"/>
      <c r="AX11" s="1"/>
      <c r="AY11" s="20">
        <f>IFERROR(AY13+AY17+AY21+AY25+AY29+AY31,"")</f>
      </c>
      <c r="AZ11" s="1"/>
    </row>
    <row r="12" spans="1:54" ht="10.5" customHeight="1" x14ac:dyDescent="0.15">
      <c r="B12" s="7"/>
      <c r="C12" s="111"/>
      <c r="D12" s="111"/>
      <c r="E12" s="111"/>
      <c r="F12" s="111"/>
      <c r="G12" s="111"/>
      <c r="H12" s="113"/>
      <c r="I12" s="113"/>
      <c r="J12" s="105"/>
      <c r="K12" s="106"/>
      <c r="L12" s="107"/>
      <c r="M12" s="105"/>
      <c r="N12" s="106"/>
      <c r="O12" s="107"/>
      <c r="P12" s="105"/>
      <c r="Q12" s="106"/>
      <c r="R12" s="107"/>
      <c r="S12" s="105"/>
      <c r="T12" s="106"/>
      <c r="U12" s="107"/>
      <c r="V12" s="105"/>
      <c r="W12" s="106"/>
      <c r="X12" s="107"/>
      <c r="Y12" s="105"/>
      <c r="Z12" s="106"/>
      <c r="AA12" s="107"/>
      <c r="AB12" s="105"/>
      <c r="AC12" s="106"/>
      <c r="AD12" s="107"/>
      <c r="AE12" s="105"/>
      <c r="AF12" s="106"/>
      <c r="AG12" s="107"/>
      <c r="AH12" s="105"/>
      <c r="AI12" s="106"/>
      <c r="AJ12" s="107"/>
      <c r="AK12" s="105"/>
      <c r="AL12" s="106"/>
      <c r="AM12" s="107"/>
      <c r="AN12" s="105"/>
      <c r="AO12" s="106"/>
      <c r="AP12" s="107"/>
      <c r="AQ12" s="105"/>
      <c r="AR12" s="106"/>
      <c r="AS12" s="107"/>
      <c r="AT12" s="113"/>
      <c r="AU12" s="113"/>
      <c r="AV12"/>
      <c r="AW12" s="1"/>
      <c r="AX12" s="1"/>
      <c r="AY12" s="30">
        <f>IFERROR(AY15+AY19+AY23+AY27+AY31,"")</f>
      </c>
      <c r="AZ12" s="1"/>
    </row>
    <row r="13" spans="1:54" ht="10.5" customHeight="1" x14ac:dyDescent="0.15">
      <c r="B13" s="7"/>
      <c r="C13" s="68" t="s">
        <v>20</v>
      </c>
      <c r="D13" s="69"/>
      <c r="E13" s="69"/>
      <c r="F13" s="69"/>
      <c r="G13" s="70"/>
      <c r="H13" s="57"/>
      <c r="I13" s="57"/>
      <c r="J13" s="63">
        <f>IFERROR(TRUNC($H$13/8,1),"")</f>
      </c>
      <c r="K13" s="63"/>
      <c r="L13" s="63"/>
      <c r="M13" s="63">
        <f>IFERROR(TRUNC($H$13/8,1),"")</f>
      </c>
      <c r="N13" s="63"/>
      <c r="O13" s="63"/>
      <c r="P13" s="63">
        <f>IFERROR(TRUNC($H$13/8,1),"")</f>
      </c>
      <c r="Q13" s="63"/>
      <c r="R13" s="63"/>
      <c r="S13" s="63">
        <f>IFERROR(TRUNC($H$13/8,1)+0.1,"")</f>
      </c>
      <c r="T13" s="63"/>
      <c r="U13" s="63"/>
      <c r="V13" s="63">
        <f>IFERROR(TRUNC($H$13/8,1)+0.1,"")</f>
      </c>
      <c r="W13" s="63"/>
      <c r="X13" s="63"/>
      <c r="Y13" s="63">
        <f>IFERROR(TRUNC($H$13/8,1)+0.1,"")</f>
      </c>
      <c r="Z13" s="63"/>
      <c r="AA13" s="63"/>
      <c r="AB13" s="63">
        <f>IFERROR(TRUNC($H$13/8,1)+0.1,"")</f>
      </c>
      <c r="AC13" s="63"/>
      <c r="AD13" s="63"/>
      <c r="AE13" s="63">
        <f>IFERROR(TRUNC($H$13/8,1)+0.1,"")</f>
      </c>
      <c r="AF13" s="63"/>
      <c r="AG13" s="63"/>
      <c r="AH13" s="63"/>
      <c r="AI13" s="63"/>
      <c r="AJ13" s="63"/>
      <c r="AK13" s="64"/>
      <c r="AL13" s="64"/>
      <c r="AM13" s="64"/>
      <c r="AN13" s="64"/>
      <c r="AO13" s="64"/>
      <c r="AP13" s="64"/>
      <c r="AQ13" s="64"/>
      <c r="AR13" s="64"/>
      <c r="AS13" s="64"/>
      <c r="AT13" s="52"/>
      <c r="AU13" s="52"/>
      <c r="AV13"/>
      <c r="AW13" s="97">
        <f>IFERROR(ROUND(AY13/$AY$11,2),"")</f>
      </c>
      <c r="AX13" s="97"/>
      <c r="AY13" s="33"/>
      <c r="AZ13" s="1"/>
      <c r="BB13" s="8"/>
    </row>
    <row r="14" spans="1:54" ht="10.5" customHeight="1" x14ac:dyDescent="0.15">
      <c r="B14" s="7"/>
      <c r="C14" s="71"/>
      <c r="D14" s="72"/>
      <c r="E14" s="72"/>
      <c r="F14" s="72"/>
      <c r="G14" s="73"/>
      <c r="H14" s="58"/>
      <c r="I14" s="58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65"/>
      <c r="AL14" s="65"/>
      <c r="AM14" s="65"/>
      <c r="AN14" s="65"/>
      <c r="AO14" s="65"/>
      <c r="AP14" s="65"/>
      <c r="AQ14" s="65"/>
      <c r="AR14" s="65"/>
      <c r="AS14" s="65"/>
      <c r="AT14" s="53"/>
      <c r="AU14" s="53"/>
      <c r="AV14"/>
      <c r="AW14" s="97"/>
      <c r="AX14" s="97"/>
      <c r="AY14" s="33"/>
      <c r="AZ14" s="1"/>
    </row>
    <row r="15" spans="1:54" ht="10.5" customHeight="1" x14ac:dyDescent="0.15">
      <c r="B15" s="7"/>
      <c r="C15" s="71"/>
      <c r="D15" s="72"/>
      <c r="E15" s="72"/>
      <c r="F15" s="72"/>
      <c r="G15" s="73"/>
      <c r="H15" s="66">
        <f>IFERROR(AW15*100,"")</f>
      </c>
      <c r="I15" s="66"/>
      <c r="J15" s="93">
        <f>IFERROR(TRUNC($H$15/8,1)+0.1,"")</f>
      </c>
      <c r="K15" s="93"/>
      <c r="L15" s="93"/>
      <c r="M15" s="93">
        <f t="shared" ref="M15" si="0">IFERROR(TRUNC($H$15/8,1)+0.1,"")</f>
      </c>
      <c r="N15" s="93"/>
      <c r="O15" s="93"/>
      <c r="P15" s="93">
        <f t="shared" ref="P15" si="1">IFERROR(TRUNC($H$15/8,1)+0.1,"")</f>
      </c>
      <c r="Q15" s="93"/>
      <c r="R15" s="93"/>
      <c r="S15" s="93">
        <f t="shared" ref="S15" si="2">IFERROR(TRUNC($H$15/8,1)+0.1,"")</f>
      </c>
      <c r="T15" s="93"/>
      <c r="U15" s="93"/>
      <c r="V15" s="93">
        <f t="shared" ref="V15" si="3">IFERROR(TRUNC($H$15/8,1)+0.1,"")</f>
      </c>
      <c r="W15" s="93"/>
      <c r="X15" s="93"/>
      <c r="Y15" s="93">
        <f>IFERROR(TRUNC($H$15/8,1)+0.1,"")</f>
      </c>
      <c r="Z15" s="93"/>
      <c r="AA15" s="93"/>
      <c r="AB15" s="93">
        <f t="shared" ref="AB15" si="4">IFERROR(TRUNC($H$15/8,1)+0.1,"")</f>
      </c>
      <c r="AC15" s="93"/>
      <c r="AD15" s="93"/>
      <c r="AE15" s="93">
        <f>IFERROR(TRUNC($H$15/8,1)+0.1,"")</f>
      </c>
      <c r="AF15" s="93"/>
      <c r="AG15" s="93"/>
      <c r="AH15" s="85"/>
      <c r="AI15" s="85"/>
      <c r="AJ15" s="85"/>
      <c r="AK15" s="83"/>
      <c r="AL15" s="83"/>
      <c r="AM15" s="83"/>
      <c r="AN15" s="83"/>
      <c r="AO15" s="83"/>
      <c r="AP15" s="83"/>
      <c r="AQ15" s="83"/>
      <c r="AR15" s="83"/>
      <c r="AS15" s="83"/>
      <c r="AT15" s="38"/>
      <c r="AU15" s="38"/>
      <c r="AV15"/>
      <c r="AW15" s="51">
        <f>IFERROR(ROUND(AY15/$AY$12,2),"")</f>
      </c>
      <c r="AX15" s="51"/>
      <c r="AY15" s="34"/>
      <c r="AZ15" s="1"/>
      <c r="BB15" s="8"/>
    </row>
    <row r="16" spans="1:54" ht="10.5" customHeight="1" x14ac:dyDescent="0.15">
      <c r="B16" s="7"/>
      <c r="C16" s="74"/>
      <c r="D16" s="75"/>
      <c r="E16" s="75"/>
      <c r="F16" s="75"/>
      <c r="G16" s="76"/>
      <c r="H16" s="67"/>
      <c r="I16" s="6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86"/>
      <c r="AI16" s="86"/>
      <c r="AJ16" s="86"/>
      <c r="AK16" s="84"/>
      <c r="AL16" s="84"/>
      <c r="AM16" s="84"/>
      <c r="AN16" s="84"/>
      <c r="AO16" s="84"/>
      <c r="AP16" s="84"/>
      <c r="AQ16" s="84"/>
      <c r="AR16" s="84"/>
      <c r="AS16" s="84"/>
      <c r="AT16" s="39"/>
      <c r="AU16" s="39"/>
      <c r="AV16"/>
      <c r="AW16" s="51"/>
      <c r="AX16" s="51"/>
      <c r="AY16" s="34"/>
      <c r="AZ16" s="31"/>
    </row>
    <row r="17" spans="2:54" ht="10.5" customHeight="1" x14ac:dyDescent="0.15">
      <c r="B17" s="7"/>
      <c r="C17" s="68" t="s">
        <v>21</v>
      </c>
      <c r="D17" s="69"/>
      <c r="E17" s="69"/>
      <c r="F17" s="69"/>
      <c r="G17" s="70"/>
      <c r="H17" s="57"/>
      <c r="I17" s="57"/>
      <c r="J17" s="63"/>
      <c r="K17" s="63"/>
      <c r="L17" s="63"/>
      <c r="M17" s="63"/>
      <c r="N17" s="63"/>
      <c r="O17" s="63"/>
      <c r="P17" s="63"/>
      <c r="Q17" s="63"/>
      <c r="R17" s="63"/>
      <c r="S17" s="63">
        <f>IFERROR(TRUNC($H$17/5,1),"")</f>
      </c>
      <c r="T17" s="63"/>
      <c r="U17" s="63"/>
      <c r="V17" s="63">
        <f>IFERROR(TRUNC($H$17/5,1),"")</f>
      </c>
      <c r="W17" s="63"/>
      <c r="X17" s="63"/>
      <c r="Y17" s="63">
        <f>IFERROR(TRUNC($H$17/5,1)+0.1,"")</f>
      </c>
      <c r="Z17" s="63"/>
      <c r="AA17" s="63"/>
      <c r="AB17" s="63">
        <f>IFERROR(TRUNC($H$17/5,1)+0.1,"")</f>
      </c>
      <c r="AC17" s="63"/>
      <c r="AD17" s="63"/>
      <c r="AE17" s="63">
        <f>IFERROR(TRUNC($H$17/5,1)+0.1,"")</f>
      </c>
      <c r="AF17" s="63"/>
      <c r="AG17" s="63"/>
      <c r="AH17" s="63"/>
      <c r="AI17" s="63"/>
      <c r="AJ17" s="63"/>
      <c r="AK17" s="64"/>
      <c r="AL17" s="64"/>
      <c r="AM17" s="64"/>
      <c r="AN17" s="64"/>
      <c r="AO17" s="64"/>
      <c r="AP17" s="64"/>
      <c r="AQ17" s="64"/>
      <c r="AR17" s="64"/>
      <c r="AS17" s="64"/>
      <c r="AT17" s="52"/>
      <c r="AU17" s="52"/>
      <c r="AV17"/>
      <c r="AW17" s="97">
        <f>IFERROR(AY17/$AY$11,"")</f>
      </c>
      <c r="AX17" s="97"/>
      <c r="AY17" s="33"/>
      <c r="AZ17" s="1"/>
      <c r="BB17" s="8"/>
    </row>
    <row r="18" spans="2:54" ht="10.5" customHeight="1" x14ac:dyDescent="0.15">
      <c r="B18" s="7"/>
      <c r="C18" s="71"/>
      <c r="D18" s="72"/>
      <c r="E18" s="72"/>
      <c r="F18" s="72"/>
      <c r="G18" s="73"/>
      <c r="H18" s="58"/>
      <c r="I18" s="58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65"/>
      <c r="AL18" s="65"/>
      <c r="AM18" s="65"/>
      <c r="AN18" s="65"/>
      <c r="AO18" s="65"/>
      <c r="AP18" s="65"/>
      <c r="AQ18" s="65"/>
      <c r="AR18" s="65"/>
      <c r="AS18" s="65"/>
      <c r="AT18" s="53"/>
      <c r="AU18" s="53"/>
      <c r="AV18"/>
      <c r="AW18" s="97"/>
      <c r="AX18" s="97"/>
      <c r="AY18" s="33"/>
      <c r="AZ18" s="1"/>
    </row>
    <row r="19" spans="2:54" ht="10.5" customHeight="1" x14ac:dyDescent="0.15">
      <c r="B19" s="7"/>
      <c r="C19" s="71"/>
      <c r="D19" s="72"/>
      <c r="E19" s="72"/>
      <c r="F19" s="72"/>
      <c r="G19" s="73"/>
      <c r="H19" s="66">
        <f>IFERROR(AW19*100,"")</f>
      </c>
      <c r="I19" s="66"/>
      <c r="J19" s="85"/>
      <c r="K19" s="85"/>
      <c r="L19" s="85"/>
      <c r="M19" s="85"/>
      <c r="N19" s="85"/>
      <c r="O19" s="85"/>
      <c r="P19" s="85"/>
      <c r="Q19" s="85"/>
      <c r="R19" s="85"/>
      <c r="S19" s="85">
        <f>IFERROR(TRUNC($H$19/5,1),"")</f>
      </c>
      <c r="T19" s="85"/>
      <c r="U19" s="85"/>
      <c r="V19" s="87">
        <f t="shared" ref="V19" si="5">IFERROR(TRUNC($H$19/5,1),"")</f>
      </c>
      <c r="W19" s="88"/>
      <c r="X19" s="89"/>
      <c r="Y19" s="87">
        <f t="shared" ref="Y19" si="6">IFERROR(TRUNC($H$19/5,1),"")</f>
      </c>
      <c r="Z19" s="88"/>
      <c r="AA19" s="89"/>
      <c r="AB19" s="87">
        <f t="shared" ref="AB19" si="7">IFERROR(TRUNC($H$19/5,1),"")</f>
      </c>
      <c r="AC19" s="88"/>
      <c r="AD19" s="89"/>
      <c r="AE19" s="87">
        <f t="shared" ref="AE19" si="8">IFERROR(TRUNC($H$19/5,1),"")</f>
      </c>
      <c r="AF19" s="88"/>
      <c r="AG19" s="89"/>
      <c r="AH19" s="87"/>
      <c r="AI19" s="88"/>
      <c r="AJ19" s="89"/>
      <c r="AK19" s="83"/>
      <c r="AL19" s="83"/>
      <c r="AM19" s="83"/>
      <c r="AN19" s="83"/>
      <c r="AO19" s="83"/>
      <c r="AP19" s="83"/>
      <c r="AQ19" s="83"/>
      <c r="AR19" s="83"/>
      <c r="AS19" s="83"/>
      <c r="AT19" s="38"/>
      <c r="AU19" s="38"/>
      <c r="AV19"/>
      <c r="AW19" s="51">
        <f>IFERROR(ROUND(AY19/$AY$12,2),"")</f>
      </c>
      <c r="AX19" s="51"/>
      <c r="AY19" s="34"/>
      <c r="AZ19" s="1"/>
      <c r="BB19" s="8"/>
    </row>
    <row r="20" spans="2:54" ht="10.5" customHeight="1" x14ac:dyDescent="0.15">
      <c r="B20" s="7"/>
      <c r="C20" s="74"/>
      <c r="D20" s="75"/>
      <c r="E20" s="75"/>
      <c r="F20" s="75"/>
      <c r="G20" s="76"/>
      <c r="H20" s="67"/>
      <c r="I20" s="67"/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90"/>
      <c r="W20" s="91"/>
      <c r="X20" s="92"/>
      <c r="Y20" s="90"/>
      <c r="Z20" s="91"/>
      <c r="AA20" s="92"/>
      <c r="AB20" s="90"/>
      <c r="AC20" s="91"/>
      <c r="AD20" s="92"/>
      <c r="AE20" s="90"/>
      <c r="AF20" s="91"/>
      <c r="AG20" s="92"/>
      <c r="AH20" s="90"/>
      <c r="AI20" s="91"/>
      <c r="AJ20" s="92"/>
      <c r="AK20" s="84"/>
      <c r="AL20" s="84"/>
      <c r="AM20" s="84"/>
      <c r="AN20" s="84"/>
      <c r="AO20" s="84"/>
      <c r="AP20" s="84"/>
      <c r="AQ20" s="84"/>
      <c r="AR20" s="84"/>
      <c r="AS20" s="84"/>
      <c r="AT20" s="39"/>
      <c r="AU20" s="39"/>
      <c r="AV20"/>
      <c r="AW20" s="51"/>
      <c r="AX20" s="51"/>
      <c r="AY20" s="34"/>
      <c r="AZ20" s="1"/>
    </row>
    <row r="21" spans="2:54" ht="10.5" customHeight="1" x14ac:dyDescent="0.15">
      <c r="B21" s="7"/>
      <c r="C21" s="41" t="s">
        <v>22</v>
      </c>
      <c r="D21" s="42"/>
      <c r="E21" s="42"/>
      <c r="F21" s="42"/>
      <c r="G21" s="43"/>
      <c r="H21" s="57"/>
      <c r="I21" s="57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>
        <f>IFERROR(TRUNC($H$21/3,1),"")</f>
      </c>
      <c r="AC21" s="63"/>
      <c r="AD21" s="63"/>
      <c r="AE21" s="63">
        <f>IFERROR(TRUNC($H$21/3,1),"")</f>
      </c>
      <c r="AF21" s="63"/>
      <c r="AG21" s="63"/>
      <c r="AH21" s="63">
        <f>IFERROR(TRUNC($H$21/3,1)+0.1,"")</f>
      </c>
      <c r="AI21" s="63"/>
      <c r="AJ21" s="63"/>
      <c r="AK21" s="64"/>
      <c r="AL21" s="64"/>
      <c r="AM21" s="64"/>
      <c r="AN21" s="64"/>
      <c r="AO21" s="64"/>
      <c r="AP21" s="64"/>
      <c r="AQ21" s="64"/>
      <c r="AR21" s="64"/>
      <c r="AS21" s="64"/>
      <c r="AT21" s="52"/>
      <c r="AU21" s="52"/>
      <c r="AV21"/>
      <c r="AW21" s="97">
        <f>IFERROR(AY21/$AY$11,"")</f>
      </c>
      <c r="AX21" s="97"/>
      <c r="AY21" s="33"/>
      <c r="AZ21" s="1"/>
      <c r="BB21" s="8"/>
    </row>
    <row r="22" spans="2:54" ht="10.5" customHeight="1" x14ac:dyDescent="0.15">
      <c r="B22" s="7"/>
      <c r="C22" s="44"/>
      <c r="D22" s="45"/>
      <c r="E22" s="45"/>
      <c r="F22" s="45"/>
      <c r="G22" s="46"/>
      <c r="H22" s="58"/>
      <c r="I22" s="58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65"/>
      <c r="AL22" s="65"/>
      <c r="AM22" s="65"/>
      <c r="AN22" s="65"/>
      <c r="AO22" s="65"/>
      <c r="AP22" s="65"/>
      <c r="AQ22" s="65"/>
      <c r="AR22" s="65"/>
      <c r="AS22" s="65"/>
      <c r="AT22" s="53"/>
      <c r="AU22" s="53"/>
      <c r="AV22"/>
      <c r="AW22" s="97"/>
      <c r="AX22" s="97"/>
      <c r="AY22" s="33"/>
      <c r="AZ22" s="1"/>
    </row>
    <row r="23" spans="2:54" ht="10.5" customHeight="1" x14ac:dyDescent="0.15">
      <c r="B23" s="7"/>
      <c r="C23" s="44"/>
      <c r="D23" s="45"/>
      <c r="E23" s="45"/>
      <c r="F23" s="45"/>
      <c r="G23" s="46"/>
      <c r="H23" s="66">
        <f>IFERROR(AW23*100,"")</f>
      </c>
      <c r="I23" s="66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95"/>
      <c r="AC23" s="95"/>
      <c r="AD23" s="95"/>
      <c r="AE23" s="95"/>
      <c r="AF23" s="95"/>
      <c r="AG23" s="95"/>
      <c r="AH23" s="95"/>
      <c r="AI23" s="95"/>
      <c r="AJ23" s="95"/>
      <c r="AK23" s="83"/>
      <c r="AL23" s="83"/>
      <c r="AM23" s="83"/>
      <c r="AN23" s="83"/>
      <c r="AO23" s="83"/>
      <c r="AP23" s="83"/>
      <c r="AQ23" s="83"/>
      <c r="AR23" s="83"/>
      <c r="AS23" s="83"/>
      <c r="AT23" s="38"/>
      <c r="AU23" s="38"/>
      <c r="AV23"/>
      <c r="AW23" s="51">
        <f>IFERROR(ROUND(AY23/$AY$12,2),"")</f>
      </c>
      <c r="AX23" s="51"/>
      <c r="AY23" s="34"/>
      <c r="AZ23" s="1"/>
      <c r="BB23" s="8"/>
    </row>
    <row r="24" spans="2:54" ht="10.5" customHeight="1" x14ac:dyDescent="0.15">
      <c r="B24" s="7"/>
      <c r="C24" s="47"/>
      <c r="D24" s="48"/>
      <c r="E24" s="48"/>
      <c r="F24" s="48"/>
      <c r="G24" s="49"/>
      <c r="H24" s="67"/>
      <c r="I24" s="67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96"/>
      <c r="AC24" s="96"/>
      <c r="AD24" s="96"/>
      <c r="AE24" s="96"/>
      <c r="AF24" s="96"/>
      <c r="AG24" s="96"/>
      <c r="AH24" s="96"/>
      <c r="AI24" s="96"/>
      <c r="AJ24" s="96"/>
      <c r="AK24" s="84"/>
      <c r="AL24" s="84"/>
      <c r="AM24" s="84"/>
      <c r="AN24" s="84"/>
      <c r="AO24" s="84"/>
      <c r="AP24" s="84"/>
      <c r="AQ24" s="84"/>
      <c r="AR24" s="84"/>
      <c r="AS24" s="84"/>
      <c r="AT24" s="39"/>
      <c r="AU24" s="39"/>
      <c r="AV24"/>
      <c r="AW24" s="51"/>
      <c r="AX24" s="51"/>
      <c r="AY24" s="34"/>
      <c r="AZ24" s="1"/>
    </row>
    <row r="25" spans="2:54" ht="10.5" customHeight="1" x14ac:dyDescent="0.15">
      <c r="B25" s="7"/>
      <c r="C25" s="41" t="s">
        <v>23</v>
      </c>
      <c r="D25" s="42"/>
      <c r="E25" s="42"/>
      <c r="F25" s="42"/>
      <c r="G25" s="43"/>
      <c r="H25" s="57"/>
      <c r="I25" s="57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>
        <f>IFERROR(TRUNC($H$25/3,1),"")</f>
      </c>
      <c r="AC25" s="63"/>
      <c r="AD25" s="63"/>
      <c r="AE25" s="63">
        <f>IFERROR(TRUNC($H$25/3,1),"")</f>
      </c>
      <c r="AF25" s="63"/>
      <c r="AG25" s="63"/>
      <c r="AH25" s="63">
        <f>IFERROR(TRUNC($H$25/3,1),"")</f>
      </c>
      <c r="AI25" s="63"/>
      <c r="AJ25" s="63"/>
      <c r="AK25" s="64"/>
      <c r="AL25" s="64"/>
      <c r="AM25" s="64"/>
      <c r="AN25" s="64"/>
      <c r="AO25" s="64"/>
      <c r="AP25" s="64"/>
      <c r="AQ25" s="64"/>
      <c r="AR25" s="64"/>
      <c r="AS25" s="64"/>
      <c r="AT25" s="52"/>
      <c r="AU25" s="52"/>
      <c r="AV25"/>
      <c r="AW25" s="97">
        <f>IFERROR(AY25/$AY$11,"")</f>
      </c>
      <c r="AX25" s="97"/>
      <c r="AY25" s="33"/>
      <c r="AZ25" s="1"/>
      <c r="BB25" s="8"/>
    </row>
    <row r="26" spans="2:54" ht="10.5" customHeight="1" x14ac:dyDescent="0.15">
      <c r="B26" s="7"/>
      <c r="C26" s="44"/>
      <c r="D26" s="45"/>
      <c r="E26" s="45"/>
      <c r="F26" s="45"/>
      <c r="G26" s="46"/>
      <c r="H26" s="58"/>
      <c r="I26" s="58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65"/>
      <c r="AL26" s="65"/>
      <c r="AM26" s="65"/>
      <c r="AN26" s="65"/>
      <c r="AO26" s="65"/>
      <c r="AP26" s="65"/>
      <c r="AQ26" s="65"/>
      <c r="AR26" s="65"/>
      <c r="AS26" s="65"/>
      <c r="AT26" s="53"/>
      <c r="AU26" s="53"/>
      <c r="AV26"/>
      <c r="AW26" s="97"/>
      <c r="AX26" s="97"/>
      <c r="AY26" s="33"/>
      <c r="AZ26" s="1"/>
    </row>
    <row r="27" spans="2:54" ht="10.5" customHeight="1" x14ac:dyDescent="0.15">
      <c r="B27" s="7"/>
      <c r="C27" s="44"/>
      <c r="D27" s="45"/>
      <c r="E27" s="45"/>
      <c r="F27" s="45"/>
      <c r="G27" s="46"/>
      <c r="H27" s="66">
        <f>IFERROR(AW27*100,"")</f>
      </c>
      <c r="I27" s="66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77">
        <f>IFERROR(TRUNC($H$27/3,1),"")</f>
      </c>
      <c r="AC27" s="78"/>
      <c r="AD27" s="79"/>
      <c r="AE27" s="77">
        <f>IFERROR(TRUNC($H$27/3,1),"")</f>
      </c>
      <c r="AF27" s="78"/>
      <c r="AG27" s="79"/>
      <c r="AH27" s="77">
        <f>IFERROR(TRUNC($H$27/3,1),"")</f>
      </c>
      <c r="AI27" s="78"/>
      <c r="AJ27" s="79"/>
      <c r="AK27" s="83"/>
      <c r="AL27" s="83"/>
      <c r="AM27" s="83"/>
      <c r="AN27" s="83"/>
      <c r="AO27" s="83"/>
      <c r="AP27" s="83"/>
      <c r="AQ27" s="83"/>
      <c r="AR27" s="83"/>
      <c r="AS27" s="83"/>
      <c r="AT27" s="38"/>
      <c r="AU27" s="38"/>
      <c r="AV27"/>
      <c r="AW27" s="51">
        <f>IFERROR(ROUND(AY27/$AY$12,2),"")</f>
      </c>
      <c r="AX27" s="51"/>
      <c r="AY27" s="34"/>
      <c r="AZ27" s="1"/>
    </row>
    <row r="28" spans="2:54" ht="10.5" customHeight="1" x14ac:dyDescent="0.15">
      <c r="B28" s="7"/>
      <c r="C28" s="47"/>
      <c r="D28" s="48"/>
      <c r="E28" s="48"/>
      <c r="F28" s="48"/>
      <c r="G28" s="49"/>
      <c r="H28" s="67"/>
      <c r="I28" s="67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0"/>
      <c r="AC28" s="81"/>
      <c r="AD28" s="82"/>
      <c r="AE28" s="80"/>
      <c r="AF28" s="81"/>
      <c r="AG28" s="82"/>
      <c r="AH28" s="80"/>
      <c r="AI28" s="81"/>
      <c r="AJ28" s="82"/>
      <c r="AK28" s="84"/>
      <c r="AL28" s="84"/>
      <c r="AM28" s="84"/>
      <c r="AN28" s="84"/>
      <c r="AO28" s="84"/>
      <c r="AP28" s="84"/>
      <c r="AQ28" s="84"/>
      <c r="AR28" s="84"/>
      <c r="AS28" s="84"/>
      <c r="AT28" s="39"/>
      <c r="AU28" s="39"/>
      <c r="AV28"/>
      <c r="AW28" s="51"/>
      <c r="AX28" s="51"/>
      <c r="AY28" s="34"/>
      <c r="AZ28" s="1"/>
    </row>
    <row r="29" spans="2:54" ht="10.5" customHeight="1" x14ac:dyDescent="0.15">
      <c r="B29" s="7"/>
      <c r="C29" s="41" t="s">
        <v>24</v>
      </c>
      <c r="D29" s="42"/>
      <c r="E29" s="42"/>
      <c r="F29" s="42"/>
      <c r="G29" s="43"/>
      <c r="H29" s="57"/>
      <c r="I29" s="57"/>
      <c r="J29" s="63">
        <f>IFERROR(TRUNC($H$29/10,1),"")</f>
      </c>
      <c r="K29" s="63"/>
      <c r="L29" s="63"/>
      <c r="M29" s="63">
        <f>IFERROR(TRUNC($H$29/10,1),"")</f>
      </c>
      <c r="N29" s="63"/>
      <c r="O29" s="63"/>
      <c r="P29" s="63">
        <f>IFERROR(TRUNC($H$29/10,1),"")</f>
      </c>
      <c r="Q29" s="63"/>
      <c r="R29" s="63"/>
      <c r="S29" s="63">
        <f>IFERROR(TRUNC($H$29/10,1),"")</f>
      </c>
      <c r="T29" s="63"/>
      <c r="U29" s="63"/>
      <c r="V29" s="63">
        <f>IFERROR(TRUNC($H$29/10,1),"")</f>
      </c>
      <c r="W29" s="63"/>
      <c r="X29" s="63"/>
      <c r="Y29" s="63">
        <f>IFERROR(TRUNC($H$29/10,1),"")</f>
      </c>
      <c r="Z29" s="63"/>
      <c r="AA29" s="63"/>
      <c r="AB29" s="63">
        <f>IFERROR(TRUNC($H$29/10,1)+0.1,"")</f>
      </c>
      <c r="AC29" s="63"/>
      <c r="AD29" s="63"/>
      <c r="AE29" s="63">
        <f>IFERROR(TRUNC($H$29/10,1)+0.1,"")</f>
      </c>
      <c r="AF29" s="63"/>
      <c r="AG29" s="63"/>
      <c r="AH29" s="63">
        <f>IFERROR(TRUNC($H$29/10,1)+0.1,"")</f>
      </c>
      <c r="AI29" s="63"/>
      <c r="AJ29" s="63"/>
      <c r="AK29" s="63">
        <f>IFERROR(TRUNC($H$29/10,1)+0.1,"")</f>
      </c>
      <c r="AL29" s="63"/>
      <c r="AM29" s="63"/>
      <c r="AN29" s="63"/>
      <c r="AO29" s="63"/>
      <c r="AP29" s="63"/>
      <c r="AQ29" s="101"/>
      <c r="AR29" s="101"/>
      <c r="AS29" s="101"/>
      <c r="AT29" s="52"/>
      <c r="AU29" s="52"/>
      <c r="AV29"/>
      <c r="AW29" s="97">
        <f>IFERROR(AY29/$AY$11,"")</f>
      </c>
      <c r="AX29" s="97"/>
      <c r="AY29" s="33"/>
      <c r="AZ29" s="1"/>
      <c r="BB29" s="8"/>
    </row>
    <row r="30" spans="2:54" ht="10.5" customHeight="1" x14ac:dyDescent="0.15">
      <c r="B30" s="7"/>
      <c r="C30" s="44"/>
      <c r="D30" s="45"/>
      <c r="E30" s="45"/>
      <c r="F30" s="45"/>
      <c r="G30" s="46"/>
      <c r="H30" s="58"/>
      <c r="I30" s="58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61"/>
      <c r="AR30" s="61"/>
      <c r="AS30" s="61"/>
      <c r="AT30" s="53"/>
      <c r="AU30" s="53"/>
      <c r="AV30"/>
      <c r="AW30" s="97"/>
      <c r="AX30" s="97"/>
      <c r="AY30" s="33"/>
      <c r="AZ30" s="1"/>
    </row>
    <row r="31" spans="2:54" ht="10.5" customHeight="1" x14ac:dyDescent="0.15">
      <c r="B31" s="7"/>
      <c r="C31" s="44"/>
      <c r="D31" s="45"/>
      <c r="E31" s="45"/>
      <c r="F31" s="45"/>
      <c r="G31" s="46"/>
      <c r="H31" s="66">
        <f>IFERROR(AW31*100,"")</f>
      </c>
      <c r="I31" s="66"/>
      <c r="J31" s="77">
        <f>IFERROR(TRUNC($H$31/10,1),"")</f>
      </c>
      <c r="K31" s="78"/>
      <c r="L31" s="79"/>
      <c r="M31" s="77">
        <f t="shared" ref="M31" si="9">IFERROR(TRUNC($H$31/10,1),"")</f>
      </c>
      <c r="N31" s="78"/>
      <c r="O31" s="79"/>
      <c r="P31" s="77">
        <f t="shared" ref="P31" si="10">IFERROR(TRUNC($H$31/10,1),"")</f>
      </c>
      <c r="Q31" s="78"/>
      <c r="R31" s="79"/>
      <c r="S31" s="77">
        <f t="shared" ref="S31" si="11">IFERROR(TRUNC($H$31/10,1),"")</f>
      </c>
      <c r="T31" s="78"/>
      <c r="U31" s="79"/>
      <c r="V31" s="77">
        <f t="shared" ref="V31" si="12">IFERROR(TRUNC($H$31/10,1),"")</f>
      </c>
      <c r="W31" s="78"/>
      <c r="X31" s="79"/>
      <c r="Y31" s="77">
        <f t="shared" ref="Y31" si="13">IFERROR(TRUNC($H$31/10,1),"")</f>
      </c>
      <c r="Z31" s="78"/>
      <c r="AA31" s="79"/>
      <c r="AB31" s="77">
        <f t="shared" ref="AB31" si="14">IFERROR(TRUNC($H$31/10,1),"")</f>
      </c>
      <c r="AC31" s="78"/>
      <c r="AD31" s="79"/>
      <c r="AE31" s="77">
        <f t="shared" ref="AE31" si="15">IFERROR(TRUNC($H$31/10,1),"")</f>
      </c>
      <c r="AF31" s="78"/>
      <c r="AG31" s="79"/>
      <c r="AH31" s="77">
        <f>IFERROR(TRUNC($H$31/10,1)-0.1,"")</f>
      </c>
      <c r="AI31" s="78"/>
      <c r="AJ31" s="79"/>
      <c r="AK31" s="77">
        <f>IFERROR(TRUNC($H$31/10,1)-0.1,"")</f>
      </c>
      <c r="AL31" s="78"/>
      <c r="AM31" s="79"/>
      <c r="AN31" s="85"/>
      <c r="AO31" s="85"/>
      <c r="AP31" s="85"/>
      <c r="AQ31" s="98"/>
      <c r="AR31" s="98"/>
      <c r="AS31" s="98"/>
      <c r="AT31" s="38"/>
      <c r="AU31" s="38"/>
      <c r="AV31"/>
      <c r="AW31" s="51">
        <f>IFERROR(ROUND(AY31/$AY$12,2),"")</f>
      </c>
      <c r="AX31" s="51"/>
      <c r="AY31" s="34"/>
      <c r="AZ31" s="1"/>
      <c r="BB31" s="8"/>
    </row>
    <row r="32" spans="2:54" ht="10.5" customHeight="1" x14ac:dyDescent="0.15">
      <c r="B32" s="7"/>
      <c r="C32" s="47"/>
      <c r="D32" s="48"/>
      <c r="E32" s="48"/>
      <c r="F32" s="48"/>
      <c r="G32" s="49"/>
      <c r="H32" s="67"/>
      <c r="I32" s="67"/>
      <c r="J32" s="80"/>
      <c r="K32" s="81"/>
      <c r="L32" s="82"/>
      <c r="M32" s="80"/>
      <c r="N32" s="81"/>
      <c r="O32" s="82"/>
      <c r="P32" s="80"/>
      <c r="Q32" s="81"/>
      <c r="R32" s="82"/>
      <c r="S32" s="80"/>
      <c r="T32" s="81"/>
      <c r="U32" s="82"/>
      <c r="V32" s="80"/>
      <c r="W32" s="81"/>
      <c r="X32" s="82"/>
      <c r="Y32" s="80"/>
      <c r="Z32" s="81"/>
      <c r="AA32" s="82"/>
      <c r="AB32" s="80"/>
      <c r="AC32" s="81"/>
      <c r="AD32" s="82"/>
      <c r="AE32" s="80"/>
      <c r="AF32" s="81"/>
      <c r="AG32" s="82"/>
      <c r="AH32" s="80"/>
      <c r="AI32" s="81"/>
      <c r="AJ32" s="82"/>
      <c r="AK32" s="80"/>
      <c r="AL32" s="81"/>
      <c r="AM32" s="82"/>
      <c r="AN32" s="86"/>
      <c r="AO32" s="86"/>
      <c r="AP32" s="86"/>
      <c r="AQ32" s="99"/>
      <c r="AR32" s="99"/>
      <c r="AS32" s="99"/>
      <c r="AT32" s="39"/>
      <c r="AU32" s="39"/>
      <c r="AV32"/>
      <c r="AW32" s="51"/>
      <c r="AX32" s="51"/>
      <c r="AY32" s="34"/>
      <c r="AZ32" s="1"/>
    </row>
    <row r="33" spans="2:56" ht="10.5" customHeight="1" x14ac:dyDescent="0.15">
      <c r="B33" s="7"/>
      <c r="C33" s="41"/>
      <c r="D33" s="42"/>
      <c r="E33" s="42"/>
      <c r="F33" s="42"/>
      <c r="G33" s="43"/>
      <c r="H33" s="57"/>
      <c r="I33" s="57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101"/>
      <c r="AR33" s="101"/>
      <c r="AS33" s="101"/>
      <c r="AT33" s="52"/>
      <c r="AU33" s="52"/>
      <c r="AV33"/>
      <c r="AW33" s="97"/>
      <c r="AX33" s="97"/>
      <c r="AY33" s="33"/>
      <c r="AZ33" s="1"/>
      <c r="BB33" s="8"/>
    </row>
    <row r="34" spans="2:56" ht="10.5" customHeight="1" x14ac:dyDescent="0.15">
      <c r="B34" s="7"/>
      <c r="C34" s="44"/>
      <c r="D34" s="45"/>
      <c r="E34" s="45"/>
      <c r="F34" s="45"/>
      <c r="G34" s="46"/>
      <c r="H34" s="58"/>
      <c r="I34" s="58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61"/>
      <c r="AR34" s="61"/>
      <c r="AS34" s="61"/>
      <c r="AT34" s="53"/>
      <c r="AU34" s="53"/>
      <c r="AV34"/>
      <c r="AW34" s="97"/>
      <c r="AX34" s="97"/>
      <c r="AY34" s="33"/>
      <c r="AZ34" s="1"/>
    </row>
    <row r="35" spans="2:56" ht="10.5" customHeight="1" x14ac:dyDescent="0.15">
      <c r="B35" s="7"/>
      <c r="C35" s="44"/>
      <c r="D35" s="45"/>
      <c r="E35" s="45"/>
      <c r="F35" s="45"/>
      <c r="G35" s="46"/>
      <c r="H35" s="58"/>
      <c r="I35" s="58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61"/>
      <c r="AR35" s="61"/>
      <c r="AS35" s="61"/>
      <c r="AT35" s="53"/>
      <c r="AU35" s="53"/>
      <c r="AV35"/>
      <c r="AW35" s="51"/>
      <c r="AX35" s="51"/>
      <c r="AY35" s="35"/>
      <c r="AZ35" s="1"/>
    </row>
    <row r="36" spans="2:56" ht="10.5" customHeight="1" x14ac:dyDescent="0.15">
      <c r="B36" s="7"/>
      <c r="C36" s="47"/>
      <c r="D36" s="48"/>
      <c r="E36" s="48"/>
      <c r="F36" s="48"/>
      <c r="G36" s="49"/>
      <c r="H36" s="100"/>
      <c r="I36" s="10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2"/>
      <c r="AR36" s="62"/>
      <c r="AS36" s="62"/>
      <c r="AT36" s="56"/>
      <c r="AU36" s="56"/>
      <c r="AV36"/>
      <c r="AW36" s="51"/>
      <c r="AX36" s="51"/>
      <c r="AY36" s="36"/>
      <c r="AZ36" s="1"/>
    </row>
    <row r="37" spans="2:56" ht="10.5" customHeight="1" x14ac:dyDescent="0.15">
      <c r="B37" s="7"/>
      <c r="C37" s="41" t="s">
        <v>25</v>
      </c>
      <c r="D37" s="42"/>
      <c r="E37" s="42"/>
      <c r="F37" s="42"/>
      <c r="G37" s="43"/>
      <c r="H37" s="57">
        <f>IFERROR(SUM(J37:AS38),"")</f>
      </c>
      <c r="I37" s="57"/>
      <c r="J37" s="52">
        <f>IFERROR(J13+J17+J21+J25+J29,"")</f>
      </c>
      <c r="K37" s="52"/>
      <c r="L37" s="52"/>
      <c r="M37" s="52">
        <f>IFERROR(M13+M17+M21+M25+M29,"")</f>
      </c>
      <c r="N37" s="52"/>
      <c r="O37" s="52"/>
      <c r="P37" s="52">
        <f>IFERROR(P13+P17+P21+P25+P29,"")</f>
      </c>
      <c r="Q37" s="52"/>
      <c r="R37" s="52"/>
      <c r="S37" s="52">
        <f>IFERROR(S13+S17+S21+S25+S29,"")</f>
      </c>
      <c r="T37" s="52"/>
      <c r="U37" s="52"/>
      <c r="V37" s="52">
        <f>IFERROR(V13+V17+V21+V25+V29,"")</f>
      </c>
      <c r="W37" s="52"/>
      <c r="X37" s="52"/>
      <c r="Y37" s="52">
        <f>IFERROR(Y13+Y17+Y21+Y25+Y29,"")</f>
      </c>
      <c r="Z37" s="52"/>
      <c r="AA37" s="52"/>
      <c r="AB37" s="52">
        <f>IFERROR(AB13+AB17+AB21+AB25+AB29,"")</f>
      </c>
      <c r="AC37" s="52"/>
      <c r="AD37" s="52"/>
      <c r="AE37" s="52">
        <f>IFERROR(AE13+AE17+AE21+AE25+AE29,"")</f>
      </c>
      <c r="AF37" s="52"/>
      <c r="AG37" s="52"/>
      <c r="AH37" s="52">
        <f>IFERROR(AH13+AH17+AH21+AH25+AH29,"")</f>
      </c>
      <c r="AI37" s="52"/>
      <c r="AJ37" s="52"/>
      <c r="AK37" s="52">
        <f>IFERROR(AK13+AK17+AK21+AK25+AK29,"")</f>
      </c>
      <c r="AL37" s="52"/>
      <c r="AM37" s="52"/>
      <c r="AN37" s="54">
        <f>IFERROR(AN13+AN17+AN21+AN35+AN25+AN33,"")</f>
      </c>
      <c r="AO37" s="52"/>
      <c r="AP37" s="52"/>
      <c r="AQ37" s="55">
        <f>IFERROR(AQ13+AQ17+AQ21+AQ35+AQ25+AQ33,"")</f>
      </c>
      <c r="AR37" s="52"/>
      <c r="AS37" s="52"/>
      <c r="AT37" s="52"/>
      <c r="AU37" s="52"/>
      <c r="AV37"/>
      <c r="AW37" s="40"/>
      <c r="AX37" s="1"/>
      <c r="AY37" s="1"/>
      <c r="AZ37" s="1"/>
    </row>
    <row r="38" spans="2:56" ht="10.5" customHeight="1" x14ac:dyDescent="0.15">
      <c r="B38"/>
      <c r="C38" s="44"/>
      <c r="D38" s="45"/>
      <c r="E38" s="45"/>
      <c r="F38" s="45"/>
      <c r="G38" s="46"/>
      <c r="H38" s="58"/>
      <c r="I38" s="58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/>
      <c r="AW38" s="40"/>
      <c r="AX38" s="1"/>
      <c r="AY38" s="1"/>
      <c r="AZ38" s="1"/>
    </row>
    <row r="39" spans="2:56" ht="10.5" customHeight="1" x14ac:dyDescent="0.15">
      <c r="B39" s="7"/>
      <c r="C39" s="44"/>
      <c r="D39" s="45"/>
      <c r="E39" s="45"/>
      <c r="F39" s="45"/>
      <c r="G39" s="46"/>
      <c r="H39" s="66">
        <f>IFERROR(SUM(J39:AS40),"")</f>
      </c>
      <c r="I39" s="66"/>
      <c r="J39" s="38">
        <f>IFERROR(J15+J19+J23+J27+J31,"")</f>
      </c>
      <c r="K39" s="38"/>
      <c r="L39" s="38"/>
      <c r="M39" s="38">
        <f>IFERROR(M15+M19+M23+M27+M31,"")</f>
      </c>
      <c r="N39" s="38"/>
      <c r="O39" s="38"/>
      <c r="P39" s="38">
        <f>IFERROR(P15+P19+P23+P27+P31,"")</f>
      </c>
      <c r="Q39" s="38"/>
      <c r="R39" s="38"/>
      <c r="S39" s="38">
        <f>IFERROR(S15+S19+S23+S27+S31,"")</f>
      </c>
      <c r="T39" s="38"/>
      <c r="U39" s="38"/>
      <c r="V39" s="38">
        <f>IFERROR(V15+V19+V23+V27+V31,"")</f>
      </c>
      <c r="W39" s="38"/>
      <c r="X39" s="38"/>
      <c r="Y39" s="38">
        <f>IFERROR(Y15+Y19+Y23+Y27+Y31,"")</f>
      </c>
      <c r="Z39" s="38"/>
      <c r="AA39" s="38"/>
      <c r="AB39" s="38">
        <f>IFERROR(AB15+AB19+AB23+AB27+AB31,"")</f>
      </c>
      <c r="AC39" s="38"/>
      <c r="AD39" s="38"/>
      <c r="AE39" s="38">
        <f>IFERROR(AE15+AE19+AE23+AE27+AE31,"")</f>
      </c>
      <c r="AF39" s="38"/>
      <c r="AG39" s="38"/>
      <c r="AH39" s="38">
        <f>IFERROR(AH15+AH19+AH23+AH27+AH31,"")</f>
      </c>
      <c r="AI39" s="38"/>
      <c r="AJ39" s="38"/>
      <c r="AK39" s="38">
        <f>IFERROR(AK15+AK19+AK23+AK27+AK31,"")</f>
      </c>
      <c r="AL39" s="38"/>
      <c r="AM39" s="38"/>
      <c r="AN39" s="37">
        <f>IFERROR(AN15+AN19+AN23+AN37+AN27+AN35,"")</f>
      </c>
      <c r="AO39" s="38"/>
      <c r="AP39" s="38"/>
      <c r="AQ39" s="50">
        <f>IFERROR(AQ15+AQ19+AQ23+AQ37+AQ27+AQ35,"")</f>
      </c>
      <c r="AR39" s="38"/>
      <c r="AS39" s="38"/>
      <c r="AT39" s="38"/>
      <c r="AU39" s="38"/>
      <c r="AV39"/>
      <c r="AW39" s="40"/>
      <c r="AX39" s="1"/>
      <c r="AY39" s="1"/>
      <c r="AZ39" s="1"/>
    </row>
    <row r="40" spans="2:56" ht="10.5" customHeight="1" x14ac:dyDescent="0.15">
      <c r="B40"/>
      <c r="C40" s="47"/>
      <c r="D40" s="48"/>
      <c r="E40" s="48"/>
      <c r="F40" s="48"/>
      <c r="G40" s="49"/>
      <c r="H40" s="67"/>
      <c r="I40" s="67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/>
      <c r="AW40" s="40"/>
      <c r="AX40" s="1"/>
      <c r="AY40" s="1"/>
      <c r="AZ40" s="1"/>
    </row>
    <row r="41" spans="2:56" ht="10.5" customHeight="1" x14ac:dyDescent="0.15">
      <c r="B41"/>
      <c r="C41" s="41" t="s">
        <v>26</v>
      </c>
      <c r="D41" s="42"/>
      <c r="E41" s="42"/>
      <c r="F41" s="42"/>
      <c r="G41" s="42"/>
      <c r="H41" s="42"/>
      <c r="I41" s="43"/>
      <c r="J41" s="52">
        <f>IFERROR(J37,"")</f>
      </c>
      <c r="K41" s="52"/>
      <c r="L41" s="52"/>
      <c r="M41" s="52">
        <f>IFERROR(J41+M37,"")</f>
      </c>
      <c r="N41" s="52"/>
      <c r="O41" s="52"/>
      <c r="P41" s="52">
        <f>IFERROR(M41+P37,"")</f>
      </c>
      <c r="Q41" s="52"/>
      <c r="R41" s="52"/>
      <c r="S41" s="52">
        <f>IFERROR(P41+S37,"")</f>
      </c>
      <c r="T41" s="52"/>
      <c r="U41" s="52"/>
      <c r="V41" s="52">
        <f>IFERROR(S41+V37,"")</f>
      </c>
      <c r="W41" s="52"/>
      <c r="X41" s="52"/>
      <c r="Y41" s="52">
        <f>IFERROR(V41+Y37,"")</f>
      </c>
      <c r="Z41" s="52"/>
      <c r="AA41" s="52"/>
      <c r="AB41" s="52">
        <f>IFERROR(Y41+AB37,"")</f>
      </c>
      <c r="AC41" s="52"/>
      <c r="AD41" s="52"/>
      <c r="AE41" s="52">
        <f>IFERROR(AB41+AE37,"")</f>
      </c>
      <c r="AF41" s="52"/>
      <c r="AG41" s="52"/>
      <c r="AH41" s="52">
        <f>IFERROR(AE41+AH37,"")</f>
      </c>
      <c r="AI41" s="52"/>
      <c r="AJ41" s="52"/>
      <c r="AK41" s="52">
        <f>IFERROR(AH41+AK37,"")</f>
      </c>
      <c r="AL41" s="52"/>
      <c r="AM41" s="52"/>
      <c r="AN41" s="54">
        <f>IFERROR(AK41+AN37,"")</f>
      </c>
      <c r="AO41" s="52"/>
      <c r="AP41" s="52"/>
      <c r="AQ41" s="52">
        <f>IFERROR(AN41+AQ37,"")</f>
      </c>
      <c r="AR41" s="52"/>
      <c r="AS41" s="52"/>
      <c r="AT41" s="52"/>
      <c r="AU41" s="52"/>
      <c r="AV41"/>
      <c r="AW41" s="40"/>
      <c r="AX41" s="1"/>
      <c r="AY41" s="1"/>
      <c r="AZ41" s="1"/>
    </row>
    <row r="42" spans="2:56" ht="10.5" customHeight="1" x14ac:dyDescent="0.15">
      <c r="B42" s="7"/>
      <c r="C42" s="44"/>
      <c r="D42" s="45"/>
      <c r="E42" s="45"/>
      <c r="F42" s="45"/>
      <c r="G42" s="45"/>
      <c r="H42" s="45"/>
      <c r="I42" s="46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/>
      <c r="AW42" s="40"/>
      <c r="AX42" s="1"/>
      <c r="AY42" s="1"/>
      <c r="AZ42" s="1"/>
    </row>
    <row r="43" spans="2:56" ht="10.5" customHeight="1" x14ac:dyDescent="0.15">
      <c r="B43"/>
      <c r="C43" s="44"/>
      <c r="D43" s="45"/>
      <c r="E43" s="45"/>
      <c r="F43" s="45"/>
      <c r="G43" s="45"/>
      <c r="H43" s="45"/>
      <c r="I43" s="46"/>
      <c r="J43" s="38">
        <f>IFERROR(J39,"")</f>
      </c>
      <c r="K43" s="38"/>
      <c r="L43" s="38"/>
      <c r="M43" s="38">
        <f>IFERROR(J43+M39,"")</f>
      </c>
      <c r="N43" s="38"/>
      <c r="O43" s="38"/>
      <c r="P43" s="38">
        <f>IFERROR(M43+P39,"")</f>
      </c>
      <c r="Q43" s="38"/>
      <c r="R43" s="38"/>
      <c r="S43" s="38">
        <f>IFERROR(P43+S39,"")</f>
      </c>
      <c r="T43" s="38"/>
      <c r="U43" s="38"/>
      <c r="V43" s="38">
        <f>IFERROR(S43+V39,"")</f>
      </c>
      <c r="W43" s="38"/>
      <c r="X43" s="38"/>
      <c r="Y43" s="38">
        <f>IFERROR(V43+Y39,"")</f>
      </c>
      <c r="Z43" s="38"/>
      <c r="AA43" s="38"/>
      <c r="AB43" s="38">
        <f>IFERROR(Y43+AB39,"")</f>
      </c>
      <c r="AC43" s="38"/>
      <c r="AD43" s="38"/>
      <c r="AE43" s="38">
        <f>IFERROR(AB43+AE39,"")</f>
      </c>
      <c r="AF43" s="38"/>
      <c r="AG43" s="38"/>
      <c r="AH43" s="38">
        <f>IFERROR(AE43+AH39,"")</f>
      </c>
      <c r="AI43" s="38"/>
      <c r="AJ43" s="38"/>
      <c r="AK43" s="38">
        <f>IFERROR(AH43+AK39,"")</f>
      </c>
      <c r="AL43" s="38"/>
      <c r="AM43" s="38"/>
      <c r="AN43" s="37">
        <f>IFERROR(AK43+AN39,"")</f>
      </c>
      <c r="AO43" s="38"/>
      <c r="AP43" s="38"/>
      <c r="AQ43" s="38">
        <f>IFERROR(AN43+AQ39,"")</f>
      </c>
      <c r="AR43" s="38"/>
      <c r="AS43" s="38"/>
      <c r="AT43" s="38"/>
      <c r="AU43" s="38"/>
      <c r="AV43"/>
      <c r="AW43" s="40"/>
      <c r="AX43" s="1"/>
      <c r="AY43" s="1"/>
      <c r="AZ43" s="1"/>
    </row>
    <row r="44" spans="2:56" ht="10.5" customHeight="1" x14ac:dyDescent="0.15">
      <c r="B44" s="7"/>
      <c r="C44" s="47"/>
      <c r="D44" s="48"/>
      <c r="E44" s="48"/>
      <c r="F44" s="48"/>
      <c r="G44" s="48"/>
      <c r="H44" s="48"/>
      <c r="I44" s="4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/>
      <c r="AW44" s="40"/>
      <c r="AX44" s="1"/>
      <c r="AY44" s="1"/>
      <c r="AZ44" s="1"/>
    </row>
    <row r="45" spans="2:56" ht="8.25" customHeight="1" x14ac:dyDescent="0.1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 s="1"/>
      <c r="AX45" s="1"/>
      <c r="AY45" s="1"/>
      <c r="AZ45" s="1"/>
    </row>
    <row r="46" spans="2:56" ht="9.75" customHeight="1" x14ac:dyDescent="0.15">
      <c r="B46" s="9"/>
      <c r="C46" s="1"/>
      <c r="D46" s="1"/>
      <c r="E46" s="6"/>
      <c r="F46" s="6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1"/>
    </row>
    <row r="47" spans="2:56" ht="21.75" customHeight="1" x14ac:dyDescent="0.15">
      <c r="E47" s="1"/>
      <c r="F47" s="9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6" t="s">
        <v>27</v>
      </c>
      <c r="V47" s="6"/>
      <c r="W47" s="6"/>
      <c r="X47" s="6"/>
      <c r="Y47" s="12"/>
      <c r="Z47" s="12"/>
      <c r="AA47" s="12"/>
      <c r="AB47" s="12"/>
      <c r="AC47" s="1"/>
      <c r="AD47" s="1"/>
      <c r="AE47" s="12"/>
      <c r="AF47" s="1"/>
      <c r="AG47" s="1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"/>
      <c r="AV47" s="1"/>
      <c r="AW47" s="1"/>
      <c r="AX47" s="1"/>
      <c r="AY47" s="1"/>
      <c r="BA47" s="1"/>
      <c r="BB47" s="1"/>
      <c r="BC47" s="1"/>
      <c r="BD47" s="1"/>
    </row>
    <row r="48" spans="2:56" ht="21.75" customHeight="1" x14ac:dyDescent="0.15">
      <c r="S48" s="1"/>
      <c r="T48" s="1"/>
      <c r="U48" s="6" t="s">
        <v>28</v>
      </c>
      <c r="V48" s="6"/>
      <c r="W48" s="6"/>
      <c r="X48" s="6"/>
      <c r="Y48" s="12"/>
      <c r="Z48" s="1"/>
      <c r="AA48" s="1"/>
      <c r="AB48" s="1"/>
      <c r="AC48" s="1"/>
      <c r="AD48" s="1"/>
      <c r="AE48" s="1"/>
      <c r="AF48" s="1"/>
      <c r="AG48" s="1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"/>
      <c r="AV48" s="1"/>
      <c r="BA48" s="10"/>
    </row>
    <row r="49" spans="2:57" ht="21.75" customHeight="1" x14ac:dyDescent="0.25">
      <c r="C49" s="13"/>
      <c r="S49" s="1"/>
      <c r="T49" s="1"/>
      <c r="U49" s="6" t="s">
        <v>29</v>
      </c>
      <c r="V49" s="6"/>
      <c r="W49" s="6"/>
      <c r="X49" s="6"/>
      <c r="Y49" s="12"/>
      <c r="Z49" s="12"/>
      <c r="AA49" s="12"/>
      <c r="AB49" s="12"/>
      <c r="AC49" s="1"/>
      <c r="AD49" s="1"/>
      <c r="AE49" s="12"/>
      <c r="AF49" s="1"/>
      <c r="AG49" s="1"/>
      <c r="AH49" s="12"/>
      <c r="AI49" s="12"/>
      <c r="AJ49" s="12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"/>
      <c r="AV49" s="1"/>
      <c r="BA49" s="1"/>
    </row>
    <row r="50" spans="2:57" ht="21.75" customHeight="1" x14ac:dyDescent="0.15">
      <c r="C50" s="15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</row>
    <row r="55" spans="2:57" s="1" customFormat="1" ht="21.6" customHeight="1" x14ac:dyDescent="0.15"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</row>
  </sheetData>
  <mergeCells count="276">
    <mergeCell ref="B2:AU3"/>
    <mergeCell ref="B4:C4"/>
    <mergeCell ref="C9:G12"/>
    <mergeCell ref="H9:I12"/>
    <mergeCell ref="J9:AS10"/>
    <mergeCell ref="AT9:AU12"/>
    <mergeCell ref="J11:L12"/>
    <mergeCell ref="M11:O12"/>
    <mergeCell ref="P11:R12"/>
    <mergeCell ref="S11:U12"/>
    <mergeCell ref="AN11:AP12"/>
    <mergeCell ref="AQ11:AS12"/>
    <mergeCell ref="AB11:AD12"/>
    <mergeCell ref="AE11:AG12"/>
    <mergeCell ref="AH11:AJ12"/>
    <mergeCell ref="AK11:AM12"/>
    <mergeCell ref="H13:I14"/>
    <mergeCell ref="J13:L14"/>
    <mergeCell ref="M13:O14"/>
    <mergeCell ref="P13:R14"/>
    <mergeCell ref="S13:U14"/>
    <mergeCell ref="V13:X14"/>
    <mergeCell ref="Y13:AA14"/>
    <mergeCell ref="AT13:AU14"/>
    <mergeCell ref="V11:X12"/>
    <mergeCell ref="Y11:AA12"/>
    <mergeCell ref="AW13:AX14"/>
    <mergeCell ref="H17:I18"/>
    <mergeCell ref="J17:L18"/>
    <mergeCell ref="M17:O18"/>
    <mergeCell ref="P17:R18"/>
    <mergeCell ref="S17:U18"/>
    <mergeCell ref="V17:X18"/>
    <mergeCell ref="Y17:AA18"/>
    <mergeCell ref="AB13:AD14"/>
    <mergeCell ref="AE13:AG14"/>
    <mergeCell ref="AH13:AJ14"/>
    <mergeCell ref="AK13:AM14"/>
    <mergeCell ref="AN13:AP14"/>
    <mergeCell ref="AQ13:AS14"/>
    <mergeCell ref="AW15:AX16"/>
    <mergeCell ref="AH15:AJ16"/>
    <mergeCell ref="AK15:AM16"/>
    <mergeCell ref="AN15:AP16"/>
    <mergeCell ref="AQ15:AS16"/>
    <mergeCell ref="AT15:AU16"/>
    <mergeCell ref="AT17:AU18"/>
    <mergeCell ref="AW17:AX18"/>
    <mergeCell ref="AH17:AJ18"/>
    <mergeCell ref="AK17:AM18"/>
    <mergeCell ref="AW29:AX30"/>
    <mergeCell ref="H31:I32"/>
    <mergeCell ref="J31:L32"/>
    <mergeCell ref="M31:O32"/>
    <mergeCell ref="P31:R32"/>
    <mergeCell ref="S31:U32"/>
    <mergeCell ref="V31:X32"/>
    <mergeCell ref="Y31:AA32"/>
    <mergeCell ref="AB29:AD30"/>
    <mergeCell ref="AE29:AG30"/>
    <mergeCell ref="AH29:AJ30"/>
    <mergeCell ref="AK29:AM30"/>
    <mergeCell ref="AN29:AP30"/>
    <mergeCell ref="AQ29:AS30"/>
    <mergeCell ref="H29:I30"/>
    <mergeCell ref="J29:L30"/>
    <mergeCell ref="M29:O30"/>
    <mergeCell ref="P29:R30"/>
    <mergeCell ref="S29:U30"/>
    <mergeCell ref="V29:X30"/>
    <mergeCell ref="Y29:AA30"/>
    <mergeCell ref="AT31:AU32"/>
    <mergeCell ref="AW31:AX32"/>
    <mergeCell ref="AW33:AX34"/>
    <mergeCell ref="H35:I36"/>
    <mergeCell ref="J35:L36"/>
    <mergeCell ref="M35:O36"/>
    <mergeCell ref="P35:R36"/>
    <mergeCell ref="S35:U36"/>
    <mergeCell ref="V35:X36"/>
    <mergeCell ref="Y35:AA36"/>
    <mergeCell ref="AB33:AD34"/>
    <mergeCell ref="AE33:AG34"/>
    <mergeCell ref="AH33:AJ34"/>
    <mergeCell ref="AK33:AM34"/>
    <mergeCell ref="AN33:AP34"/>
    <mergeCell ref="AQ33:AS34"/>
    <mergeCell ref="H33:I34"/>
    <mergeCell ref="J33:L34"/>
    <mergeCell ref="M33:O34"/>
    <mergeCell ref="P33:R34"/>
    <mergeCell ref="S33:U34"/>
    <mergeCell ref="V33:X34"/>
    <mergeCell ref="Y33:AA34"/>
    <mergeCell ref="AW41:AW42"/>
    <mergeCell ref="H15:I16"/>
    <mergeCell ref="J15:L16"/>
    <mergeCell ref="M15:O16"/>
    <mergeCell ref="P15:R16"/>
    <mergeCell ref="S15:U16"/>
    <mergeCell ref="V15:X16"/>
    <mergeCell ref="Y15:AA16"/>
    <mergeCell ref="AB15:AD16"/>
    <mergeCell ref="AE41:AG42"/>
    <mergeCell ref="AH41:AJ42"/>
    <mergeCell ref="AK41:AM42"/>
    <mergeCell ref="AN41:AP42"/>
    <mergeCell ref="AQ41:AS42"/>
    <mergeCell ref="AT41:AU42"/>
    <mergeCell ref="AT37:AU38"/>
    <mergeCell ref="AW37:AW38"/>
    <mergeCell ref="J41:L42"/>
    <mergeCell ref="M41:O42"/>
    <mergeCell ref="P41:R42"/>
    <mergeCell ref="S41:U42"/>
    <mergeCell ref="V41:X42"/>
    <mergeCell ref="Y41:AA42"/>
    <mergeCell ref="AB41:AD42"/>
    <mergeCell ref="AW19:AX20"/>
    <mergeCell ref="H23:I24"/>
    <mergeCell ref="J23:L24"/>
    <mergeCell ref="M23:O24"/>
    <mergeCell ref="P23:R24"/>
    <mergeCell ref="S23:U24"/>
    <mergeCell ref="V23:X24"/>
    <mergeCell ref="Y23:AA24"/>
    <mergeCell ref="AB23:AD24"/>
    <mergeCell ref="AE19:AG20"/>
    <mergeCell ref="AH19:AJ20"/>
    <mergeCell ref="AK19:AM20"/>
    <mergeCell ref="AN19:AP20"/>
    <mergeCell ref="AQ19:AS20"/>
    <mergeCell ref="AT19:AU20"/>
    <mergeCell ref="AT21:AU22"/>
    <mergeCell ref="AW21:AX22"/>
    <mergeCell ref="AB21:AD22"/>
    <mergeCell ref="AE21:AG22"/>
    <mergeCell ref="AH21:AJ22"/>
    <mergeCell ref="AK21:AM22"/>
    <mergeCell ref="AN21:AP22"/>
    <mergeCell ref="H19:I20"/>
    <mergeCell ref="J19:L20"/>
    <mergeCell ref="AW23:AX24"/>
    <mergeCell ref="H27:I28"/>
    <mergeCell ref="J27:L28"/>
    <mergeCell ref="M27:O28"/>
    <mergeCell ref="P27:R28"/>
    <mergeCell ref="S27:U28"/>
    <mergeCell ref="V27:X28"/>
    <mergeCell ref="Y27:AA28"/>
    <mergeCell ref="AB27:AD28"/>
    <mergeCell ref="AE23:AG24"/>
    <mergeCell ref="AH23:AJ24"/>
    <mergeCell ref="AK23:AM24"/>
    <mergeCell ref="AN23:AP24"/>
    <mergeCell ref="AQ23:AS24"/>
    <mergeCell ref="AT23:AU24"/>
    <mergeCell ref="AT25:AU26"/>
    <mergeCell ref="AW25:AX26"/>
    <mergeCell ref="AB25:AD26"/>
    <mergeCell ref="AE25:AG26"/>
    <mergeCell ref="AH25:AJ26"/>
    <mergeCell ref="AK25:AM26"/>
    <mergeCell ref="AN25:AP26"/>
    <mergeCell ref="S25:U26"/>
    <mergeCell ref="V25:X26"/>
    <mergeCell ref="C21:G24"/>
    <mergeCell ref="C17:G20"/>
    <mergeCell ref="C13:G16"/>
    <mergeCell ref="AE27:AG28"/>
    <mergeCell ref="AH27:AJ28"/>
    <mergeCell ref="AK27:AM28"/>
    <mergeCell ref="AN27:AP28"/>
    <mergeCell ref="AQ27:AS28"/>
    <mergeCell ref="AQ21:AS22"/>
    <mergeCell ref="H21:I22"/>
    <mergeCell ref="AN17:AP18"/>
    <mergeCell ref="AQ17:AS18"/>
    <mergeCell ref="M19:O20"/>
    <mergeCell ref="P19:R20"/>
    <mergeCell ref="S19:U20"/>
    <mergeCell ref="V19:X20"/>
    <mergeCell ref="Y19:AA20"/>
    <mergeCell ref="AB19:AD20"/>
    <mergeCell ref="AE15:AG16"/>
    <mergeCell ref="AB17:AD18"/>
    <mergeCell ref="AE17:AG18"/>
    <mergeCell ref="J25:L26"/>
    <mergeCell ref="M25:O26"/>
    <mergeCell ref="P25:R26"/>
    <mergeCell ref="AB39:AD40"/>
    <mergeCell ref="AE39:AG40"/>
    <mergeCell ref="AH39:AJ40"/>
    <mergeCell ref="C33:G36"/>
    <mergeCell ref="H39:I40"/>
    <mergeCell ref="J39:L40"/>
    <mergeCell ref="M39:O40"/>
    <mergeCell ref="P39:R40"/>
    <mergeCell ref="AT27:AU28"/>
    <mergeCell ref="AT33:AU34"/>
    <mergeCell ref="AH31:AJ32"/>
    <mergeCell ref="AK31:AM32"/>
    <mergeCell ref="AN31:AP32"/>
    <mergeCell ref="AQ31:AS32"/>
    <mergeCell ref="AB31:AD32"/>
    <mergeCell ref="AE31:AG32"/>
    <mergeCell ref="AT29:AU30"/>
    <mergeCell ref="Y25:AA26"/>
    <mergeCell ref="J21:L22"/>
    <mergeCell ref="M21:O22"/>
    <mergeCell ref="P21:R22"/>
    <mergeCell ref="S21:U22"/>
    <mergeCell ref="V21:X22"/>
    <mergeCell ref="Y21:AA22"/>
    <mergeCell ref="AQ25:AS26"/>
    <mergeCell ref="H25:I26"/>
    <mergeCell ref="AW27:AX28"/>
    <mergeCell ref="C29:G32"/>
    <mergeCell ref="C25:G28"/>
    <mergeCell ref="AB37:AD38"/>
    <mergeCell ref="AE37:AG38"/>
    <mergeCell ref="AH37:AJ38"/>
    <mergeCell ref="AK37:AM38"/>
    <mergeCell ref="AN37:AP38"/>
    <mergeCell ref="AQ37:AS38"/>
    <mergeCell ref="AT35:AU36"/>
    <mergeCell ref="AW35:AX36"/>
    <mergeCell ref="H37:I38"/>
    <mergeCell ref="J37:L38"/>
    <mergeCell ref="M37:O38"/>
    <mergeCell ref="P37:R38"/>
    <mergeCell ref="S37:U38"/>
    <mergeCell ref="V37:X38"/>
    <mergeCell ref="Y37:AA38"/>
    <mergeCell ref="AB35:AD36"/>
    <mergeCell ref="AE35:AG36"/>
    <mergeCell ref="AH35:AJ36"/>
    <mergeCell ref="AK35:AM36"/>
    <mergeCell ref="AN35:AP36"/>
    <mergeCell ref="AQ35:AS36"/>
    <mergeCell ref="AN43:AP44"/>
    <mergeCell ref="AQ43:AS44"/>
    <mergeCell ref="AT43:AU44"/>
    <mergeCell ref="AW43:AW44"/>
    <mergeCell ref="C37:G40"/>
    <mergeCell ref="C41:I44"/>
    <mergeCell ref="V43:X44"/>
    <mergeCell ref="Y43:AA44"/>
    <mergeCell ref="AB43:AD44"/>
    <mergeCell ref="AE43:AG44"/>
    <mergeCell ref="AH43:AJ44"/>
    <mergeCell ref="AK43:AM44"/>
    <mergeCell ref="AK39:AM40"/>
    <mergeCell ref="AN39:AP40"/>
    <mergeCell ref="AQ39:AS40"/>
    <mergeCell ref="AT39:AU40"/>
    <mergeCell ref="AW39:AW40"/>
    <mergeCell ref="J43:L44"/>
    <mergeCell ref="M43:O44"/>
    <mergeCell ref="P43:R44"/>
    <mergeCell ref="S43:U44"/>
    <mergeCell ref="S39:U40"/>
    <mergeCell ref="V39:X40"/>
    <mergeCell ref="Y39:AA40"/>
    <mergeCell ref="AY21:AY22"/>
    <mergeCell ref="AY23:AY24"/>
    <mergeCell ref="AY25:AY26"/>
    <mergeCell ref="AY27:AY28"/>
    <mergeCell ref="AY29:AY30"/>
    <mergeCell ref="AY31:AY32"/>
    <mergeCell ref="AY33:AY34"/>
    <mergeCell ref="AY35:AY36"/>
    <mergeCell ref="AY13:AY14"/>
    <mergeCell ref="AY15:AY16"/>
    <mergeCell ref="AY17:AY18"/>
    <mergeCell ref="AY19:AY20"/>
  </mergeCells>
  <phoneticPr fontId="7" type="noConversion"/>
  <printOptions horizontalCentered="1"/>
  <pageMargins left="0.39370078740157483" right="0.39370078740157483" top="0.39370078740157483" bottom="0.27559055118110237" header="0.43307086614173229" footer="0.19685039370078741"/>
  <pageSetup paperSize="9" scale="89" orientation="landscape" r:id="rId1"/>
  <headerFooter alignWithMargins="0"/>
  <colBreaks count="1" manualBreakCount="1">
    <brk id="48" max="31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A7C14-358E-4A1F-AADE-49E233E9EE5D}">
  <sheetPr codeName="Sheet42">
    <pageSetUpPr fitToPage="1"/>
  </sheetPr>
  <dimension ref="A1:AY85"/>
  <sheetViews>
    <sheetView view="pageBreakPreview" topLeftCell="A46" zoomScaleNormal="85" zoomScaleSheetLayoutView="100" workbookViewId="0">
      <selection activeCell="AE82" sqref="AE82:AE84"/>
    </sheetView>
  </sheetViews>
  <sheetFormatPr defaultRowHeight="21.6" customHeight="1" x14ac:dyDescent="0.15"/>
  <cols>
    <col min="1" max="1" width="1.33203125" style="5" customWidth="1"/>
    <col min="2" max="2" width="6" style="5" customWidth="1"/>
    <col min="3" max="3" width="7.33203125" style="5" customWidth="1"/>
    <col min="4" max="4" width="3.77734375" style="5" customWidth="1"/>
    <col min="5" max="5" width="4.44140625" style="5" customWidth="1"/>
    <col min="6" max="6" width="3.88671875" style="5" hidden="1" customWidth="1"/>
    <col min="7" max="7" width="4.77734375" style="5" hidden="1" customWidth="1"/>
    <col min="8" max="9" width="2.77734375" style="5" customWidth="1"/>
    <col min="10" max="19" width="2.6640625" style="5" customWidth="1"/>
    <col min="20" max="20" width="3.5546875" style="5" customWidth="1"/>
    <col min="21" max="39" width="2.6640625" style="5" customWidth="1"/>
    <col min="40" max="45" width="2.6640625" style="5" hidden="1" customWidth="1"/>
    <col min="46" max="46" width="3.77734375" style="5" customWidth="1"/>
    <col min="47" max="47" width="3.88671875" style="5" customWidth="1"/>
    <col min="48" max="48" width="4.77734375" style="5" customWidth="1"/>
    <col min="49" max="49" width="8.88671875" style="5"/>
    <col min="50" max="50" width="13.21875" style="5" bestFit="1" customWidth="1"/>
    <col min="51" max="247" width="8.88671875" style="5"/>
    <col min="248" max="248" width="1.33203125" style="5" customWidth="1"/>
    <col min="249" max="249" width="6" style="5" customWidth="1"/>
    <col min="250" max="250" width="7.33203125" style="5" customWidth="1"/>
    <col min="251" max="251" width="5.5546875" style="5" customWidth="1"/>
    <col min="252" max="252" width="4.44140625" style="5" customWidth="1"/>
    <col min="253" max="254" width="0" style="5" hidden="1" customWidth="1"/>
    <col min="255" max="256" width="2.77734375" style="5" customWidth="1"/>
    <col min="257" max="266" width="2.6640625" style="5" customWidth="1"/>
    <col min="267" max="267" width="3.5546875" style="5" customWidth="1"/>
    <col min="268" max="286" width="2.6640625" style="5" customWidth="1"/>
    <col min="287" max="292" width="0" style="5" hidden="1" customWidth="1"/>
    <col min="293" max="293" width="3.77734375" style="5" customWidth="1"/>
    <col min="294" max="294" width="3.88671875" style="5" customWidth="1"/>
    <col min="295" max="295" width="4.77734375" style="5" customWidth="1"/>
    <col min="296" max="299" width="1.5546875" style="5" customWidth="1"/>
    <col min="300" max="303" width="3.5546875" style="5" customWidth="1"/>
    <col min="304" max="503" width="8.88671875" style="5"/>
    <col min="504" max="504" width="1.33203125" style="5" customWidth="1"/>
    <col min="505" max="505" width="6" style="5" customWidth="1"/>
    <col min="506" max="506" width="7.33203125" style="5" customWidth="1"/>
    <col min="507" max="507" width="5.5546875" style="5" customWidth="1"/>
    <col min="508" max="508" width="4.44140625" style="5" customWidth="1"/>
    <col min="509" max="510" width="0" style="5" hidden="1" customWidth="1"/>
    <col min="511" max="512" width="2.77734375" style="5" customWidth="1"/>
    <col min="513" max="522" width="2.6640625" style="5" customWidth="1"/>
    <col min="523" max="523" width="3.5546875" style="5" customWidth="1"/>
    <col min="524" max="542" width="2.6640625" style="5" customWidth="1"/>
    <col min="543" max="548" width="0" style="5" hidden="1" customWidth="1"/>
    <col min="549" max="549" width="3.77734375" style="5" customWidth="1"/>
    <col min="550" max="550" width="3.88671875" style="5" customWidth="1"/>
    <col min="551" max="551" width="4.77734375" style="5" customWidth="1"/>
    <col min="552" max="555" width="1.5546875" style="5" customWidth="1"/>
    <col min="556" max="559" width="3.5546875" style="5" customWidth="1"/>
    <col min="560" max="759" width="8.88671875" style="5"/>
    <col min="760" max="760" width="1.33203125" style="5" customWidth="1"/>
    <col min="761" max="761" width="6" style="5" customWidth="1"/>
    <col min="762" max="762" width="7.33203125" style="5" customWidth="1"/>
    <col min="763" max="763" width="5.5546875" style="5" customWidth="1"/>
    <col min="764" max="764" width="4.44140625" style="5" customWidth="1"/>
    <col min="765" max="766" width="0" style="5" hidden="1" customWidth="1"/>
    <col min="767" max="768" width="2.77734375" style="5" customWidth="1"/>
    <col min="769" max="778" width="2.6640625" style="5" customWidth="1"/>
    <col min="779" max="779" width="3.5546875" style="5" customWidth="1"/>
    <col min="780" max="798" width="2.6640625" style="5" customWidth="1"/>
    <col min="799" max="804" width="0" style="5" hidden="1" customWidth="1"/>
    <col min="805" max="805" width="3.77734375" style="5" customWidth="1"/>
    <col min="806" max="806" width="3.88671875" style="5" customWidth="1"/>
    <col min="807" max="807" width="4.77734375" style="5" customWidth="1"/>
    <col min="808" max="811" width="1.5546875" style="5" customWidth="1"/>
    <col min="812" max="815" width="3.5546875" style="5" customWidth="1"/>
    <col min="816" max="1015" width="8.88671875" style="5"/>
    <col min="1016" max="1016" width="1.33203125" style="5" customWidth="1"/>
    <col min="1017" max="1017" width="6" style="5" customWidth="1"/>
    <col min="1018" max="1018" width="7.33203125" style="5" customWidth="1"/>
    <col min="1019" max="1019" width="5.5546875" style="5" customWidth="1"/>
    <col min="1020" max="1020" width="4.44140625" style="5" customWidth="1"/>
    <col min="1021" max="1022" width="0" style="5" hidden="1" customWidth="1"/>
    <col min="1023" max="1024" width="2.77734375" style="5" customWidth="1"/>
    <col min="1025" max="1034" width="2.6640625" style="5" customWidth="1"/>
    <col min="1035" max="1035" width="3.5546875" style="5" customWidth="1"/>
    <col min="1036" max="1054" width="2.6640625" style="5" customWidth="1"/>
    <col min="1055" max="1060" width="0" style="5" hidden="1" customWidth="1"/>
    <col min="1061" max="1061" width="3.77734375" style="5" customWidth="1"/>
    <col min="1062" max="1062" width="3.88671875" style="5" customWidth="1"/>
    <col min="1063" max="1063" width="4.77734375" style="5" customWidth="1"/>
    <col min="1064" max="1067" width="1.5546875" style="5" customWidth="1"/>
    <col min="1068" max="1071" width="3.5546875" style="5" customWidth="1"/>
    <col min="1072" max="1271" width="8.88671875" style="5"/>
    <col min="1272" max="1272" width="1.33203125" style="5" customWidth="1"/>
    <col min="1273" max="1273" width="6" style="5" customWidth="1"/>
    <col min="1274" max="1274" width="7.33203125" style="5" customWidth="1"/>
    <col min="1275" max="1275" width="5.5546875" style="5" customWidth="1"/>
    <col min="1276" max="1276" width="4.44140625" style="5" customWidth="1"/>
    <col min="1277" max="1278" width="0" style="5" hidden="1" customWidth="1"/>
    <col min="1279" max="1280" width="2.77734375" style="5" customWidth="1"/>
    <col min="1281" max="1290" width="2.6640625" style="5" customWidth="1"/>
    <col min="1291" max="1291" width="3.5546875" style="5" customWidth="1"/>
    <col min="1292" max="1310" width="2.6640625" style="5" customWidth="1"/>
    <col min="1311" max="1316" width="0" style="5" hidden="1" customWidth="1"/>
    <col min="1317" max="1317" width="3.77734375" style="5" customWidth="1"/>
    <col min="1318" max="1318" width="3.88671875" style="5" customWidth="1"/>
    <col min="1319" max="1319" width="4.77734375" style="5" customWidth="1"/>
    <col min="1320" max="1323" width="1.5546875" style="5" customWidth="1"/>
    <col min="1324" max="1327" width="3.5546875" style="5" customWidth="1"/>
    <col min="1328" max="1527" width="8.88671875" style="5"/>
    <col min="1528" max="1528" width="1.33203125" style="5" customWidth="1"/>
    <col min="1529" max="1529" width="6" style="5" customWidth="1"/>
    <col min="1530" max="1530" width="7.33203125" style="5" customWidth="1"/>
    <col min="1531" max="1531" width="5.5546875" style="5" customWidth="1"/>
    <col min="1532" max="1532" width="4.44140625" style="5" customWidth="1"/>
    <col min="1533" max="1534" width="0" style="5" hidden="1" customWidth="1"/>
    <col min="1535" max="1536" width="2.77734375" style="5" customWidth="1"/>
    <col min="1537" max="1546" width="2.6640625" style="5" customWidth="1"/>
    <col min="1547" max="1547" width="3.5546875" style="5" customWidth="1"/>
    <col min="1548" max="1566" width="2.6640625" style="5" customWidth="1"/>
    <col min="1567" max="1572" width="0" style="5" hidden="1" customWidth="1"/>
    <col min="1573" max="1573" width="3.77734375" style="5" customWidth="1"/>
    <col min="1574" max="1574" width="3.88671875" style="5" customWidth="1"/>
    <col min="1575" max="1575" width="4.77734375" style="5" customWidth="1"/>
    <col min="1576" max="1579" width="1.5546875" style="5" customWidth="1"/>
    <col min="1580" max="1583" width="3.5546875" style="5" customWidth="1"/>
    <col min="1584" max="1783" width="8.88671875" style="5"/>
    <col min="1784" max="1784" width="1.33203125" style="5" customWidth="1"/>
    <col min="1785" max="1785" width="6" style="5" customWidth="1"/>
    <col min="1786" max="1786" width="7.33203125" style="5" customWidth="1"/>
    <col min="1787" max="1787" width="5.5546875" style="5" customWidth="1"/>
    <col min="1788" max="1788" width="4.44140625" style="5" customWidth="1"/>
    <col min="1789" max="1790" width="0" style="5" hidden="1" customWidth="1"/>
    <col min="1791" max="1792" width="2.77734375" style="5" customWidth="1"/>
    <col min="1793" max="1802" width="2.6640625" style="5" customWidth="1"/>
    <col min="1803" max="1803" width="3.5546875" style="5" customWidth="1"/>
    <col min="1804" max="1822" width="2.6640625" style="5" customWidth="1"/>
    <col min="1823" max="1828" width="0" style="5" hidden="1" customWidth="1"/>
    <col min="1829" max="1829" width="3.77734375" style="5" customWidth="1"/>
    <col min="1830" max="1830" width="3.88671875" style="5" customWidth="1"/>
    <col min="1831" max="1831" width="4.77734375" style="5" customWidth="1"/>
    <col min="1832" max="1835" width="1.5546875" style="5" customWidth="1"/>
    <col min="1836" max="1839" width="3.5546875" style="5" customWidth="1"/>
    <col min="1840" max="2039" width="8.88671875" style="5"/>
    <col min="2040" max="2040" width="1.33203125" style="5" customWidth="1"/>
    <col min="2041" max="2041" width="6" style="5" customWidth="1"/>
    <col min="2042" max="2042" width="7.33203125" style="5" customWidth="1"/>
    <col min="2043" max="2043" width="5.5546875" style="5" customWidth="1"/>
    <col min="2044" max="2044" width="4.44140625" style="5" customWidth="1"/>
    <col min="2045" max="2046" width="0" style="5" hidden="1" customWidth="1"/>
    <col min="2047" max="2048" width="2.77734375" style="5" customWidth="1"/>
    <col min="2049" max="2058" width="2.6640625" style="5" customWidth="1"/>
    <col min="2059" max="2059" width="3.5546875" style="5" customWidth="1"/>
    <col min="2060" max="2078" width="2.6640625" style="5" customWidth="1"/>
    <col min="2079" max="2084" width="0" style="5" hidden="1" customWidth="1"/>
    <col min="2085" max="2085" width="3.77734375" style="5" customWidth="1"/>
    <col min="2086" max="2086" width="3.88671875" style="5" customWidth="1"/>
    <col min="2087" max="2087" width="4.77734375" style="5" customWidth="1"/>
    <col min="2088" max="2091" width="1.5546875" style="5" customWidth="1"/>
    <col min="2092" max="2095" width="3.5546875" style="5" customWidth="1"/>
    <col min="2096" max="2295" width="8.88671875" style="5"/>
    <col min="2296" max="2296" width="1.33203125" style="5" customWidth="1"/>
    <col min="2297" max="2297" width="6" style="5" customWidth="1"/>
    <col min="2298" max="2298" width="7.33203125" style="5" customWidth="1"/>
    <col min="2299" max="2299" width="5.5546875" style="5" customWidth="1"/>
    <col min="2300" max="2300" width="4.44140625" style="5" customWidth="1"/>
    <col min="2301" max="2302" width="0" style="5" hidden="1" customWidth="1"/>
    <col min="2303" max="2304" width="2.77734375" style="5" customWidth="1"/>
    <col min="2305" max="2314" width="2.6640625" style="5" customWidth="1"/>
    <col min="2315" max="2315" width="3.5546875" style="5" customWidth="1"/>
    <col min="2316" max="2334" width="2.6640625" style="5" customWidth="1"/>
    <col min="2335" max="2340" width="0" style="5" hidden="1" customWidth="1"/>
    <col min="2341" max="2341" width="3.77734375" style="5" customWidth="1"/>
    <col min="2342" max="2342" width="3.88671875" style="5" customWidth="1"/>
    <col min="2343" max="2343" width="4.77734375" style="5" customWidth="1"/>
    <col min="2344" max="2347" width="1.5546875" style="5" customWidth="1"/>
    <col min="2348" max="2351" width="3.5546875" style="5" customWidth="1"/>
    <col min="2352" max="2551" width="8.88671875" style="5"/>
    <col min="2552" max="2552" width="1.33203125" style="5" customWidth="1"/>
    <col min="2553" max="2553" width="6" style="5" customWidth="1"/>
    <col min="2554" max="2554" width="7.33203125" style="5" customWidth="1"/>
    <col min="2555" max="2555" width="5.5546875" style="5" customWidth="1"/>
    <col min="2556" max="2556" width="4.44140625" style="5" customWidth="1"/>
    <col min="2557" max="2558" width="0" style="5" hidden="1" customWidth="1"/>
    <col min="2559" max="2560" width="2.77734375" style="5" customWidth="1"/>
    <col min="2561" max="2570" width="2.6640625" style="5" customWidth="1"/>
    <col min="2571" max="2571" width="3.5546875" style="5" customWidth="1"/>
    <col min="2572" max="2590" width="2.6640625" style="5" customWidth="1"/>
    <col min="2591" max="2596" width="0" style="5" hidden="1" customWidth="1"/>
    <col min="2597" max="2597" width="3.77734375" style="5" customWidth="1"/>
    <col min="2598" max="2598" width="3.88671875" style="5" customWidth="1"/>
    <col min="2599" max="2599" width="4.77734375" style="5" customWidth="1"/>
    <col min="2600" max="2603" width="1.5546875" style="5" customWidth="1"/>
    <col min="2604" max="2607" width="3.5546875" style="5" customWidth="1"/>
    <col min="2608" max="2807" width="8.88671875" style="5"/>
    <col min="2808" max="2808" width="1.33203125" style="5" customWidth="1"/>
    <col min="2809" max="2809" width="6" style="5" customWidth="1"/>
    <col min="2810" max="2810" width="7.33203125" style="5" customWidth="1"/>
    <col min="2811" max="2811" width="5.5546875" style="5" customWidth="1"/>
    <col min="2812" max="2812" width="4.44140625" style="5" customWidth="1"/>
    <col min="2813" max="2814" width="0" style="5" hidden="1" customWidth="1"/>
    <col min="2815" max="2816" width="2.77734375" style="5" customWidth="1"/>
    <col min="2817" max="2826" width="2.6640625" style="5" customWidth="1"/>
    <col min="2827" max="2827" width="3.5546875" style="5" customWidth="1"/>
    <col min="2828" max="2846" width="2.6640625" style="5" customWidth="1"/>
    <col min="2847" max="2852" width="0" style="5" hidden="1" customWidth="1"/>
    <col min="2853" max="2853" width="3.77734375" style="5" customWidth="1"/>
    <col min="2854" max="2854" width="3.88671875" style="5" customWidth="1"/>
    <col min="2855" max="2855" width="4.77734375" style="5" customWidth="1"/>
    <col min="2856" max="2859" width="1.5546875" style="5" customWidth="1"/>
    <col min="2860" max="2863" width="3.5546875" style="5" customWidth="1"/>
    <col min="2864" max="3063" width="8.88671875" style="5"/>
    <col min="3064" max="3064" width="1.33203125" style="5" customWidth="1"/>
    <col min="3065" max="3065" width="6" style="5" customWidth="1"/>
    <col min="3066" max="3066" width="7.33203125" style="5" customWidth="1"/>
    <col min="3067" max="3067" width="5.5546875" style="5" customWidth="1"/>
    <col min="3068" max="3068" width="4.44140625" style="5" customWidth="1"/>
    <col min="3069" max="3070" width="0" style="5" hidden="1" customWidth="1"/>
    <col min="3071" max="3072" width="2.77734375" style="5" customWidth="1"/>
    <col min="3073" max="3082" width="2.6640625" style="5" customWidth="1"/>
    <col min="3083" max="3083" width="3.5546875" style="5" customWidth="1"/>
    <col min="3084" max="3102" width="2.6640625" style="5" customWidth="1"/>
    <col min="3103" max="3108" width="0" style="5" hidden="1" customWidth="1"/>
    <col min="3109" max="3109" width="3.77734375" style="5" customWidth="1"/>
    <col min="3110" max="3110" width="3.88671875" style="5" customWidth="1"/>
    <col min="3111" max="3111" width="4.77734375" style="5" customWidth="1"/>
    <col min="3112" max="3115" width="1.5546875" style="5" customWidth="1"/>
    <col min="3116" max="3119" width="3.5546875" style="5" customWidth="1"/>
    <col min="3120" max="3319" width="8.88671875" style="5"/>
    <col min="3320" max="3320" width="1.33203125" style="5" customWidth="1"/>
    <col min="3321" max="3321" width="6" style="5" customWidth="1"/>
    <col min="3322" max="3322" width="7.33203125" style="5" customWidth="1"/>
    <col min="3323" max="3323" width="5.5546875" style="5" customWidth="1"/>
    <col min="3324" max="3324" width="4.44140625" style="5" customWidth="1"/>
    <col min="3325" max="3326" width="0" style="5" hidden="1" customWidth="1"/>
    <col min="3327" max="3328" width="2.77734375" style="5" customWidth="1"/>
    <col min="3329" max="3338" width="2.6640625" style="5" customWidth="1"/>
    <col min="3339" max="3339" width="3.5546875" style="5" customWidth="1"/>
    <col min="3340" max="3358" width="2.6640625" style="5" customWidth="1"/>
    <col min="3359" max="3364" width="0" style="5" hidden="1" customWidth="1"/>
    <col min="3365" max="3365" width="3.77734375" style="5" customWidth="1"/>
    <col min="3366" max="3366" width="3.88671875" style="5" customWidth="1"/>
    <col min="3367" max="3367" width="4.77734375" style="5" customWidth="1"/>
    <col min="3368" max="3371" width="1.5546875" style="5" customWidth="1"/>
    <col min="3372" max="3375" width="3.5546875" style="5" customWidth="1"/>
    <col min="3376" max="3575" width="8.88671875" style="5"/>
    <col min="3576" max="3576" width="1.33203125" style="5" customWidth="1"/>
    <col min="3577" max="3577" width="6" style="5" customWidth="1"/>
    <col min="3578" max="3578" width="7.33203125" style="5" customWidth="1"/>
    <col min="3579" max="3579" width="5.5546875" style="5" customWidth="1"/>
    <col min="3580" max="3580" width="4.44140625" style="5" customWidth="1"/>
    <col min="3581" max="3582" width="0" style="5" hidden="1" customWidth="1"/>
    <col min="3583" max="3584" width="2.77734375" style="5" customWidth="1"/>
    <col min="3585" max="3594" width="2.6640625" style="5" customWidth="1"/>
    <col min="3595" max="3595" width="3.5546875" style="5" customWidth="1"/>
    <col min="3596" max="3614" width="2.6640625" style="5" customWidth="1"/>
    <col min="3615" max="3620" width="0" style="5" hidden="1" customWidth="1"/>
    <col min="3621" max="3621" width="3.77734375" style="5" customWidth="1"/>
    <col min="3622" max="3622" width="3.88671875" style="5" customWidth="1"/>
    <col min="3623" max="3623" width="4.77734375" style="5" customWidth="1"/>
    <col min="3624" max="3627" width="1.5546875" style="5" customWidth="1"/>
    <col min="3628" max="3631" width="3.5546875" style="5" customWidth="1"/>
    <col min="3632" max="3831" width="8.88671875" style="5"/>
    <col min="3832" max="3832" width="1.33203125" style="5" customWidth="1"/>
    <col min="3833" max="3833" width="6" style="5" customWidth="1"/>
    <col min="3834" max="3834" width="7.33203125" style="5" customWidth="1"/>
    <col min="3835" max="3835" width="5.5546875" style="5" customWidth="1"/>
    <col min="3836" max="3836" width="4.44140625" style="5" customWidth="1"/>
    <col min="3837" max="3838" width="0" style="5" hidden="1" customWidth="1"/>
    <col min="3839" max="3840" width="2.77734375" style="5" customWidth="1"/>
    <col min="3841" max="3850" width="2.6640625" style="5" customWidth="1"/>
    <col min="3851" max="3851" width="3.5546875" style="5" customWidth="1"/>
    <col min="3852" max="3870" width="2.6640625" style="5" customWidth="1"/>
    <col min="3871" max="3876" width="0" style="5" hidden="1" customWidth="1"/>
    <col min="3877" max="3877" width="3.77734375" style="5" customWidth="1"/>
    <col min="3878" max="3878" width="3.88671875" style="5" customWidth="1"/>
    <col min="3879" max="3879" width="4.77734375" style="5" customWidth="1"/>
    <col min="3880" max="3883" width="1.5546875" style="5" customWidth="1"/>
    <col min="3884" max="3887" width="3.5546875" style="5" customWidth="1"/>
    <col min="3888" max="4087" width="8.88671875" style="5"/>
    <col min="4088" max="4088" width="1.33203125" style="5" customWidth="1"/>
    <col min="4089" max="4089" width="6" style="5" customWidth="1"/>
    <col min="4090" max="4090" width="7.33203125" style="5" customWidth="1"/>
    <col min="4091" max="4091" width="5.5546875" style="5" customWidth="1"/>
    <col min="4092" max="4092" width="4.44140625" style="5" customWidth="1"/>
    <col min="4093" max="4094" width="0" style="5" hidden="1" customWidth="1"/>
    <col min="4095" max="4096" width="2.77734375" style="5" customWidth="1"/>
    <col min="4097" max="4106" width="2.6640625" style="5" customWidth="1"/>
    <col min="4107" max="4107" width="3.5546875" style="5" customWidth="1"/>
    <col min="4108" max="4126" width="2.6640625" style="5" customWidth="1"/>
    <col min="4127" max="4132" width="0" style="5" hidden="1" customWidth="1"/>
    <col min="4133" max="4133" width="3.77734375" style="5" customWidth="1"/>
    <col min="4134" max="4134" width="3.88671875" style="5" customWidth="1"/>
    <col min="4135" max="4135" width="4.77734375" style="5" customWidth="1"/>
    <col min="4136" max="4139" width="1.5546875" style="5" customWidth="1"/>
    <col min="4140" max="4143" width="3.5546875" style="5" customWidth="1"/>
    <col min="4144" max="4343" width="8.88671875" style="5"/>
    <col min="4344" max="4344" width="1.33203125" style="5" customWidth="1"/>
    <col min="4345" max="4345" width="6" style="5" customWidth="1"/>
    <col min="4346" max="4346" width="7.33203125" style="5" customWidth="1"/>
    <col min="4347" max="4347" width="5.5546875" style="5" customWidth="1"/>
    <col min="4348" max="4348" width="4.44140625" style="5" customWidth="1"/>
    <col min="4349" max="4350" width="0" style="5" hidden="1" customWidth="1"/>
    <col min="4351" max="4352" width="2.77734375" style="5" customWidth="1"/>
    <col min="4353" max="4362" width="2.6640625" style="5" customWidth="1"/>
    <col min="4363" max="4363" width="3.5546875" style="5" customWidth="1"/>
    <col min="4364" max="4382" width="2.6640625" style="5" customWidth="1"/>
    <col min="4383" max="4388" width="0" style="5" hidden="1" customWidth="1"/>
    <col min="4389" max="4389" width="3.77734375" style="5" customWidth="1"/>
    <col min="4390" max="4390" width="3.88671875" style="5" customWidth="1"/>
    <col min="4391" max="4391" width="4.77734375" style="5" customWidth="1"/>
    <col min="4392" max="4395" width="1.5546875" style="5" customWidth="1"/>
    <col min="4396" max="4399" width="3.5546875" style="5" customWidth="1"/>
    <col min="4400" max="4599" width="8.88671875" style="5"/>
    <col min="4600" max="4600" width="1.33203125" style="5" customWidth="1"/>
    <col min="4601" max="4601" width="6" style="5" customWidth="1"/>
    <col min="4602" max="4602" width="7.33203125" style="5" customWidth="1"/>
    <col min="4603" max="4603" width="5.5546875" style="5" customWidth="1"/>
    <col min="4604" max="4604" width="4.44140625" style="5" customWidth="1"/>
    <col min="4605" max="4606" width="0" style="5" hidden="1" customWidth="1"/>
    <col min="4607" max="4608" width="2.77734375" style="5" customWidth="1"/>
    <col min="4609" max="4618" width="2.6640625" style="5" customWidth="1"/>
    <col min="4619" max="4619" width="3.5546875" style="5" customWidth="1"/>
    <col min="4620" max="4638" width="2.6640625" style="5" customWidth="1"/>
    <col min="4639" max="4644" width="0" style="5" hidden="1" customWidth="1"/>
    <col min="4645" max="4645" width="3.77734375" style="5" customWidth="1"/>
    <col min="4646" max="4646" width="3.88671875" style="5" customWidth="1"/>
    <col min="4647" max="4647" width="4.77734375" style="5" customWidth="1"/>
    <col min="4648" max="4651" width="1.5546875" style="5" customWidth="1"/>
    <col min="4652" max="4655" width="3.5546875" style="5" customWidth="1"/>
    <col min="4656" max="4855" width="8.88671875" style="5"/>
    <col min="4856" max="4856" width="1.33203125" style="5" customWidth="1"/>
    <col min="4857" max="4857" width="6" style="5" customWidth="1"/>
    <col min="4858" max="4858" width="7.33203125" style="5" customWidth="1"/>
    <col min="4859" max="4859" width="5.5546875" style="5" customWidth="1"/>
    <col min="4860" max="4860" width="4.44140625" style="5" customWidth="1"/>
    <col min="4861" max="4862" width="0" style="5" hidden="1" customWidth="1"/>
    <col min="4863" max="4864" width="2.77734375" style="5" customWidth="1"/>
    <col min="4865" max="4874" width="2.6640625" style="5" customWidth="1"/>
    <col min="4875" max="4875" width="3.5546875" style="5" customWidth="1"/>
    <col min="4876" max="4894" width="2.6640625" style="5" customWidth="1"/>
    <col min="4895" max="4900" width="0" style="5" hidden="1" customWidth="1"/>
    <col min="4901" max="4901" width="3.77734375" style="5" customWidth="1"/>
    <col min="4902" max="4902" width="3.88671875" style="5" customWidth="1"/>
    <col min="4903" max="4903" width="4.77734375" style="5" customWidth="1"/>
    <col min="4904" max="4907" width="1.5546875" style="5" customWidth="1"/>
    <col min="4908" max="4911" width="3.5546875" style="5" customWidth="1"/>
    <col min="4912" max="5111" width="8.88671875" style="5"/>
    <col min="5112" max="5112" width="1.33203125" style="5" customWidth="1"/>
    <col min="5113" max="5113" width="6" style="5" customWidth="1"/>
    <col min="5114" max="5114" width="7.33203125" style="5" customWidth="1"/>
    <col min="5115" max="5115" width="5.5546875" style="5" customWidth="1"/>
    <col min="5116" max="5116" width="4.44140625" style="5" customWidth="1"/>
    <col min="5117" max="5118" width="0" style="5" hidden="1" customWidth="1"/>
    <col min="5119" max="5120" width="2.77734375" style="5" customWidth="1"/>
    <col min="5121" max="5130" width="2.6640625" style="5" customWidth="1"/>
    <col min="5131" max="5131" width="3.5546875" style="5" customWidth="1"/>
    <col min="5132" max="5150" width="2.6640625" style="5" customWidth="1"/>
    <col min="5151" max="5156" width="0" style="5" hidden="1" customWidth="1"/>
    <col min="5157" max="5157" width="3.77734375" style="5" customWidth="1"/>
    <col min="5158" max="5158" width="3.88671875" style="5" customWidth="1"/>
    <col min="5159" max="5159" width="4.77734375" style="5" customWidth="1"/>
    <col min="5160" max="5163" width="1.5546875" style="5" customWidth="1"/>
    <col min="5164" max="5167" width="3.5546875" style="5" customWidth="1"/>
    <col min="5168" max="5367" width="8.88671875" style="5"/>
    <col min="5368" max="5368" width="1.33203125" style="5" customWidth="1"/>
    <col min="5369" max="5369" width="6" style="5" customWidth="1"/>
    <col min="5370" max="5370" width="7.33203125" style="5" customWidth="1"/>
    <col min="5371" max="5371" width="5.5546875" style="5" customWidth="1"/>
    <col min="5372" max="5372" width="4.44140625" style="5" customWidth="1"/>
    <col min="5373" max="5374" width="0" style="5" hidden="1" customWidth="1"/>
    <col min="5375" max="5376" width="2.77734375" style="5" customWidth="1"/>
    <col min="5377" max="5386" width="2.6640625" style="5" customWidth="1"/>
    <col min="5387" max="5387" width="3.5546875" style="5" customWidth="1"/>
    <col min="5388" max="5406" width="2.6640625" style="5" customWidth="1"/>
    <col min="5407" max="5412" width="0" style="5" hidden="1" customWidth="1"/>
    <col min="5413" max="5413" width="3.77734375" style="5" customWidth="1"/>
    <col min="5414" max="5414" width="3.88671875" style="5" customWidth="1"/>
    <col min="5415" max="5415" width="4.77734375" style="5" customWidth="1"/>
    <col min="5416" max="5419" width="1.5546875" style="5" customWidth="1"/>
    <col min="5420" max="5423" width="3.5546875" style="5" customWidth="1"/>
    <col min="5424" max="5623" width="8.88671875" style="5"/>
    <col min="5624" max="5624" width="1.33203125" style="5" customWidth="1"/>
    <col min="5625" max="5625" width="6" style="5" customWidth="1"/>
    <col min="5626" max="5626" width="7.33203125" style="5" customWidth="1"/>
    <col min="5627" max="5627" width="5.5546875" style="5" customWidth="1"/>
    <col min="5628" max="5628" width="4.44140625" style="5" customWidth="1"/>
    <col min="5629" max="5630" width="0" style="5" hidden="1" customWidth="1"/>
    <col min="5631" max="5632" width="2.77734375" style="5" customWidth="1"/>
    <col min="5633" max="5642" width="2.6640625" style="5" customWidth="1"/>
    <col min="5643" max="5643" width="3.5546875" style="5" customWidth="1"/>
    <col min="5644" max="5662" width="2.6640625" style="5" customWidth="1"/>
    <col min="5663" max="5668" width="0" style="5" hidden="1" customWidth="1"/>
    <col min="5669" max="5669" width="3.77734375" style="5" customWidth="1"/>
    <col min="5670" max="5670" width="3.88671875" style="5" customWidth="1"/>
    <col min="5671" max="5671" width="4.77734375" style="5" customWidth="1"/>
    <col min="5672" max="5675" width="1.5546875" style="5" customWidth="1"/>
    <col min="5676" max="5679" width="3.5546875" style="5" customWidth="1"/>
    <col min="5680" max="5879" width="8.88671875" style="5"/>
    <col min="5880" max="5880" width="1.33203125" style="5" customWidth="1"/>
    <col min="5881" max="5881" width="6" style="5" customWidth="1"/>
    <col min="5882" max="5882" width="7.33203125" style="5" customWidth="1"/>
    <col min="5883" max="5883" width="5.5546875" style="5" customWidth="1"/>
    <col min="5884" max="5884" width="4.44140625" style="5" customWidth="1"/>
    <col min="5885" max="5886" width="0" style="5" hidden="1" customWidth="1"/>
    <col min="5887" max="5888" width="2.77734375" style="5" customWidth="1"/>
    <col min="5889" max="5898" width="2.6640625" style="5" customWidth="1"/>
    <col min="5899" max="5899" width="3.5546875" style="5" customWidth="1"/>
    <col min="5900" max="5918" width="2.6640625" style="5" customWidth="1"/>
    <col min="5919" max="5924" width="0" style="5" hidden="1" customWidth="1"/>
    <col min="5925" max="5925" width="3.77734375" style="5" customWidth="1"/>
    <col min="5926" max="5926" width="3.88671875" style="5" customWidth="1"/>
    <col min="5927" max="5927" width="4.77734375" style="5" customWidth="1"/>
    <col min="5928" max="5931" width="1.5546875" style="5" customWidth="1"/>
    <col min="5932" max="5935" width="3.5546875" style="5" customWidth="1"/>
    <col min="5936" max="6135" width="8.88671875" style="5"/>
    <col min="6136" max="6136" width="1.33203125" style="5" customWidth="1"/>
    <col min="6137" max="6137" width="6" style="5" customWidth="1"/>
    <col min="6138" max="6138" width="7.33203125" style="5" customWidth="1"/>
    <col min="6139" max="6139" width="5.5546875" style="5" customWidth="1"/>
    <col min="6140" max="6140" width="4.44140625" style="5" customWidth="1"/>
    <col min="6141" max="6142" width="0" style="5" hidden="1" customWidth="1"/>
    <col min="6143" max="6144" width="2.77734375" style="5" customWidth="1"/>
    <col min="6145" max="6154" width="2.6640625" style="5" customWidth="1"/>
    <col min="6155" max="6155" width="3.5546875" style="5" customWidth="1"/>
    <col min="6156" max="6174" width="2.6640625" style="5" customWidth="1"/>
    <col min="6175" max="6180" width="0" style="5" hidden="1" customWidth="1"/>
    <col min="6181" max="6181" width="3.77734375" style="5" customWidth="1"/>
    <col min="6182" max="6182" width="3.88671875" style="5" customWidth="1"/>
    <col min="6183" max="6183" width="4.77734375" style="5" customWidth="1"/>
    <col min="6184" max="6187" width="1.5546875" style="5" customWidth="1"/>
    <col min="6188" max="6191" width="3.5546875" style="5" customWidth="1"/>
    <col min="6192" max="6391" width="8.88671875" style="5"/>
    <col min="6392" max="6392" width="1.33203125" style="5" customWidth="1"/>
    <col min="6393" max="6393" width="6" style="5" customWidth="1"/>
    <col min="6394" max="6394" width="7.33203125" style="5" customWidth="1"/>
    <col min="6395" max="6395" width="5.5546875" style="5" customWidth="1"/>
    <col min="6396" max="6396" width="4.44140625" style="5" customWidth="1"/>
    <col min="6397" max="6398" width="0" style="5" hidden="1" customWidth="1"/>
    <col min="6399" max="6400" width="2.77734375" style="5" customWidth="1"/>
    <col min="6401" max="6410" width="2.6640625" style="5" customWidth="1"/>
    <col min="6411" max="6411" width="3.5546875" style="5" customWidth="1"/>
    <col min="6412" max="6430" width="2.6640625" style="5" customWidth="1"/>
    <col min="6431" max="6436" width="0" style="5" hidden="1" customWidth="1"/>
    <col min="6437" max="6437" width="3.77734375" style="5" customWidth="1"/>
    <col min="6438" max="6438" width="3.88671875" style="5" customWidth="1"/>
    <col min="6439" max="6439" width="4.77734375" style="5" customWidth="1"/>
    <col min="6440" max="6443" width="1.5546875" style="5" customWidth="1"/>
    <col min="6444" max="6447" width="3.5546875" style="5" customWidth="1"/>
    <col min="6448" max="6647" width="8.88671875" style="5"/>
    <col min="6648" max="6648" width="1.33203125" style="5" customWidth="1"/>
    <col min="6649" max="6649" width="6" style="5" customWidth="1"/>
    <col min="6650" max="6650" width="7.33203125" style="5" customWidth="1"/>
    <col min="6651" max="6651" width="5.5546875" style="5" customWidth="1"/>
    <col min="6652" max="6652" width="4.44140625" style="5" customWidth="1"/>
    <col min="6653" max="6654" width="0" style="5" hidden="1" customWidth="1"/>
    <col min="6655" max="6656" width="2.77734375" style="5" customWidth="1"/>
    <col min="6657" max="6666" width="2.6640625" style="5" customWidth="1"/>
    <col min="6667" max="6667" width="3.5546875" style="5" customWidth="1"/>
    <col min="6668" max="6686" width="2.6640625" style="5" customWidth="1"/>
    <col min="6687" max="6692" width="0" style="5" hidden="1" customWidth="1"/>
    <col min="6693" max="6693" width="3.77734375" style="5" customWidth="1"/>
    <col min="6694" max="6694" width="3.88671875" style="5" customWidth="1"/>
    <col min="6695" max="6695" width="4.77734375" style="5" customWidth="1"/>
    <col min="6696" max="6699" width="1.5546875" style="5" customWidth="1"/>
    <col min="6700" max="6703" width="3.5546875" style="5" customWidth="1"/>
    <col min="6704" max="6903" width="8.88671875" style="5"/>
    <col min="6904" max="6904" width="1.33203125" style="5" customWidth="1"/>
    <col min="6905" max="6905" width="6" style="5" customWidth="1"/>
    <col min="6906" max="6906" width="7.33203125" style="5" customWidth="1"/>
    <col min="6907" max="6907" width="5.5546875" style="5" customWidth="1"/>
    <col min="6908" max="6908" width="4.44140625" style="5" customWidth="1"/>
    <col min="6909" max="6910" width="0" style="5" hidden="1" customWidth="1"/>
    <col min="6911" max="6912" width="2.77734375" style="5" customWidth="1"/>
    <col min="6913" max="6922" width="2.6640625" style="5" customWidth="1"/>
    <col min="6923" max="6923" width="3.5546875" style="5" customWidth="1"/>
    <col min="6924" max="6942" width="2.6640625" style="5" customWidth="1"/>
    <col min="6943" max="6948" width="0" style="5" hidden="1" customWidth="1"/>
    <col min="6949" max="6949" width="3.77734375" style="5" customWidth="1"/>
    <col min="6950" max="6950" width="3.88671875" style="5" customWidth="1"/>
    <col min="6951" max="6951" width="4.77734375" style="5" customWidth="1"/>
    <col min="6952" max="6955" width="1.5546875" style="5" customWidth="1"/>
    <col min="6956" max="6959" width="3.5546875" style="5" customWidth="1"/>
    <col min="6960" max="7159" width="8.88671875" style="5"/>
    <col min="7160" max="7160" width="1.33203125" style="5" customWidth="1"/>
    <col min="7161" max="7161" width="6" style="5" customWidth="1"/>
    <col min="7162" max="7162" width="7.33203125" style="5" customWidth="1"/>
    <col min="7163" max="7163" width="5.5546875" style="5" customWidth="1"/>
    <col min="7164" max="7164" width="4.44140625" style="5" customWidth="1"/>
    <col min="7165" max="7166" width="0" style="5" hidden="1" customWidth="1"/>
    <col min="7167" max="7168" width="2.77734375" style="5" customWidth="1"/>
    <col min="7169" max="7178" width="2.6640625" style="5" customWidth="1"/>
    <col min="7179" max="7179" width="3.5546875" style="5" customWidth="1"/>
    <col min="7180" max="7198" width="2.6640625" style="5" customWidth="1"/>
    <col min="7199" max="7204" width="0" style="5" hidden="1" customWidth="1"/>
    <col min="7205" max="7205" width="3.77734375" style="5" customWidth="1"/>
    <col min="7206" max="7206" width="3.88671875" style="5" customWidth="1"/>
    <col min="7207" max="7207" width="4.77734375" style="5" customWidth="1"/>
    <col min="7208" max="7211" width="1.5546875" style="5" customWidth="1"/>
    <col min="7212" max="7215" width="3.5546875" style="5" customWidth="1"/>
    <col min="7216" max="7415" width="8.88671875" style="5"/>
    <col min="7416" max="7416" width="1.33203125" style="5" customWidth="1"/>
    <col min="7417" max="7417" width="6" style="5" customWidth="1"/>
    <col min="7418" max="7418" width="7.33203125" style="5" customWidth="1"/>
    <col min="7419" max="7419" width="5.5546875" style="5" customWidth="1"/>
    <col min="7420" max="7420" width="4.44140625" style="5" customWidth="1"/>
    <col min="7421" max="7422" width="0" style="5" hidden="1" customWidth="1"/>
    <col min="7423" max="7424" width="2.77734375" style="5" customWidth="1"/>
    <col min="7425" max="7434" width="2.6640625" style="5" customWidth="1"/>
    <col min="7435" max="7435" width="3.5546875" style="5" customWidth="1"/>
    <col min="7436" max="7454" width="2.6640625" style="5" customWidth="1"/>
    <col min="7455" max="7460" width="0" style="5" hidden="1" customWidth="1"/>
    <col min="7461" max="7461" width="3.77734375" style="5" customWidth="1"/>
    <col min="7462" max="7462" width="3.88671875" style="5" customWidth="1"/>
    <col min="7463" max="7463" width="4.77734375" style="5" customWidth="1"/>
    <col min="7464" max="7467" width="1.5546875" style="5" customWidth="1"/>
    <col min="7468" max="7471" width="3.5546875" style="5" customWidth="1"/>
    <col min="7472" max="7671" width="8.88671875" style="5"/>
    <col min="7672" max="7672" width="1.33203125" style="5" customWidth="1"/>
    <col min="7673" max="7673" width="6" style="5" customWidth="1"/>
    <col min="7674" max="7674" width="7.33203125" style="5" customWidth="1"/>
    <col min="7675" max="7675" width="5.5546875" style="5" customWidth="1"/>
    <col min="7676" max="7676" width="4.44140625" style="5" customWidth="1"/>
    <col min="7677" max="7678" width="0" style="5" hidden="1" customWidth="1"/>
    <col min="7679" max="7680" width="2.77734375" style="5" customWidth="1"/>
    <col min="7681" max="7690" width="2.6640625" style="5" customWidth="1"/>
    <col min="7691" max="7691" width="3.5546875" style="5" customWidth="1"/>
    <col min="7692" max="7710" width="2.6640625" style="5" customWidth="1"/>
    <col min="7711" max="7716" width="0" style="5" hidden="1" customWidth="1"/>
    <col min="7717" max="7717" width="3.77734375" style="5" customWidth="1"/>
    <col min="7718" max="7718" width="3.88671875" style="5" customWidth="1"/>
    <col min="7719" max="7719" width="4.77734375" style="5" customWidth="1"/>
    <col min="7720" max="7723" width="1.5546875" style="5" customWidth="1"/>
    <col min="7724" max="7727" width="3.5546875" style="5" customWidth="1"/>
    <col min="7728" max="7927" width="8.88671875" style="5"/>
    <col min="7928" max="7928" width="1.33203125" style="5" customWidth="1"/>
    <col min="7929" max="7929" width="6" style="5" customWidth="1"/>
    <col min="7930" max="7930" width="7.33203125" style="5" customWidth="1"/>
    <col min="7931" max="7931" width="5.5546875" style="5" customWidth="1"/>
    <col min="7932" max="7932" width="4.44140625" style="5" customWidth="1"/>
    <col min="7933" max="7934" width="0" style="5" hidden="1" customWidth="1"/>
    <col min="7935" max="7936" width="2.77734375" style="5" customWidth="1"/>
    <col min="7937" max="7946" width="2.6640625" style="5" customWidth="1"/>
    <col min="7947" max="7947" width="3.5546875" style="5" customWidth="1"/>
    <col min="7948" max="7966" width="2.6640625" style="5" customWidth="1"/>
    <col min="7967" max="7972" width="0" style="5" hidden="1" customWidth="1"/>
    <col min="7973" max="7973" width="3.77734375" style="5" customWidth="1"/>
    <col min="7974" max="7974" width="3.88671875" style="5" customWidth="1"/>
    <col min="7975" max="7975" width="4.77734375" style="5" customWidth="1"/>
    <col min="7976" max="7979" width="1.5546875" style="5" customWidth="1"/>
    <col min="7980" max="7983" width="3.5546875" style="5" customWidth="1"/>
    <col min="7984" max="8183" width="8.88671875" style="5"/>
    <col min="8184" max="8184" width="1.33203125" style="5" customWidth="1"/>
    <col min="8185" max="8185" width="6" style="5" customWidth="1"/>
    <col min="8186" max="8186" width="7.33203125" style="5" customWidth="1"/>
    <col min="8187" max="8187" width="5.5546875" style="5" customWidth="1"/>
    <col min="8188" max="8188" width="4.44140625" style="5" customWidth="1"/>
    <col min="8189" max="8190" width="0" style="5" hidden="1" customWidth="1"/>
    <col min="8191" max="8192" width="2.77734375" style="5" customWidth="1"/>
    <col min="8193" max="8202" width="2.6640625" style="5" customWidth="1"/>
    <col min="8203" max="8203" width="3.5546875" style="5" customWidth="1"/>
    <col min="8204" max="8222" width="2.6640625" style="5" customWidth="1"/>
    <col min="8223" max="8228" width="0" style="5" hidden="1" customWidth="1"/>
    <col min="8229" max="8229" width="3.77734375" style="5" customWidth="1"/>
    <col min="8230" max="8230" width="3.88671875" style="5" customWidth="1"/>
    <col min="8231" max="8231" width="4.77734375" style="5" customWidth="1"/>
    <col min="8232" max="8235" width="1.5546875" style="5" customWidth="1"/>
    <col min="8236" max="8239" width="3.5546875" style="5" customWidth="1"/>
    <col min="8240" max="8439" width="8.88671875" style="5"/>
    <col min="8440" max="8440" width="1.33203125" style="5" customWidth="1"/>
    <col min="8441" max="8441" width="6" style="5" customWidth="1"/>
    <col min="8442" max="8442" width="7.33203125" style="5" customWidth="1"/>
    <col min="8443" max="8443" width="5.5546875" style="5" customWidth="1"/>
    <col min="8444" max="8444" width="4.44140625" style="5" customWidth="1"/>
    <col min="8445" max="8446" width="0" style="5" hidden="1" customWidth="1"/>
    <col min="8447" max="8448" width="2.77734375" style="5" customWidth="1"/>
    <col min="8449" max="8458" width="2.6640625" style="5" customWidth="1"/>
    <col min="8459" max="8459" width="3.5546875" style="5" customWidth="1"/>
    <col min="8460" max="8478" width="2.6640625" style="5" customWidth="1"/>
    <col min="8479" max="8484" width="0" style="5" hidden="1" customWidth="1"/>
    <col min="8485" max="8485" width="3.77734375" style="5" customWidth="1"/>
    <col min="8486" max="8486" width="3.88671875" style="5" customWidth="1"/>
    <col min="8487" max="8487" width="4.77734375" style="5" customWidth="1"/>
    <col min="8488" max="8491" width="1.5546875" style="5" customWidth="1"/>
    <col min="8492" max="8495" width="3.5546875" style="5" customWidth="1"/>
    <col min="8496" max="8695" width="8.88671875" style="5"/>
    <col min="8696" max="8696" width="1.33203125" style="5" customWidth="1"/>
    <col min="8697" max="8697" width="6" style="5" customWidth="1"/>
    <col min="8698" max="8698" width="7.33203125" style="5" customWidth="1"/>
    <col min="8699" max="8699" width="5.5546875" style="5" customWidth="1"/>
    <col min="8700" max="8700" width="4.44140625" style="5" customWidth="1"/>
    <col min="8701" max="8702" width="0" style="5" hidden="1" customWidth="1"/>
    <col min="8703" max="8704" width="2.77734375" style="5" customWidth="1"/>
    <col min="8705" max="8714" width="2.6640625" style="5" customWidth="1"/>
    <col min="8715" max="8715" width="3.5546875" style="5" customWidth="1"/>
    <col min="8716" max="8734" width="2.6640625" style="5" customWidth="1"/>
    <col min="8735" max="8740" width="0" style="5" hidden="1" customWidth="1"/>
    <col min="8741" max="8741" width="3.77734375" style="5" customWidth="1"/>
    <col min="8742" max="8742" width="3.88671875" style="5" customWidth="1"/>
    <col min="8743" max="8743" width="4.77734375" style="5" customWidth="1"/>
    <col min="8744" max="8747" width="1.5546875" style="5" customWidth="1"/>
    <col min="8748" max="8751" width="3.5546875" style="5" customWidth="1"/>
    <col min="8752" max="8951" width="8.88671875" style="5"/>
    <col min="8952" max="8952" width="1.33203125" style="5" customWidth="1"/>
    <col min="8953" max="8953" width="6" style="5" customWidth="1"/>
    <col min="8954" max="8954" width="7.33203125" style="5" customWidth="1"/>
    <col min="8955" max="8955" width="5.5546875" style="5" customWidth="1"/>
    <col min="8956" max="8956" width="4.44140625" style="5" customWidth="1"/>
    <col min="8957" max="8958" width="0" style="5" hidden="1" customWidth="1"/>
    <col min="8959" max="8960" width="2.77734375" style="5" customWidth="1"/>
    <col min="8961" max="8970" width="2.6640625" style="5" customWidth="1"/>
    <col min="8971" max="8971" width="3.5546875" style="5" customWidth="1"/>
    <col min="8972" max="8990" width="2.6640625" style="5" customWidth="1"/>
    <col min="8991" max="8996" width="0" style="5" hidden="1" customWidth="1"/>
    <col min="8997" max="8997" width="3.77734375" style="5" customWidth="1"/>
    <col min="8998" max="8998" width="3.88671875" style="5" customWidth="1"/>
    <col min="8999" max="8999" width="4.77734375" style="5" customWidth="1"/>
    <col min="9000" max="9003" width="1.5546875" style="5" customWidth="1"/>
    <col min="9004" max="9007" width="3.5546875" style="5" customWidth="1"/>
    <col min="9008" max="9207" width="8.88671875" style="5"/>
    <col min="9208" max="9208" width="1.33203125" style="5" customWidth="1"/>
    <col min="9209" max="9209" width="6" style="5" customWidth="1"/>
    <col min="9210" max="9210" width="7.33203125" style="5" customWidth="1"/>
    <col min="9211" max="9211" width="5.5546875" style="5" customWidth="1"/>
    <col min="9212" max="9212" width="4.44140625" style="5" customWidth="1"/>
    <col min="9213" max="9214" width="0" style="5" hidden="1" customWidth="1"/>
    <col min="9215" max="9216" width="2.77734375" style="5" customWidth="1"/>
    <col min="9217" max="9226" width="2.6640625" style="5" customWidth="1"/>
    <col min="9227" max="9227" width="3.5546875" style="5" customWidth="1"/>
    <col min="9228" max="9246" width="2.6640625" style="5" customWidth="1"/>
    <col min="9247" max="9252" width="0" style="5" hidden="1" customWidth="1"/>
    <col min="9253" max="9253" width="3.77734375" style="5" customWidth="1"/>
    <col min="9254" max="9254" width="3.88671875" style="5" customWidth="1"/>
    <col min="9255" max="9255" width="4.77734375" style="5" customWidth="1"/>
    <col min="9256" max="9259" width="1.5546875" style="5" customWidth="1"/>
    <col min="9260" max="9263" width="3.5546875" style="5" customWidth="1"/>
    <col min="9264" max="9463" width="8.88671875" style="5"/>
    <col min="9464" max="9464" width="1.33203125" style="5" customWidth="1"/>
    <col min="9465" max="9465" width="6" style="5" customWidth="1"/>
    <col min="9466" max="9466" width="7.33203125" style="5" customWidth="1"/>
    <col min="9467" max="9467" width="5.5546875" style="5" customWidth="1"/>
    <col min="9468" max="9468" width="4.44140625" style="5" customWidth="1"/>
    <col min="9469" max="9470" width="0" style="5" hidden="1" customWidth="1"/>
    <col min="9471" max="9472" width="2.77734375" style="5" customWidth="1"/>
    <col min="9473" max="9482" width="2.6640625" style="5" customWidth="1"/>
    <col min="9483" max="9483" width="3.5546875" style="5" customWidth="1"/>
    <col min="9484" max="9502" width="2.6640625" style="5" customWidth="1"/>
    <col min="9503" max="9508" width="0" style="5" hidden="1" customWidth="1"/>
    <col min="9509" max="9509" width="3.77734375" style="5" customWidth="1"/>
    <col min="9510" max="9510" width="3.88671875" style="5" customWidth="1"/>
    <col min="9511" max="9511" width="4.77734375" style="5" customWidth="1"/>
    <col min="9512" max="9515" width="1.5546875" style="5" customWidth="1"/>
    <col min="9516" max="9519" width="3.5546875" style="5" customWidth="1"/>
    <col min="9520" max="9719" width="8.88671875" style="5"/>
    <col min="9720" max="9720" width="1.33203125" style="5" customWidth="1"/>
    <col min="9721" max="9721" width="6" style="5" customWidth="1"/>
    <col min="9722" max="9722" width="7.33203125" style="5" customWidth="1"/>
    <col min="9723" max="9723" width="5.5546875" style="5" customWidth="1"/>
    <col min="9724" max="9724" width="4.44140625" style="5" customWidth="1"/>
    <col min="9725" max="9726" width="0" style="5" hidden="1" customWidth="1"/>
    <col min="9727" max="9728" width="2.77734375" style="5" customWidth="1"/>
    <col min="9729" max="9738" width="2.6640625" style="5" customWidth="1"/>
    <col min="9739" max="9739" width="3.5546875" style="5" customWidth="1"/>
    <col min="9740" max="9758" width="2.6640625" style="5" customWidth="1"/>
    <col min="9759" max="9764" width="0" style="5" hidden="1" customWidth="1"/>
    <col min="9765" max="9765" width="3.77734375" style="5" customWidth="1"/>
    <col min="9766" max="9766" width="3.88671875" style="5" customWidth="1"/>
    <col min="9767" max="9767" width="4.77734375" style="5" customWidth="1"/>
    <col min="9768" max="9771" width="1.5546875" style="5" customWidth="1"/>
    <col min="9772" max="9775" width="3.5546875" style="5" customWidth="1"/>
    <col min="9776" max="9975" width="8.88671875" style="5"/>
    <col min="9976" max="9976" width="1.33203125" style="5" customWidth="1"/>
    <col min="9977" max="9977" width="6" style="5" customWidth="1"/>
    <col min="9978" max="9978" width="7.33203125" style="5" customWidth="1"/>
    <col min="9979" max="9979" width="5.5546875" style="5" customWidth="1"/>
    <col min="9980" max="9980" width="4.44140625" style="5" customWidth="1"/>
    <col min="9981" max="9982" width="0" style="5" hidden="1" customWidth="1"/>
    <col min="9983" max="9984" width="2.77734375" style="5" customWidth="1"/>
    <col min="9985" max="9994" width="2.6640625" style="5" customWidth="1"/>
    <col min="9995" max="9995" width="3.5546875" style="5" customWidth="1"/>
    <col min="9996" max="10014" width="2.6640625" style="5" customWidth="1"/>
    <col min="10015" max="10020" width="0" style="5" hidden="1" customWidth="1"/>
    <col min="10021" max="10021" width="3.77734375" style="5" customWidth="1"/>
    <col min="10022" max="10022" width="3.88671875" style="5" customWidth="1"/>
    <col min="10023" max="10023" width="4.77734375" style="5" customWidth="1"/>
    <col min="10024" max="10027" width="1.5546875" style="5" customWidth="1"/>
    <col min="10028" max="10031" width="3.5546875" style="5" customWidth="1"/>
    <col min="10032" max="10231" width="8.88671875" style="5"/>
    <col min="10232" max="10232" width="1.33203125" style="5" customWidth="1"/>
    <col min="10233" max="10233" width="6" style="5" customWidth="1"/>
    <col min="10234" max="10234" width="7.33203125" style="5" customWidth="1"/>
    <col min="10235" max="10235" width="5.5546875" style="5" customWidth="1"/>
    <col min="10236" max="10236" width="4.44140625" style="5" customWidth="1"/>
    <col min="10237" max="10238" width="0" style="5" hidden="1" customWidth="1"/>
    <col min="10239" max="10240" width="2.77734375" style="5" customWidth="1"/>
    <col min="10241" max="10250" width="2.6640625" style="5" customWidth="1"/>
    <col min="10251" max="10251" width="3.5546875" style="5" customWidth="1"/>
    <col min="10252" max="10270" width="2.6640625" style="5" customWidth="1"/>
    <col min="10271" max="10276" width="0" style="5" hidden="1" customWidth="1"/>
    <col min="10277" max="10277" width="3.77734375" style="5" customWidth="1"/>
    <col min="10278" max="10278" width="3.88671875" style="5" customWidth="1"/>
    <col min="10279" max="10279" width="4.77734375" style="5" customWidth="1"/>
    <col min="10280" max="10283" width="1.5546875" style="5" customWidth="1"/>
    <col min="10284" max="10287" width="3.5546875" style="5" customWidth="1"/>
    <col min="10288" max="10487" width="8.88671875" style="5"/>
    <col min="10488" max="10488" width="1.33203125" style="5" customWidth="1"/>
    <col min="10489" max="10489" width="6" style="5" customWidth="1"/>
    <col min="10490" max="10490" width="7.33203125" style="5" customWidth="1"/>
    <col min="10491" max="10491" width="5.5546875" style="5" customWidth="1"/>
    <col min="10492" max="10492" width="4.44140625" style="5" customWidth="1"/>
    <col min="10493" max="10494" width="0" style="5" hidden="1" customWidth="1"/>
    <col min="10495" max="10496" width="2.77734375" style="5" customWidth="1"/>
    <col min="10497" max="10506" width="2.6640625" style="5" customWidth="1"/>
    <col min="10507" max="10507" width="3.5546875" style="5" customWidth="1"/>
    <col min="10508" max="10526" width="2.6640625" style="5" customWidth="1"/>
    <col min="10527" max="10532" width="0" style="5" hidden="1" customWidth="1"/>
    <col min="10533" max="10533" width="3.77734375" style="5" customWidth="1"/>
    <col min="10534" max="10534" width="3.88671875" style="5" customWidth="1"/>
    <col min="10535" max="10535" width="4.77734375" style="5" customWidth="1"/>
    <col min="10536" max="10539" width="1.5546875" style="5" customWidth="1"/>
    <col min="10540" max="10543" width="3.5546875" style="5" customWidth="1"/>
    <col min="10544" max="10743" width="8.88671875" style="5"/>
    <col min="10744" max="10744" width="1.33203125" style="5" customWidth="1"/>
    <col min="10745" max="10745" width="6" style="5" customWidth="1"/>
    <col min="10746" max="10746" width="7.33203125" style="5" customWidth="1"/>
    <col min="10747" max="10747" width="5.5546875" style="5" customWidth="1"/>
    <col min="10748" max="10748" width="4.44140625" style="5" customWidth="1"/>
    <col min="10749" max="10750" width="0" style="5" hidden="1" customWidth="1"/>
    <col min="10751" max="10752" width="2.77734375" style="5" customWidth="1"/>
    <col min="10753" max="10762" width="2.6640625" style="5" customWidth="1"/>
    <col min="10763" max="10763" width="3.5546875" style="5" customWidth="1"/>
    <col min="10764" max="10782" width="2.6640625" style="5" customWidth="1"/>
    <col min="10783" max="10788" width="0" style="5" hidden="1" customWidth="1"/>
    <col min="10789" max="10789" width="3.77734375" style="5" customWidth="1"/>
    <col min="10790" max="10790" width="3.88671875" style="5" customWidth="1"/>
    <col min="10791" max="10791" width="4.77734375" style="5" customWidth="1"/>
    <col min="10792" max="10795" width="1.5546875" style="5" customWidth="1"/>
    <col min="10796" max="10799" width="3.5546875" style="5" customWidth="1"/>
    <col min="10800" max="10999" width="8.88671875" style="5"/>
    <col min="11000" max="11000" width="1.33203125" style="5" customWidth="1"/>
    <col min="11001" max="11001" width="6" style="5" customWidth="1"/>
    <col min="11002" max="11002" width="7.33203125" style="5" customWidth="1"/>
    <col min="11003" max="11003" width="5.5546875" style="5" customWidth="1"/>
    <col min="11004" max="11004" width="4.44140625" style="5" customWidth="1"/>
    <col min="11005" max="11006" width="0" style="5" hidden="1" customWidth="1"/>
    <col min="11007" max="11008" width="2.77734375" style="5" customWidth="1"/>
    <col min="11009" max="11018" width="2.6640625" style="5" customWidth="1"/>
    <col min="11019" max="11019" width="3.5546875" style="5" customWidth="1"/>
    <col min="11020" max="11038" width="2.6640625" style="5" customWidth="1"/>
    <col min="11039" max="11044" width="0" style="5" hidden="1" customWidth="1"/>
    <col min="11045" max="11045" width="3.77734375" style="5" customWidth="1"/>
    <col min="11046" max="11046" width="3.88671875" style="5" customWidth="1"/>
    <col min="11047" max="11047" width="4.77734375" style="5" customWidth="1"/>
    <col min="11048" max="11051" width="1.5546875" style="5" customWidth="1"/>
    <col min="11052" max="11055" width="3.5546875" style="5" customWidth="1"/>
    <col min="11056" max="11255" width="8.88671875" style="5"/>
    <col min="11256" max="11256" width="1.33203125" style="5" customWidth="1"/>
    <col min="11257" max="11257" width="6" style="5" customWidth="1"/>
    <col min="11258" max="11258" width="7.33203125" style="5" customWidth="1"/>
    <col min="11259" max="11259" width="5.5546875" style="5" customWidth="1"/>
    <col min="11260" max="11260" width="4.44140625" style="5" customWidth="1"/>
    <col min="11261" max="11262" width="0" style="5" hidden="1" customWidth="1"/>
    <col min="11263" max="11264" width="2.77734375" style="5" customWidth="1"/>
    <col min="11265" max="11274" width="2.6640625" style="5" customWidth="1"/>
    <col min="11275" max="11275" width="3.5546875" style="5" customWidth="1"/>
    <col min="11276" max="11294" width="2.6640625" style="5" customWidth="1"/>
    <col min="11295" max="11300" width="0" style="5" hidden="1" customWidth="1"/>
    <col min="11301" max="11301" width="3.77734375" style="5" customWidth="1"/>
    <col min="11302" max="11302" width="3.88671875" style="5" customWidth="1"/>
    <col min="11303" max="11303" width="4.77734375" style="5" customWidth="1"/>
    <col min="11304" max="11307" width="1.5546875" style="5" customWidth="1"/>
    <col min="11308" max="11311" width="3.5546875" style="5" customWidth="1"/>
    <col min="11312" max="11511" width="8.88671875" style="5"/>
    <col min="11512" max="11512" width="1.33203125" style="5" customWidth="1"/>
    <col min="11513" max="11513" width="6" style="5" customWidth="1"/>
    <col min="11514" max="11514" width="7.33203125" style="5" customWidth="1"/>
    <col min="11515" max="11515" width="5.5546875" style="5" customWidth="1"/>
    <col min="11516" max="11516" width="4.44140625" style="5" customWidth="1"/>
    <col min="11517" max="11518" width="0" style="5" hidden="1" customWidth="1"/>
    <col min="11519" max="11520" width="2.77734375" style="5" customWidth="1"/>
    <col min="11521" max="11530" width="2.6640625" style="5" customWidth="1"/>
    <col min="11531" max="11531" width="3.5546875" style="5" customWidth="1"/>
    <col min="11532" max="11550" width="2.6640625" style="5" customWidth="1"/>
    <col min="11551" max="11556" width="0" style="5" hidden="1" customWidth="1"/>
    <col min="11557" max="11557" width="3.77734375" style="5" customWidth="1"/>
    <col min="11558" max="11558" width="3.88671875" style="5" customWidth="1"/>
    <col min="11559" max="11559" width="4.77734375" style="5" customWidth="1"/>
    <col min="11560" max="11563" width="1.5546875" style="5" customWidth="1"/>
    <col min="11564" max="11567" width="3.5546875" style="5" customWidth="1"/>
    <col min="11568" max="11767" width="8.88671875" style="5"/>
    <col min="11768" max="11768" width="1.33203125" style="5" customWidth="1"/>
    <col min="11769" max="11769" width="6" style="5" customWidth="1"/>
    <col min="11770" max="11770" width="7.33203125" style="5" customWidth="1"/>
    <col min="11771" max="11771" width="5.5546875" style="5" customWidth="1"/>
    <col min="11772" max="11772" width="4.44140625" style="5" customWidth="1"/>
    <col min="11773" max="11774" width="0" style="5" hidden="1" customWidth="1"/>
    <col min="11775" max="11776" width="2.77734375" style="5" customWidth="1"/>
    <col min="11777" max="11786" width="2.6640625" style="5" customWidth="1"/>
    <col min="11787" max="11787" width="3.5546875" style="5" customWidth="1"/>
    <col min="11788" max="11806" width="2.6640625" style="5" customWidth="1"/>
    <col min="11807" max="11812" width="0" style="5" hidden="1" customWidth="1"/>
    <col min="11813" max="11813" width="3.77734375" style="5" customWidth="1"/>
    <col min="11814" max="11814" width="3.88671875" style="5" customWidth="1"/>
    <col min="11815" max="11815" width="4.77734375" style="5" customWidth="1"/>
    <col min="11816" max="11819" width="1.5546875" style="5" customWidth="1"/>
    <col min="11820" max="11823" width="3.5546875" style="5" customWidth="1"/>
    <col min="11824" max="12023" width="8.88671875" style="5"/>
    <col min="12024" max="12024" width="1.33203125" style="5" customWidth="1"/>
    <col min="12025" max="12025" width="6" style="5" customWidth="1"/>
    <col min="12026" max="12026" width="7.33203125" style="5" customWidth="1"/>
    <col min="12027" max="12027" width="5.5546875" style="5" customWidth="1"/>
    <col min="12028" max="12028" width="4.44140625" style="5" customWidth="1"/>
    <col min="12029" max="12030" width="0" style="5" hidden="1" customWidth="1"/>
    <col min="12031" max="12032" width="2.77734375" style="5" customWidth="1"/>
    <col min="12033" max="12042" width="2.6640625" style="5" customWidth="1"/>
    <col min="12043" max="12043" width="3.5546875" style="5" customWidth="1"/>
    <col min="12044" max="12062" width="2.6640625" style="5" customWidth="1"/>
    <col min="12063" max="12068" width="0" style="5" hidden="1" customWidth="1"/>
    <col min="12069" max="12069" width="3.77734375" style="5" customWidth="1"/>
    <col min="12070" max="12070" width="3.88671875" style="5" customWidth="1"/>
    <col min="12071" max="12071" width="4.77734375" style="5" customWidth="1"/>
    <col min="12072" max="12075" width="1.5546875" style="5" customWidth="1"/>
    <col min="12076" max="12079" width="3.5546875" style="5" customWidth="1"/>
    <col min="12080" max="12279" width="8.88671875" style="5"/>
    <col min="12280" max="12280" width="1.33203125" style="5" customWidth="1"/>
    <col min="12281" max="12281" width="6" style="5" customWidth="1"/>
    <col min="12282" max="12282" width="7.33203125" style="5" customWidth="1"/>
    <col min="12283" max="12283" width="5.5546875" style="5" customWidth="1"/>
    <col min="12284" max="12284" width="4.44140625" style="5" customWidth="1"/>
    <col min="12285" max="12286" width="0" style="5" hidden="1" customWidth="1"/>
    <col min="12287" max="12288" width="2.77734375" style="5" customWidth="1"/>
    <col min="12289" max="12298" width="2.6640625" style="5" customWidth="1"/>
    <col min="12299" max="12299" width="3.5546875" style="5" customWidth="1"/>
    <col min="12300" max="12318" width="2.6640625" style="5" customWidth="1"/>
    <col min="12319" max="12324" width="0" style="5" hidden="1" customWidth="1"/>
    <col min="12325" max="12325" width="3.77734375" style="5" customWidth="1"/>
    <col min="12326" max="12326" width="3.88671875" style="5" customWidth="1"/>
    <col min="12327" max="12327" width="4.77734375" style="5" customWidth="1"/>
    <col min="12328" max="12331" width="1.5546875" style="5" customWidth="1"/>
    <col min="12332" max="12335" width="3.5546875" style="5" customWidth="1"/>
    <col min="12336" max="12535" width="8.88671875" style="5"/>
    <col min="12536" max="12536" width="1.33203125" style="5" customWidth="1"/>
    <col min="12537" max="12537" width="6" style="5" customWidth="1"/>
    <col min="12538" max="12538" width="7.33203125" style="5" customWidth="1"/>
    <col min="12539" max="12539" width="5.5546875" style="5" customWidth="1"/>
    <col min="12540" max="12540" width="4.44140625" style="5" customWidth="1"/>
    <col min="12541" max="12542" width="0" style="5" hidden="1" customWidth="1"/>
    <col min="12543" max="12544" width="2.77734375" style="5" customWidth="1"/>
    <col min="12545" max="12554" width="2.6640625" style="5" customWidth="1"/>
    <col min="12555" max="12555" width="3.5546875" style="5" customWidth="1"/>
    <col min="12556" max="12574" width="2.6640625" style="5" customWidth="1"/>
    <col min="12575" max="12580" width="0" style="5" hidden="1" customWidth="1"/>
    <col min="12581" max="12581" width="3.77734375" style="5" customWidth="1"/>
    <col min="12582" max="12582" width="3.88671875" style="5" customWidth="1"/>
    <col min="12583" max="12583" width="4.77734375" style="5" customWidth="1"/>
    <col min="12584" max="12587" width="1.5546875" style="5" customWidth="1"/>
    <col min="12588" max="12591" width="3.5546875" style="5" customWidth="1"/>
    <col min="12592" max="12791" width="8.88671875" style="5"/>
    <col min="12792" max="12792" width="1.33203125" style="5" customWidth="1"/>
    <col min="12793" max="12793" width="6" style="5" customWidth="1"/>
    <col min="12794" max="12794" width="7.33203125" style="5" customWidth="1"/>
    <col min="12795" max="12795" width="5.5546875" style="5" customWidth="1"/>
    <col min="12796" max="12796" width="4.44140625" style="5" customWidth="1"/>
    <col min="12797" max="12798" width="0" style="5" hidden="1" customWidth="1"/>
    <col min="12799" max="12800" width="2.77734375" style="5" customWidth="1"/>
    <col min="12801" max="12810" width="2.6640625" style="5" customWidth="1"/>
    <col min="12811" max="12811" width="3.5546875" style="5" customWidth="1"/>
    <col min="12812" max="12830" width="2.6640625" style="5" customWidth="1"/>
    <col min="12831" max="12836" width="0" style="5" hidden="1" customWidth="1"/>
    <col min="12837" max="12837" width="3.77734375" style="5" customWidth="1"/>
    <col min="12838" max="12838" width="3.88671875" style="5" customWidth="1"/>
    <col min="12839" max="12839" width="4.77734375" style="5" customWidth="1"/>
    <col min="12840" max="12843" width="1.5546875" style="5" customWidth="1"/>
    <col min="12844" max="12847" width="3.5546875" style="5" customWidth="1"/>
    <col min="12848" max="13047" width="8.88671875" style="5"/>
    <col min="13048" max="13048" width="1.33203125" style="5" customWidth="1"/>
    <col min="13049" max="13049" width="6" style="5" customWidth="1"/>
    <col min="13050" max="13050" width="7.33203125" style="5" customWidth="1"/>
    <col min="13051" max="13051" width="5.5546875" style="5" customWidth="1"/>
    <col min="13052" max="13052" width="4.44140625" style="5" customWidth="1"/>
    <col min="13053" max="13054" width="0" style="5" hidden="1" customWidth="1"/>
    <col min="13055" max="13056" width="2.77734375" style="5" customWidth="1"/>
    <col min="13057" max="13066" width="2.6640625" style="5" customWidth="1"/>
    <col min="13067" max="13067" width="3.5546875" style="5" customWidth="1"/>
    <col min="13068" max="13086" width="2.6640625" style="5" customWidth="1"/>
    <col min="13087" max="13092" width="0" style="5" hidden="1" customWidth="1"/>
    <col min="13093" max="13093" width="3.77734375" style="5" customWidth="1"/>
    <col min="13094" max="13094" width="3.88671875" style="5" customWidth="1"/>
    <col min="13095" max="13095" width="4.77734375" style="5" customWidth="1"/>
    <col min="13096" max="13099" width="1.5546875" style="5" customWidth="1"/>
    <col min="13100" max="13103" width="3.5546875" style="5" customWidth="1"/>
    <col min="13104" max="13303" width="8.88671875" style="5"/>
    <col min="13304" max="13304" width="1.33203125" style="5" customWidth="1"/>
    <col min="13305" max="13305" width="6" style="5" customWidth="1"/>
    <col min="13306" max="13306" width="7.33203125" style="5" customWidth="1"/>
    <col min="13307" max="13307" width="5.5546875" style="5" customWidth="1"/>
    <col min="13308" max="13308" width="4.44140625" style="5" customWidth="1"/>
    <col min="13309" max="13310" width="0" style="5" hidden="1" customWidth="1"/>
    <col min="13311" max="13312" width="2.77734375" style="5" customWidth="1"/>
    <col min="13313" max="13322" width="2.6640625" style="5" customWidth="1"/>
    <col min="13323" max="13323" width="3.5546875" style="5" customWidth="1"/>
    <col min="13324" max="13342" width="2.6640625" style="5" customWidth="1"/>
    <col min="13343" max="13348" width="0" style="5" hidden="1" customWidth="1"/>
    <col min="13349" max="13349" width="3.77734375" style="5" customWidth="1"/>
    <col min="13350" max="13350" width="3.88671875" style="5" customWidth="1"/>
    <col min="13351" max="13351" width="4.77734375" style="5" customWidth="1"/>
    <col min="13352" max="13355" width="1.5546875" style="5" customWidth="1"/>
    <col min="13356" max="13359" width="3.5546875" style="5" customWidth="1"/>
    <col min="13360" max="13559" width="8.88671875" style="5"/>
    <col min="13560" max="13560" width="1.33203125" style="5" customWidth="1"/>
    <col min="13561" max="13561" width="6" style="5" customWidth="1"/>
    <col min="13562" max="13562" width="7.33203125" style="5" customWidth="1"/>
    <col min="13563" max="13563" width="5.5546875" style="5" customWidth="1"/>
    <col min="13564" max="13564" width="4.44140625" style="5" customWidth="1"/>
    <col min="13565" max="13566" width="0" style="5" hidden="1" customWidth="1"/>
    <col min="13567" max="13568" width="2.77734375" style="5" customWidth="1"/>
    <col min="13569" max="13578" width="2.6640625" style="5" customWidth="1"/>
    <col min="13579" max="13579" width="3.5546875" style="5" customWidth="1"/>
    <col min="13580" max="13598" width="2.6640625" style="5" customWidth="1"/>
    <col min="13599" max="13604" width="0" style="5" hidden="1" customWidth="1"/>
    <col min="13605" max="13605" width="3.77734375" style="5" customWidth="1"/>
    <col min="13606" max="13606" width="3.88671875" style="5" customWidth="1"/>
    <col min="13607" max="13607" width="4.77734375" style="5" customWidth="1"/>
    <col min="13608" max="13611" width="1.5546875" style="5" customWidth="1"/>
    <col min="13612" max="13615" width="3.5546875" style="5" customWidth="1"/>
    <col min="13616" max="13815" width="8.88671875" style="5"/>
    <col min="13816" max="13816" width="1.33203125" style="5" customWidth="1"/>
    <col min="13817" max="13817" width="6" style="5" customWidth="1"/>
    <col min="13818" max="13818" width="7.33203125" style="5" customWidth="1"/>
    <col min="13819" max="13819" width="5.5546875" style="5" customWidth="1"/>
    <col min="13820" max="13820" width="4.44140625" style="5" customWidth="1"/>
    <col min="13821" max="13822" width="0" style="5" hidden="1" customWidth="1"/>
    <col min="13823" max="13824" width="2.77734375" style="5" customWidth="1"/>
    <col min="13825" max="13834" width="2.6640625" style="5" customWidth="1"/>
    <col min="13835" max="13835" width="3.5546875" style="5" customWidth="1"/>
    <col min="13836" max="13854" width="2.6640625" style="5" customWidth="1"/>
    <col min="13855" max="13860" width="0" style="5" hidden="1" customWidth="1"/>
    <col min="13861" max="13861" width="3.77734375" style="5" customWidth="1"/>
    <col min="13862" max="13862" width="3.88671875" style="5" customWidth="1"/>
    <col min="13863" max="13863" width="4.77734375" style="5" customWidth="1"/>
    <col min="13864" max="13867" width="1.5546875" style="5" customWidth="1"/>
    <col min="13868" max="13871" width="3.5546875" style="5" customWidth="1"/>
    <col min="13872" max="14071" width="8.88671875" style="5"/>
    <col min="14072" max="14072" width="1.33203125" style="5" customWidth="1"/>
    <col min="14073" max="14073" width="6" style="5" customWidth="1"/>
    <col min="14074" max="14074" width="7.33203125" style="5" customWidth="1"/>
    <col min="14075" max="14075" width="5.5546875" style="5" customWidth="1"/>
    <col min="14076" max="14076" width="4.44140625" style="5" customWidth="1"/>
    <col min="14077" max="14078" width="0" style="5" hidden="1" customWidth="1"/>
    <col min="14079" max="14080" width="2.77734375" style="5" customWidth="1"/>
    <col min="14081" max="14090" width="2.6640625" style="5" customWidth="1"/>
    <col min="14091" max="14091" width="3.5546875" style="5" customWidth="1"/>
    <col min="14092" max="14110" width="2.6640625" style="5" customWidth="1"/>
    <col min="14111" max="14116" width="0" style="5" hidden="1" customWidth="1"/>
    <col min="14117" max="14117" width="3.77734375" style="5" customWidth="1"/>
    <col min="14118" max="14118" width="3.88671875" style="5" customWidth="1"/>
    <col min="14119" max="14119" width="4.77734375" style="5" customWidth="1"/>
    <col min="14120" max="14123" width="1.5546875" style="5" customWidth="1"/>
    <col min="14124" max="14127" width="3.5546875" style="5" customWidth="1"/>
    <col min="14128" max="14327" width="8.88671875" style="5"/>
    <col min="14328" max="14328" width="1.33203125" style="5" customWidth="1"/>
    <col min="14329" max="14329" width="6" style="5" customWidth="1"/>
    <col min="14330" max="14330" width="7.33203125" style="5" customWidth="1"/>
    <col min="14331" max="14331" width="5.5546875" style="5" customWidth="1"/>
    <col min="14332" max="14332" width="4.44140625" style="5" customWidth="1"/>
    <col min="14333" max="14334" width="0" style="5" hidden="1" customWidth="1"/>
    <col min="14335" max="14336" width="2.77734375" style="5" customWidth="1"/>
    <col min="14337" max="14346" width="2.6640625" style="5" customWidth="1"/>
    <col min="14347" max="14347" width="3.5546875" style="5" customWidth="1"/>
    <col min="14348" max="14366" width="2.6640625" style="5" customWidth="1"/>
    <col min="14367" max="14372" width="0" style="5" hidden="1" customWidth="1"/>
    <col min="14373" max="14373" width="3.77734375" style="5" customWidth="1"/>
    <col min="14374" max="14374" width="3.88671875" style="5" customWidth="1"/>
    <col min="14375" max="14375" width="4.77734375" style="5" customWidth="1"/>
    <col min="14376" max="14379" width="1.5546875" style="5" customWidth="1"/>
    <col min="14380" max="14383" width="3.5546875" style="5" customWidth="1"/>
    <col min="14384" max="14583" width="8.88671875" style="5"/>
    <col min="14584" max="14584" width="1.33203125" style="5" customWidth="1"/>
    <col min="14585" max="14585" width="6" style="5" customWidth="1"/>
    <col min="14586" max="14586" width="7.33203125" style="5" customWidth="1"/>
    <col min="14587" max="14587" width="5.5546875" style="5" customWidth="1"/>
    <col min="14588" max="14588" width="4.44140625" style="5" customWidth="1"/>
    <col min="14589" max="14590" width="0" style="5" hidden="1" customWidth="1"/>
    <col min="14591" max="14592" width="2.77734375" style="5" customWidth="1"/>
    <col min="14593" max="14602" width="2.6640625" style="5" customWidth="1"/>
    <col min="14603" max="14603" width="3.5546875" style="5" customWidth="1"/>
    <col min="14604" max="14622" width="2.6640625" style="5" customWidth="1"/>
    <col min="14623" max="14628" width="0" style="5" hidden="1" customWidth="1"/>
    <col min="14629" max="14629" width="3.77734375" style="5" customWidth="1"/>
    <col min="14630" max="14630" width="3.88671875" style="5" customWidth="1"/>
    <col min="14631" max="14631" width="4.77734375" style="5" customWidth="1"/>
    <col min="14632" max="14635" width="1.5546875" style="5" customWidth="1"/>
    <col min="14636" max="14639" width="3.5546875" style="5" customWidth="1"/>
    <col min="14640" max="14839" width="8.88671875" style="5"/>
    <col min="14840" max="14840" width="1.33203125" style="5" customWidth="1"/>
    <col min="14841" max="14841" width="6" style="5" customWidth="1"/>
    <col min="14842" max="14842" width="7.33203125" style="5" customWidth="1"/>
    <col min="14843" max="14843" width="5.5546875" style="5" customWidth="1"/>
    <col min="14844" max="14844" width="4.44140625" style="5" customWidth="1"/>
    <col min="14845" max="14846" width="0" style="5" hidden="1" customWidth="1"/>
    <col min="14847" max="14848" width="2.77734375" style="5" customWidth="1"/>
    <col min="14849" max="14858" width="2.6640625" style="5" customWidth="1"/>
    <col min="14859" max="14859" width="3.5546875" style="5" customWidth="1"/>
    <col min="14860" max="14878" width="2.6640625" style="5" customWidth="1"/>
    <col min="14879" max="14884" width="0" style="5" hidden="1" customWidth="1"/>
    <col min="14885" max="14885" width="3.77734375" style="5" customWidth="1"/>
    <col min="14886" max="14886" width="3.88671875" style="5" customWidth="1"/>
    <col min="14887" max="14887" width="4.77734375" style="5" customWidth="1"/>
    <col min="14888" max="14891" width="1.5546875" style="5" customWidth="1"/>
    <col min="14892" max="14895" width="3.5546875" style="5" customWidth="1"/>
    <col min="14896" max="15095" width="8.88671875" style="5"/>
    <col min="15096" max="15096" width="1.33203125" style="5" customWidth="1"/>
    <col min="15097" max="15097" width="6" style="5" customWidth="1"/>
    <col min="15098" max="15098" width="7.33203125" style="5" customWidth="1"/>
    <col min="15099" max="15099" width="5.5546875" style="5" customWidth="1"/>
    <col min="15100" max="15100" width="4.44140625" style="5" customWidth="1"/>
    <col min="15101" max="15102" width="0" style="5" hidden="1" customWidth="1"/>
    <col min="15103" max="15104" width="2.77734375" style="5" customWidth="1"/>
    <col min="15105" max="15114" width="2.6640625" style="5" customWidth="1"/>
    <col min="15115" max="15115" width="3.5546875" style="5" customWidth="1"/>
    <col min="15116" max="15134" width="2.6640625" style="5" customWidth="1"/>
    <col min="15135" max="15140" width="0" style="5" hidden="1" customWidth="1"/>
    <col min="15141" max="15141" width="3.77734375" style="5" customWidth="1"/>
    <col min="15142" max="15142" width="3.88671875" style="5" customWidth="1"/>
    <col min="15143" max="15143" width="4.77734375" style="5" customWidth="1"/>
    <col min="15144" max="15147" width="1.5546875" style="5" customWidth="1"/>
    <col min="15148" max="15151" width="3.5546875" style="5" customWidth="1"/>
    <col min="15152" max="15351" width="8.88671875" style="5"/>
    <col min="15352" max="15352" width="1.33203125" style="5" customWidth="1"/>
    <col min="15353" max="15353" width="6" style="5" customWidth="1"/>
    <col min="15354" max="15354" width="7.33203125" style="5" customWidth="1"/>
    <col min="15355" max="15355" width="5.5546875" style="5" customWidth="1"/>
    <col min="15356" max="15356" width="4.44140625" style="5" customWidth="1"/>
    <col min="15357" max="15358" width="0" style="5" hidden="1" customWidth="1"/>
    <col min="15359" max="15360" width="2.77734375" style="5" customWidth="1"/>
    <col min="15361" max="15370" width="2.6640625" style="5" customWidth="1"/>
    <col min="15371" max="15371" width="3.5546875" style="5" customWidth="1"/>
    <col min="15372" max="15390" width="2.6640625" style="5" customWidth="1"/>
    <col min="15391" max="15396" width="0" style="5" hidden="1" customWidth="1"/>
    <col min="15397" max="15397" width="3.77734375" style="5" customWidth="1"/>
    <col min="15398" max="15398" width="3.88671875" style="5" customWidth="1"/>
    <col min="15399" max="15399" width="4.77734375" style="5" customWidth="1"/>
    <col min="15400" max="15403" width="1.5546875" style="5" customWidth="1"/>
    <col min="15404" max="15407" width="3.5546875" style="5" customWidth="1"/>
    <col min="15408" max="15607" width="8.88671875" style="5"/>
    <col min="15608" max="15608" width="1.33203125" style="5" customWidth="1"/>
    <col min="15609" max="15609" width="6" style="5" customWidth="1"/>
    <col min="15610" max="15610" width="7.33203125" style="5" customWidth="1"/>
    <col min="15611" max="15611" width="5.5546875" style="5" customWidth="1"/>
    <col min="15612" max="15612" width="4.44140625" style="5" customWidth="1"/>
    <col min="15613" max="15614" width="0" style="5" hidden="1" customWidth="1"/>
    <col min="15615" max="15616" width="2.77734375" style="5" customWidth="1"/>
    <col min="15617" max="15626" width="2.6640625" style="5" customWidth="1"/>
    <col min="15627" max="15627" width="3.5546875" style="5" customWidth="1"/>
    <col min="15628" max="15646" width="2.6640625" style="5" customWidth="1"/>
    <col min="15647" max="15652" width="0" style="5" hidden="1" customWidth="1"/>
    <col min="15653" max="15653" width="3.77734375" style="5" customWidth="1"/>
    <col min="15654" max="15654" width="3.88671875" style="5" customWidth="1"/>
    <col min="15655" max="15655" width="4.77734375" style="5" customWidth="1"/>
    <col min="15656" max="15659" width="1.5546875" style="5" customWidth="1"/>
    <col min="15660" max="15663" width="3.5546875" style="5" customWidth="1"/>
    <col min="15664" max="15863" width="8.88671875" style="5"/>
    <col min="15864" max="15864" width="1.33203125" style="5" customWidth="1"/>
    <col min="15865" max="15865" width="6" style="5" customWidth="1"/>
    <col min="15866" max="15866" width="7.33203125" style="5" customWidth="1"/>
    <col min="15867" max="15867" width="5.5546875" style="5" customWidth="1"/>
    <col min="15868" max="15868" width="4.44140625" style="5" customWidth="1"/>
    <col min="15869" max="15870" width="0" style="5" hidden="1" customWidth="1"/>
    <col min="15871" max="15872" width="2.77734375" style="5" customWidth="1"/>
    <col min="15873" max="15882" width="2.6640625" style="5" customWidth="1"/>
    <col min="15883" max="15883" width="3.5546875" style="5" customWidth="1"/>
    <col min="15884" max="15902" width="2.6640625" style="5" customWidth="1"/>
    <col min="15903" max="15908" width="0" style="5" hidden="1" customWidth="1"/>
    <col min="15909" max="15909" width="3.77734375" style="5" customWidth="1"/>
    <col min="15910" max="15910" width="3.88671875" style="5" customWidth="1"/>
    <col min="15911" max="15911" width="4.77734375" style="5" customWidth="1"/>
    <col min="15912" max="15915" width="1.5546875" style="5" customWidth="1"/>
    <col min="15916" max="15919" width="3.5546875" style="5" customWidth="1"/>
    <col min="15920" max="16119" width="8.88671875" style="5"/>
    <col min="16120" max="16120" width="1.33203125" style="5" customWidth="1"/>
    <col min="16121" max="16121" width="6" style="5" customWidth="1"/>
    <col min="16122" max="16122" width="7.33203125" style="5" customWidth="1"/>
    <col min="16123" max="16123" width="5.5546875" style="5" customWidth="1"/>
    <col min="16124" max="16124" width="4.44140625" style="5" customWidth="1"/>
    <col min="16125" max="16126" width="0" style="5" hidden="1" customWidth="1"/>
    <col min="16127" max="16128" width="2.77734375" style="5" customWidth="1"/>
    <col min="16129" max="16138" width="2.6640625" style="5" customWidth="1"/>
    <col min="16139" max="16139" width="3.5546875" style="5" customWidth="1"/>
    <col min="16140" max="16158" width="2.6640625" style="5" customWidth="1"/>
    <col min="16159" max="16164" width="0" style="5" hidden="1" customWidth="1"/>
    <col min="16165" max="16165" width="3.77734375" style="5" customWidth="1"/>
    <col min="16166" max="16166" width="3.88671875" style="5" customWidth="1"/>
    <col min="16167" max="16167" width="4.77734375" style="5" customWidth="1"/>
    <col min="16168" max="16171" width="1.5546875" style="5" customWidth="1"/>
    <col min="16172" max="16175" width="3.5546875" style="5" customWidth="1"/>
    <col min="16176" max="16384" width="8.88671875" style="5"/>
  </cols>
  <sheetData>
    <row r="1" spans="1:51" s="1" customFormat="1" ht="6.75" customHeight="1" x14ac:dyDescent="0.15"/>
    <row r="2" spans="1:51" s="1" customFormat="1" ht="18" customHeight="1" x14ac:dyDescent="0.15">
      <c r="B2" s="139" t="s">
        <v>41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39"/>
      <c r="AS2" s="139"/>
      <c r="AT2" s="139"/>
      <c r="AU2" s="139"/>
      <c r="AV2" s="17"/>
    </row>
    <row r="3" spans="1:51" s="1" customFormat="1" ht="18" customHeight="1" x14ac:dyDescent="0.15"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M3" s="139"/>
      <c r="AN3" s="139"/>
      <c r="AO3" s="139"/>
      <c r="AP3" s="139"/>
      <c r="AQ3" s="139"/>
      <c r="AR3" s="139"/>
      <c r="AS3" s="139"/>
      <c r="AT3" s="139"/>
      <c r="AU3" s="139"/>
      <c r="AV3" s="17"/>
    </row>
    <row r="4" spans="1:51" s="19" customFormat="1" ht="18" customHeight="1" x14ac:dyDescent="0.15">
      <c r="B4" s="136" t="s">
        <v>46</v>
      </c>
      <c r="C4" s="109"/>
      <c r="D4" s="19" t="s">
        <v>1</v>
      </c>
      <c r="E4" s="19"/>
    </row>
    <row r="5" spans="1:51" s="22" customFormat="1" ht="18" customHeight="1" x14ac:dyDescent="0.15">
      <c r="B5" s="109" t="s">
        <v>45</v>
      </c>
      <c r="C5" s="109"/>
      <c r="D5" s="23" t="s">
        <v>1</v>
      </c>
      <c r="E5" s="24"/>
      <c r="F5" s="24"/>
      <c r="Y5" s="4"/>
      <c r="Z5" s="4"/>
      <c r="AN5" s="4"/>
      <c r="AO5" s="4"/>
      <c r="AQ5" s="4"/>
      <c r="AR5" s="4"/>
      <c r="AT5" s="4"/>
      <c r="AU5" s="4"/>
      <c r="AV5" s="4"/>
    </row>
    <row r="6" spans="1:51" ht="10.5" customHeight="1" x14ac:dyDescent="0.15">
      <c r="A6" s="5" t="s">
        <v>3</v>
      </c>
      <c r="B6" s="3"/>
      <c r="C6" s="3"/>
      <c r="D6" s="3"/>
      <c r="E6" s="3"/>
      <c r="F6" s="3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51" ht="10.5" customHeight="1" x14ac:dyDescent="0.15">
      <c r="B7" s="3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51" ht="9.75" customHeight="1" x14ac:dyDescent="0.15">
      <c r="B8" s="3"/>
      <c r="C8" s="140" t="s">
        <v>48</v>
      </c>
      <c r="D8" s="141"/>
      <c r="E8" s="141"/>
      <c r="F8" s="141"/>
      <c r="G8" s="141"/>
      <c r="H8" s="149" t="s">
        <v>25</v>
      </c>
      <c r="I8" s="142"/>
      <c r="J8" s="154"/>
      <c r="K8" s="154"/>
      <c r="L8" s="154"/>
      <c r="M8" s="154"/>
      <c r="N8" s="154"/>
      <c r="O8" s="154"/>
      <c r="P8" s="154"/>
      <c r="Q8" s="154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  <c r="AG8" s="154"/>
      <c r="AH8" s="154"/>
      <c r="AI8" s="154"/>
      <c r="AJ8" s="154"/>
      <c r="AK8" s="154"/>
      <c r="AL8" s="154"/>
      <c r="AM8" s="154"/>
      <c r="AN8" s="154"/>
      <c r="AO8" s="154"/>
      <c r="AP8" s="154"/>
      <c r="AQ8" s="154"/>
      <c r="AR8" s="154"/>
      <c r="AS8" s="154"/>
      <c r="AT8" s="154" t="s">
        <v>7</v>
      </c>
      <c r="AU8" s="154"/>
      <c r="AV8"/>
      <c r="AX8" s="29"/>
    </row>
    <row r="9" spans="1:51" ht="9.75" customHeight="1" x14ac:dyDescent="0.15">
      <c r="B9" s="3"/>
      <c r="C9" s="141"/>
      <c r="D9" s="141"/>
      <c r="E9" s="141"/>
      <c r="F9" s="141"/>
      <c r="G9" s="141"/>
      <c r="H9" s="142"/>
      <c r="I9" s="142"/>
      <c r="J9" s="155"/>
      <c r="K9" s="155"/>
      <c r="L9" s="155"/>
      <c r="M9" s="155"/>
      <c r="N9" s="155"/>
      <c r="O9" s="155"/>
      <c r="P9" s="155"/>
      <c r="Q9" s="155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5"/>
      <c r="AI9" s="155"/>
      <c r="AJ9" s="155"/>
      <c r="AK9" s="155"/>
      <c r="AL9" s="155"/>
      <c r="AM9" s="155"/>
      <c r="AN9" s="155"/>
      <c r="AO9" s="155"/>
      <c r="AP9" s="155"/>
      <c r="AQ9" s="155"/>
      <c r="AR9" s="155"/>
      <c r="AS9" s="155"/>
      <c r="AT9" s="156"/>
      <c r="AU9" s="156"/>
      <c r="AV9"/>
      <c r="AX9" s="29"/>
      <c r="AY9" s="5">
        <f>IFERROR(AX9/AX8,"")</f>
      </c>
    </row>
    <row r="10" spans="1:51" ht="9.75" customHeight="1" x14ac:dyDescent="0.15">
      <c r="B10" s="7"/>
      <c r="C10" s="141"/>
      <c r="D10" s="141"/>
      <c r="E10" s="141"/>
      <c r="F10" s="141"/>
      <c r="G10" s="141"/>
      <c r="H10" s="142"/>
      <c r="I10" s="142"/>
      <c r="J10" s="152"/>
      <c r="K10" s="152"/>
      <c r="L10" s="152"/>
      <c r="M10" s="152" t="str">
        <f>IFERROR('공정표(총괄분)'!M11,"")</f>
        <v>60일</v>
      </c>
      <c r="N10" s="152"/>
      <c r="O10" s="152"/>
      <c r="P10" s="152" t="str">
        <f>IFERROR('공정표(총괄분)'!P11,"")</f>
        <v>90일</v>
      </c>
      <c r="Q10" s="152"/>
      <c r="R10" s="152"/>
      <c r="S10" s="152" t="str">
        <f>IFERROR('공정표(총괄분)'!S11,"")</f>
        <v>120일</v>
      </c>
      <c r="T10" s="152"/>
      <c r="U10" s="152"/>
      <c r="V10" s="152" t="str">
        <f>IFERROR('공정표(총괄분)'!V11,"")</f>
        <v>150일</v>
      </c>
      <c r="W10" s="152"/>
      <c r="X10" s="152"/>
      <c r="Y10" s="152" t="str">
        <f>IFERROR('공정표(총괄분)'!Y11,"")</f>
        <v>180일</v>
      </c>
      <c r="Z10" s="152"/>
      <c r="AA10" s="152"/>
      <c r="AB10" s="152" t="str">
        <f>IFERROR('공정표(총괄분)'!AB11,"")</f>
        <v>210일</v>
      </c>
      <c r="AC10" s="152"/>
      <c r="AD10" s="152"/>
      <c r="AE10" s="152" t="str">
        <f>IFERROR('공정표(총괄분)'!AE11,"")</f>
        <v>240일</v>
      </c>
      <c r="AF10" s="152"/>
      <c r="AG10" s="152"/>
      <c r="AH10" s="152" t="str">
        <f>IFERROR('공정표(총괄분)'!AH11,"")</f>
        <v>270일</v>
      </c>
      <c r="AI10" s="152"/>
      <c r="AJ10" s="152"/>
      <c r="AK10" s="152" t="str">
        <f>IFERROR('공정표(총괄분)'!AK11,"")</f>
        <v>300일</v>
      </c>
      <c r="AL10" s="152"/>
      <c r="AM10" s="152"/>
      <c r="AN10" s="152"/>
      <c r="AO10" s="152"/>
      <c r="AP10" s="152"/>
      <c r="AQ10" s="152"/>
      <c r="AR10" s="152"/>
      <c r="AS10" s="152"/>
      <c r="AT10" s="156"/>
      <c r="AU10" s="156"/>
      <c r="AV10"/>
    </row>
    <row r="11" spans="1:51" ht="9.75" customHeight="1" x14ac:dyDescent="0.15">
      <c r="B11" s="7"/>
      <c r="C11" s="141"/>
      <c r="D11" s="141"/>
      <c r="E11" s="141"/>
      <c r="F11" s="141"/>
      <c r="G11" s="141"/>
      <c r="H11" s="142"/>
      <c r="I11" s="142"/>
      <c r="J11" s="153"/>
      <c r="K11" s="153"/>
      <c r="L11" s="153"/>
      <c r="M11" s="153"/>
      <c r="N11" s="153"/>
      <c r="O11" s="153"/>
      <c r="P11" s="153"/>
      <c r="Q11" s="153"/>
      <c r="R11" s="153"/>
      <c r="S11" s="153"/>
      <c r="T11" s="153"/>
      <c r="U11" s="153"/>
      <c r="V11" s="153"/>
      <c r="W11" s="153"/>
      <c r="X11" s="153"/>
      <c r="Y11" s="153"/>
      <c r="Z11" s="153"/>
      <c r="AA11" s="153"/>
      <c r="AB11" s="153"/>
      <c r="AC11" s="153"/>
      <c r="AD11" s="153"/>
      <c r="AE11" s="153"/>
      <c r="AF11" s="153"/>
      <c r="AG11" s="153"/>
      <c r="AH11" s="153"/>
      <c r="AI11" s="153"/>
      <c r="AJ11" s="153"/>
      <c r="AK11" s="153"/>
      <c r="AL11" s="153"/>
      <c r="AM11" s="153"/>
      <c r="AN11" s="153"/>
      <c r="AO11" s="153"/>
      <c r="AP11" s="153"/>
      <c r="AQ11" s="153"/>
      <c r="AR11" s="153"/>
      <c r="AS11" s="153"/>
      <c r="AT11" s="155"/>
      <c r="AU11" s="155"/>
      <c r="AV11"/>
    </row>
    <row r="12" spans="1:51" ht="11.25" customHeight="1" x14ac:dyDescent="0.15">
      <c r="B12" s="7"/>
      <c r="C12" s="150" t="s">
        <v>31</v>
      </c>
      <c r="D12" s="150"/>
      <c r="E12" s="150"/>
      <c r="F12" s="150"/>
      <c r="G12" s="150"/>
      <c r="H12" s="52">
        <f>IFERROR(SUM(J12:AS13),"")</f>
      </c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/>
    </row>
    <row r="13" spans="1:51" ht="11.25" customHeight="1" x14ac:dyDescent="0.15">
      <c r="B13" s="7"/>
      <c r="C13" s="151"/>
      <c r="D13" s="151"/>
      <c r="E13" s="151"/>
      <c r="F13" s="151"/>
      <c r="G13" s="151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  <c r="AU13" s="53"/>
      <c r="AV13"/>
    </row>
    <row r="14" spans="1:51" s="25" customFormat="1" ht="11.25" customHeight="1" x14ac:dyDescent="0.15">
      <c r="B14" s="26"/>
      <c r="C14" s="137" t="s">
        <v>31</v>
      </c>
      <c r="D14" s="137"/>
      <c r="E14" s="137"/>
      <c r="F14" s="137"/>
      <c r="G14" s="137"/>
      <c r="H14" s="38">
        <f>IFERROR(SUM(J14:AS15),"")</f>
      </c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27"/>
      <c r="AW14" s="32">
        <f>IFERROR(H12*$AY$9,"")</f>
      </c>
    </row>
    <row r="15" spans="1:51" s="25" customFormat="1" ht="11.25" customHeight="1" x14ac:dyDescent="0.15">
      <c r="B15" s="26"/>
      <c r="C15" s="138"/>
      <c r="D15" s="138"/>
      <c r="E15" s="138"/>
      <c r="F15" s="138"/>
      <c r="G15" s="138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27"/>
    </row>
    <row r="16" spans="1:51" ht="11.25" customHeight="1" x14ac:dyDescent="0.15">
      <c r="B16" s="7"/>
      <c r="C16" s="150" t="s">
        <v>32</v>
      </c>
      <c r="D16" s="150"/>
      <c r="E16" s="150"/>
      <c r="F16" s="150"/>
      <c r="G16" s="150"/>
      <c r="H16" s="52">
        <f>IFERROR(SUM(J16:AM17),"")</f>
      </c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/>
    </row>
    <row r="17" spans="2:49" ht="11.25" customHeight="1" x14ac:dyDescent="0.15">
      <c r="B17" s="7"/>
      <c r="C17" s="151"/>
      <c r="D17" s="151"/>
      <c r="E17" s="151"/>
      <c r="F17" s="151"/>
      <c r="G17" s="151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/>
    </row>
    <row r="18" spans="2:49" s="25" customFormat="1" ht="11.25" customHeight="1" x14ac:dyDescent="0.15">
      <c r="B18" s="26"/>
      <c r="C18" s="137" t="s">
        <v>32</v>
      </c>
      <c r="D18" s="137"/>
      <c r="E18" s="137"/>
      <c r="F18" s="137"/>
      <c r="G18" s="137"/>
      <c r="H18" s="38">
        <f>IFERROR(SUM(J18:AM19),"")</f>
      </c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27"/>
      <c r="AW18" s="32">
        <f>IFERROR(H16*$AY$9,"")</f>
      </c>
    </row>
    <row r="19" spans="2:49" s="25" customFormat="1" ht="11.25" customHeight="1" x14ac:dyDescent="0.15">
      <c r="B19" s="26"/>
      <c r="C19" s="138"/>
      <c r="D19" s="138"/>
      <c r="E19" s="138"/>
      <c r="F19" s="138"/>
      <c r="G19" s="138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27"/>
    </row>
    <row r="20" spans="2:49" ht="11.25" customHeight="1" x14ac:dyDescent="0.15">
      <c r="B20" s="7"/>
      <c r="C20" s="150"/>
      <c r="D20" s="150"/>
      <c r="E20" s="150"/>
      <c r="F20" s="150"/>
      <c r="G20" s="150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/>
    </row>
    <row r="21" spans="2:49" ht="11.25" customHeight="1" x14ac:dyDescent="0.15">
      <c r="B21" s="7"/>
      <c r="C21" s="151"/>
      <c r="D21" s="151"/>
      <c r="E21" s="151"/>
      <c r="F21" s="151"/>
      <c r="G21" s="151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  <c r="AU21" s="53"/>
      <c r="AV21"/>
    </row>
    <row r="22" spans="2:49" s="25" customFormat="1" ht="11.25" customHeight="1" x14ac:dyDescent="0.15">
      <c r="B22" s="26"/>
      <c r="C22" s="137"/>
      <c r="D22" s="137"/>
      <c r="E22" s="137"/>
      <c r="F22" s="137"/>
      <c r="G22" s="137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27"/>
      <c r="AW22" s="32"/>
    </row>
    <row r="23" spans="2:49" s="25" customFormat="1" ht="11.25" customHeight="1" x14ac:dyDescent="0.15">
      <c r="B23" s="26"/>
      <c r="C23" s="138"/>
      <c r="D23" s="138"/>
      <c r="E23" s="138"/>
      <c r="F23" s="138"/>
      <c r="G23" s="138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27"/>
    </row>
    <row r="24" spans="2:49" ht="11.25" customHeight="1" x14ac:dyDescent="0.15">
      <c r="B24" s="7"/>
      <c r="C24" s="52" t="s">
        <v>25</v>
      </c>
      <c r="D24" s="52"/>
      <c r="E24" s="52"/>
      <c r="F24" s="52"/>
      <c r="G24" s="52"/>
      <c r="H24" s="52">
        <f>IFERROR(H12+H16,"")</f>
      </c>
      <c r="I24" s="52"/>
      <c r="J24" s="52">
        <f t="shared" ref="J24" si="0">IFERROR(J12+J16,"")</f>
      </c>
      <c r="K24" s="52"/>
      <c r="L24" s="52">
        <f t="shared" ref="L24:M24" si="1">IFERROR(L12+L16,"")</f>
      </c>
      <c r="M24" s="52">
        <f t="shared" si="1"/>
      </c>
      <c r="N24" s="52"/>
      <c r="O24" s="52">
        <f t="shared" ref="O24" si="2">IFERROR(O12+O16,"")</f>
      </c>
      <c r="P24" s="52">
        <f t="shared" ref="P24" si="3">IFERROR(P12+P16,"")</f>
      </c>
      <c r="Q24" s="52"/>
      <c r="R24" s="52">
        <f t="shared" ref="R24:S24" si="4">IFERROR(R12+R16,"")</f>
      </c>
      <c r="S24" s="52">
        <f t="shared" si="4"/>
      </c>
      <c r="T24" s="52"/>
      <c r="U24" s="52">
        <f t="shared" ref="U24" si="5">IFERROR(U12+U16,"")</f>
      </c>
      <c r="V24" s="52">
        <f t="shared" ref="V24" si="6">IFERROR(V12+V16,"")</f>
      </c>
      <c r="W24" s="52"/>
      <c r="X24" s="52">
        <f t="shared" ref="X24:Y24" si="7">IFERROR(X12+X16,"")</f>
      </c>
      <c r="Y24" s="52">
        <f t="shared" si="7"/>
      </c>
      <c r="Z24" s="52"/>
      <c r="AA24" s="52">
        <f t="shared" ref="AA24" si="8">IFERROR(AA12+AA16,"")</f>
      </c>
      <c r="AB24" s="52">
        <f t="shared" ref="AB24" si="9">IFERROR(AB12+AB16,"")</f>
      </c>
      <c r="AC24" s="52"/>
      <c r="AD24" s="52">
        <f t="shared" ref="AD24:AE24" si="10">IFERROR(AD12+AD16,"")</f>
      </c>
      <c r="AE24" s="52">
        <f t="shared" si="10"/>
      </c>
      <c r="AF24" s="52"/>
      <c r="AG24" s="52">
        <f t="shared" ref="AG24" si="11">IFERROR(AG12+AG16,"")</f>
      </c>
      <c r="AH24" s="52">
        <f t="shared" ref="AH24" si="12">IFERROR(AH12+AH16,"")</f>
      </c>
      <c r="AI24" s="52"/>
      <c r="AJ24" s="52">
        <f t="shared" ref="AJ24:AK24" si="13">IFERROR(AJ12+AJ16,"")</f>
      </c>
      <c r="AK24" s="52">
        <f t="shared" si="13"/>
      </c>
      <c r="AL24" s="52"/>
      <c r="AM24" s="52">
        <f>IFERROR(AM12+AM16,"")</f>
      </c>
      <c r="AN24" s="52"/>
      <c r="AO24" s="52"/>
      <c r="AP24" s="52"/>
      <c r="AQ24" s="52"/>
      <c r="AR24" s="52"/>
      <c r="AS24" s="52"/>
      <c r="AT24" s="52"/>
      <c r="AU24" s="52"/>
      <c r="AV24"/>
    </row>
    <row r="25" spans="2:49" ht="11.25" customHeight="1" x14ac:dyDescent="0.15">
      <c r="B25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/>
    </row>
    <row r="26" spans="2:49" s="25" customFormat="1" ht="11.25" customHeight="1" x14ac:dyDescent="0.15">
      <c r="B26" s="26"/>
      <c r="C26" s="38" t="s">
        <v>25</v>
      </c>
      <c r="D26" s="38"/>
      <c r="E26" s="38"/>
      <c r="F26" s="38"/>
      <c r="G26" s="38"/>
      <c r="H26" s="38">
        <f>IFERROR(H14+H18,"")</f>
      </c>
      <c r="I26" s="38"/>
      <c r="J26" s="38">
        <f t="shared" ref="J26" si="14">IFERROR(J14+J18,"")</f>
      </c>
      <c r="K26" s="38"/>
      <c r="L26" s="38">
        <f t="shared" ref="L26:M26" si="15">IFERROR(L14+L18,"")</f>
      </c>
      <c r="M26" s="38">
        <f t="shared" si="15"/>
      </c>
      <c r="N26" s="38"/>
      <c r="O26" s="38">
        <f t="shared" ref="O26:P26" si="16">IFERROR(O14+O18,"")</f>
      </c>
      <c r="P26" s="38">
        <f t="shared" si="16"/>
      </c>
      <c r="Q26" s="38"/>
      <c r="R26" s="38">
        <f t="shared" ref="R26:S26" si="17">IFERROR(R14+R18,"")</f>
      </c>
      <c r="S26" s="38">
        <f t="shared" si="17"/>
      </c>
      <c r="T26" s="38"/>
      <c r="U26" s="38">
        <f t="shared" ref="U26:V26" si="18">IFERROR(U14+U18,"")</f>
      </c>
      <c r="V26" s="38">
        <f t="shared" si="18"/>
      </c>
      <c r="W26" s="38"/>
      <c r="X26" s="38">
        <f t="shared" ref="X26:Y26" si="19">IFERROR(X14+X18,"")</f>
      </c>
      <c r="Y26" s="38">
        <f t="shared" si="19"/>
      </c>
      <c r="Z26" s="38"/>
      <c r="AA26" s="38">
        <f t="shared" ref="AA26:AB26" si="20">IFERROR(AA14+AA18,"")</f>
      </c>
      <c r="AB26" s="38">
        <f t="shared" si="20"/>
      </c>
      <c r="AC26" s="38"/>
      <c r="AD26" s="38">
        <f t="shared" ref="AD26:AE26" si="21">IFERROR(AD14+AD18,"")</f>
      </c>
      <c r="AE26" s="38">
        <f t="shared" si="21"/>
      </c>
      <c r="AF26" s="38"/>
      <c r="AG26" s="38">
        <f t="shared" ref="AG26:AH26" si="22">IFERROR(AG14+AG18,"")</f>
      </c>
      <c r="AH26" s="38">
        <f t="shared" si="22"/>
      </c>
      <c r="AI26" s="38"/>
      <c r="AJ26" s="38">
        <f t="shared" ref="AJ26:AK26" si="23">IFERROR(AJ14+AJ18,"")</f>
      </c>
      <c r="AK26" s="38">
        <f t="shared" si="23"/>
      </c>
      <c r="AL26" s="38"/>
      <c r="AM26" s="38">
        <f>IFERROR(AM14+AM18,"")</f>
      </c>
      <c r="AN26" s="38"/>
      <c r="AO26" s="38"/>
      <c r="AP26" s="38"/>
      <c r="AQ26" s="38"/>
      <c r="AR26" s="38"/>
      <c r="AS26" s="38"/>
      <c r="AT26" s="38"/>
      <c r="AU26" s="38"/>
      <c r="AV26" s="27"/>
    </row>
    <row r="27" spans="2:49" s="25" customFormat="1" ht="11.25" customHeight="1" x14ac:dyDescent="0.15">
      <c r="B27" s="27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27"/>
    </row>
    <row r="28" spans="2:49" ht="11.25" customHeight="1" x14ac:dyDescent="0.15">
      <c r="B28"/>
      <c r="C28" s="52" t="s">
        <v>33</v>
      </c>
      <c r="D28" s="52"/>
      <c r="E28" s="52"/>
      <c r="F28" s="52"/>
      <c r="G28" s="52"/>
      <c r="H28" s="52"/>
      <c r="I28" s="52"/>
      <c r="J28" s="52">
        <f>IFERROR(J24,"")</f>
      </c>
      <c r="K28" s="52"/>
      <c r="L28" s="52"/>
      <c r="M28" s="52">
        <f>IFERROR(J28+M24,"")</f>
      </c>
      <c r="N28" s="52"/>
      <c r="O28" s="52"/>
      <c r="P28" s="52">
        <f>IFERROR(M28+P24,"")</f>
      </c>
      <c r="Q28" s="52"/>
      <c r="R28" s="52"/>
      <c r="S28" s="52">
        <f>IFERROR(P28+S24,"")</f>
      </c>
      <c r="T28" s="52"/>
      <c r="U28" s="52"/>
      <c r="V28" s="52">
        <f>IFERROR(S28+V24,"")</f>
      </c>
      <c r="W28" s="52"/>
      <c r="X28" s="52"/>
      <c r="Y28" s="52">
        <f>IFERROR(V28+Y24,"")</f>
      </c>
      <c r="Z28" s="52"/>
      <c r="AA28" s="52"/>
      <c r="AB28" s="52">
        <f>IFERROR(Y28+AB24,"")</f>
      </c>
      <c r="AC28" s="52"/>
      <c r="AD28" s="52"/>
      <c r="AE28" s="52">
        <f>IFERROR(AB28+AE24,"")</f>
      </c>
      <c r="AF28" s="52"/>
      <c r="AG28" s="52"/>
      <c r="AH28" s="52">
        <f>IFERROR(AE28+AH24,"")</f>
      </c>
      <c r="AI28" s="52"/>
      <c r="AJ28" s="52"/>
      <c r="AK28" s="52">
        <f>IFERROR(AH28+AK24,"")</f>
      </c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/>
    </row>
    <row r="29" spans="2:49" ht="11.25" customHeight="1" x14ac:dyDescent="0.15">
      <c r="B29" s="7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/>
    </row>
    <row r="30" spans="2:49" s="25" customFormat="1" ht="11.25" customHeight="1" x14ac:dyDescent="0.15">
      <c r="B30" s="27"/>
      <c r="C30" s="38" t="s">
        <v>33</v>
      </c>
      <c r="D30" s="38"/>
      <c r="E30" s="38"/>
      <c r="F30" s="38"/>
      <c r="G30" s="38"/>
      <c r="H30" s="38"/>
      <c r="I30" s="38"/>
      <c r="J30" s="38">
        <f>IFERROR(J26,"")</f>
      </c>
      <c r="K30" s="38"/>
      <c r="L30" s="38"/>
      <c r="M30" s="38">
        <f>IFERROR(J30+M26,"")</f>
      </c>
      <c r="N30" s="38"/>
      <c r="O30" s="38"/>
      <c r="P30" s="38">
        <f>IFERROR(M30+P26,"")</f>
      </c>
      <c r="Q30" s="38"/>
      <c r="R30" s="38"/>
      <c r="S30" s="38">
        <f>IFERROR(P30+S26,"")</f>
      </c>
      <c r="T30" s="38"/>
      <c r="U30" s="38"/>
      <c r="V30" s="38">
        <f>IFERROR(S30+V26,"")</f>
      </c>
      <c r="W30" s="38"/>
      <c r="X30" s="38"/>
      <c r="Y30" s="38">
        <f>IFERROR(V30+Y26,"")</f>
      </c>
      <c r="Z30" s="38"/>
      <c r="AA30" s="38"/>
      <c r="AB30" s="38">
        <f>IFERROR(Y30+AB26,"")</f>
      </c>
      <c r="AC30" s="38"/>
      <c r="AD30" s="38"/>
      <c r="AE30" s="38">
        <f>IFERROR(AB30+AE26,"")</f>
      </c>
      <c r="AF30" s="38"/>
      <c r="AG30" s="38"/>
      <c r="AH30" s="38">
        <f>IFERROR(AE30+AH26,"")</f>
      </c>
      <c r="AI30" s="38"/>
      <c r="AJ30" s="38"/>
      <c r="AK30" s="38">
        <f>IFERROR(AH30+AK26,"")</f>
      </c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27"/>
    </row>
    <row r="31" spans="2:49" s="25" customFormat="1" ht="11.25" customHeight="1" x14ac:dyDescent="0.15">
      <c r="B31" s="26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27"/>
    </row>
    <row r="32" spans="2:49" ht="13.5" customHeight="1" x14ac:dyDescent="0.15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 ht="12" customHeight="1" x14ac:dyDescent="0.15">
      <c r="B33" s="9"/>
      <c r="C33" s="1"/>
      <c r="D33" s="1"/>
      <c r="E33" s="6"/>
      <c r="F33" s="6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</row>
    <row r="34" spans="1:48" ht="25.5" customHeight="1" x14ac:dyDescent="0.15">
      <c r="E34" s="1"/>
      <c r="F34" s="9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2"/>
      <c r="T34" s="1"/>
      <c r="U34" s="1"/>
      <c r="V34" s="12"/>
      <c r="W34" s="1"/>
      <c r="X34" s="1"/>
      <c r="Y34" s="1"/>
      <c r="Z34" s="1"/>
      <c r="AA34" s="6" t="s">
        <v>27</v>
      </c>
      <c r="AB34" s="6"/>
      <c r="AC34" s="6"/>
      <c r="AD34" s="6"/>
      <c r="AE34" s="12"/>
      <c r="AF34" s="12"/>
      <c r="AG34" s="12"/>
      <c r="AH34" s="12"/>
      <c r="AI34" s="1"/>
      <c r="AJ34" s="1"/>
      <c r="AK34" s="12"/>
      <c r="AL34" s="1"/>
      <c r="AM34" s="1"/>
      <c r="AN34" s="1"/>
      <c r="AO34" s="1"/>
      <c r="AP34" s="12"/>
      <c r="AQ34" s="1"/>
      <c r="AR34" s="1"/>
      <c r="AS34" s="12"/>
      <c r="AT34" s="1"/>
      <c r="AU34" s="1"/>
      <c r="AV34" s="1"/>
    </row>
    <row r="35" spans="1:48" ht="25.5" customHeight="1" x14ac:dyDescent="0.15">
      <c r="R35" s="1"/>
      <c r="S35" s="1"/>
      <c r="T35" s="1"/>
      <c r="U35" s="1"/>
      <c r="V35" s="1"/>
      <c r="W35" s="1"/>
      <c r="X35" s="1"/>
      <c r="Y35" s="1"/>
      <c r="Z35" s="1"/>
      <c r="AA35" s="6" t="s">
        <v>28</v>
      </c>
      <c r="AB35" s="6"/>
      <c r="AC35" s="6"/>
      <c r="AD35" s="6"/>
      <c r="AE35" s="12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ht="25.5" customHeight="1" x14ac:dyDescent="0.25">
      <c r="C36" s="13"/>
      <c r="R36" s="1"/>
      <c r="S36" s="12"/>
      <c r="T36" s="1"/>
      <c r="U36" s="1"/>
      <c r="V36" s="12"/>
      <c r="W36" s="1"/>
      <c r="X36" s="1"/>
      <c r="Y36" s="1"/>
      <c r="Z36" s="1"/>
      <c r="AA36" s="6" t="s">
        <v>29</v>
      </c>
      <c r="AB36" s="6"/>
      <c r="AC36" s="6"/>
      <c r="AD36" s="6"/>
      <c r="AE36" s="12"/>
      <c r="AF36" s="12"/>
      <c r="AG36" s="12"/>
      <c r="AH36" s="12"/>
      <c r="AI36" s="1"/>
      <c r="AJ36" s="1"/>
      <c r="AK36" s="12"/>
      <c r="AL36" s="1"/>
      <c r="AM36" s="1"/>
      <c r="AN36" s="1"/>
      <c r="AO36" s="1"/>
      <c r="AP36" s="12"/>
      <c r="AQ36" s="1"/>
      <c r="AR36" s="1"/>
      <c r="AS36" s="12"/>
      <c r="AT36" s="1"/>
      <c r="AU36" s="1"/>
      <c r="AV36" s="1"/>
    </row>
    <row r="37" spans="1:48" ht="27.75" customHeight="1" x14ac:dyDescent="0.25">
      <c r="C37" s="13">
        <f>IFERROR('공정표(총괄분)'!C50,"")</f>
      </c>
    </row>
    <row r="38" spans="1:48" ht="21" hidden="1" customHeight="1" x14ac:dyDescent="0.15"/>
    <row r="39" spans="1:48" ht="4.5" hidden="1" customHeight="1" x14ac:dyDescent="0.15"/>
    <row r="40" spans="1:48" ht="21.6" hidden="1" customHeight="1" x14ac:dyDescent="0.15"/>
    <row r="41" spans="1:48" s="1" customFormat="1" ht="20.25" hidden="1" customHeight="1" x14ac:dyDescent="0.15"/>
    <row r="42" spans="1:48" s="1" customFormat="1" ht="16.5" customHeight="1" x14ac:dyDescent="0.15">
      <c r="B42" s="139" t="s">
        <v>42</v>
      </c>
      <c r="C42" s="139"/>
      <c r="D42" s="139"/>
      <c r="E42" s="139"/>
      <c r="F42" s="139"/>
      <c r="G42" s="139"/>
      <c r="H42" s="139"/>
      <c r="I42" s="139"/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  <c r="AD42" s="139"/>
      <c r="AE42" s="139"/>
      <c r="AF42" s="139"/>
      <c r="AG42" s="139"/>
      <c r="AH42" s="139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  <c r="AS42" s="139"/>
      <c r="AT42" s="139"/>
      <c r="AU42" s="139"/>
      <c r="AV42" s="17"/>
    </row>
    <row r="43" spans="1:48" s="1" customFormat="1" ht="16.5" customHeight="1" x14ac:dyDescent="0.15">
      <c r="B43" s="139"/>
      <c r="C43" s="139"/>
      <c r="D43" s="139"/>
      <c r="E43" s="139"/>
      <c r="F43" s="139"/>
      <c r="G43" s="139"/>
      <c r="H43" s="139"/>
      <c r="I43" s="139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39"/>
      <c r="AC43" s="139"/>
      <c r="AD43" s="139"/>
      <c r="AE43" s="139"/>
      <c r="AF43" s="139"/>
      <c r="AG43" s="139"/>
      <c r="AH43" s="139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  <c r="AS43" s="139"/>
      <c r="AT43" s="139"/>
      <c r="AU43" s="139"/>
      <c r="AV43" s="17"/>
    </row>
    <row r="44" spans="1:48" s="18" customFormat="1" ht="15.75" customHeight="1" x14ac:dyDescent="0.15">
      <c r="B44" s="136" t="s">
        <v>34</v>
      </c>
      <c r="C44" s="109"/>
      <c r="D44" s="21" t="s">
        <v>35</v>
      </c>
      <c r="E44" s="19">
        <f>IFERROR(E4,"")</f>
      </c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</row>
    <row r="45" spans="1:48" s="22" customFormat="1" ht="15.75" customHeight="1" x14ac:dyDescent="0.15">
      <c r="B45" s="109" t="s">
        <v>45</v>
      </c>
      <c r="C45" s="109"/>
      <c r="D45" s="28" t="s">
        <v>1</v>
      </c>
      <c r="E45" s="24"/>
      <c r="F45" s="24"/>
      <c r="Y45" s="4"/>
      <c r="Z45" s="4"/>
      <c r="AN45" s="4"/>
      <c r="AO45" s="4"/>
      <c r="AQ45" s="4"/>
      <c r="AR45" s="4"/>
      <c r="AT45" s="4"/>
      <c r="AU45" s="4"/>
      <c r="AV45" s="4"/>
    </row>
    <row r="46" spans="1:48" ht="10.5" customHeight="1" x14ac:dyDescent="0.15">
      <c r="A46" s="5" t="s">
        <v>3</v>
      </c>
      <c r="B46" s="3"/>
      <c r="C46" s="3"/>
      <c r="D46" s="3"/>
      <c r="E46" s="3"/>
      <c r="F46" s="3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 ht="3.75" customHeight="1" x14ac:dyDescent="0.15">
      <c r="B47" s="3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 ht="8.25" customHeight="1" x14ac:dyDescent="0.15">
      <c r="B48" s="3"/>
      <c r="C48" s="140" t="s">
        <v>48</v>
      </c>
      <c r="D48" s="141"/>
      <c r="E48" s="141"/>
      <c r="F48" s="141"/>
      <c r="G48" s="141"/>
      <c r="H48" s="149" t="s">
        <v>25</v>
      </c>
      <c r="I48" s="142"/>
      <c r="J48" s="41">
        <f>IFERROR(J8,"")</f>
      </c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3"/>
      <c r="AT48" s="142" t="s">
        <v>7</v>
      </c>
      <c r="AU48" s="142"/>
      <c r="AV48"/>
    </row>
    <row r="49" spans="2:48" ht="8.25" customHeight="1" x14ac:dyDescent="0.15">
      <c r="B49" s="3"/>
      <c r="C49" s="141"/>
      <c r="D49" s="141"/>
      <c r="E49" s="141"/>
      <c r="F49" s="141"/>
      <c r="G49" s="141"/>
      <c r="H49" s="142"/>
      <c r="I49" s="142"/>
      <c r="J49" s="47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9"/>
      <c r="AT49" s="142"/>
      <c r="AU49" s="142"/>
      <c r="AV49"/>
    </row>
    <row r="50" spans="2:48" ht="8.25" customHeight="1" x14ac:dyDescent="0.15">
      <c r="B50" s="7"/>
      <c r="C50" s="141"/>
      <c r="D50" s="141"/>
      <c r="E50" s="141"/>
      <c r="F50" s="141"/>
      <c r="G50" s="141"/>
      <c r="H50" s="142"/>
      <c r="I50" s="142"/>
      <c r="J50" s="143"/>
      <c r="K50" s="144"/>
      <c r="L50" s="145"/>
      <c r="M50" s="143" t="str">
        <f>IFERROR(M10,"")</f>
        <v>60일</v>
      </c>
      <c r="N50" s="144"/>
      <c r="O50" s="145"/>
      <c r="P50" s="143" t="str">
        <f>IFERROR(P10,"")</f>
        <v>90일</v>
      </c>
      <c r="Q50" s="144"/>
      <c r="R50" s="145"/>
      <c r="S50" s="143" t="str">
        <f>IFERROR(S10,"")</f>
        <v>120일</v>
      </c>
      <c r="T50" s="144"/>
      <c r="U50" s="145"/>
      <c r="V50" s="143" t="str">
        <f>IFERROR(V10,"")</f>
        <v>150일</v>
      </c>
      <c r="W50" s="144"/>
      <c r="X50" s="145"/>
      <c r="Y50" s="143" t="str">
        <f>IFERROR(Y10,"")</f>
        <v>180일</v>
      </c>
      <c r="Z50" s="144"/>
      <c r="AA50" s="145"/>
      <c r="AB50" s="143" t="str">
        <f>IFERROR(AB10,"")</f>
        <v>210일</v>
      </c>
      <c r="AC50" s="144"/>
      <c r="AD50" s="145"/>
      <c r="AE50" s="143" t="str">
        <f>IFERROR(AE10,"")</f>
        <v>240일</v>
      </c>
      <c r="AF50" s="144"/>
      <c r="AG50" s="145"/>
      <c r="AH50" s="143" t="str">
        <f>IFERROR(AH10,"")</f>
        <v>270일</v>
      </c>
      <c r="AI50" s="144"/>
      <c r="AJ50" s="145"/>
      <c r="AK50" s="143" t="str">
        <f>IFERROR(AK10,"")</f>
        <v>300일</v>
      </c>
      <c r="AL50" s="144"/>
      <c r="AM50" s="145"/>
      <c r="AN50" s="143"/>
      <c r="AO50" s="144"/>
      <c r="AP50" s="145"/>
      <c r="AQ50" s="143"/>
      <c r="AR50" s="144"/>
      <c r="AS50" s="145"/>
      <c r="AT50" s="142"/>
      <c r="AU50" s="142"/>
      <c r="AV50"/>
    </row>
    <row r="51" spans="2:48" ht="8.25" customHeight="1" x14ac:dyDescent="0.15">
      <c r="B51" s="7"/>
      <c r="C51" s="141"/>
      <c r="D51" s="141"/>
      <c r="E51" s="141"/>
      <c r="F51" s="141"/>
      <c r="G51" s="141"/>
      <c r="H51" s="142"/>
      <c r="I51" s="142"/>
      <c r="J51" s="146"/>
      <c r="K51" s="147"/>
      <c r="L51" s="148"/>
      <c r="M51" s="146"/>
      <c r="N51" s="147"/>
      <c r="O51" s="148"/>
      <c r="P51" s="146"/>
      <c r="Q51" s="147"/>
      <c r="R51" s="148"/>
      <c r="S51" s="146"/>
      <c r="T51" s="147"/>
      <c r="U51" s="148"/>
      <c r="V51" s="146"/>
      <c r="W51" s="147"/>
      <c r="X51" s="148"/>
      <c r="Y51" s="146"/>
      <c r="Z51" s="147"/>
      <c r="AA51" s="148"/>
      <c r="AB51" s="146"/>
      <c r="AC51" s="147"/>
      <c r="AD51" s="148"/>
      <c r="AE51" s="146"/>
      <c r="AF51" s="147"/>
      <c r="AG51" s="148"/>
      <c r="AH51" s="146"/>
      <c r="AI51" s="147"/>
      <c r="AJ51" s="148"/>
      <c r="AK51" s="146"/>
      <c r="AL51" s="147"/>
      <c r="AM51" s="148"/>
      <c r="AN51" s="146"/>
      <c r="AO51" s="147"/>
      <c r="AP51" s="148"/>
      <c r="AQ51" s="146"/>
      <c r="AR51" s="147"/>
      <c r="AS51" s="148"/>
      <c r="AT51" s="142"/>
      <c r="AU51" s="142"/>
      <c r="AV51"/>
    </row>
    <row r="52" spans="2:48" ht="8.25" customHeight="1" x14ac:dyDescent="0.15">
      <c r="B52" s="7"/>
      <c r="C52" s="41" t="s">
        <v>36</v>
      </c>
      <c r="D52" s="42"/>
      <c r="E52" s="42"/>
      <c r="F52" s="42"/>
      <c r="G52" s="43"/>
      <c r="H52" s="68">
        <f>IFERROR(SUM(J52:AS53),"")</f>
      </c>
      <c r="I52" s="70"/>
      <c r="J52" s="68"/>
      <c r="K52" s="69"/>
      <c r="L52" s="70"/>
      <c r="M52" s="68"/>
      <c r="N52" s="69"/>
      <c r="O52" s="70"/>
      <c r="P52" s="68"/>
      <c r="Q52" s="69"/>
      <c r="R52" s="70"/>
      <c r="S52" s="68"/>
      <c r="T52" s="69"/>
      <c r="U52" s="70"/>
      <c r="V52" s="68"/>
      <c r="W52" s="69"/>
      <c r="X52" s="70"/>
      <c r="Y52" s="68"/>
      <c r="Z52" s="69"/>
      <c r="AA52" s="70"/>
      <c r="AB52" s="68"/>
      <c r="AC52" s="69"/>
      <c r="AD52" s="70"/>
      <c r="AE52" s="68"/>
      <c r="AF52" s="69"/>
      <c r="AG52" s="70"/>
      <c r="AH52" s="68"/>
      <c r="AI52" s="69"/>
      <c r="AJ52" s="70"/>
      <c r="AK52" s="68"/>
      <c r="AL52" s="69"/>
      <c r="AM52" s="70"/>
      <c r="AN52" s="68"/>
      <c r="AO52" s="69"/>
      <c r="AP52" s="70"/>
      <c r="AQ52" s="68"/>
      <c r="AR52" s="69"/>
      <c r="AS52" s="70"/>
      <c r="AT52" s="68"/>
      <c r="AU52" s="70"/>
      <c r="AV52"/>
    </row>
    <row r="53" spans="2:48" ht="8.25" customHeight="1" x14ac:dyDescent="0.15">
      <c r="B53" s="7"/>
      <c r="C53" s="44"/>
      <c r="D53" s="45"/>
      <c r="E53" s="45"/>
      <c r="F53" s="45"/>
      <c r="G53" s="46"/>
      <c r="H53" s="71"/>
      <c r="I53" s="73"/>
      <c r="J53" s="71"/>
      <c r="K53" s="72"/>
      <c r="L53" s="73"/>
      <c r="M53" s="71"/>
      <c r="N53" s="72"/>
      <c r="O53" s="73"/>
      <c r="P53" s="71"/>
      <c r="Q53" s="72"/>
      <c r="R53" s="73"/>
      <c r="S53" s="71"/>
      <c r="T53" s="72"/>
      <c r="U53" s="73"/>
      <c r="V53" s="71"/>
      <c r="W53" s="72"/>
      <c r="X53" s="73"/>
      <c r="Y53" s="71"/>
      <c r="Z53" s="72"/>
      <c r="AA53" s="73"/>
      <c r="AB53" s="71"/>
      <c r="AC53" s="72"/>
      <c r="AD53" s="73"/>
      <c r="AE53" s="71"/>
      <c r="AF53" s="72"/>
      <c r="AG53" s="73"/>
      <c r="AH53" s="71"/>
      <c r="AI53" s="72"/>
      <c r="AJ53" s="73"/>
      <c r="AK53" s="71"/>
      <c r="AL53" s="72"/>
      <c r="AM53" s="73"/>
      <c r="AN53" s="71"/>
      <c r="AO53" s="72"/>
      <c r="AP53" s="73"/>
      <c r="AQ53" s="71"/>
      <c r="AR53" s="72"/>
      <c r="AS53" s="73"/>
      <c r="AT53" s="71"/>
      <c r="AU53" s="73"/>
      <c r="AV53"/>
    </row>
    <row r="54" spans="2:48" ht="8.25" customHeight="1" x14ac:dyDescent="0.15">
      <c r="B54" s="7"/>
      <c r="C54" s="44"/>
      <c r="D54" s="45"/>
      <c r="E54" s="45"/>
      <c r="F54" s="45"/>
      <c r="G54" s="46"/>
      <c r="H54" s="120">
        <f>IFERROR(SUM(J54:AS55),"")</f>
      </c>
      <c r="I54" s="122"/>
      <c r="J54" s="130"/>
      <c r="K54" s="131"/>
      <c r="L54" s="132"/>
      <c r="M54" s="130"/>
      <c r="N54" s="131"/>
      <c r="O54" s="132"/>
      <c r="P54" s="130"/>
      <c r="Q54" s="131"/>
      <c r="R54" s="132"/>
      <c r="S54" s="130"/>
      <c r="T54" s="131"/>
      <c r="U54" s="132"/>
      <c r="V54" s="130"/>
      <c r="W54" s="131"/>
      <c r="X54" s="132"/>
      <c r="Y54" s="130"/>
      <c r="Z54" s="131"/>
      <c r="AA54" s="132"/>
      <c r="AB54" s="130"/>
      <c r="AC54" s="131"/>
      <c r="AD54" s="132"/>
      <c r="AE54" s="130"/>
      <c r="AF54" s="131"/>
      <c r="AG54" s="132"/>
      <c r="AH54" s="130"/>
      <c r="AI54" s="131"/>
      <c r="AJ54" s="132"/>
      <c r="AK54" s="130"/>
      <c r="AL54" s="131"/>
      <c r="AM54" s="132"/>
      <c r="AN54" s="120"/>
      <c r="AO54" s="121"/>
      <c r="AP54" s="122"/>
      <c r="AQ54" s="120"/>
      <c r="AR54" s="121"/>
      <c r="AS54" s="122"/>
      <c r="AT54" s="120"/>
      <c r="AU54" s="122"/>
      <c r="AV54"/>
    </row>
    <row r="55" spans="2:48" ht="8.25" customHeight="1" x14ac:dyDescent="0.15">
      <c r="B55" s="7"/>
      <c r="C55" s="47"/>
      <c r="D55" s="48"/>
      <c r="E55" s="48"/>
      <c r="F55" s="48"/>
      <c r="G55" s="49"/>
      <c r="H55" s="123"/>
      <c r="I55" s="125"/>
      <c r="J55" s="133"/>
      <c r="K55" s="134"/>
      <c r="L55" s="135"/>
      <c r="M55" s="133"/>
      <c r="N55" s="134"/>
      <c r="O55" s="135"/>
      <c r="P55" s="133"/>
      <c r="Q55" s="134"/>
      <c r="R55" s="135"/>
      <c r="S55" s="133"/>
      <c r="T55" s="134"/>
      <c r="U55" s="135"/>
      <c r="V55" s="133"/>
      <c r="W55" s="134"/>
      <c r="X55" s="135"/>
      <c r="Y55" s="133"/>
      <c r="Z55" s="134"/>
      <c r="AA55" s="135"/>
      <c r="AB55" s="133"/>
      <c r="AC55" s="134"/>
      <c r="AD55" s="135"/>
      <c r="AE55" s="133"/>
      <c r="AF55" s="134"/>
      <c r="AG55" s="135"/>
      <c r="AH55" s="133"/>
      <c r="AI55" s="134"/>
      <c r="AJ55" s="135"/>
      <c r="AK55" s="133"/>
      <c r="AL55" s="134"/>
      <c r="AM55" s="135"/>
      <c r="AN55" s="123"/>
      <c r="AO55" s="124"/>
      <c r="AP55" s="125"/>
      <c r="AQ55" s="123"/>
      <c r="AR55" s="124"/>
      <c r="AS55" s="125"/>
      <c r="AT55" s="123"/>
      <c r="AU55" s="125"/>
      <c r="AV55"/>
    </row>
    <row r="56" spans="2:48" ht="8.25" customHeight="1" x14ac:dyDescent="0.15">
      <c r="B56" s="7"/>
      <c r="C56" s="41" t="s">
        <v>37</v>
      </c>
      <c r="D56" s="42"/>
      <c r="E56" s="42"/>
      <c r="F56" s="42"/>
      <c r="G56" s="43"/>
      <c r="H56" s="126">
        <f>IFERROR(SUM(J56:AS57),"")</f>
      </c>
      <c r="I56" s="128"/>
      <c r="J56" s="68"/>
      <c r="K56" s="69"/>
      <c r="L56" s="70"/>
      <c r="M56" s="68"/>
      <c r="N56" s="69"/>
      <c r="O56" s="70"/>
      <c r="P56" s="68"/>
      <c r="Q56" s="69"/>
      <c r="R56" s="70"/>
      <c r="S56" s="68"/>
      <c r="T56" s="69"/>
      <c r="U56" s="70"/>
      <c r="V56" s="68"/>
      <c r="W56" s="69"/>
      <c r="X56" s="70"/>
      <c r="Y56" s="68"/>
      <c r="Z56" s="69"/>
      <c r="AA56" s="70"/>
      <c r="AB56" s="68"/>
      <c r="AC56" s="69"/>
      <c r="AD56" s="70"/>
      <c r="AE56" s="68"/>
      <c r="AF56" s="69"/>
      <c r="AG56" s="70"/>
      <c r="AH56" s="68"/>
      <c r="AI56" s="69"/>
      <c r="AJ56" s="70"/>
      <c r="AK56" s="68"/>
      <c r="AL56" s="69"/>
      <c r="AM56" s="70"/>
      <c r="AN56" s="68"/>
      <c r="AO56" s="69"/>
      <c r="AP56" s="70"/>
      <c r="AQ56" s="68"/>
      <c r="AR56" s="69"/>
      <c r="AS56" s="70"/>
      <c r="AT56" s="68"/>
      <c r="AU56" s="70"/>
      <c r="AV56"/>
    </row>
    <row r="57" spans="2:48" ht="8.25" customHeight="1" x14ac:dyDescent="0.15">
      <c r="B57" s="7"/>
      <c r="C57" s="44"/>
      <c r="D57" s="45"/>
      <c r="E57" s="45"/>
      <c r="F57" s="45"/>
      <c r="G57" s="46"/>
      <c r="H57" s="71"/>
      <c r="I57" s="73"/>
      <c r="J57" s="71"/>
      <c r="K57" s="72"/>
      <c r="L57" s="73"/>
      <c r="M57" s="71"/>
      <c r="N57" s="72"/>
      <c r="O57" s="73"/>
      <c r="P57" s="71"/>
      <c r="Q57" s="72"/>
      <c r="R57" s="73"/>
      <c r="S57" s="71"/>
      <c r="T57" s="72"/>
      <c r="U57" s="73"/>
      <c r="V57" s="71"/>
      <c r="W57" s="72"/>
      <c r="X57" s="73"/>
      <c r="Y57" s="71"/>
      <c r="Z57" s="72"/>
      <c r="AA57" s="73"/>
      <c r="AB57" s="71"/>
      <c r="AC57" s="72"/>
      <c r="AD57" s="73"/>
      <c r="AE57" s="71"/>
      <c r="AF57" s="72"/>
      <c r="AG57" s="73"/>
      <c r="AH57" s="71"/>
      <c r="AI57" s="72"/>
      <c r="AJ57" s="73"/>
      <c r="AK57" s="71"/>
      <c r="AL57" s="72"/>
      <c r="AM57" s="73"/>
      <c r="AN57" s="71"/>
      <c r="AO57" s="72"/>
      <c r="AP57" s="73"/>
      <c r="AQ57" s="71"/>
      <c r="AR57" s="72"/>
      <c r="AS57" s="73"/>
      <c r="AT57" s="71"/>
      <c r="AU57" s="73"/>
      <c r="AV57"/>
    </row>
    <row r="58" spans="2:48" ht="8.25" customHeight="1" x14ac:dyDescent="0.15">
      <c r="B58" s="7"/>
      <c r="C58" s="44"/>
      <c r="D58" s="45"/>
      <c r="E58" s="45"/>
      <c r="F58" s="45"/>
      <c r="G58" s="46"/>
      <c r="H58" s="120">
        <f>IFERROR(SUM(J58:AS59),"")</f>
      </c>
      <c r="I58" s="122"/>
      <c r="J58" s="120"/>
      <c r="K58" s="121"/>
      <c r="L58" s="122"/>
      <c r="M58" s="120"/>
      <c r="N58" s="121"/>
      <c r="O58" s="122"/>
      <c r="P58" s="130"/>
      <c r="Q58" s="131"/>
      <c r="R58" s="132"/>
      <c r="S58" s="130"/>
      <c r="T58" s="131"/>
      <c r="U58" s="132"/>
      <c r="V58" s="130"/>
      <c r="W58" s="131"/>
      <c r="X58" s="132"/>
      <c r="Y58" s="130"/>
      <c r="Z58" s="131"/>
      <c r="AA58" s="132"/>
      <c r="AB58" s="120"/>
      <c r="AC58" s="121"/>
      <c r="AD58" s="122"/>
      <c r="AE58" s="120"/>
      <c r="AF58" s="121"/>
      <c r="AG58" s="122"/>
      <c r="AH58" s="120"/>
      <c r="AI58" s="121"/>
      <c r="AJ58" s="122"/>
      <c r="AK58" s="120"/>
      <c r="AL58" s="121"/>
      <c r="AM58" s="122"/>
      <c r="AN58" s="120"/>
      <c r="AO58" s="121"/>
      <c r="AP58" s="122"/>
      <c r="AQ58" s="120"/>
      <c r="AR58" s="121"/>
      <c r="AS58" s="122"/>
      <c r="AT58" s="120"/>
      <c r="AU58" s="122"/>
      <c r="AV58"/>
    </row>
    <row r="59" spans="2:48" ht="8.25" customHeight="1" x14ac:dyDescent="0.15">
      <c r="B59" s="7"/>
      <c r="C59" s="47"/>
      <c r="D59" s="48"/>
      <c r="E59" s="48"/>
      <c r="F59" s="48"/>
      <c r="G59" s="49"/>
      <c r="H59" s="123"/>
      <c r="I59" s="125"/>
      <c r="J59" s="123"/>
      <c r="K59" s="124"/>
      <c r="L59" s="125"/>
      <c r="M59" s="123"/>
      <c r="N59" s="124"/>
      <c r="O59" s="125"/>
      <c r="P59" s="133"/>
      <c r="Q59" s="134"/>
      <c r="R59" s="135"/>
      <c r="S59" s="133"/>
      <c r="T59" s="134"/>
      <c r="U59" s="135"/>
      <c r="V59" s="133"/>
      <c r="W59" s="134"/>
      <c r="X59" s="135"/>
      <c r="Y59" s="133"/>
      <c r="Z59" s="134"/>
      <c r="AA59" s="135"/>
      <c r="AB59" s="123"/>
      <c r="AC59" s="124"/>
      <c r="AD59" s="125"/>
      <c r="AE59" s="123"/>
      <c r="AF59" s="124"/>
      <c r="AG59" s="125"/>
      <c r="AH59" s="123"/>
      <c r="AI59" s="124"/>
      <c r="AJ59" s="125"/>
      <c r="AK59" s="123"/>
      <c r="AL59" s="124"/>
      <c r="AM59" s="125"/>
      <c r="AN59" s="123"/>
      <c r="AO59" s="124"/>
      <c r="AP59" s="125"/>
      <c r="AQ59" s="123"/>
      <c r="AR59" s="124"/>
      <c r="AS59" s="125"/>
      <c r="AT59" s="123"/>
      <c r="AU59" s="125"/>
      <c r="AV59"/>
    </row>
    <row r="60" spans="2:48" ht="8.25" customHeight="1" x14ac:dyDescent="0.15">
      <c r="B60" s="7"/>
      <c r="C60" s="41" t="s">
        <v>38</v>
      </c>
      <c r="D60" s="42"/>
      <c r="E60" s="42"/>
      <c r="F60" s="42"/>
      <c r="G60" s="43"/>
      <c r="H60" s="126">
        <f>IFERROR(SUM(J60:AS61),"")</f>
      </c>
      <c r="I60" s="128"/>
      <c r="J60" s="68"/>
      <c r="K60" s="69"/>
      <c r="L60" s="70"/>
      <c r="M60" s="68"/>
      <c r="N60" s="69"/>
      <c r="O60" s="70"/>
      <c r="P60" s="68"/>
      <c r="Q60" s="69"/>
      <c r="R60" s="70"/>
      <c r="S60" s="68"/>
      <c r="T60" s="69"/>
      <c r="U60" s="70"/>
      <c r="V60" s="68"/>
      <c r="W60" s="69"/>
      <c r="X60" s="70"/>
      <c r="Y60" s="68"/>
      <c r="Z60" s="69"/>
      <c r="AA60" s="70"/>
      <c r="AB60" s="68"/>
      <c r="AC60" s="69"/>
      <c r="AD60" s="70"/>
      <c r="AE60" s="68"/>
      <c r="AF60" s="69"/>
      <c r="AG60" s="70"/>
      <c r="AH60" s="68"/>
      <c r="AI60" s="69"/>
      <c r="AJ60" s="70"/>
      <c r="AK60" s="68"/>
      <c r="AL60" s="69"/>
      <c r="AM60" s="70"/>
      <c r="AN60" s="68"/>
      <c r="AO60" s="69"/>
      <c r="AP60" s="70"/>
      <c r="AQ60" s="68"/>
      <c r="AR60" s="69"/>
      <c r="AS60" s="70"/>
      <c r="AT60" s="68"/>
      <c r="AU60" s="70"/>
      <c r="AV60"/>
    </row>
    <row r="61" spans="2:48" ht="8.25" customHeight="1" x14ac:dyDescent="0.15">
      <c r="B61" s="7"/>
      <c r="C61" s="44"/>
      <c r="D61" s="45"/>
      <c r="E61" s="45"/>
      <c r="F61" s="45"/>
      <c r="G61" s="46"/>
      <c r="H61" s="71"/>
      <c r="I61" s="73"/>
      <c r="J61" s="71"/>
      <c r="K61" s="72"/>
      <c r="L61" s="73"/>
      <c r="M61" s="71"/>
      <c r="N61" s="72"/>
      <c r="O61" s="73"/>
      <c r="P61" s="71"/>
      <c r="Q61" s="72"/>
      <c r="R61" s="73"/>
      <c r="S61" s="71"/>
      <c r="T61" s="72"/>
      <c r="U61" s="73"/>
      <c r="V61" s="71"/>
      <c r="W61" s="72"/>
      <c r="X61" s="73"/>
      <c r="Y61" s="71"/>
      <c r="Z61" s="72"/>
      <c r="AA61" s="73"/>
      <c r="AB61" s="71"/>
      <c r="AC61" s="72"/>
      <c r="AD61" s="73"/>
      <c r="AE61" s="71"/>
      <c r="AF61" s="72"/>
      <c r="AG61" s="73"/>
      <c r="AH61" s="71"/>
      <c r="AI61" s="72"/>
      <c r="AJ61" s="73"/>
      <c r="AK61" s="71"/>
      <c r="AL61" s="72"/>
      <c r="AM61" s="73"/>
      <c r="AN61" s="71"/>
      <c r="AO61" s="72"/>
      <c r="AP61" s="73"/>
      <c r="AQ61" s="71"/>
      <c r="AR61" s="72"/>
      <c r="AS61" s="73"/>
      <c r="AT61" s="71"/>
      <c r="AU61" s="73"/>
      <c r="AV61"/>
    </row>
    <row r="62" spans="2:48" ht="8.25" customHeight="1" x14ac:dyDescent="0.15">
      <c r="B62" s="7"/>
      <c r="C62" s="44"/>
      <c r="D62" s="45"/>
      <c r="E62" s="45"/>
      <c r="F62" s="45"/>
      <c r="G62" s="46"/>
      <c r="H62" s="120">
        <f>IFERROR(SUM(J62:AS63),"")</f>
      </c>
      <c r="I62" s="122"/>
      <c r="J62" s="130"/>
      <c r="K62" s="131"/>
      <c r="L62" s="132"/>
      <c r="M62" s="130"/>
      <c r="N62" s="131"/>
      <c r="O62" s="132"/>
      <c r="P62" s="130"/>
      <c r="Q62" s="131"/>
      <c r="R62" s="132"/>
      <c r="S62" s="130"/>
      <c r="T62" s="131"/>
      <c r="U62" s="132"/>
      <c r="V62" s="130"/>
      <c r="W62" s="131"/>
      <c r="X62" s="132"/>
      <c r="Y62" s="130"/>
      <c r="Z62" s="131"/>
      <c r="AA62" s="132"/>
      <c r="AB62" s="130"/>
      <c r="AC62" s="131"/>
      <c r="AD62" s="132"/>
      <c r="AE62" s="130"/>
      <c r="AF62" s="131"/>
      <c r="AG62" s="132"/>
      <c r="AH62" s="120"/>
      <c r="AI62" s="121"/>
      <c r="AJ62" s="122"/>
      <c r="AK62" s="120"/>
      <c r="AL62" s="121"/>
      <c r="AM62" s="122"/>
      <c r="AN62" s="120"/>
      <c r="AO62" s="121"/>
      <c r="AP62" s="122"/>
      <c r="AQ62" s="120"/>
      <c r="AR62" s="121"/>
      <c r="AS62" s="122"/>
      <c r="AT62" s="120"/>
      <c r="AU62" s="122"/>
      <c r="AV62"/>
    </row>
    <row r="63" spans="2:48" ht="8.25" customHeight="1" x14ac:dyDescent="0.15">
      <c r="B63" s="7"/>
      <c r="C63" s="47"/>
      <c r="D63" s="48"/>
      <c r="E63" s="48"/>
      <c r="F63" s="48"/>
      <c r="G63" s="49"/>
      <c r="H63" s="123"/>
      <c r="I63" s="125"/>
      <c r="J63" s="133"/>
      <c r="K63" s="134"/>
      <c r="L63" s="135"/>
      <c r="M63" s="133"/>
      <c r="N63" s="134"/>
      <c r="O63" s="135"/>
      <c r="P63" s="133"/>
      <c r="Q63" s="134"/>
      <c r="R63" s="135"/>
      <c r="S63" s="133"/>
      <c r="T63" s="134"/>
      <c r="U63" s="135"/>
      <c r="V63" s="133"/>
      <c r="W63" s="134"/>
      <c r="X63" s="135"/>
      <c r="Y63" s="133"/>
      <c r="Z63" s="134"/>
      <c r="AA63" s="135"/>
      <c r="AB63" s="133"/>
      <c r="AC63" s="134"/>
      <c r="AD63" s="135"/>
      <c r="AE63" s="133"/>
      <c r="AF63" s="134"/>
      <c r="AG63" s="135"/>
      <c r="AH63" s="123"/>
      <c r="AI63" s="124"/>
      <c r="AJ63" s="125"/>
      <c r="AK63" s="123"/>
      <c r="AL63" s="124"/>
      <c r="AM63" s="125"/>
      <c r="AN63" s="123"/>
      <c r="AO63" s="124"/>
      <c r="AP63" s="125"/>
      <c r="AQ63" s="123"/>
      <c r="AR63" s="124"/>
      <c r="AS63" s="125"/>
      <c r="AT63" s="123"/>
      <c r="AU63" s="125"/>
      <c r="AV63"/>
    </row>
    <row r="64" spans="2:48" ht="8.25" customHeight="1" x14ac:dyDescent="0.15">
      <c r="B64" s="7"/>
      <c r="C64" s="41" t="s">
        <v>39</v>
      </c>
      <c r="D64" s="42"/>
      <c r="E64" s="42"/>
      <c r="F64" s="42"/>
      <c r="G64" s="43"/>
      <c r="H64" s="126">
        <f>IFERROR(SUM(J64:AS65),"")</f>
      </c>
      <c r="I64" s="128"/>
      <c r="J64" s="68"/>
      <c r="K64" s="69"/>
      <c r="L64" s="70"/>
      <c r="M64" s="68"/>
      <c r="N64" s="69"/>
      <c r="O64" s="70"/>
      <c r="P64" s="68"/>
      <c r="Q64" s="69"/>
      <c r="R64" s="70"/>
      <c r="S64" s="68"/>
      <c r="T64" s="69"/>
      <c r="U64" s="70"/>
      <c r="V64" s="68"/>
      <c r="W64" s="69"/>
      <c r="X64" s="70"/>
      <c r="Y64" s="68"/>
      <c r="Z64" s="69"/>
      <c r="AA64" s="70"/>
      <c r="AB64" s="68"/>
      <c r="AC64" s="69"/>
      <c r="AD64" s="70"/>
      <c r="AE64" s="68"/>
      <c r="AF64" s="69"/>
      <c r="AG64" s="70"/>
      <c r="AH64" s="68"/>
      <c r="AI64" s="69"/>
      <c r="AJ64" s="70"/>
      <c r="AK64" s="68"/>
      <c r="AL64" s="69"/>
      <c r="AM64" s="70"/>
      <c r="AN64" s="68"/>
      <c r="AO64" s="69"/>
      <c r="AP64" s="70"/>
      <c r="AQ64" s="68"/>
      <c r="AR64" s="69"/>
      <c r="AS64" s="70"/>
      <c r="AT64" s="68"/>
      <c r="AU64" s="70"/>
      <c r="AV64"/>
    </row>
    <row r="65" spans="2:49" ht="8.25" customHeight="1" x14ac:dyDescent="0.15">
      <c r="B65" s="7"/>
      <c r="C65" s="44"/>
      <c r="D65" s="45"/>
      <c r="E65" s="45"/>
      <c r="F65" s="45"/>
      <c r="G65" s="46"/>
      <c r="H65" s="71"/>
      <c r="I65" s="73"/>
      <c r="J65" s="71"/>
      <c r="K65" s="72"/>
      <c r="L65" s="73"/>
      <c r="M65" s="71"/>
      <c r="N65" s="72"/>
      <c r="O65" s="73"/>
      <c r="P65" s="71"/>
      <c r="Q65" s="72"/>
      <c r="R65" s="73"/>
      <c r="S65" s="71"/>
      <c r="T65" s="72"/>
      <c r="U65" s="73"/>
      <c r="V65" s="71"/>
      <c r="W65" s="72"/>
      <c r="X65" s="73"/>
      <c r="Y65" s="71"/>
      <c r="Z65" s="72"/>
      <c r="AA65" s="73"/>
      <c r="AB65" s="71"/>
      <c r="AC65" s="72"/>
      <c r="AD65" s="73"/>
      <c r="AE65" s="71"/>
      <c r="AF65" s="72"/>
      <c r="AG65" s="73"/>
      <c r="AH65" s="71"/>
      <c r="AI65" s="72"/>
      <c r="AJ65" s="73"/>
      <c r="AK65" s="71"/>
      <c r="AL65" s="72"/>
      <c r="AM65" s="73"/>
      <c r="AN65" s="71"/>
      <c r="AO65" s="72"/>
      <c r="AP65" s="73"/>
      <c r="AQ65" s="71"/>
      <c r="AR65" s="72"/>
      <c r="AS65" s="73"/>
      <c r="AT65" s="71"/>
      <c r="AU65" s="73"/>
      <c r="AV65"/>
    </row>
    <row r="66" spans="2:49" ht="8.25" customHeight="1" x14ac:dyDescent="0.15">
      <c r="B66" s="7"/>
      <c r="C66" s="44"/>
      <c r="D66" s="45"/>
      <c r="E66" s="45"/>
      <c r="F66" s="45"/>
      <c r="G66" s="46"/>
      <c r="H66" s="120">
        <f>IFERROR(SUM(J66:AS67),"")</f>
      </c>
      <c r="I66" s="122"/>
      <c r="J66" s="130"/>
      <c r="K66" s="131"/>
      <c r="L66" s="132"/>
      <c r="M66" s="130"/>
      <c r="N66" s="131"/>
      <c r="O66" s="132"/>
      <c r="P66" s="130"/>
      <c r="Q66" s="131"/>
      <c r="R66" s="132"/>
      <c r="S66" s="130"/>
      <c r="T66" s="131"/>
      <c r="U66" s="132"/>
      <c r="V66" s="130"/>
      <c r="W66" s="131"/>
      <c r="X66" s="132"/>
      <c r="Y66" s="130"/>
      <c r="Z66" s="131"/>
      <c r="AA66" s="132"/>
      <c r="AB66" s="130"/>
      <c r="AC66" s="131"/>
      <c r="AD66" s="132"/>
      <c r="AE66" s="130"/>
      <c r="AF66" s="131"/>
      <c r="AG66" s="132"/>
      <c r="AH66" s="120"/>
      <c r="AI66" s="121"/>
      <c r="AJ66" s="122"/>
      <c r="AK66" s="120"/>
      <c r="AL66" s="121"/>
      <c r="AM66" s="122"/>
      <c r="AN66" s="120"/>
      <c r="AO66" s="121"/>
      <c r="AP66" s="122"/>
      <c r="AQ66" s="120"/>
      <c r="AR66" s="121"/>
      <c r="AS66" s="122"/>
      <c r="AT66" s="120"/>
      <c r="AU66" s="122"/>
      <c r="AV66"/>
    </row>
    <row r="67" spans="2:49" ht="8.25" customHeight="1" x14ac:dyDescent="0.15">
      <c r="B67" s="7"/>
      <c r="C67" s="47"/>
      <c r="D67" s="48"/>
      <c r="E67" s="48"/>
      <c r="F67" s="48"/>
      <c r="G67" s="49"/>
      <c r="H67" s="123"/>
      <c r="I67" s="125"/>
      <c r="J67" s="133"/>
      <c r="K67" s="134"/>
      <c r="L67" s="135"/>
      <c r="M67" s="133"/>
      <c r="N67" s="134"/>
      <c r="O67" s="135"/>
      <c r="P67" s="133"/>
      <c r="Q67" s="134"/>
      <c r="R67" s="135"/>
      <c r="S67" s="133"/>
      <c r="T67" s="134"/>
      <c r="U67" s="135"/>
      <c r="V67" s="133"/>
      <c r="W67" s="134"/>
      <c r="X67" s="135"/>
      <c r="Y67" s="133"/>
      <c r="Z67" s="134"/>
      <c r="AA67" s="135"/>
      <c r="AB67" s="133"/>
      <c r="AC67" s="134"/>
      <c r="AD67" s="135"/>
      <c r="AE67" s="133"/>
      <c r="AF67" s="134"/>
      <c r="AG67" s="135"/>
      <c r="AH67" s="123"/>
      <c r="AI67" s="124"/>
      <c r="AJ67" s="125"/>
      <c r="AK67" s="123"/>
      <c r="AL67" s="124"/>
      <c r="AM67" s="125"/>
      <c r="AN67" s="123"/>
      <c r="AO67" s="124"/>
      <c r="AP67" s="125"/>
      <c r="AQ67" s="123"/>
      <c r="AR67" s="124"/>
      <c r="AS67" s="125"/>
      <c r="AT67" s="123"/>
      <c r="AU67" s="125"/>
      <c r="AV67"/>
    </row>
    <row r="68" spans="2:49" ht="8.25" customHeight="1" x14ac:dyDescent="0.15">
      <c r="B68" s="7"/>
      <c r="C68" s="41" t="s">
        <v>40</v>
      </c>
      <c r="D68" s="42"/>
      <c r="E68" s="42"/>
      <c r="F68" s="42"/>
      <c r="G68" s="43"/>
      <c r="H68" s="126">
        <f>IFERROR(SUM(J68:AS69),"")</f>
      </c>
      <c r="I68" s="128"/>
      <c r="J68" s="68"/>
      <c r="K68" s="69"/>
      <c r="L68" s="70"/>
      <c r="M68" s="68"/>
      <c r="N68" s="69"/>
      <c r="O68" s="70"/>
      <c r="P68" s="68"/>
      <c r="Q68" s="69"/>
      <c r="R68" s="70"/>
      <c r="S68" s="68"/>
      <c r="T68" s="69"/>
      <c r="U68" s="70"/>
      <c r="V68" s="68"/>
      <c r="W68" s="69"/>
      <c r="X68" s="70"/>
      <c r="Y68" s="68"/>
      <c r="Z68" s="69"/>
      <c r="AA68" s="70"/>
      <c r="AB68" s="68"/>
      <c r="AC68" s="69"/>
      <c r="AD68" s="70"/>
      <c r="AE68" s="68"/>
      <c r="AF68" s="69"/>
      <c r="AG68" s="70"/>
      <c r="AH68" s="68"/>
      <c r="AI68" s="69"/>
      <c r="AJ68" s="70"/>
      <c r="AK68" s="68"/>
      <c r="AL68" s="69"/>
      <c r="AM68" s="70"/>
      <c r="AN68" s="68"/>
      <c r="AO68" s="69"/>
      <c r="AP68" s="70"/>
      <c r="AQ68" s="68"/>
      <c r="AR68" s="69"/>
      <c r="AS68" s="70"/>
      <c r="AT68" s="68"/>
      <c r="AU68" s="70"/>
      <c r="AV68"/>
    </row>
    <row r="69" spans="2:49" ht="8.25" customHeight="1" x14ac:dyDescent="0.15">
      <c r="B69" s="7"/>
      <c r="C69" s="44"/>
      <c r="D69" s="45"/>
      <c r="E69" s="45"/>
      <c r="F69" s="45"/>
      <c r="G69" s="46"/>
      <c r="H69" s="71"/>
      <c r="I69" s="73"/>
      <c r="J69" s="71"/>
      <c r="K69" s="72"/>
      <c r="L69" s="73"/>
      <c r="M69" s="71"/>
      <c r="N69" s="72"/>
      <c r="O69" s="73"/>
      <c r="P69" s="71"/>
      <c r="Q69" s="72"/>
      <c r="R69" s="73"/>
      <c r="S69" s="71"/>
      <c r="T69" s="72"/>
      <c r="U69" s="73"/>
      <c r="V69" s="71"/>
      <c r="W69" s="72"/>
      <c r="X69" s="73"/>
      <c r="Y69" s="71"/>
      <c r="Z69" s="72"/>
      <c r="AA69" s="73"/>
      <c r="AB69" s="71"/>
      <c r="AC69" s="72"/>
      <c r="AD69" s="73"/>
      <c r="AE69" s="71"/>
      <c r="AF69" s="72"/>
      <c r="AG69" s="73"/>
      <c r="AH69" s="71"/>
      <c r="AI69" s="72"/>
      <c r="AJ69" s="73"/>
      <c r="AK69" s="71"/>
      <c r="AL69" s="72"/>
      <c r="AM69" s="73"/>
      <c r="AN69" s="71"/>
      <c r="AO69" s="72"/>
      <c r="AP69" s="73"/>
      <c r="AQ69" s="71"/>
      <c r="AR69" s="72"/>
      <c r="AS69" s="73"/>
      <c r="AT69" s="71"/>
      <c r="AU69" s="73"/>
      <c r="AV69"/>
    </row>
    <row r="70" spans="2:49" ht="8.25" customHeight="1" x14ac:dyDescent="0.15">
      <c r="B70" s="7"/>
      <c r="C70" s="44"/>
      <c r="D70" s="45"/>
      <c r="E70" s="45"/>
      <c r="F70" s="45"/>
      <c r="G70" s="46"/>
      <c r="H70" s="120">
        <f>IFERROR(SUM(J70:AS71),"")</f>
      </c>
      <c r="I70" s="122"/>
      <c r="J70" s="120"/>
      <c r="K70" s="121"/>
      <c r="L70" s="122"/>
      <c r="M70" s="120"/>
      <c r="N70" s="121"/>
      <c r="O70" s="122"/>
      <c r="P70" s="130"/>
      <c r="Q70" s="131"/>
      <c r="R70" s="132"/>
      <c r="S70" s="130"/>
      <c r="T70" s="131"/>
      <c r="U70" s="132"/>
      <c r="V70" s="130"/>
      <c r="W70" s="131"/>
      <c r="X70" s="132"/>
      <c r="Y70" s="130"/>
      <c r="Z70" s="131"/>
      <c r="AA70" s="132"/>
      <c r="AB70" s="120"/>
      <c r="AC70" s="121"/>
      <c r="AD70" s="122"/>
      <c r="AE70" s="120"/>
      <c r="AF70" s="121"/>
      <c r="AG70" s="122"/>
      <c r="AH70" s="120"/>
      <c r="AI70" s="121"/>
      <c r="AJ70" s="122"/>
      <c r="AK70" s="120"/>
      <c r="AL70" s="121"/>
      <c r="AM70" s="122"/>
      <c r="AN70" s="120"/>
      <c r="AO70" s="121"/>
      <c r="AP70" s="122"/>
      <c r="AQ70" s="120"/>
      <c r="AR70" s="121"/>
      <c r="AS70" s="122"/>
      <c r="AT70" s="120"/>
      <c r="AU70" s="122"/>
      <c r="AV70"/>
    </row>
    <row r="71" spans="2:49" ht="8.25" customHeight="1" x14ac:dyDescent="0.15">
      <c r="B71" s="7"/>
      <c r="C71" s="47"/>
      <c r="D71" s="48"/>
      <c r="E71" s="48"/>
      <c r="F71" s="48"/>
      <c r="G71" s="49"/>
      <c r="H71" s="123"/>
      <c r="I71" s="125"/>
      <c r="J71" s="123"/>
      <c r="K71" s="124"/>
      <c r="L71" s="125"/>
      <c r="M71" s="123"/>
      <c r="N71" s="124"/>
      <c r="O71" s="125"/>
      <c r="P71" s="133"/>
      <c r="Q71" s="134"/>
      <c r="R71" s="135"/>
      <c r="S71" s="133"/>
      <c r="T71" s="134"/>
      <c r="U71" s="135"/>
      <c r="V71" s="133"/>
      <c r="W71" s="134"/>
      <c r="X71" s="135"/>
      <c r="Y71" s="133"/>
      <c r="Z71" s="134"/>
      <c r="AA71" s="135"/>
      <c r="AB71" s="123"/>
      <c r="AC71" s="124"/>
      <c r="AD71" s="125"/>
      <c r="AE71" s="123"/>
      <c r="AF71" s="124"/>
      <c r="AG71" s="125"/>
      <c r="AH71" s="123"/>
      <c r="AI71" s="124"/>
      <c r="AJ71" s="125"/>
      <c r="AK71" s="123"/>
      <c r="AL71" s="124"/>
      <c r="AM71" s="125"/>
      <c r="AN71" s="123"/>
      <c r="AO71" s="124"/>
      <c r="AP71" s="125"/>
      <c r="AQ71" s="123"/>
      <c r="AR71" s="124"/>
      <c r="AS71" s="125"/>
      <c r="AT71" s="123"/>
      <c r="AU71" s="125"/>
      <c r="AV71"/>
    </row>
    <row r="72" spans="2:49" ht="8.25" customHeight="1" x14ac:dyDescent="0.15">
      <c r="B72" s="7"/>
      <c r="C72" s="41" t="s">
        <v>25</v>
      </c>
      <c r="D72" s="42"/>
      <c r="E72" s="42"/>
      <c r="F72" s="42"/>
      <c r="G72" s="43"/>
      <c r="H72" s="126">
        <f>IFERROR(SUM(J72:AS73),"")</f>
      </c>
      <c r="I72" s="128"/>
      <c r="J72" s="68">
        <f>IFERROR(J52+J56+J60+J64+J68,"")</f>
      </c>
      <c r="K72" s="69"/>
      <c r="L72" s="70"/>
      <c r="M72" s="41">
        <f t="shared" ref="M72" si="24">IFERROR(M52+M56+M60+M64+M68,"")</f>
      </c>
      <c r="N72" s="42"/>
      <c r="O72" s="43"/>
      <c r="P72" s="41">
        <f t="shared" ref="P72" si="25">IFERROR(P52+P56+P60+P64+P68,"")</f>
      </c>
      <c r="Q72" s="42"/>
      <c r="R72" s="43"/>
      <c r="S72" s="41">
        <f t="shared" ref="S72" si="26">IFERROR(S52+S56+S60+S64+S68,"")</f>
      </c>
      <c r="T72" s="42"/>
      <c r="U72" s="43"/>
      <c r="V72" s="41">
        <f t="shared" ref="V72" si="27">IFERROR(V52+V56+V60+V64+V68,"")</f>
      </c>
      <c r="W72" s="42"/>
      <c r="X72" s="43"/>
      <c r="Y72" s="41">
        <f t="shared" ref="Y72" si="28">IFERROR(Y52+Y56+Y60+Y64+Y68,"")</f>
      </c>
      <c r="Z72" s="42"/>
      <c r="AA72" s="43"/>
      <c r="AB72" s="41">
        <f t="shared" ref="AB72" si="29">IFERROR(AB52+AB56+AB60+AB64+AB68,"")</f>
      </c>
      <c r="AC72" s="42"/>
      <c r="AD72" s="43"/>
      <c r="AE72" s="41">
        <f t="shared" ref="AE72" si="30">IFERROR(AE52+AE56+AE60+AE64+AE68,"")</f>
      </c>
      <c r="AF72" s="42"/>
      <c r="AG72" s="43"/>
      <c r="AH72" s="41">
        <f t="shared" ref="AH72" si="31">IFERROR(AH52+AH56+AH60+AH64+AH68,"")</f>
      </c>
      <c r="AI72" s="42"/>
      <c r="AJ72" s="43"/>
      <c r="AK72" s="41">
        <f t="shared" ref="AK72" si="32">IFERROR(AK52+AK56+AK60+AK64+AK68,"")</f>
      </c>
      <c r="AL72" s="42"/>
      <c r="AM72" s="43"/>
      <c r="AN72" s="68"/>
      <c r="AO72" s="69"/>
      <c r="AP72" s="70"/>
      <c r="AQ72" s="68"/>
      <c r="AR72" s="69"/>
      <c r="AS72" s="70"/>
      <c r="AT72" s="68"/>
      <c r="AU72" s="70"/>
      <c r="AV72"/>
    </row>
    <row r="73" spans="2:49" ht="8.25" customHeight="1" x14ac:dyDescent="0.15">
      <c r="B73" s="7"/>
      <c r="C73" s="44"/>
      <c r="D73" s="45"/>
      <c r="E73" s="45"/>
      <c r="F73" s="45"/>
      <c r="G73" s="46"/>
      <c r="H73" s="71"/>
      <c r="I73" s="73"/>
      <c r="J73" s="71"/>
      <c r="K73" s="72"/>
      <c r="L73" s="73"/>
      <c r="M73" s="126"/>
      <c r="N73" s="127"/>
      <c r="O73" s="128"/>
      <c r="P73" s="126"/>
      <c r="Q73" s="127"/>
      <c r="R73" s="128"/>
      <c r="S73" s="126"/>
      <c r="T73" s="127"/>
      <c r="U73" s="128"/>
      <c r="V73" s="126"/>
      <c r="W73" s="127"/>
      <c r="X73" s="128"/>
      <c r="Y73" s="126"/>
      <c r="Z73" s="127"/>
      <c r="AA73" s="128"/>
      <c r="AB73" s="126"/>
      <c r="AC73" s="127"/>
      <c r="AD73" s="128"/>
      <c r="AE73" s="126"/>
      <c r="AF73" s="127"/>
      <c r="AG73" s="128"/>
      <c r="AH73" s="126"/>
      <c r="AI73" s="127"/>
      <c r="AJ73" s="128"/>
      <c r="AK73" s="126"/>
      <c r="AL73" s="127"/>
      <c r="AM73" s="128"/>
      <c r="AN73" s="71"/>
      <c r="AO73" s="72"/>
      <c r="AP73" s="73"/>
      <c r="AQ73" s="71"/>
      <c r="AR73" s="72"/>
      <c r="AS73" s="73"/>
      <c r="AT73" s="71"/>
      <c r="AU73" s="73"/>
      <c r="AV73"/>
    </row>
    <row r="74" spans="2:49" ht="8.25" customHeight="1" x14ac:dyDescent="0.15">
      <c r="B74" s="7"/>
      <c r="C74" s="44"/>
      <c r="D74" s="45"/>
      <c r="E74" s="45"/>
      <c r="F74" s="45"/>
      <c r="G74" s="46"/>
      <c r="H74" s="120">
        <f>IFERROR(SUM(J74:AS75),"")</f>
      </c>
      <c r="I74" s="122"/>
      <c r="J74" s="130">
        <f>IFERROR(J54+J58+J62+J66+J70,"")</f>
      </c>
      <c r="K74" s="131"/>
      <c r="L74" s="132"/>
      <c r="M74" s="130">
        <f t="shared" ref="M74" si="33">IFERROR(M54+M58+M62+M66+M70,"")</f>
      </c>
      <c r="N74" s="131"/>
      <c r="O74" s="132"/>
      <c r="P74" s="130">
        <f t="shared" ref="P74" si="34">IFERROR(P54+P58+P62+P66+P70,"")</f>
      </c>
      <c r="Q74" s="131"/>
      <c r="R74" s="132"/>
      <c r="S74" s="130">
        <f t="shared" ref="S74" si="35">IFERROR(S54+S58+S62+S66+S70,"")</f>
      </c>
      <c r="T74" s="131"/>
      <c r="U74" s="132"/>
      <c r="V74" s="130">
        <f t="shared" ref="V74" si="36">IFERROR(V54+V58+V62+V66+V70,"")</f>
      </c>
      <c r="W74" s="131"/>
      <c r="X74" s="132"/>
      <c r="Y74" s="130">
        <f t="shared" ref="Y74" si="37">IFERROR(Y54+Y58+Y62+Y66+Y70,"")</f>
      </c>
      <c r="Z74" s="131"/>
      <c r="AA74" s="132"/>
      <c r="AB74" s="130">
        <f t="shared" ref="AB74" si="38">IFERROR(AB54+AB58+AB62+AB66+AB70,"")</f>
      </c>
      <c r="AC74" s="131"/>
      <c r="AD74" s="132"/>
      <c r="AE74" s="130">
        <f t="shared" ref="AE74" si="39">IFERROR(AE54+AE58+AE62+AE66+AE70,"")</f>
      </c>
      <c r="AF74" s="131"/>
      <c r="AG74" s="132"/>
      <c r="AH74" s="130">
        <f t="shared" ref="AH74" si="40">IFERROR(AH54+AH58+AH62+AH66+AH70,"")</f>
      </c>
      <c r="AI74" s="131"/>
      <c r="AJ74" s="132"/>
      <c r="AK74" s="130">
        <f t="shared" ref="AK74" si="41">IFERROR(AK54+AK58+AK62+AK66+AK70,"")</f>
      </c>
      <c r="AL74" s="131"/>
      <c r="AM74" s="132"/>
      <c r="AN74" s="120"/>
      <c r="AO74" s="121"/>
      <c r="AP74" s="122"/>
      <c r="AQ74" s="120"/>
      <c r="AR74" s="121"/>
      <c r="AS74" s="122"/>
      <c r="AT74" s="120"/>
      <c r="AU74" s="122"/>
      <c r="AV74"/>
    </row>
    <row r="75" spans="2:49" ht="8.25" customHeight="1" x14ac:dyDescent="0.15">
      <c r="B75" s="7"/>
      <c r="C75" s="47"/>
      <c r="D75" s="48"/>
      <c r="E75" s="48"/>
      <c r="F75" s="48"/>
      <c r="G75" s="49"/>
      <c r="H75" s="123"/>
      <c r="I75" s="125"/>
      <c r="J75" s="133"/>
      <c r="K75" s="134"/>
      <c r="L75" s="135"/>
      <c r="M75" s="133"/>
      <c r="N75" s="134"/>
      <c r="O75" s="135"/>
      <c r="P75" s="133"/>
      <c r="Q75" s="134"/>
      <c r="R75" s="135"/>
      <c r="S75" s="133"/>
      <c r="T75" s="134"/>
      <c r="U75" s="135"/>
      <c r="V75" s="133"/>
      <c r="W75" s="134"/>
      <c r="X75" s="135"/>
      <c r="Y75" s="133"/>
      <c r="Z75" s="134"/>
      <c r="AA75" s="135"/>
      <c r="AB75" s="133"/>
      <c r="AC75" s="134"/>
      <c r="AD75" s="135"/>
      <c r="AE75" s="133"/>
      <c r="AF75" s="134"/>
      <c r="AG75" s="135"/>
      <c r="AH75" s="133"/>
      <c r="AI75" s="134"/>
      <c r="AJ75" s="135"/>
      <c r="AK75" s="133"/>
      <c r="AL75" s="134"/>
      <c r="AM75" s="135"/>
      <c r="AN75" s="123"/>
      <c r="AO75" s="124"/>
      <c r="AP75" s="125"/>
      <c r="AQ75" s="123"/>
      <c r="AR75" s="124"/>
      <c r="AS75" s="125"/>
      <c r="AT75" s="123"/>
      <c r="AU75" s="125"/>
      <c r="AV75"/>
    </row>
    <row r="76" spans="2:49" ht="8.25" customHeight="1" x14ac:dyDescent="0.15">
      <c r="B76" s="7"/>
      <c r="C76" s="41" t="s">
        <v>33</v>
      </c>
      <c r="D76" s="42"/>
      <c r="E76" s="42"/>
      <c r="F76" s="42"/>
      <c r="G76" s="43"/>
      <c r="H76" s="126">
        <f>IFERROR(AK76,"")</f>
      </c>
      <c r="I76" s="128"/>
      <c r="J76" s="68">
        <f>IFERROR(J72,"")</f>
      </c>
      <c r="K76" s="69"/>
      <c r="L76" s="70"/>
      <c r="M76" s="68">
        <f>IFERROR(J76+M72,"")</f>
      </c>
      <c r="N76" s="69"/>
      <c r="O76" s="70"/>
      <c r="P76" s="68">
        <f>IFERROR(M76+P72,"")</f>
      </c>
      <c r="Q76" s="69"/>
      <c r="R76" s="70"/>
      <c r="S76" s="68">
        <f>IFERROR(P76+S72,"")</f>
      </c>
      <c r="T76" s="69"/>
      <c r="U76" s="70"/>
      <c r="V76" s="68">
        <f>IFERROR(S76+V72,"")</f>
      </c>
      <c r="W76" s="69"/>
      <c r="X76" s="70"/>
      <c r="Y76" s="68">
        <f>IFERROR(V76+Y72,"")</f>
      </c>
      <c r="Z76" s="69"/>
      <c r="AA76" s="70"/>
      <c r="AB76" s="68">
        <f>IFERROR(Y76+AB72,"")</f>
      </c>
      <c r="AC76" s="69"/>
      <c r="AD76" s="70"/>
      <c r="AE76" s="68">
        <f>IFERROR(AB76+AE72,"")</f>
      </c>
      <c r="AF76" s="69"/>
      <c r="AG76" s="70"/>
      <c r="AH76" s="68">
        <f>IFERROR(AE76+AH72,"")</f>
      </c>
      <c r="AI76" s="69"/>
      <c r="AJ76" s="70"/>
      <c r="AK76" s="68">
        <f>IFERROR(AH76+AK72,"")</f>
      </c>
      <c r="AL76" s="69"/>
      <c r="AM76" s="70"/>
      <c r="AN76" s="68"/>
      <c r="AO76" s="69"/>
      <c r="AP76" s="70"/>
      <c r="AQ76" s="68"/>
      <c r="AR76" s="69"/>
      <c r="AS76" s="70"/>
      <c r="AT76" s="68"/>
      <c r="AU76" s="70"/>
      <c r="AV76"/>
    </row>
    <row r="77" spans="2:49" ht="8.25" customHeight="1" x14ac:dyDescent="0.15">
      <c r="B77" s="7"/>
      <c r="C77" s="44"/>
      <c r="D77" s="45"/>
      <c r="E77" s="45"/>
      <c r="F77" s="45"/>
      <c r="G77" s="46"/>
      <c r="H77" s="71"/>
      <c r="I77" s="73"/>
      <c r="J77" s="71"/>
      <c r="K77" s="72"/>
      <c r="L77" s="73"/>
      <c r="M77" s="71"/>
      <c r="N77" s="72"/>
      <c r="O77" s="73"/>
      <c r="P77" s="71"/>
      <c r="Q77" s="72"/>
      <c r="R77" s="73"/>
      <c r="S77" s="71"/>
      <c r="T77" s="72"/>
      <c r="U77" s="73"/>
      <c r="V77" s="71"/>
      <c r="W77" s="72"/>
      <c r="X77" s="73"/>
      <c r="Y77" s="71"/>
      <c r="Z77" s="72"/>
      <c r="AA77" s="73"/>
      <c r="AB77" s="71"/>
      <c r="AC77" s="72"/>
      <c r="AD77" s="73"/>
      <c r="AE77" s="71"/>
      <c r="AF77" s="72"/>
      <c r="AG77" s="73"/>
      <c r="AH77" s="71"/>
      <c r="AI77" s="72"/>
      <c r="AJ77" s="73"/>
      <c r="AK77" s="71"/>
      <c r="AL77" s="72"/>
      <c r="AM77" s="73"/>
      <c r="AN77" s="71"/>
      <c r="AO77" s="72"/>
      <c r="AP77" s="73"/>
      <c r="AQ77" s="71"/>
      <c r="AR77" s="72"/>
      <c r="AS77" s="73"/>
      <c r="AT77" s="71"/>
      <c r="AU77" s="73"/>
      <c r="AV77"/>
    </row>
    <row r="78" spans="2:49" ht="8.25" customHeight="1" x14ac:dyDescent="0.15">
      <c r="B78" s="7"/>
      <c r="C78" s="44"/>
      <c r="D78" s="45"/>
      <c r="E78" s="45"/>
      <c r="F78" s="45"/>
      <c r="G78" s="46"/>
      <c r="H78" s="120">
        <f>IFERROR(AK78,"")</f>
      </c>
      <c r="I78" s="122"/>
      <c r="J78" s="130">
        <f>IFERROR(J74,"")</f>
      </c>
      <c r="K78" s="131"/>
      <c r="L78" s="132"/>
      <c r="M78" s="130">
        <f>IFERROR(J78+M74,"")</f>
      </c>
      <c r="N78" s="131"/>
      <c r="O78" s="132"/>
      <c r="P78" s="130">
        <f>IFERROR(M78+P74,"")</f>
      </c>
      <c r="Q78" s="131"/>
      <c r="R78" s="132"/>
      <c r="S78" s="130">
        <f>IFERROR(P78+S74,"")</f>
      </c>
      <c r="T78" s="131"/>
      <c r="U78" s="132"/>
      <c r="V78" s="130">
        <f>IFERROR(S78+V74,"")</f>
      </c>
      <c r="W78" s="131"/>
      <c r="X78" s="132"/>
      <c r="Y78" s="130">
        <f>IFERROR(V78+Y74,"")</f>
      </c>
      <c r="Z78" s="131"/>
      <c r="AA78" s="132"/>
      <c r="AB78" s="130">
        <f>IFERROR(Y78+AB74,"")</f>
      </c>
      <c r="AC78" s="131"/>
      <c r="AD78" s="132"/>
      <c r="AE78" s="130">
        <f>IFERROR(AB78+AE74,"")</f>
      </c>
      <c r="AF78" s="131"/>
      <c r="AG78" s="132"/>
      <c r="AH78" s="130">
        <f>IFERROR(AE78+AH74,"")</f>
      </c>
      <c r="AI78" s="131"/>
      <c r="AJ78" s="132"/>
      <c r="AK78" s="130">
        <f>IFERROR(AH78+AK74,"")</f>
      </c>
      <c r="AL78" s="131"/>
      <c r="AM78" s="132"/>
      <c r="AN78" s="120"/>
      <c r="AO78" s="121"/>
      <c r="AP78" s="122"/>
      <c r="AQ78" s="120"/>
      <c r="AR78" s="121"/>
      <c r="AS78" s="122"/>
      <c r="AT78" s="120"/>
      <c r="AU78" s="122"/>
      <c r="AV78"/>
      <c r="AW78" s="129">
        <f>IFERROR(H76*1.12,"")</f>
      </c>
    </row>
    <row r="79" spans="2:49" ht="8.25" customHeight="1" x14ac:dyDescent="0.15">
      <c r="B79" s="7"/>
      <c r="C79" s="47"/>
      <c r="D79" s="48"/>
      <c r="E79" s="48"/>
      <c r="F79" s="48"/>
      <c r="G79" s="49"/>
      <c r="H79" s="123"/>
      <c r="I79" s="125"/>
      <c r="J79" s="133"/>
      <c r="K79" s="134"/>
      <c r="L79" s="135"/>
      <c r="M79" s="133"/>
      <c r="N79" s="134"/>
      <c r="O79" s="135"/>
      <c r="P79" s="133"/>
      <c r="Q79" s="134"/>
      <c r="R79" s="135"/>
      <c r="S79" s="133"/>
      <c r="T79" s="134"/>
      <c r="U79" s="135"/>
      <c r="V79" s="133"/>
      <c r="W79" s="134"/>
      <c r="X79" s="135"/>
      <c r="Y79" s="133"/>
      <c r="Z79" s="134"/>
      <c r="AA79" s="135"/>
      <c r="AB79" s="133"/>
      <c r="AC79" s="134"/>
      <c r="AD79" s="135"/>
      <c r="AE79" s="133"/>
      <c r="AF79" s="134"/>
      <c r="AG79" s="135"/>
      <c r="AH79" s="133"/>
      <c r="AI79" s="134"/>
      <c r="AJ79" s="135"/>
      <c r="AK79" s="133"/>
      <c r="AL79" s="134"/>
      <c r="AM79" s="135"/>
      <c r="AN79" s="123"/>
      <c r="AO79" s="124"/>
      <c r="AP79" s="125"/>
      <c r="AQ79" s="123"/>
      <c r="AR79" s="124"/>
      <c r="AS79" s="125"/>
      <c r="AT79" s="123"/>
      <c r="AU79" s="125"/>
      <c r="AV79"/>
      <c r="AW79" s="129"/>
    </row>
    <row r="80" spans="2:49" ht="7.5" customHeight="1" x14ac:dyDescent="0.1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2:48" ht="7.5" customHeight="1" x14ac:dyDescent="0.15">
      <c r="B81" s="9"/>
      <c r="C81" s="1"/>
      <c r="D81" s="1"/>
      <c r="E81" s="6"/>
      <c r="F81" s="6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</row>
    <row r="82" spans="2:48" ht="23.25" customHeight="1" x14ac:dyDescent="0.15">
      <c r="E82" s="1"/>
      <c r="F82" s="9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2"/>
      <c r="T82" s="1"/>
      <c r="U82" s="1"/>
      <c r="V82" s="12"/>
      <c r="W82" s="1"/>
      <c r="X82" s="1"/>
      <c r="Y82" s="12"/>
      <c r="Z82" s="1"/>
      <c r="AA82" s="1"/>
      <c r="AB82" s="6" t="s">
        <v>27</v>
      </c>
      <c r="AC82" s="6"/>
      <c r="AD82" s="6"/>
      <c r="AE82" s="12"/>
      <c r="AF82" s="12"/>
      <c r="AG82" s="12"/>
      <c r="AH82" s="12"/>
      <c r="AI82" s="1"/>
      <c r="AJ82" s="1"/>
      <c r="AK82" s="12"/>
      <c r="AL82" s="1"/>
      <c r="AM82" s="1"/>
      <c r="AN82" s="12"/>
      <c r="AO82" s="1"/>
      <c r="AP82" s="1"/>
      <c r="AQ82" s="12"/>
      <c r="AR82" s="1"/>
      <c r="AS82" s="1"/>
      <c r="AT82" s="1"/>
      <c r="AU82" s="1"/>
      <c r="AV82" s="1"/>
    </row>
    <row r="83" spans="2:48" ht="23.25" customHeight="1" x14ac:dyDescent="0.15">
      <c r="R83" s="1"/>
      <c r="S83" s="1"/>
      <c r="T83" s="1"/>
      <c r="U83" s="1"/>
      <c r="V83" s="1"/>
      <c r="W83" s="1"/>
      <c r="X83" s="1"/>
      <c r="Y83" s="1"/>
      <c r="Z83" s="1"/>
      <c r="AA83" s="1"/>
      <c r="AB83" s="6" t="s">
        <v>28</v>
      </c>
      <c r="AC83" s="6"/>
      <c r="AD83" s="6"/>
      <c r="AE83" s="12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2:48" ht="23.25" customHeight="1" x14ac:dyDescent="0.25">
      <c r="C84" s="13"/>
      <c r="R84" s="1"/>
      <c r="S84" s="12"/>
      <c r="T84" s="1"/>
      <c r="U84" s="1"/>
      <c r="V84" s="12"/>
      <c r="W84" s="1"/>
      <c r="X84" s="1"/>
      <c r="Y84" s="12"/>
      <c r="Z84" s="1"/>
      <c r="AA84" s="1"/>
      <c r="AB84" s="6" t="s">
        <v>29</v>
      </c>
      <c r="AC84" s="6"/>
      <c r="AD84" s="6"/>
      <c r="AE84" s="12"/>
      <c r="AF84" s="12"/>
      <c r="AG84" s="12"/>
      <c r="AH84" s="12"/>
      <c r="AI84" s="1"/>
      <c r="AJ84" s="1"/>
      <c r="AK84" s="12"/>
      <c r="AL84" s="1"/>
      <c r="AM84" s="1"/>
      <c r="AN84" s="12"/>
      <c r="AO84" s="1"/>
      <c r="AP84" s="1"/>
      <c r="AQ84" s="12"/>
      <c r="AR84" s="1"/>
      <c r="AS84" s="1"/>
      <c r="AT84" s="1"/>
      <c r="AU84" s="1"/>
      <c r="AV84" s="1"/>
    </row>
    <row r="85" spans="2:48" ht="27.75" customHeight="1" x14ac:dyDescent="0.25">
      <c r="C85" s="13">
        <f>IFERROR(C37,"")</f>
      </c>
    </row>
  </sheetData>
  <mergeCells count="390">
    <mergeCell ref="AQ22:AS23"/>
    <mergeCell ref="AT22:AU23"/>
    <mergeCell ref="C22:G23"/>
    <mergeCell ref="H22:I23"/>
    <mergeCell ref="J22:L23"/>
    <mergeCell ref="M22:O23"/>
    <mergeCell ref="P22:R23"/>
    <mergeCell ref="S22:U23"/>
    <mergeCell ref="V22:X23"/>
    <mergeCell ref="Y22:AA23"/>
    <mergeCell ref="AB22:AD23"/>
    <mergeCell ref="B2:AU3"/>
    <mergeCell ref="B4:C4"/>
    <mergeCell ref="C8:G11"/>
    <mergeCell ref="H8:I11"/>
    <mergeCell ref="J8:AS9"/>
    <mergeCell ref="AT8:AU11"/>
    <mergeCell ref="J10:L11"/>
    <mergeCell ref="M10:O11"/>
    <mergeCell ref="P10:R11"/>
    <mergeCell ref="AK10:AM11"/>
    <mergeCell ref="AN10:AP11"/>
    <mergeCell ref="AQ10:AS11"/>
    <mergeCell ref="Y10:AA11"/>
    <mergeCell ref="AB10:AD11"/>
    <mergeCell ref="AE10:AG11"/>
    <mergeCell ref="AH10:AJ11"/>
    <mergeCell ref="C12:G13"/>
    <mergeCell ref="H12:I13"/>
    <mergeCell ref="J12:L13"/>
    <mergeCell ref="M12:O13"/>
    <mergeCell ref="P12:R13"/>
    <mergeCell ref="S12:U13"/>
    <mergeCell ref="V12:X13"/>
    <mergeCell ref="S10:U11"/>
    <mergeCell ref="V10:X11"/>
    <mergeCell ref="AQ12:AS13"/>
    <mergeCell ref="AT12:AU13"/>
    <mergeCell ref="C16:G17"/>
    <mergeCell ref="H16:I17"/>
    <mergeCell ref="J16:L17"/>
    <mergeCell ref="M16:O17"/>
    <mergeCell ref="P16:R17"/>
    <mergeCell ref="S16:U17"/>
    <mergeCell ref="V16:X17"/>
    <mergeCell ref="Y12:AA13"/>
    <mergeCell ref="AB12:AD13"/>
    <mergeCell ref="AE12:AG13"/>
    <mergeCell ref="AH12:AJ13"/>
    <mergeCell ref="AK12:AM13"/>
    <mergeCell ref="AN12:AP13"/>
    <mergeCell ref="AQ16:AS17"/>
    <mergeCell ref="AT16:AU17"/>
    <mergeCell ref="AH16:AJ17"/>
    <mergeCell ref="AK16:AM17"/>
    <mergeCell ref="AN16:AP17"/>
    <mergeCell ref="AN14:AP15"/>
    <mergeCell ref="AQ14:AS15"/>
    <mergeCell ref="AT14:AU15"/>
    <mergeCell ref="V14:X15"/>
    <mergeCell ref="C20:G21"/>
    <mergeCell ref="H20:I21"/>
    <mergeCell ref="J20:L21"/>
    <mergeCell ref="M20:O21"/>
    <mergeCell ref="P20:R21"/>
    <mergeCell ref="S20:U21"/>
    <mergeCell ref="V20:X21"/>
    <mergeCell ref="V18:X19"/>
    <mergeCell ref="Y18:AA19"/>
    <mergeCell ref="C18:G19"/>
    <mergeCell ref="H18:I19"/>
    <mergeCell ref="J18:L19"/>
    <mergeCell ref="M18:O19"/>
    <mergeCell ref="P18:R19"/>
    <mergeCell ref="S18:U19"/>
    <mergeCell ref="AQ20:AS21"/>
    <mergeCell ref="AT20:AU21"/>
    <mergeCell ref="Y20:AA21"/>
    <mergeCell ref="AB20:AD21"/>
    <mergeCell ref="AE20:AG21"/>
    <mergeCell ref="AH20:AJ21"/>
    <mergeCell ref="AK20:AM21"/>
    <mergeCell ref="AN20:AP21"/>
    <mergeCell ref="AN18:AP19"/>
    <mergeCell ref="AQ18:AS19"/>
    <mergeCell ref="AT18:AU19"/>
    <mergeCell ref="AB18:AD19"/>
    <mergeCell ref="AE18:AG19"/>
    <mergeCell ref="AH18:AJ19"/>
    <mergeCell ref="AK18:AM19"/>
    <mergeCell ref="AT24:AU25"/>
    <mergeCell ref="C24:G25"/>
    <mergeCell ref="H24:I25"/>
    <mergeCell ref="J24:L25"/>
    <mergeCell ref="M24:O25"/>
    <mergeCell ref="P24:R25"/>
    <mergeCell ref="S24:U25"/>
    <mergeCell ref="V24:X25"/>
    <mergeCell ref="Y24:AA25"/>
    <mergeCell ref="AB24:AD25"/>
    <mergeCell ref="S28:U29"/>
    <mergeCell ref="V28:X29"/>
    <mergeCell ref="Y28:AA29"/>
    <mergeCell ref="AB28:AD29"/>
    <mergeCell ref="AE28:AG29"/>
    <mergeCell ref="AE24:AG25"/>
    <mergeCell ref="AH24:AJ25"/>
    <mergeCell ref="AK24:AM25"/>
    <mergeCell ref="AQ24:AS25"/>
    <mergeCell ref="AK50:AM51"/>
    <mergeCell ref="AN50:AP51"/>
    <mergeCell ref="AQ50:AS51"/>
    <mergeCell ref="H52:I53"/>
    <mergeCell ref="J52:L53"/>
    <mergeCell ref="M52:O53"/>
    <mergeCell ref="P52:R53"/>
    <mergeCell ref="S52:U53"/>
    <mergeCell ref="V52:X53"/>
    <mergeCell ref="S50:U51"/>
    <mergeCell ref="V50:X51"/>
    <mergeCell ref="Y50:AA51"/>
    <mergeCell ref="AB50:AD51"/>
    <mergeCell ref="AE50:AG51"/>
    <mergeCell ref="AH50:AJ51"/>
    <mergeCell ref="H48:I51"/>
    <mergeCell ref="J48:AS49"/>
    <mergeCell ref="J50:L51"/>
    <mergeCell ref="M50:O51"/>
    <mergeCell ref="P50:R51"/>
    <mergeCell ref="AQ52:AS53"/>
    <mergeCell ref="AT52:AU53"/>
    <mergeCell ref="H56:I57"/>
    <mergeCell ref="J56:L57"/>
    <mergeCell ref="M56:O57"/>
    <mergeCell ref="P56:R57"/>
    <mergeCell ref="S56:U57"/>
    <mergeCell ref="V56:X57"/>
    <mergeCell ref="Y56:AA57"/>
    <mergeCell ref="Y52:AA53"/>
    <mergeCell ref="AB52:AD53"/>
    <mergeCell ref="AE52:AG53"/>
    <mergeCell ref="AH52:AJ53"/>
    <mergeCell ref="AK52:AM53"/>
    <mergeCell ref="AN52:AP53"/>
    <mergeCell ref="AQ54:AS55"/>
    <mergeCell ref="AT54:AU55"/>
    <mergeCell ref="AE54:AG55"/>
    <mergeCell ref="AT56:AU57"/>
    <mergeCell ref="AE56:AG57"/>
    <mergeCell ref="AH56:AJ57"/>
    <mergeCell ref="AK56:AM57"/>
    <mergeCell ref="AN56:AP57"/>
    <mergeCell ref="AQ56:AS57"/>
    <mergeCell ref="AK54:AM55"/>
    <mergeCell ref="Y64:AA65"/>
    <mergeCell ref="AB64:AD65"/>
    <mergeCell ref="AB60:AD61"/>
    <mergeCell ref="AE60:AG61"/>
    <mergeCell ref="AH60:AJ61"/>
    <mergeCell ref="AK60:AM61"/>
    <mergeCell ref="AN60:AP61"/>
    <mergeCell ref="S60:U61"/>
    <mergeCell ref="V60:X61"/>
    <mergeCell ref="Y60:AA61"/>
    <mergeCell ref="AE64:AG65"/>
    <mergeCell ref="AH64:AJ65"/>
    <mergeCell ref="AK64:AM65"/>
    <mergeCell ref="AN64:AP65"/>
    <mergeCell ref="AH62:AJ63"/>
    <mergeCell ref="AK62:AM63"/>
    <mergeCell ref="Y62:AA63"/>
    <mergeCell ref="AB62:AD63"/>
    <mergeCell ref="S72:U73"/>
    <mergeCell ref="V72:X73"/>
    <mergeCell ref="Y72:AA73"/>
    <mergeCell ref="AB72:AD73"/>
    <mergeCell ref="AE68:AG69"/>
    <mergeCell ref="AH68:AJ69"/>
    <mergeCell ref="AK68:AM69"/>
    <mergeCell ref="AN68:AP69"/>
    <mergeCell ref="AQ68:AS69"/>
    <mergeCell ref="S68:U69"/>
    <mergeCell ref="V68:X69"/>
    <mergeCell ref="Y68:AA69"/>
    <mergeCell ref="AB68:AD69"/>
    <mergeCell ref="AN72:AP73"/>
    <mergeCell ref="AQ72:AS73"/>
    <mergeCell ref="Y14:AA15"/>
    <mergeCell ref="AB14:AD15"/>
    <mergeCell ref="AE14:AG15"/>
    <mergeCell ref="AH14:AJ15"/>
    <mergeCell ref="AK14:AM15"/>
    <mergeCell ref="AH30:AJ31"/>
    <mergeCell ref="AK30:AM31"/>
    <mergeCell ref="AN30:AP31"/>
    <mergeCell ref="AN26:AP27"/>
    <mergeCell ref="AN24:AP25"/>
    <mergeCell ref="Y16:AA17"/>
    <mergeCell ref="AB16:AD17"/>
    <mergeCell ref="AE16:AG17"/>
    <mergeCell ref="AE22:AG23"/>
    <mergeCell ref="AH22:AJ23"/>
    <mergeCell ref="AK22:AM23"/>
    <mergeCell ref="AN22:AP23"/>
    <mergeCell ref="AT26:AU27"/>
    <mergeCell ref="C30:I31"/>
    <mergeCell ref="J30:L31"/>
    <mergeCell ref="M30:O31"/>
    <mergeCell ref="P30:R31"/>
    <mergeCell ref="S30:U31"/>
    <mergeCell ref="V30:X31"/>
    <mergeCell ref="V26:X27"/>
    <mergeCell ref="Y26:AA27"/>
    <mergeCell ref="AB26:AD27"/>
    <mergeCell ref="AE26:AG27"/>
    <mergeCell ref="AH26:AJ27"/>
    <mergeCell ref="AK26:AM27"/>
    <mergeCell ref="C26:G27"/>
    <mergeCell ref="H26:I27"/>
    <mergeCell ref="J26:L27"/>
    <mergeCell ref="M26:O27"/>
    <mergeCell ref="P26:R27"/>
    <mergeCell ref="S26:U27"/>
    <mergeCell ref="AT30:AU31"/>
    <mergeCell ref="C28:I29"/>
    <mergeCell ref="J28:L29"/>
    <mergeCell ref="M28:O29"/>
    <mergeCell ref="P28:R29"/>
    <mergeCell ref="B44:C44"/>
    <mergeCell ref="H54:I55"/>
    <mergeCell ref="J54:L55"/>
    <mergeCell ref="M54:O55"/>
    <mergeCell ref="B5:C5"/>
    <mergeCell ref="Y30:AA31"/>
    <mergeCell ref="AB30:AD31"/>
    <mergeCell ref="AE30:AG31"/>
    <mergeCell ref="C14:G15"/>
    <mergeCell ref="H14:I15"/>
    <mergeCell ref="J14:L15"/>
    <mergeCell ref="M14:O15"/>
    <mergeCell ref="P14:R15"/>
    <mergeCell ref="S14:U15"/>
    <mergeCell ref="B42:AU43"/>
    <mergeCell ref="C48:G51"/>
    <mergeCell ref="AT48:AU51"/>
    <mergeCell ref="AH28:AJ29"/>
    <mergeCell ref="AK28:AM29"/>
    <mergeCell ref="AN28:AP29"/>
    <mergeCell ref="AQ28:AS29"/>
    <mergeCell ref="AT28:AU29"/>
    <mergeCell ref="AQ30:AS31"/>
    <mergeCell ref="AQ26:AS27"/>
    <mergeCell ref="M58:O59"/>
    <mergeCell ref="P58:R59"/>
    <mergeCell ref="P54:R55"/>
    <mergeCell ref="S54:U55"/>
    <mergeCell ref="V54:X55"/>
    <mergeCell ref="Y54:AA55"/>
    <mergeCell ref="AB54:AD55"/>
    <mergeCell ref="AB56:AD57"/>
    <mergeCell ref="B45:C45"/>
    <mergeCell ref="AQ58:AS59"/>
    <mergeCell ref="AT58:AU59"/>
    <mergeCell ref="H62:I63"/>
    <mergeCell ref="J62:L63"/>
    <mergeCell ref="M62:O63"/>
    <mergeCell ref="P62:R63"/>
    <mergeCell ref="S62:U63"/>
    <mergeCell ref="S58:U59"/>
    <mergeCell ref="V58:X59"/>
    <mergeCell ref="Y58:AA59"/>
    <mergeCell ref="AB58:AD59"/>
    <mergeCell ref="AE58:AG59"/>
    <mergeCell ref="AH58:AJ59"/>
    <mergeCell ref="AT60:AU61"/>
    <mergeCell ref="AQ60:AS61"/>
    <mergeCell ref="H60:I61"/>
    <mergeCell ref="J60:L61"/>
    <mergeCell ref="M60:O61"/>
    <mergeCell ref="P60:R61"/>
    <mergeCell ref="AQ62:AS63"/>
    <mergeCell ref="AT62:AU63"/>
    <mergeCell ref="AE62:AG63"/>
    <mergeCell ref="H58:I59"/>
    <mergeCell ref="J58:L59"/>
    <mergeCell ref="H66:I67"/>
    <mergeCell ref="J66:L67"/>
    <mergeCell ref="M66:O67"/>
    <mergeCell ref="P66:R67"/>
    <mergeCell ref="S66:U67"/>
    <mergeCell ref="V66:X67"/>
    <mergeCell ref="V62:X63"/>
    <mergeCell ref="S64:U65"/>
    <mergeCell ref="V64:X65"/>
    <mergeCell ref="AQ64:AS65"/>
    <mergeCell ref="AT64:AU65"/>
    <mergeCell ref="H64:I65"/>
    <mergeCell ref="J64:L65"/>
    <mergeCell ref="M64:O65"/>
    <mergeCell ref="P64:R65"/>
    <mergeCell ref="AQ66:AS67"/>
    <mergeCell ref="AT66:AU67"/>
    <mergeCell ref="H70:I71"/>
    <mergeCell ref="J70:L71"/>
    <mergeCell ref="M70:O71"/>
    <mergeCell ref="P70:R71"/>
    <mergeCell ref="S70:U71"/>
    <mergeCell ref="V70:X71"/>
    <mergeCell ref="Y70:AA71"/>
    <mergeCell ref="Y66:AA67"/>
    <mergeCell ref="AB66:AD67"/>
    <mergeCell ref="AE66:AG67"/>
    <mergeCell ref="AH66:AJ67"/>
    <mergeCell ref="AK66:AM67"/>
    <mergeCell ref="AN66:AP67"/>
    <mergeCell ref="AT68:AU69"/>
    <mergeCell ref="H68:I69"/>
    <mergeCell ref="J68:L69"/>
    <mergeCell ref="P76:R77"/>
    <mergeCell ref="S76:U77"/>
    <mergeCell ref="M68:O69"/>
    <mergeCell ref="P68:R69"/>
    <mergeCell ref="AQ74:AS75"/>
    <mergeCell ref="AT74:AU75"/>
    <mergeCell ref="AT70:AU71"/>
    <mergeCell ref="H74:I75"/>
    <mergeCell ref="J74:L75"/>
    <mergeCell ref="M74:O75"/>
    <mergeCell ref="P74:R75"/>
    <mergeCell ref="S74:U75"/>
    <mergeCell ref="V74:X75"/>
    <mergeCell ref="Y74:AA75"/>
    <mergeCell ref="AB74:AD75"/>
    <mergeCell ref="AB70:AD71"/>
    <mergeCell ref="AE70:AG71"/>
    <mergeCell ref="AH70:AJ71"/>
    <mergeCell ref="AK70:AM71"/>
    <mergeCell ref="AN70:AP71"/>
    <mergeCell ref="AQ70:AS71"/>
    <mergeCell ref="AE72:AG73"/>
    <mergeCell ref="AH72:AJ73"/>
    <mergeCell ref="AK72:AM73"/>
    <mergeCell ref="C72:G75"/>
    <mergeCell ref="C68:G71"/>
    <mergeCell ref="C64:G67"/>
    <mergeCell ref="C60:G63"/>
    <mergeCell ref="C56:G59"/>
    <mergeCell ref="C52:G55"/>
    <mergeCell ref="AH78:AJ79"/>
    <mergeCell ref="AH54:AJ55"/>
    <mergeCell ref="AT72:AU73"/>
    <mergeCell ref="H72:I73"/>
    <mergeCell ref="AQ78:AS79"/>
    <mergeCell ref="AT78:AU79"/>
    <mergeCell ref="C76:G79"/>
    <mergeCell ref="P78:R79"/>
    <mergeCell ref="S78:U79"/>
    <mergeCell ref="V78:X79"/>
    <mergeCell ref="Y78:AA79"/>
    <mergeCell ref="AB78:AD79"/>
    <mergeCell ref="AE78:AG79"/>
    <mergeCell ref="H76:I77"/>
    <mergeCell ref="H78:I79"/>
    <mergeCell ref="J78:L79"/>
    <mergeCell ref="M78:O79"/>
    <mergeCell ref="AH76:AJ77"/>
    <mergeCell ref="AN54:AP55"/>
    <mergeCell ref="AB76:AD77"/>
    <mergeCell ref="AE76:AG77"/>
    <mergeCell ref="J72:L73"/>
    <mergeCell ref="M72:O73"/>
    <mergeCell ref="P72:R73"/>
    <mergeCell ref="AW78:AW79"/>
    <mergeCell ref="AK78:AM79"/>
    <mergeCell ref="AN78:AP79"/>
    <mergeCell ref="AE74:AG75"/>
    <mergeCell ref="AH74:AJ75"/>
    <mergeCell ref="AK74:AM75"/>
    <mergeCell ref="AN74:AP75"/>
    <mergeCell ref="AN62:AP63"/>
    <mergeCell ref="AK58:AM59"/>
    <mergeCell ref="AN58:AP59"/>
    <mergeCell ref="V76:X77"/>
    <mergeCell ref="Y76:AA77"/>
    <mergeCell ref="AK76:AM77"/>
    <mergeCell ref="AN76:AP77"/>
    <mergeCell ref="AQ76:AS77"/>
    <mergeCell ref="AT76:AU77"/>
    <mergeCell ref="J76:L77"/>
    <mergeCell ref="M76:O77"/>
  </mergeCells>
  <phoneticPr fontId="4" type="noConversion"/>
  <printOptions horizontalCentered="1"/>
  <pageMargins left="0.15748031496062992" right="0.39370078740157483" top="0.81" bottom="0.53" header="0.43307086614173229" footer="0.19685039370078741"/>
  <pageSetup paperSize="9" fitToHeight="0" orientation="landscape" r:id="rId1"/>
  <headerFooter alignWithMargins="0"/>
  <rowBreaks count="1" manualBreakCount="1">
    <brk id="37" max="46" man="1"/>
  </rowBreaks>
  <colBreaks count="1" manualBreakCount="1">
    <brk id="47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공정표(총괄분)</vt:lpstr>
      <vt:lpstr>노무 장비 투입계획서(총괄분)</vt:lpstr>
      <vt:lpstr>'공정표(총괄분)'!Print_Area</vt:lpstr>
      <vt:lpstr>'노무 장비 투입계획서(총괄분)'!Print_Area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</dc:creator>
  <cp:lastModifiedBy>com</cp:lastModifiedBy>
  <cp:lastPrinted>2025-08-08T04:36:35Z</cp:lastPrinted>
  <dcterms:created xsi:type="dcterms:W3CDTF">2025-07-08T00:55:01Z</dcterms:created>
  <dcterms:modified xsi:type="dcterms:W3CDTF">2025-08-11T07:40:18Z</dcterms:modified>
</cp:coreProperties>
</file>