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콘크리트 압축강도 관리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'콘크리트 압축강도 관리대장'!$A$1:$X$27</definedName>
    <definedName name="_xlnm.Print_Area" localSheetId="1">'작성 예시'!$A$1:$X$27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&quot; MPa&quot;"/>
    <numFmt numFmtId="165" formatCode="yyyy. m. d."/>
    <numFmt numFmtId="166" formatCode="0.0;;&quot;&quot;"/>
    <numFmt numFmtId="167" formatCode="0%;;&quot;&quot;"/>
    <numFmt numFmtId="168" formatCode="yyyy&quot;년&quot; m&quot;월&quot; d&quot;일&quot;"/>
    <numFmt numFmtId="169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0" fontId="7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 shrinkToFit="1"/>
    </xf>
    <xf numFmtId="167" fontId="6" fillId="4" borderId="1" applyAlignment="1" pivotButton="0" quotePrefix="0" xfId="0">
      <alignment horizontal="right" vertical="center" shrinkToFit="1"/>
    </xf>
    <xf numFmtId="0" fontId="6" fillId="4" borderId="1" applyAlignment="1" pivotButton="0" quotePrefix="0" xfId="0">
      <alignment horizontal="left" vertical="center" wrapText="1"/>
    </xf>
    <xf numFmtId="168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콘크리트 압축강도 관리대장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설계기준강도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시험기관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번호</t>
        </is>
      </c>
      <c r="B9" s="5" t="n"/>
      <c r="C9" s="8" t="inlineStr">
        <is>
          <t>타설일</t>
        </is>
      </c>
      <c r="D9" s="5" t="n"/>
      <c r="E9" s="8" t="inlineStr">
        <is>
          <t>타설 부위</t>
        </is>
      </c>
      <c r="F9" s="5" t="n"/>
      <c r="G9" s="5" t="n"/>
      <c r="H9" s="5" t="n"/>
      <c r="I9" s="5" t="n"/>
      <c r="J9" s="5" t="n"/>
      <c r="K9" s="8" t="inlineStr">
        <is>
          <t>규격</t>
        </is>
      </c>
      <c r="L9" s="5" t="n"/>
      <c r="M9" s="8" t="inlineStr">
        <is>
          <t>7일 강도</t>
        </is>
      </c>
      <c r="N9" s="5" t="n"/>
      <c r="O9" s="5" t="n"/>
      <c r="P9" s="8" t="inlineStr">
        <is>
          <t>28일 강도</t>
        </is>
      </c>
      <c r="Q9" s="5" t="n"/>
      <c r="R9" s="5" t="n"/>
      <c r="S9" s="8" t="inlineStr">
        <is>
          <t>기준 대비</t>
        </is>
      </c>
      <c r="T9" s="5" t="n"/>
      <c r="U9" s="8" t="inlineStr">
        <is>
          <t>판정</t>
        </is>
      </c>
      <c r="V9" s="5" t="n"/>
      <c r="W9" s="8" t="inlineStr">
        <is>
          <t>비고</t>
        </is>
      </c>
      <c r="X9" s="5" t="n"/>
    </row>
    <row r="10" ht="22" customHeight="1">
      <c r="A10" s="9">
        <f>IF(E10="","",COUNTA(E10:E10))</f>
        <v/>
      </c>
      <c r="B10" s="5" t="n"/>
      <c r="C10" s="10" t="n"/>
      <c r="D10" s="5" t="n"/>
      <c r="E10" s="11" t="n"/>
      <c r="F10" s="5" t="n"/>
      <c r="G10" s="5" t="n"/>
      <c r="H10" s="5" t="n"/>
      <c r="I10" s="5" t="n"/>
      <c r="J10" s="5" t="n"/>
      <c r="K10" s="12" t="n"/>
      <c r="L10" s="5" t="n"/>
      <c r="M10" s="13" t="n"/>
      <c r="N10" s="5" t="n"/>
      <c r="O10" s="5" t="n"/>
      <c r="P10" s="13" t="n"/>
      <c r="Q10" s="5" t="n"/>
      <c r="R10" s="5" t="n"/>
      <c r="S10" s="14">
        <f>IF(OR(P10="",N(G6)=0),"",P10/G6)</f>
        <v/>
      </c>
      <c r="T10" s="5" t="n"/>
      <c r="U10" s="15">
        <f>IF(P10="","",IF(P10&lt;N(G6)-3.5,"불합격","합격"))</f>
        <v/>
      </c>
      <c r="V10" s="5" t="n"/>
      <c r="W10" s="12" t="n"/>
      <c r="X10" s="5" t="n"/>
    </row>
    <row r="11" ht="22" customHeight="1">
      <c r="A11" s="9">
        <f>IF(E11="","",COUNTA(E10:E11))</f>
        <v/>
      </c>
      <c r="B11" s="5" t="n"/>
      <c r="C11" s="10" t="n"/>
      <c r="D11" s="5" t="n"/>
      <c r="E11" s="11" t="n"/>
      <c r="F11" s="5" t="n"/>
      <c r="G11" s="5" t="n"/>
      <c r="H11" s="5" t="n"/>
      <c r="I11" s="5" t="n"/>
      <c r="J11" s="5" t="n"/>
      <c r="K11" s="12" t="n"/>
      <c r="L11" s="5" t="n"/>
      <c r="M11" s="13" t="n"/>
      <c r="N11" s="5" t="n"/>
      <c r="O11" s="5" t="n"/>
      <c r="P11" s="13" t="n"/>
      <c r="Q11" s="5" t="n"/>
      <c r="R11" s="5" t="n"/>
      <c r="S11" s="14">
        <f>IF(OR(P11="",N(G6)=0),"",P11/G6)</f>
        <v/>
      </c>
      <c r="T11" s="5" t="n"/>
      <c r="U11" s="15">
        <f>IF(P11="","",IF(P11&lt;N(G6)-3.5,"불합격","합격"))</f>
        <v/>
      </c>
      <c r="V11" s="5" t="n"/>
      <c r="W11" s="12" t="n"/>
      <c r="X11" s="5" t="n"/>
    </row>
    <row r="12" ht="22" customHeight="1">
      <c r="A12" s="9">
        <f>IF(E12="","",COUNTA(E10:E12))</f>
        <v/>
      </c>
      <c r="B12" s="5" t="n"/>
      <c r="C12" s="10" t="n"/>
      <c r="D12" s="5" t="n"/>
      <c r="E12" s="11" t="n"/>
      <c r="F12" s="5" t="n"/>
      <c r="G12" s="5" t="n"/>
      <c r="H12" s="5" t="n"/>
      <c r="I12" s="5" t="n"/>
      <c r="J12" s="5" t="n"/>
      <c r="K12" s="12" t="n"/>
      <c r="L12" s="5" t="n"/>
      <c r="M12" s="13" t="n"/>
      <c r="N12" s="5" t="n"/>
      <c r="O12" s="5" t="n"/>
      <c r="P12" s="13" t="n"/>
      <c r="Q12" s="5" t="n"/>
      <c r="R12" s="5" t="n"/>
      <c r="S12" s="14">
        <f>IF(OR(P12="",N(G6)=0),"",P12/G6)</f>
        <v/>
      </c>
      <c r="T12" s="5" t="n"/>
      <c r="U12" s="9">
        <f>IF(P12="","",IF(P12&lt;N(G6)-3.5,"불합격",IF(COUNT(P10:P12)&lt;3,"합격",IF(AVERAGE(P10:P12)&lt;N(G6),"불합격","합격"))))</f>
        <v/>
      </c>
      <c r="V12" s="5" t="n"/>
      <c r="W12" s="12" t="n"/>
      <c r="X12" s="5" t="n"/>
    </row>
    <row r="13" ht="22" customHeight="1">
      <c r="A13" s="9">
        <f>IF(E13="","",COUNTA(E10:E13))</f>
        <v/>
      </c>
      <c r="B13" s="5" t="n"/>
      <c r="C13" s="10" t="n"/>
      <c r="D13" s="5" t="n"/>
      <c r="E13" s="11" t="n"/>
      <c r="F13" s="5" t="n"/>
      <c r="G13" s="5" t="n"/>
      <c r="H13" s="5" t="n"/>
      <c r="I13" s="5" t="n"/>
      <c r="J13" s="5" t="n"/>
      <c r="K13" s="12" t="n"/>
      <c r="L13" s="5" t="n"/>
      <c r="M13" s="13" t="n"/>
      <c r="N13" s="5" t="n"/>
      <c r="O13" s="5" t="n"/>
      <c r="P13" s="13" t="n"/>
      <c r="Q13" s="5" t="n"/>
      <c r="R13" s="5" t="n"/>
      <c r="S13" s="14">
        <f>IF(OR(P13="",N(G6)=0),"",P13/G6)</f>
        <v/>
      </c>
      <c r="T13" s="5" t="n"/>
      <c r="U13" s="9">
        <f>IF(P13="","",IF(P13&lt;N(G6)-3.5,"불합격",IF(COUNT(P11:P13)&lt;3,"합격",IF(AVERAGE(P11:P13)&lt;N(G6),"불합격","합격"))))</f>
        <v/>
      </c>
      <c r="V13" s="5" t="n"/>
      <c r="W13" s="12" t="n"/>
      <c r="X13" s="5" t="n"/>
    </row>
    <row r="14" ht="22" customHeight="1">
      <c r="A14" s="9">
        <f>IF(E14="","",COUNTA(E10:E14))</f>
        <v/>
      </c>
      <c r="B14" s="5" t="n"/>
      <c r="C14" s="10" t="n"/>
      <c r="D14" s="5" t="n"/>
      <c r="E14" s="11" t="n"/>
      <c r="F14" s="5" t="n"/>
      <c r="G14" s="5" t="n"/>
      <c r="H14" s="5" t="n"/>
      <c r="I14" s="5" t="n"/>
      <c r="J14" s="5" t="n"/>
      <c r="K14" s="12" t="n"/>
      <c r="L14" s="5" t="n"/>
      <c r="M14" s="13" t="n"/>
      <c r="N14" s="5" t="n"/>
      <c r="O14" s="5" t="n"/>
      <c r="P14" s="13" t="n"/>
      <c r="Q14" s="5" t="n"/>
      <c r="R14" s="5" t="n"/>
      <c r="S14" s="14">
        <f>IF(OR(P14="",N(G6)=0),"",P14/G6)</f>
        <v/>
      </c>
      <c r="T14" s="5" t="n"/>
      <c r="U14" s="9">
        <f>IF(P14="","",IF(P14&lt;N(G6)-3.5,"불합격",IF(COUNT(P12:P14)&lt;3,"합격",IF(AVERAGE(P12:P14)&lt;N(G6),"불합격","합격"))))</f>
        <v/>
      </c>
      <c r="V14" s="5" t="n"/>
      <c r="W14" s="12" t="n"/>
      <c r="X14" s="5" t="n"/>
    </row>
    <row r="15" ht="22" customHeight="1">
      <c r="A15" s="9">
        <f>IF(E15="","",COUNTA(E10:E15))</f>
        <v/>
      </c>
      <c r="B15" s="5" t="n"/>
      <c r="C15" s="10" t="n"/>
      <c r="D15" s="5" t="n"/>
      <c r="E15" s="11" t="n"/>
      <c r="F15" s="5" t="n"/>
      <c r="G15" s="5" t="n"/>
      <c r="H15" s="5" t="n"/>
      <c r="I15" s="5" t="n"/>
      <c r="J15" s="5" t="n"/>
      <c r="K15" s="12" t="n"/>
      <c r="L15" s="5" t="n"/>
      <c r="M15" s="13" t="n"/>
      <c r="N15" s="5" t="n"/>
      <c r="O15" s="5" t="n"/>
      <c r="P15" s="13" t="n"/>
      <c r="Q15" s="5" t="n"/>
      <c r="R15" s="5" t="n"/>
      <c r="S15" s="14">
        <f>IF(OR(P15="",N(G6)=0),"",P15/G6)</f>
        <v/>
      </c>
      <c r="T15" s="5" t="n"/>
      <c r="U15" s="9">
        <f>IF(P15="","",IF(P15&lt;N(G6)-3.5,"불합격",IF(COUNT(P13:P15)&lt;3,"합격",IF(AVERAGE(P13:P15)&lt;N(G6),"불합격","합격"))))</f>
        <v/>
      </c>
      <c r="V15" s="5" t="n"/>
      <c r="W15" s="12" t="n"/>
      <c r="X15" s="5" t="n"/>
    </row>
    <row r="16" ht="22" customHeight="1">
      <c r="A16" s="9">
        <f>IF(E16="","",COUNTA(E10:E16))</f>
        <v/>
      </c>
      <c r="B16" s="5" t="n"/>
      <c r="C16" s="10" t="n"/>
      <c r="D16" s="5" t="n"/>
      <c r="E16" s="11" t="n"/>
      <c r="F16" s="5" t="n"/>
      <c r="G16" s="5" t="n"/>
      <c r="H16" s="5" t="n"/>
      <c r="I16" s="5" t="n"/>
      <c r="J16" s="5" t="n"/>
      <c r="K16" s="12" t="n"/>
      <c r="L16" s="5" t="n"/>
      <c r="M16" s="13" t="n"/>
      <c r="N16" s="5" t="n"/>
      <c r="O16" s="5" t="n"/>
      <c r="P16" s="13" t="n"/>
      <c r="Q16" s="5" t="n"/>
      <c r="R16" s="5" t="n"/>
      <c r="S16" s="14">
        <f>IF(OR(P16="",N(G6)=0),"",P16/G6)</f>
        <v/>
      </c>
      <c r="T16" s="5" t="n"/>
      <c r="U16" s="9">
        <f>IF(P16="","",IF(P16&lt;N(G6)-3.5,"불합격",IF(COUNT(P14:P16)&lt;3,"합격",IF(AVERAGE(P14:P16)&lt;N(G6),"불합격","합격"))))</f>
        <v/>
      </c>
      <c r="V16" s="5" t="n"/>
      <c r="W16" s="12" t="n"/>
      <c r="X16" s="5" t="n"/>
    </row>
    <row r="17" ht="22" customHeight="1">
      <c r="A17" s="9">
        <f>IF(E17="","",COUNTA(E10:E17))</f>
        <v/>
      </c>
      <c r="B17" s="5" t="n"/>
      <c r="C17" s="10" t="n"/>
      <c r="D17" s="5" t="n"/>
      <c r="E17" s="11" t="n"/>
      <c r="F17" s="5" t="n"/>
      <c r="G17" s="5" t="n"/>
      <c r="H17" s="5" t="n"/>
      <c r="I17" s="5" t="n"/>
      <c r="J17" s="5" t="n"/>
      <c r="K17" s="12" t="n"/>
      <c r="L17" s="5" t="n"/>
      <c r="M17" s="13" t="n"/>
      <c r="N17" s="5" t="n"/>
      <c r="O17" s="5" t="n"/>
      <c r="P17" s="13" t="n"/>
      <c r="Q17" s="5" t="n"/>
      <c r="R17" s="5" t="n"/>
      <c r="S17" s="14">
        <f>IF(OR(P17="",N(G6)=0),"",P17/G6)</f>
        <v/>
      </c>
      <c r="T17" s="5" t="n"/>
      <c r="U17" s="9">
        <f>IF(P17="","",IF(P17&lt;N(G6)-3.5,"불합격",IF(COUNT(P15:P17)&lt;3,"합격",IF(AVERAGE(P15:P17)&lt;N(G6),"불합격","합격"))))</f>
        <v/>
      </c>
      <c r="V17" s="5" t="n"/>
      <c r="W17" s="12" t="n"/>
      <c r="X17" s="5" t="n"/>
    </row>
    <row r="18" ht="22" customHeight="1">
      <c r="A18" s="9">
        <f>IF(E18="","",COUNTA(E10:E18))</f>
        <v/>
      </c>
      <c r="B18" s="5" t="n"/>
      <c r="C18" s="10" t="n"/>
      <c r="D18" s="5" t="n"/>
      <c r="E18" s="11" t="n"/>
      <c r="F18" s="5" t="n"/>
      <c r="G18" s="5" t="n"/>
      <c r="H18" s="5" t="n"/>
      <c r="I18" s="5" t="n"/>
      <c r="J18" s="5" t="n"/>
      <c r="K18" s="12" t="n"/>
      <c r="L18" s="5" t="n"/>
      <c r="M18" s="13" t="n"/>
      <c r="N18" s="5" t="n"/>
      <c r="O18" s="5" t="n"/>
      <c r="P18" s="13" t="n"/>
      <c r="Q18" s="5" t="n"/>
      <c r="R18" s="5" t="n"/>
      <c r="S18" s="14">
        <f>IF(OR(P18="",N(G6)=0),"",P18/G6)</f>
        <v/>
      </c>
      <c r="T18" s="5" t="n"/>
      <c r="U18" s="9">
        <f>IF(P18="","",IF(P18&lt;N(G6)-3.5,"불합격",IF(COUNT(P16:P18)&lt;3,"합격",IF(AVERAGE(P16:P18)&lt;N(G6),"불합격","합격"))))</f>
        <v/>
      </c>
      <c r="V18" s="5" t="n"/>
      <c r="W18" s="12" t="n"/>
      <c r="X18" s="5" t="n"/>
    </row>
    <row r="19" ht="22" customHeight="1">
      <c r="A19" s="9">
        <f>IF(E19="","",COUNTA(E10:E19))</f>
        <v/>
      </c>
      <c r="B19" s="5" t="n"/>
      <c r="C19" s="10" t="n"/>
      <c r="D19" s="5" t="n"/>
      <c r="E19" s="11" t="n"/>
      <c r="F19" s="5" t="n"/>
      <c r="G19" s="5" t="n"/>
      <c r="H19" s="5" t="n"/>
      <c r="I19" s="5" t="n"/>
      <c r="J19" s="5" t="n"/>
      <c r="K19" s="12" t="n"/>
      <c r="L19" s="5" t="n"/>
      <c r="M19" s="13" t="n"/>
      <c r="N19" s="5" t="n"/>
      <c r="O19" s="5" t="n"/>
      <c r="P19" s="13" t="n"/>
      <c r="Q19" s="5" t="n"/>
      <c r="R19" s="5" t="n"/>
      <c r="S19" s="14">
        <f>IF(OR(P19="",N(G6)=0),"",P19/G6)</f>
        <v/>
      </c>
      <c r="T19" s="5" t="n"/>
      <c r="U19" s="9">
        <f>IF(P19="","",IF(P19&lt;N(G6)-3.5,"불합격",IF(COUNT(P17:P19)&lt;3,"합격",IF(AVERAGE(P17:P19)&lt;N(G6),"불합격","합격"))))</f>
        <v/>
      </c>
      <c r="V19" s="5" t="n"/>
      <c r="W19" s="12" t="n"/>
      <c r="X19" s="5" t="n"/>
    </row>
    <row r="20" ht="22" customHeight="1">
      <c r="A20" s="9">
        <f>IF(E20="","",COUNTA(E10:E20))</f>
        <v/>
      </c>
      <c r="B20" s="5" t="n"/>
      <c r="C20" s="10" t="n"/>
      <c r="D20" s="5" t="n"/>
      <c r="E20" s="11" t="n"/>
      <c r="F20" s="5" t="n"/>
      <c r="G20" s="5" t="n"/>
      <c r="H20" s="5" t="n"/>
      <c r="I20" s="5" t="n"/>
      <c r="J20" s="5" t="n"/>
      <c r="K20" s="12" t="n"/>
      <c r="L20" s="5" t="n"/>
      <c r="M20" s="13" t="n"/>
      <c r="N20" s="5" t="n"/>
      <c r="O20" s="5" t="n"/>
      <c r="P20" s="13" t="n"/>
      <c r="Q20" s="5" t="n"/>
      <c r="R20" s="5" t="n"/>
      <c r="S20" s="14">
        <f>IF(OR(P20="",N(G6)=0),"",P20/G6)</f>
        <v/>
      </c>
      <c r="T20" s="5" t="n"/>
      <c r="U20" s="9">
        <f>IF(P20="","",IF(P20&lt;N(G6)-3.5,"불합격",IF(COUNT(P18:P20)&lt;3,"합격",IF(AVERAGE(P18:P20)&lt;N(G6),"불합격","합격"))))</f>
        <v/>
      </c>
      <c r="V20" s="5" t="n"/>
      <c r="W20" s="12" t="n"/>
      <c r="X20" s="5" t="n"/>
    </row>
    <row r="21" ht="22" customHeight="1">
      <c r="A21" s="9">
        <f>IF(E21="","",COUNTA(E10:E21))</f>
        <v/>
      </c>
      <c r="B21" s="5" t="n"/>
      <c r="C21" s="10" t="n"/>
      <c r="D21" s="5" t="n"/>
      <c r="E21" s="11" t="n"/>
      <c r="F21" s="5" t="n"/>
      <c r="G21" s="5" t="n"/>
      <c r="H21" s="5" t="n"/>
      <c r="I21" s="5" t="n"/>
      <c r="J21" s="5" t="n"/>
      <c r="K21" s="12" t="n"/>
      <c r="L21" s="5" t="n"/>
      <c r="M21" s="13" t="n"/>
      <c r="N21" s="5" t="n"/>
      <c r="O21" s="5" t="n"/>
      <c r="P21" s="13" t="n"/>
      <c r="Q21" s="5" t="n"/>
      <c r="R21" s="5" t="n"/>
      <c r="S21" s="14">
        <f>IF(OR(P21="",N(G6)=0),"",P21/G6)</f>
        <v/>
      </c>
      <c r="T21" s="5" t="n"/>
      <c r="U21" s="9">
        <f>IF(P21="","",IF(P21&lt;N(G6)-3.5,"불합격",IF(COUNT(P19:P21)&lt;3,"합격",IF(AVERAGE(P19:P21)&lt;N(G6),"불합격","합격"))))</f>
        <v/>
      </c>
      <c r="V21" s="5" t="n"/>
      <c r="W21" s="12" t="n"/>
      <c r="X21" s="5" t="n"/>
    </row>
    <row r="22" ht="6" customHeight="1"/>
    <row r="23" ht="10" customHeight="1"/>
    <row r="24" ht="26" customHeight="1">
      <c r="A24" s="16" t="inlineStr">
        <is>
          <t xml:space="preserve">          년        월        일</t>
        </is>
      </c>
    </row>
    <row r="25" ht="24" customHeight="1">
      <c r="A25" s="17" t="inlineStr"/>
      <c r="K25" s="18" t="inlineStr">
        <is>
          <t>품질담당</t>
        </is>
      </c>
      <c r="Q25" s="19" t="n"/>
      <c r="U25" s="20" t="inlineStr">
        <is>
          <t>(서명 또는 인)</t>
        </is>
      </c>
    </row>
    <row r="26" ht="24" customHeight="1">
      <c r="A26" s="17" t="inlineStr"/>
      <c r="K26" s="18" t="inlineStr">
        <is>
          <t>현장대리인</t>
        </is>
      </c>
      <c r="Q26" s="19" t="n"/>
      <c r="U26" s="20" t="inlineStr">
        <is>
          <t>(서명 또는 인)</t>
        </is>
      </c>
    </row>
    <row r="27" ht="6" customHeight="1"/>
    <row r="29" ht="34" customHeight="1">
      <c r="A29" s="21" t="inlineStr">
        <is>
          <t>판정은 KCS 14 20 10(설계기준강도 35MPa 이하) 기준입니다 — 1회 값이 설계기준강도 − 3.5MPa 이상, 연속 3회 평균이 설계기준강도 이상.</t>
        </is>
      </c>
    </row>
    <row r="30" ht="34" customHeight="1">
      <c r="A30" s="21" t="inlineStr">
        <is>
          <t>28일 강도 칸에는 공시체 3개의 평균값을 적으세요. 35MPa 를 넘는 콘크리트는 기준이 다릅니다(1회 값 ≥ 0.9 fck).</t>
        </is>
      </c>
    </row>
    <row r="31" ht="34" customHeight="1">
      <c r="A31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1" t="inlineStr">
        <is>
          <t>발주기관이 정한 서식이 있으면 그 서식을 쓰세요. 이 줄과 1행은 지워도 됩니다.</t>
        </is>
      </c>
    </row>
  </sheetData>
  <mergeCells count="139">
    <mergeCell ref="E19:J19"/>
    <mergeCell ref="A15:B15"/>
    <mergeCell ref="C15:D15"/>
    <mergeCell ref="S21:T21"/>
    <mergeCell ref="U15:V15"/>
    <mergeCell ref="W15:X15"/>
    <mergeCell ref="E9:J9"/>
    <mergeCell ref="P17:R17"/>
    <mergeCell ref="M12:O12"/>
    <mergeCell ref="M21:O21"/>
    <mergeCell ref="A3:X3"/>
    <mergeCell ref="E11:J11"/>
    <mergeCell ref="P19:R19"/>
    <mergeCell ref="A5:F5"/>
    <mergeCell ref="U16:V16"/>
    <mergeCell ref="A32:X32"/>
    <mergeCell ref="P12:R12"/>
    <mergeCell ref="A29:X29"/>
    <mergeCell ref="S10:T10"/>
    <mergeCell ref="S19:T19"/>
    <mergeCell ref="P14:R14"/>
    <mergeCell ref="A17:B17"/>
    <mergeCell ref="S9:T9"/>
    <mergeCell ref="C17:D17"/>
    <mergeCell ref="A31:X31"/>
    <mergeCell ref="U25:X25"/>
    <mergeCell ref="Q26:T26"/>
    <mergeCell ref="A24:X24"/>
    <mergeCell ref="A19:B19"/>
    <mergeCell ref="M9:O9"/>
    <mergeCell ref="S20:T20"/>
    <mergeCell ref="C19:D19"/>
    <mergeCell ref="U20:V20"/>
    <mergeCell ref="U14:V14"/>
    <mergeCell ref="K26:P26"/>
    <mergeCell ref="W14:X14"/>
    <mergeCell ref="A9:B9"/>
    <mergeCell ref="K13:L13"/>
    <mergeCell ref="M20:O20"/>
    <mergeCell ref="A7:F7"/>
    <mergeCell ref="M11:O11"/>
    <mergeCell ref="E10:J10"/>
    <mergeCell ref="G7:X7"/>
    <mergeCell ref="A11:B11"/>
    <mergeCell ref="S12:T12"/>
    <mergeCell ref="K15:L15"/>
    <mergeCell ref="C14:D14"/>
    <mergeCell ref="M15:O15"/>
    <mergeCell ref="P16:R16"/>
    <mergeCell ref="K21:L21"/>
    <mergeCell ref="P18:R18"/>
    <mergeCell ref="S13:T13"/>
    <mergeCell ref="U13:V13"/>
    <mergeCell ref="M14:O14"/>
    <mergeCell ref="W16:X16"/>
    <mergeCell ref="S15:T15"/>
    <mergeCell ref="E12:J12"/>
    <mergeCell ref="U18:V18"/>
    <mergeCell ref="W18:X18"/>
    <mergeCell ref="E21:J21"/>
    <mergeCell ref="P20:R20"/>
    <mergeCell ref="A25:J25"/>
    <mergeCell ref="K17:L17"/>
    <mergeCell ref="A30:X30"/>
    <mergeCell ref="W17:X17"/>
    <mergeCell ref="W11:X11"/>
    <mergeCell ref="E14:J14"/>
    <mergeCell ref="A10:B10"/>
    <mergeCell ref="K10:L10"/>
    <mergeCell ref="K19:L19"/>
    <mergeCell ref="U10:V10"/>
    <mergeCell ref="C18:D18"/>
    <mergeCell ref="U19:V19"/>
    <mergeCell ref="W19:X19"/>
    <mergeCell ref="K16:L16"/>
    <mergeCell ref="P21:R21"/>
    <mergeCell ref="U9:V9"/>
    <mergeCell ref="K9:L9"/>
    <mergeCell ref="C20:D20"/>
    <mergeCell ref="K11:L11"/>
    <mergeCell ref="W20:X20"/>
    <mergeCell ref="M17:O17"/>
    <mergeCell ref="S14:T14"/>
    <mergeCell ref="A12:B12"/>
    <mergeCell ref="C12:D12"/>
    <mergeCell ref="A21:B21"/>
    <mergeCell ref="U12:V12"/>
    <mergeCell ref="M19:O19"/>
    <mergeCell ref="C21:D21"/>
    <mergeCell ref="W12:X12"/>
    <mergeCell ref="U21:V21"/>
    <mergeCell ref="W21:X21"/>
    <mergeCell ref="E18:J18"/>
    <mergeCell ref="A14:B14"/>
    <mergeCell ref="K25:P25"/>
    <mergeCell ref="P9:R9"/>
    <mergeCell ref="E20:J20"/>
    <mergeCell ref="K18:L18"/>
    <mergeCell ref="S16:T16"/>
    <mergeCell ref="M10:O10"/>
    <mergeCell ref="P11:R11"/>
    <mergeCell ref="W10:X10"/>
    <mergeCell ref="E13:J13"/>
    <mergeCell ref="M13:O13"/>
    <mergeCell ref="G6:X6"/>
    <mergeCell ref="M16:O16"/>
    <mergeCell ref="S18:T18"/>
    <mergeCell ref="E15:J15"/>
    <mergeCell ref="A16:B16"/>
    <mergeCell ref="S17:T17"/>
    <mergeCell ref="C10:D10"/>
    <mergeCell ref="C16:D16"/>
    <mergeCell ref="S11:T11"/>
    <mergeCell ref="U17:V17"/>
    <mergeCell ref="K20:L20"/>
    <mergeCell ref="U11:V11"/>
    <mergeCell ref="M18:O18"/>
    <mergeCell ref="U26:X26"/>
    <mergeCell ref="G5:X5"/>
    <mergeCell ref="P13:R13"/>
    <mergeCell ref="Q25:T25"/>
    <mergeCell ref="C9:D9"/>
    <mergeCell ref="A18:B18"/>
    <mergeCell ref="E16:J16"/>
    <mergeCell ref="P15:R15"/>
    <mergeCell ref="K12:L12"/>
    <mergeCell ref="C11:D11"/>
    <mergeCell ref="K14:L14"/>
    <mergeCell ref="W9:X9"/>
    <mergeCell ref="A20:B20"/>
    <mergeCell ref="P10:R10"/>
    <mergeCell ref="A1:L1"/>
    <mergeCell ref="E17:J17"/>
    <mergeCell ref="A6:F6"/>
    <mergeCell ref="A13:B13"/>
    <mergeCell ref="C13:D13"/>
    <mergeCell ref="M1:X1"/>
    <mergeCell ref="A26:J26"/>
    <mergeCell ref="W13:X13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콘크리트 압축강도 관리대장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설계기준강도</t>
        </is>
      </c>
      <c r="B6" s="5" t="n"/>
      <c r="C6" s="5" t="n"/>
      <c r="D6" s="5" t="n"/>
      <c r="E6" s="5" t="n"/>
      <c r="F6" s="5" t="n"/>
      <c r="G6" s="7" t="n">
        <v>24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시험기관</t>
        </is>
      </c>
      <c r="B7" s="5" t="n"/>
      <c r="C7" s="5" t="n"/>
      <c r="D7" s="5" t="n"/>
      <c r="E7" s="5" t="n"/>
      <c r="F7" s="5" t="n"/>
      <c r="G7" s="6" t="inlineStr">
        <is>
          <t>가나건설시험연구원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번호</t>
        </is>
      </c>
      <c r="B9" s="5" t="n"/>
      <c r="C9" s="8" t="inlineStr">
        <is>
          <t>타설일</t>
        </is>
      </c>
      <c r="D9" s="5" t="n"/>
      <c r="E9" s="8" t="inlineStr">
        <is>
          <t>타설 부위</t>
        </is>
      </c>
      <c r="F9" s="5" t="n"/>
      <c r="G9" s="5" t="n"/>
      <c r="H9" s="5" t="n"/>
      <c r="I9" s="5" t="n"/>
      <c r="J9" s="5" t="n"/>
      <c r="K9" s="8" t="inlineStr">
        <is>
          <t>규격</t>
        </is>
      </c>
      <c r="L9" s="5" t="n"/>
      <c r="M9" s="8" t="inlineStr">
        <is>
          <t>7일 강도</t>
        </is>
      </c>
      <c r="N9" s="5" t="n"/>
      <c r="O9" s="5" t="n"/>
      <c r="P9" s="8" t="inlineStr">
        <is>
          <t>28일 강도</t>
        </is>
      </c>
      <c r="Q9" s="5" t="n"/>
      <c r="R9" s="5" t="n"/>
      <c r="S9" s="8" t="inlineStr">
        <is>
          <t>기준 대비</t>
        </is>
      </c>
      <c r="T9" s="5" t="n"/>
      <c r="U9" s="8" t="inlineStr">
        <is>
          <t>판정</t>
        </is>
      </c>
      <c r="V9" s="5" t="n"/>
      <c r="W9" s="8" t="inlineStr">
        <is>
          <t>비고</t>
        </is>
      </c>
      <c r="X9" s="5" t="n"/>
    </row>
    <row r="10" ht="32" customHeight="1">
      <c r="A10" s="9">
        <f>IF(E10="","",COUNTA(E10:E10))</f>
        <v/>
      </c>
      <c r="B10" s="5" t="n"/>
      <c r="C10" s="10" t="n">
        <v>46261</v>
      </c>
      <c r="D10" s="5" t="n"/>
      <c r="E10" s="11" t="inlineStr">
        <is>
          <t>암거 A 저판</t>
        </is>
      </c>
      <c r="F10" s="5" t="n"/>
      <c r="G10" s="5" t="n"/>
      <c r="H10" s="5" t="n"/>
      <c r="I10" s="5" t="n"/>
      <c r="J10" s="5" t="n"/>
      <c r="K10" s="12" t="inlineStr">
        <is>
          <t>25-24-150</t>
        </is>
      </c>
      <c r="L10" s="5" t="n"/>
      <c r="M10" s="13" t="n">
        <v>17.8</v>
      </c>
      <c r="N10" s="5" t="n"/>
      <c r="O10" s="5" t="n"/>
      <c r="P10" s="13" t="n">
        <v>27.8</v>
      </c>
      <c r="Q10" s="5" t="n"/>
      <c r="R10" s="5" t="n"/>
      <c r="S10" s="14">
        <f>IF(OR(P10="",N(G6)=0),"",P10/G6)</f>
        <v/>
      </c>
      <c r="T10" s="5" t="n"/>
      <c r="U10" s="15">
        <f>IF(P10="","",IF(P10&lt;N(G6)-3.5,"불합격","합격"))</f>
        <v/>
      </c>
      <c r="V10" s="5" t="n"/>
      <c r="W10" s="12" t="n"/>
      <c r="X10" s="5" t="n"/>
    </row>
    <row r="11" ht="32" customHeight="1">
      <c r="A11" s="9">
        <f>IF(E11="","",COUNTA(E10:E11))</f>
        <v/>
      </c>
      <c r="B11" s="5" t="n"/>
      <c r="C11" s="10" t="n">
        <v>46268</v>
      </c>
      <c r="D11" s="5" t="n"/>
      <c r="E11" s="11" t="inlineStr">
        <is>
          <t>암거 A 벽체</t>
        </is>
      </c>
      <c r="F11" s="5" t="n"/>
      <c r="G11" s="5" t="n"/>
      <c r="H11" s="5" t="n"/>
      <c r="I11" s="5" t="n"/>
      <c r="J11" s="5" t="n"/>
      <c r="K11" s="12" t="inlineStr">
        <is>
          <t>25-24-150</t>
        </is>
      </c>
      <c r="L11" s="5" t="n"/>
      <c r="M11" s="13" t="n">
        <v>18.4</v>
      </c>
      <c r="N11" s="5" t="n"/>
      <c r="O11" s="5" t="n"/>
      <c r="P11" s="13" t="n">
        <v>26.4</v>
      </c>
      <c r="Q11" s="5" t="n"/>
      <c r="R11" s="5" t="n"/>
      <c r="S11" s="14">
        <f>IF(OR(P11="",N(G6)=0),"",P11/G6)</f>
        <v/>
      </c>
      <c r="T11" s="5" t="n"/>
      <c r="U11" s="15">
        <f>IF(P11="","",IF(P11&lt;N(G6)-3.5,"불합격","합격"))</f>
        <v/>
      </c>
      <c r="V11" s="5" t="n"/>
      <c r="W11" s="12" t="n"/>
      <c r="X11" s="5" t="n"/>
    </row>
    <row r="12" ht="32" customHeight="1">
      <c r="A12" s="9">
        <f>IF(E12="","",COUNTA(E10:E12))</f>
        <v/>
      </c>
      <c r="B12" s="5" t="n"/>
      <c r="C12" s="10" t="n">
        <v>46275</v>
      </c>
      <c r="D12" s="5" t="n"/>
      <c r="E12" s="11" t="inlineStr">
        <is>
          <t>암거 A 상판</t>
        </is>
      </c>
      <c r="F12" s="5" t="n"/>
      <c r="G12" s="5" t="n"/>
      <c r="H12" s="5" t="n"/>
      <c r="I12" s="5" t="n"/>
      <c r="J12" s="5" t="n"/>
      <c r="K12" s="12" t="inlineStr">
        <is>
          <t>25-24-150</t>
        </is>
      </c>
      <c r="L12" s="5" t="n"/>
      <c r="M12" s="13" t="n">
        <v>16.9</v>
      </c>
      <c r="N12" s="5" t="n"/>
      <c r="O12" s="5" t="n"/>
      <c r="P12" s="13" t="n">
        <v>25.1</v>
      </c>
      <c r="Q12" s="5" t="n"/>
      <c r="R12" s="5" t="n"/>
      <c r="S12" s="14">
        <f>IF(OR(P12="",N(G6)=0),"",P12/G6)</f>
        <v/>
      </c>
      <c r="T12" s="5" t="n"/>
      <c r="U12" s="9">
        <f>IF(P12="","",IF(P12&lt;N(G6)-3.5,"불합격",IF(COUNT(P10:P12)&lt;3,"합격",IF(AVERAGE(P10:P12)&lt;N(G6),"불합격","합격"))))</f>
        <v/>
      </c>
      <c r="V12" s="5" t="n"/>
      <c r="W12" s="12" t="n"/>
      <c r="X12" s="5" t="n"/>
    </row>
    <row r="13" ht="32" customHeight="1">
      <c r="A13" s="9">
        <f>IF(E13="","",COUNTA(E10:E13))</f>
        <v/>
      </c>
      <c r="B13" s="5" t="n"/>
      <c r="C13" s="10" t="n">
        <v>46282</v>
      </c>
      <c r="D13" s="5" t="n"/>
      <c r="E13" s="11" t="inlineStr">
        <is>
          <t>암거 B 저판</t>
        </is>
      </c>
      <c r="F13" s="5" t="n"/>
      <c r="G13" s="5" t="n"/>
      <c r="H13" s="5" t="n"/>
      <c r="I13" s="5" t="n"/>
      <c r="J13" s="5" t="n"/>
      <c r="K13" s="12" t="inlineStr">
        <is>
          <t>25-24-150</t>
        </is>
      </c>
      <c r="L13" s="5" t="n"/>
      <c r="M13" s="13" t="n">
        <v>16.2</v>
      </c>
      <c r="N13" s="5" t="n"/>
      <c r="O13" s="5" t="n"/>
      <c r="P13" s="13" t="n">
        <v>23.2</v>
      </c>
      <c r="Q13" s="5" t="n"/>
      <c r="R13" s="5" t="n"/>
      <c r="S13" s="14">
        <f>IF(OR(P13="",N(G6)=0),"",P13/G6)</f>
        <v/>
      </c>
      <c r="T13" s="5" t="n"/>
      <c r="U13" s="9">
        <f>IF(P13="","",IF(P13&lt;N(G6)-3.5,"불합격",IF(COUNT(P11:P13)&lt;3,"합격",IF(AVERAGE(P11:P13)&lt;N(G6),"불합격","합격"))))</f>
        <v/>
      </c>
      <c r="V13" s="5" t="n"/>
      <c r="W13" s="12" t="n"/>
      <c r="X13" s="5" t="n"/>
    </row>
    <row r="14" ht="22" customHeight="1">
      <c r="A14" s="9">
        <f>IF(E14="","",COUNTA(E10:E14))</f>
        <v/>
      </c>
      <c r="B14" s="5" t="n"/>
      <c r="C14" s="10" t="n"/>
      <c r="D14" s="5" t="n"/>
      <c r="E14" s="11" t="n"/>
      <c r="F14" s="5" t="n"/>
      <c r="G14" s="5" t="n"/>
      <c r="H14" s="5" t="n"/>
      <c r="I14" s="5" t="n"/>
      <c r="J14" s="5" t="n"/>
      <c r="K14" s="12" t="n"/>
      <c r="L14" s="5" t="n"/>
      <c r="M14" s="13" t="n"/>
      <c r="N14" s="5" t="n"/>
      <c r="O14" s="5" t="n"/>
      <c r="P14" s="13" t="n"/>
      <c r="Q14" s="5" t="n"/>
      <c r="R14" s="5" t="n"/>
      <c r="S14" s="14">
        <f>IF(OR(P14="",N(G6)=0),"",P14/G6)</f>
        <v/>
      </c>
      <c r="T14" s="5" t="n"/>
      <c r="U14" s="9">
        <f>IF(P14="","",IF(P14&lt;N(G6)-3.5,"불합격",IF(COUNT(P12:P14)&lt;3,"합격",IF(AVERAGE(P12:P14)&lt;N(G6),"불합격","합격"))))</f>
        <v/>
      </c>
      <c r="V14" s="5" t="n"/>
      <c r="W14" s="12" t="n"/>
      <c r="X14" s="5" t="n"/>
    </row>
    <row r="15" ht="22" customHeight="1">
      <c r="A15" s="9">
        <f>IF(E15="","",COUNTA(E10:E15))</f>
        <v/>
      </c>
      <c r="B15" s="5" t="n"/>
      <c r="C15" s="10" t="n"/>
      <c r="D15" s="5" t="n"/>
      <c r="E15" s="11" t="n"/>
      <c r="F15" s="5" t="n"/>
      <c r="G15" s="5" t="n"/>
      <c r="H15" s="5" t="n"/>
      <c r="I15" s="5" t="n"/>
      <c r="J15" s="5" t="n"/>
      <c r="K15" s="12" t="n"/>
      <c r="L15" s="5" t="n"/>
      <c r="M15" s="13" t="n"/>
      <c r="N15" s="5" t="n"/>
      <c r="O15" s="5" t="n"/>
      <c r="P15" s="13" t="n"/>
      <c r="Q15" s="5" t="n"/>
      <c r="R15" s="5" t="n"/>
      <c r="S15" s="14">
        <f>IF(OR(P15="",N(G6)=0),"",P15/G6)</f>
        <v/>
      </c>
      <c r="T15" s="5" t="n"/>
      <c r="U15" s="9">
        <f>IF(P15="","",IF(P15&lt;N(G6)-3.5,"불합격",IF(COUNT(P13:P15)&lt;3,"합격",IF(AVERAGE(P13:P15)&lt;N(G6),"불합격","합격"))))</f>
        <v/>
      </c>
      <c r="V15" s="5" t="n"/>
      <c r="W15" s="12" t="n"/>
      <c r="X15" s="5" t="n"/>
    </row>
    <row r="16" ht="22" customHeight="1">
      <c r="A16" s="9">
        <f>IF(E16="","",COUNTA(E10:E16))</f>
        <v/>
      </c>
      <c r="B16" s="5" t="n"/>
      <c r="C16" s="10" t="n"/>
      <c r="D16" s="5" t="n"/>
      <c r="E16" s="11" t="n"/>
      <c r="F16" s="5" t="n"/>
      <c r="G16" s="5" t="n"/>
      <c r="H16" s="5" t="n"/>
      <c r="I16" s="5" t="n"/>
      <c r="J16" s="5" t="n"/>
      <c r="K16" s="12" t="n"/>
      <c r="L16" s="5" t="n"/>
      <c r="M16" s="13" t="n"/>
      <c r="N16" s="5" t="n"/>
      <c r="O16" s="5" t="n"/>
      <c r="P16" s="13" t="n"/>
      <c r="Q16" s="5" t="n"/>
      <c r="R16" s="5" t="n"/>
      <c r="S16" s="14">
        <f>IF(OR(P16="",N(G6)=0),"",P16/G6)</f>
        <v/>
      </c>
      <c r="T16" s="5" t="n"/>
      <c r="U16" s="9">
        <f>IF(P16="","",IF(P16&lt;N(G6)-3.5,"불합격",IF(COUNT(P14:P16)&lt;3,"합격",IF(AVERAGE(P14:P16)&lt;N(G6),"불합격","합격"))))</f>
        <v/>
      </c>
      <c r="V16" s="5" t="n"/>
      <c r="W16" s="12" t="n"/>
      <c r="X16" s="5" t="n"/>
    </row>
    <row r="17" ht="22" customHeight="1">
      <c r="A17" s="9">
        <f>IF(E17="","",COUNTA(E10:E17))</f>
        <v/>
      </c>
      <c r="B17" s="5" t="n"/>
      <c r="C17" s="10" t="n"/>
      <c r="D17" s="5" t="n"/>
      <c r="E17" s="11" t="n"/>
      <c r="F17" s="5" t="n"/>
      <c r="G17" s="5" t="n"/>
      <c r="H17" s="5" t="n"/>
      <c r="I17" s="5" t="n"/>
      <c r="J17" s="5" t="n"/>
      <c r="K17" s="12" t="n"/>
      <c r="L17" s="5" t="n"/>
      <c r="M17" s="13" t="n"/>
      <c r="N17" s="5" t="n"/>
      <c r="O17" s="5" t="n"/>
      <c r="P17" s="13" t="n"/>
      <c r="Q17" s="5" t="n"/>
      <c r="R17" s="5" t="n"/>
      <c r="S17" s="14">
        <f>IF(OR(P17="",N(G6)=0),"",P17/G6)</f>
        <v/>
      </c>
      <c r="T17" s="5" t="n"/>
      <c r="U17" s="9">
        <f>IF(P17="","",IF(P17&lt;N(G6)-3.5,"불합격",IF(COUNT(P15:P17)&lt;3,"합격",IF(AVERAGE(P15:P17)&lt;N(G6),"불합격","합격"))))</f>
        <v/>
      </c>
      <c r="V17" s="5" t="n"/>
      <c r="W17" s="12" t="n"/>
      <c r="X17" s="5" t="n"/>
    </row>
    <row r="18" ht="22" customHeight="1">
      <c r="A18" s="9">
        <f>IF(E18="","",COUNTA(E10:E18))</f>
        <v/>
      </c>
      <c r="B18" s="5" t="n"/>
      <c r="C18" s="10" t="n"/>
      <c r="D18" s="5" t="n"/>
      <c r="E18" s="11" t="n"/>
      <c r="F18" s="5" t="n"/>
      <c r="G18" s="5" t="n"/>
      <c r="H18" s="5" t="n"/>
      <c r="I18" s="5" t="n"/>
      <c r="J18" s="5" t="n"/>
      <c r="K18" s="12" t="n"/>
      <c r="L18" s="5" t="n"/>
      <c r="M18" s="13" t="n"/>
      <c r="N18" s="5" t="n"/>
      <c r="O18" s="5" t="n"/>
      <c r="P18" s="13" t="n"/>
      <c r="Q18" s="5" t="n"/>
      <c r="R18" s="5" t="n"/>
      <c r="S18" s="14">
        <f>IF(OR(P18="",N(G6)=0),"",P18/G6)</f>
        <v/>
      </c>
      <c r="T18" s="5" t="n"/>
      <c r="U18" s="9">
        <f>IF(P18="","",IF(P18&lt;N(G6)-3.5,"불합격",IF(COUNT(P16:P18)&lt;3,"합격",IF(AVERAGE(P16:P18)&lt;N(G6),"불합격","합격"))))</f>
        <v/>
      </c>
      <c r="V18" s="5" t="n"/>
      <c r="W18" s="12" t="n"/>
      <c r="X18" s="5" t="n"/>
    </row>
    <row r="19" ht="22" customHeight="1">
      <c r="A19" s="9">
        <f>IF(E19="","",COUNTA(E10:E19))</f>
        <v/>
      </c>
      <c r="B19" s="5" t="n"/>
      <c r="C19" s="10" t="n"/>
      <c r="D19" s="5" t="n"/>
      <c r="E19" s="11" t="n"/>
      <c r="F19" s="5" t="n"/>
      <c r="G19" s="5" t="n"/>
      <c r="H19" s="5" t="n"/>
      <c r="I19" s="5" t="n"/>
      <c r="J19" s="5" t="n"/>
      <c r="K19" s="12" t="n"/>
      <c r="L19" s="5" t="n"/>
      <c r="M19" s="13" t="n"/>
      <c r="N19" s="5" t="n"/>
      <c r="O19" s="5" t="n"/>
      <c r="P19" s="13" t="n"/>
      <c r="Q19" s="5" t="n"/>
      <c r="R19" s="5" t="n"/>
      <c r="S19" s="14">
        <f>IF(OR(P19="",N(G6)=0),"",P19/G6)</f>
        <v/>
      </c>
      <c r="T19" s="5" t="n"/>
      <c r="U19" s="9">
        <f>IF(P19="","",IF(P19&lt;N(G6)-3.5,"불합격",IF(COUNT(P17:P19)&lt;3,"합격",IF(AVERAGE(P17:P19)&lt;N(G6),"불합격","합격"))))</f>
        <v/>
      </c>
      <c r="V19" s="5" t="n"/>
      <c r="W19" s="12" t="n"/>
      <c r="X19" s="5" t="n"/>
    </row>
    <row r="20" ht="22" customHeight="1">
      <c r="A20" s="9">
        <f>IF(E20="","",COUNTA(E10:E20))</f>
        <v/>
      </c>
      <c r="B20" s="5" t="n"/>
      <c r="C20" s="10" t="n"/>
      <c r="D20" s="5" t="n"/>
      <c r="E20" s="11" t="n"/>
      <c r="F20" s="5" t="n"/>
      <c r="G20" s="5" t="n"/>
      <c r="H20" s="5" t="n"/>
      <c r="I20" s="5" t="n"/>
      <c r="J20" s="5" t="n"/>
      <c r="K20" s="12" t="n"/>
      <c r="L20" s="5" t="n"/>
      <c r="M20" s="13" t="n"/>
      <c r="N20" s="5" t="n"/>
      <c r="O20" s="5" t="n"/>
      <c r="P20" s="13" t="n"/>
      <c r="Q20" s="5" t="n"/>
      <c r="R20" s="5" t="n"/>
      <c r="S20" s="14">
        <f>IF(OR(P20="",N(G6)=0),"",P20/G6)</f>
        <v/>
      </c>
      <c r="T20" s="5" t="n"/>
      <c r="U20" s="9">
        <f>IF(P20="","",IF(P20&lt;N(G6)-3.5,"불합격",IF(COUNT(P18:P20)&lt;3,"합격",IF(AVERAGE(P18:P20)&lt;N(G6),"불합격","합격"))))</f>
        <v/>
      </c>
      <c r="V20" s="5" t="n"/>
      <c r="W20" s="12" t="n"/>
      <c r="X20" s="5" t="n"/>
    </row>
    <row r="21" ht="22" customHeight="1">
      <c r="A21" s="9">
        <f>IF(E21="","",COUNTA(E10:E21))</f>
        <v/>
      </c>
      <c r="B21" s="5" t="n"/>
      <c r="C21" s="10" t="n"/>
      <c r="D21" s="5" t="n"/>
      <c r="E21" s="11" t="n"/>
      <c r="F21" s="5" t="n"/>
      <c r="G21" s="5" t="n"/>
      <c r="H21" s="5" t="n"/>
      <c r="I21" s="5" t="n"/>
      <c r="J21" s="5" t="n"/>
      <c r="K21" s="12" t="n"/>
      <c r="L21" s="5" t="n"/>
      <c r="M21" s="13" t="n"/>
      <c r="N21" s="5" t="n"/>
      <c r="O21" s="5" t="n"/>
      <c r="P21" s="13" t="n"/>
      <c r="Q21" s="5" t="n"/>
      <c r="R21" s="5" t="n"/>
      <c r="S21" s="14">
        <f>IF(OR(P21="",N(G6)=0),"",P21/G6)</f>
        <v/>
      </c>
      <c r="T21" s="5" t="n"/>
      <c r="U21" s="9">
        <f>IF(P21="","",IF(P21&lt;N(G6)-3.5,"불합격",IF(COUNT(P19:P21)&lt;3,"합격",IF(AVERAGE(P19:P21)&lt;N(G6),"불합격","합격"))))</f>
        <v/>
      </c>
      <c r="V21" s="5" t="n"/>
      <c r="W21" s="12" t="n"/>
      <c r="X21" s="5" t="n"/>
    </row>
    <row r="22" ht="6" customHeight="1"/>
    <row r="23" ht="10" customHeight="1"/>
    <row r="24" ht="26" customHeight="1">
      <c r="A24" s="16" t="n">
        <v>46294</v>
      </c>
    </row>
    <row r="25" ht="24" customHeight="1">
      <c r="A25" s="17" t="inlineStr"/>
      <c r="K25" s="18" t="inlineStr">
        <is>
          <t>품질담당</t>
        </is>
      </c>
      <c r="Q25" s="19" t="inlineStr">
        <is>
          <t>한품질</t>
        </is>
      </c>
      <c r="U25" s="20" t="inlineStr">
        <is>
          <t>(서명 또는 인)</t>
        </is>
      </c>
    </row>
    <row r="26" ht="24" customHeight="1">
      <c r="A26" s="17" t="inlineStr"/>
      <c r="K26" s="18" t="inlineStr">
        <is>
          <t>현장대리인</t>
        </is>
      </c>
      <c r="Q26" s="19" t="inlineStr">
        <is>
          <t>김철수</t>
        </is>
      </c>
      <c r="U26" s="20" t="inlineStr">
        <is>
          <t>(서명 또는 인)</t>
        </is>
      </c>
    </row>
    <row r="27" ht="6" customHeight="1"/>
    <row r="29" ht="19.5" customHeight="1">
      <c r="A29" s="21" t="inlineStr">
        <is>
          <t>이 시트는 작성 예시입니다(가상의 현장 · 이름 · 금액). 실제로는 앞 시트에 적으세요.</t>
        </is>
      </c>
    </row>
  </sheetData>
  <mergeCells count="136">
    <mergeCell ref="E19:J19"/>
    <mergeCell ref="A15:B15"/>
    <mergeCell ref="C15:D15"/>
    <mergeCell ref="S21:T21"/>
    <mergeCell ref="U15:V15"/>
    <mergeCell ref="W15:X15"/>
    <mergeCell ref="E9:J9"/>
    <mergeCell ref="P17:R17"/>
    <mergeCell ref="M12:O12"/>
    <mergeCell ref="M21:O21"/>
    <mergeCell ref="A3:X3"/>
    <mergeCell ref="E11:J11"/>
    <mergeCell ref="P19:R19"/>
    <mergeCell ref="A5:F5"/>
    <mergeCell ref="U16:V16"/>
    <mergeCell ref="P12:R12"/>
    <mergeCell ref="A29:X29"/>
    <mergeCell ref="S10:T10"/>
    <mergeCell ref="S19:T19"/>
    <mergeCell ref="P14:R14"/>
    <mergeCell ref="A17:B17"/>
    <mergeCell ref="S9:T9"/>
    <mergeCell ref="C17:D17"/>
    <mergeCell ref="U25:X25"/>
    <mergeCell ref="Q26:T26"/>
    <mergeCell ref="A24:X24"/>
    <mergeCell ref="A19:B19"/>
    <mergeCell ref="M9:O9"/>
    <mergeCell ref="S20:T20"/>
    <mergeCell ref="C19:D19"/>
    <mergeCell ref="U20:V20"/>
    <mergeCell ref="U14:V14"/>
    <mergeCell ref="K26:P26"/>
    <mergeCell ref="W14:X14"/>
    <mergeCell ref="A9:B9"/>
    <mergeCell ref="K13:L13"/>
    <mergeCell ref="M20:O20"/>
    <mergeCell ref="A7:F7"/>
    <mergeCell ref="M11:O11"/>
    <mergeCell ref="E10:J10"/>
    <mergeCell ref="G7:X7"/>
    <mergeCell ref="A11:B11"/>
    <mergeCell ref="S12:T12"/>
    <mergeCell ref="K15:L15"/>
    <mergeCell ref="C14:D14"/>
    <mergeCell ref="M15:O15"/>
    <mergeCell ref="P16:R16"/>
    <mergeCell ref="K21:L21"/>
    <mergeCell ref="P18:R18"/>
    <mergeCell ref="S13:T13"/>
    <mergeCell ref="U13:V13"/>
    <mergeCell ref="M14:O14"/>
    <mergeCell ref="W16:X16"/>
    <mergeCell ref="S15:T15"/>
    <mergeCell ref="E12:J12"/>
    <mergeCell ref="U18:V18"/>
    <mergeCell ref="W18:X18"/>
    <mergeCell ref="E21:J21"/>
    <mergeCell ref="P20:R20"/>
    <mergeCell ref="A25:J25"/>
    <mergeCell ref="K17:L17"/>
    <mergeCell ref="W17:X17"/>
    <mergeCell ref="W11:X11"/>
    <mergeCell ref="E14:J14"/>
    <mergeCell ref="A10:B10"/>
    <mergeCell ref="K10:L10"/>
    <mergeCell ref="K19:L19"/>
    <mergeCell ref="U10:V10"/>
    <mergeCell ref="C18:D18"/>
    <mergeCell ref="U19:V19"/>
    <mergeCell ref="W19:X19"/>
    <mergeCell ref="K16:L16"/>
    <mergeCell ref="P21:R21"/>
    <mergeCell ref="U9:V9"/>
    <mergeCell ref="K9:L9"/>
    <mergeCell ref="C20:D20"/>
    <mergeCell ref="K11:L11"/>
    <mergeCell ref="W20:X20"/>
    <mergeCell ref="M17:O17"/>
    <mergeCell ref="S14:T14"/>
    <mergeCell ref="A12:B12"/>
    <mergeCell ref="C12:D12"/>
    <mergeCell ref="A21:B21"/>
    <mergeCell ref="U12:V12"/>
    <mergeCell ref="M19:O19"/>
    <mergeCell ref="C21:D21"/>
    <mergeCell ref="W12:X12"/>
    <mergeCell ref="U21:V21"/>
    <mergeCell ref="W21:X21"/>
    <mergeCell ref="E18:J18"/>
    <mergeCell ref="A14:B14"/>
    <mergeCell ref="K25:P25"/>
    <mergeCell ref="P9:R9"/>
    <mergeCell ref="E20:J20"/>
    <mergeCell ref="K18:L18"/>
    <mergeCell ref="S16:T16"/>
    <mergeCell ref="M10:O10"/>
    <mergeCell ref="P11:R11"/>
    <mergeCell ref="W10:X10"/>
    <mergeCell ref="E13:J13"/>
    <mergeCell ref="M13:O13"/>
    <mergeCell ref="G6:X6"/>
    <mergeCell ref="M16:O16"/>
    <mergeCell ref="S18:T18"/>
    <mergeCell ref="E15:J15"/>
    <mergeCell ref="A16:B16"/>
    <mergeCell ref="S17:T17"/>
    <mergeCell ref="C10:D10"/>
    <mergeCell ref="C16:D16"/>
    <mergeCell ref="S11:T11"/>
    <mergeCell ref="U17:V17"/>
    <mergeCell ref="K20:L20"/>
    <mergeCell ref="U11:V11"/>
    <mergeCell ref="M18:O18"/>
    <mergeCell ref="U26:X26"/>
    <mergeCell ref="G5:X5"/>
    <mergeCell ref="P13:R13"/>
    <mergeCell ref="Q25:T25"/>
    <mergeCell ref="C9:D9"/>
    <mergeCell ref="A18:B18"/>
    <mergeCell ref="E16:J16"/>
    <mergeCell ref="P15:R15"/>
    <mergeCell ref="K12:L12"/>
    <mergeCell ref="C11:D11"/>
    <mergeCell ref="K14:L14"/>
    <mergeCell ref="W9:X9"/>
    <mergeCell ref="A20:B20"/>
    <mergeCell ref="P10:R10"/>
    <mergeCell ref="A1:L1"/>
    <mergeCell ref="E17:J17"/>
    <mergeCell ref="A6:F6"/>
    <mergeCell ref="A13:B13"/>
    <mergeCell ref="C13:D13"/>
    <mergeCell ref="M1:X1"/>
    <mergeCell ref="A26:J26"/>
    <mergeCell ref="W13:X13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콘크리트 압축강도 관리대장</dc:title>
  <dcterms:created xmlns:dcterms="http://purl.org/dc/terms/" xmlns:xsi="http://www.w3.org/2001/XMLSchema-instance" xsi:type="dcterms:W3CDTF">2026-09-29T05:47:42Z</dcterms:created>
  <dcterms:modified xmlns:dcterms="http://purl.org/dc/terms/" xmlns:xsi="http://www.w3.org/2001/XMLSchema-instance" xsi:type="dcterms:W3CDTF">2026-09-29T05:47:42Z</dcterms:modified>
</cp:coreProperties>
</file>