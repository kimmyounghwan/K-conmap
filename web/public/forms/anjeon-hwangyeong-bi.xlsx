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VXXX" sheetId="1" state="hidden" r:id="rId3"/>
    <sheet name="안전관리비사용계획서" sheetId="2" state="visible" r:id="rId4"/>
    <sheet name="안전관리비세부내역" sheetId="3" state="visible" r:id="rId5"/>
    <sheet name="환경보전비계획서" sheetId="4" state="visible" r:id="rId6"/>
    <sheet name="환경보전비세부내역서" sheetId="5" state="visible" r:id="rId7"/>
  </sheets>
  <definedNames>
    <definedName function="false" hidden="false" localSheetId="2" name="_xlnm.Print_Area" vbProcedure="false">안전관리비세부내역!$A$1:$H$38</definedName>
    <definedName function="false" hidden="false" localSheetId="2" name="_xlnm.Print_Titles" vbProcedure="false">안전관리비세부내역!$1:$4</definedName>
    <definedName function="false" hidden="false" localSheetId="4" name="_xlnm.Print_Area" vbProcedure="false">환경보전비세부내역서!$A$1:$H$27</definedName>
    <definedName function="false" hidden="false" localSheetId="4" name="_xlnm.Print_Titles" vbProcedure="false">환경보전비세부내역서!$3:$4</definedName>
    <definedName function="false" hidden="false" name="_xlfn_SINGL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<sst xmlns="http://schemas.openxmlformats.org/spreadsheetml/2006/main" count="165" uniqueCount="110">
  <si>
    <t xml:space="preserve">산업안전보건관리비 사용계획서</t>
  </si>
  <si>
    <t xml:space="preserve">건설업체명</t>
  </si>
  <si>
    <t xml:space="preserve">대영스틸주식회사</t>
  </si>
  <si>
    <t xml:space="preserve">공   사   명</t>
  </si>
  <si>
    <r>
      <rPr>
        <sz val="10"/>
        <rFont val="Noto Sans CJK SC"/>
        <family val="2"/>
      </rPr>
      <t xml:space="preserve">국도</t>
    </r>
    <r>
      <rPr>
        <sz val="10"/>
        <rFont val="맑은 고딕"/>
        <family val="3"/>
        <charset val="129"/>
      </rPr>
      <t xml:space="preserve">17</t>
    </r>
    <r>
      <rPr>
        <sz val="10"/>
        <rFont val="Noto Sans CJK SC"/>
        <family val="2"/>
      </rPr>
      <t xml:space="preserve">호선월등계월지구도로정비공사</t>
    </r>
  </si>
  <si>
    <t xml:space="preserve">소  재  지</t>
  </si>
  <si>
    <r>
      <rPr>
        <sz val="11"/>
        <rFont val="Noto Sans CJK SC"/>
        <family val="2"/>
      </rPr>
      <t xml:space="preserve">전남장성군동화면연산로</t>
    </r>
    <r>
      <rPr>
        <sz val="11"/>
        <rFont val="맑은 고딕"/>
        <family val="3"/>
        <charset val="129"/>
      </rPr>
      <t xml:space="preserve">149</t>
    </r>
  </si>
  <si>
    <t xml:space="preserve">대  표  자</t>
  </si>
  <si>
    <t xml:space="preserve">주영완</t>
  </si>
  <si>
    <t xml:space="preserve">공사 금액</t>
  </si>
  <si>
    <t xml:space="preserve">공사기간</t>
  </si>
  <si>
    <r>
      <rPr>
        <sz val="11"/>
        <rFont val="휴먼명조"/>
        <family val="3"/>
        <charset val="129"/>
      </rPr>
      <t xml:space="preserve">2025.06.</t>
    </r>
    <r>
      <rPr>
        <sz val="11"/>
        <rFont val="맑은 고딕"/>
        <family val="3"/>
        <charset val="129"/>
      </rPr>
      <t xml:space="preserve">27</t>
    </r>
    <r>
      <rPr>
        <sz val="11"/>
        <rFont val="휴먼명조"/>
        <family val="3"/>
        <charset val="129"/>
      </rPr>
      <t xml:space="preserve"> ~ 2026.06.</t>
    </r>
    <r>
      <rPr>
        <sz val="11"/>
        <rFont val="맑은 고딕"/>
        <family val="3"/>
        <charset val="129"/>
      </rPr>
      <t xml:space="preserve">21</t>
    </r>
  </si>
  <si>
    <t xml:space="preserve">발  주  자</t>
  </si>
  <si>
    <t xml:space="preserve">순천국토관리사무소</t>
  </si>
  <si>
    <t xml:space="preserve">누계공정율</t>
  </si>
  <si>
    <t xml:space="preserve">계  상  된
안전관리비</t>
  </si>
  <si>
    <t xml:space="preserve">사용계획
안전관리비</t>
  </si>
  <si>
    <t xml:space="preserve">계     획     금     액</t>
  </si>
  <si>
    <t xml:space="preserve">항          목</t>
  </si>
  <si>
    <t xml:space="preserve">계 획 금 액</t>
  </si>
  <si>
    <t xml:space="preserve">비      율</t>
  </si>
  <si>
    <t xml:space="preserve">비      고</t>
  </si>
  <si>
    <r>
      <rPr>
        <sz val="11"/>
        <rFont val="휴먼명조"/>
        <family val="3"/>
        <charset val="129"/>
      </rPr>
      <t xml:space="preserve">1. </t>
    </r>
    <r>
      <rPr>
        <sz val="11"/>
        <rFont val="Noto Sans CJK SC"/>
        <family val="2"/>
      </rPr>
      <t xml:space="preserve">안전보건관계자 인건비 등</t>
    </r>
  </si>
  <si>
    <r>
      <rPr>
        <sz val="11"/>
        <rFont val="휴먼명조"/>
        <family val="3"/>
        <charset val="129"/>
      </rPr>
      <t xml:space="preserve">2. </t>
    </r>
    <r>
      <rPr>
        <sz val="11"/>
        <rFont val="Noto Sans CJK SC"/>
        <family val="2"/>
      </rPr>
      <t xml:space="preserve">안전시설비등</t>
    </r>
  </si>
  <si>
    <r>
      <rPr>
        <sz val="11"/>
        <rFont val="휴먼명조"/>
        <family val="3"/>
        <charset val="129"/>
      </rPr>
      <t xml:space="preserve">3. </t>
    </r>
    <r>
      <rPr>
        <sz val="11"/>
        <rFont val="Noto Sans CJK SC"/>
        <family val="2"/>
      </rPr>
      <t xml:space="preserve">개인보호구 및 안전장구 구입비등</t>
    </r>
  </si>
  <si>
    <r>
      <rPr>
        <sz val="11"/>
        <rFont val="휴먼명조"/>
        <family val="3"/>
        <charset val="129"/>
      </rPr>
      <t xml:space="preserve">4. </t>
    </r>
    <r>
      <rPr>
        <sz val="11"/>
        <rFont val="Noto Sans CJK SC"/>
        <family val="2"/>
      </rPr>
      <t xml:space="preserve">사업장 안전진단비 등</t>
    </r>
  </si>
  <si>
    <r>
      <rPr>
        <sz val="11"/>
        <rFont val="휴먼명조"/>
        <family val="3"/>
        <charset val="129"/>
      </rPr>
      <t xml:space="preserve">5. </t>
    </r>
    <r>
      <rPr>
        <sz val="11"/>
        <rFont val="Noto Sans CJK SC"/>
        <family val="2"/>
      </rPr>
      <t xml:space="preserve">안전보건교육비 및 행사비 등</t>
    </r>
  </si>
  <si>
    <r>
      <rPr>
        <sz val="11"/>
        <rFont val="휴먼명조"/>
        <family val="3"/>
        <charset val="129"/>
      </rPr>
      <t xml:space="preserve">6. </t>
    </r>
    <r>
      <rPr>
        <sz val="11"/>
        <rFont val="Noto Sans CJK SC"/>
        <family val="2"/>
      </rPr>
      <t xml:space="preserve">근로자 건강관리비 등</t>
    </r>
  </si>
  <si>
    <r>
      <rPr>
        <sz val="11"/>
        <rFont val="휴먼명조"/>
        <family val="3"/>
        <charset val="129"/>
      </rPr>
      <t xml:space="preserve">7. </t>
    </r>
    <r>
      <rPr>
        <sz val="11"/>
        <rFont val="Noto Sans CJK SC"/>
        <family val="2"/>
      </rPr>
      <t xml:space="preserve">재해예방 기술지도 수수료</t>
    </r>
  </si>
  <si>
    <r>
      <rPr>
        <sz val="11"/>
        <rFont val="휴먼명조"/>
        <family val="3"/>
        <charset val="129"/>
      </rPr>
      <t xml:space="preserve">8. </t>
    </r>
    <r>
      <rPr>
        <sz val="11"/>
        <rFont val="Noto Sans CJK SC"/>
        <family val="2"/>
      </rPr>
      <t xml:space="preserve">본사 사용비</t>
    </r>
  </si>
  <si>
    <t xml:space="preserve">합                    계</t>
  </si>
  <si>
    <r>
      <rPr>
        <sz val="11"/>
        <rFont val="Noto Sans CJK SC"/>
        <family val="2"/>
      </rPr>
      <t xml:space="preserve">    건설업 산업안전보건관리비 계상 및 사용기준 제</t>
    </r>
    <r>
      <rPr>
        <sz val="11"/>
        <rFont val="휴먼명조"/>
        <family val="3"/>
        <charset val="129"/>
      </rPr>
      <t xml:space="preserve">10</t>
    </r>
    <r>
      <rPr>
        <sz val="11"/>
        <rFont val="Noto Sans CJK SC"/>
        <family val="2"/>
      </rPr>
      <t xml:space="preserve">조제</t>
    </r>
    <r>
      <rPr>
        <sz val="11"/>
        <rFont val="휴먼명조"/>
        <family val="3"/>
        <charset val="129"/>
      </rPr>
      <t xml:space="preserve">1</t>
    </r>
    <r>
      <rPr>
        <sz val="11"/>
        <rFont val="Noto Sans CJK SC"/>
        <family val="2"/>
      </rPr>
      <t xml:space="preserve">항의 규정에 의하여</t>
    </r>
  </si>
  <si>
    <r>
      <rPr>
        <sz val="11"/>
        <rFont val="Noto Sans CJK SC"/>
        <family val="2"/>
      </rPr>
      <t xml:space="preserve">   위와같이 당 현장의 산업안전보건관리비 사용계획서를 제출합니다</t>
    </r>
    <r>
      <rPr>
        <sz val="11"/>
        <rFont val="휴먼명조"/>
        <family val="3"/>
        <charset val="129"/>
      </rPr>
      <t xml:space="preserve">.</t>
    </r>
  </si>
  <si>
    <r>
      <rPr>
        <sz val="11"/>
        <rFont val="휴먼명조"/>
        <family val="3"/>
        <charset val="129"/>
      </rPr>
      <t xml:space="preserve">2025</t>
    </r>
    <r>
      <rPr>
        <sz val="11"/>
        <rFont val="Noto Sans CJK SC"/>
        <family val="2"/>
      </rPr>
      <t xml:space="preserve">년   </t>
    </r>
    <r>
      <rPr>
        <sz val="11"/>
        <rFont val="휴먼명조"/>
        <family val="3"/>
        <charset val="129"/>
      </rPr>
      <t xml:space="preserve">06</t>
    </r>
    <r>
      <rPr>
        <sz val="11"/>
        <rFont val="Noto Sans CJK SC"/>
        <family val="2"/>
      </rPr>
      <t xml:space="preserve">월   </t>
    </r>
    <r>
      <rPr>
        <sz val="11"/>
        <rFont val="휴먼명조"/>
        <family val="3"/>
        <charset val="129"/>
      </rPr>
      <t xml:space="preserve">09</t>
    </r>
    <r>
      <rPr>
        <sz val="11"/>
        <rFont val="Noto Sans CJK SC"/>
        <family val="2"/>
      </rPr>
      <t xml:space="preserve">일</t>
    </r>
  </si>
  <si>
    <r>
      <rPr>
        <b val="true"/>
        <sz val="12"/>
        <rFont val="Noto Sans CJK SC"/>
        <family val="2"/>
      </rPr>
      <t xml:space="preserve">주     소 </t>
    </r>
    <r>
      <rPr>
        <b val="true"/>
        <sz val="12"/>
        <rFont val="휴먼명조"/>
        <family val="3"/>
        <charset val="129"/>
      </rPr>
      <t xml:space="preserve">: </t>
    </r>
  </si>
  <si>
    <t xml:space="preserve">            </t>
  </si>
  <si>
    <r>
      <rPr>
        <b val="true"/>
        <sz val="12"/>
        <rFont val="Noto Sans CJK SC"/>
        <family val="2"/>
      </rPr>
      <t xml:space="preserve">상     호 </t>
    </r>
    <r>
      <rPr>
        <b val="true"/>
        <sz val="12"/>
        <rFont val="휴먼명조"/>
        <family val="3"/>
        <charset val="129"/>
      </rPr>
      <t xml:space="preserve">: </t>
    </r>
  </si>
  <si>
    <r>
      <rPr>
        <b val="true"/>
        <sz val="12"/>
        <rFont val="Noto Sans CJK SC"/>
        <family val="2"/>
      </rPr>
      <t xml:space="preserve">성     명 </t>
    </r>
    <r>
      <rPr>
        <b val="true"/>
        <sz val="12"/>
        <rFont val="휴먼명조"/>
        <family val="3"/>
        <charset val="129"/>
      </rPr>
      <t xml:space="preserve">: </t>
    </r>
  </si>
  <si>
    <t xml:space="preserve">인</t>
  </si>
  <si>
    <t xml:space="preserve">항 목 별  세 부 사 용 계 획</t>
  </si>
  <si>
    <r>
      <rPr>
        <sz val="11"/>
        <rFont val="굴림체"/>
        <family val="3"/>
        <charset val="129"/>
      </rPr>
      <t xml:space="preserve">(VAT</t>
    </r>
    <r>
      <rPr>
        <sz val="11"/>
        <rFont val="Noto Sans CJK SC"/>
        <family val="2"/>
      </rPr>
      <t xml:space="preserve">별도</t>
    </r>
    <r>
      <rPr>
        <sz val="11"/>
        <rFont val="굴림체"/>
        <family val="3"/>
        <charset val="129"/>
      </rPr>
      <t xml:space="preserve">)</t>
    </r>
  </si>
  <si>
    <t xml:space="preserve">항     목</t>
  </si>
  <si>
    <t xml:space="preserve">사  용  내  역</t>
  </si>
  <si>
    <t xml:space="preserve">금  액</t>
  </si>
  <si>
    <t xml:space="preserve">비 고</t>
  </si>
  <si>
    <t xml:space="preserve">품     명</t>
  </si>
  <si>
    <t xml:space="preserve">수량</t>
  </si>
  <si>
    <t xml:space="preserve">단위</t>
  </si>
  <si>
    <t xml:space="preserve">단  가</t>
  </si>
  <si>
    <r>
      <rPr>
        <b val="true"/>
        <sz val="11"/>
        <rFont val="굴림체"/>
        <family val="3"/>
        <charset val="129"/>
      </rPr>
      <t xml:space="preserve">1.</t>
    </r>
    <r>
      <rPr>
        <b val="true"/>
        <sz val="11"/>
        <rFont val="Noto Sans CJK SC"/>
        <family val="2"/>
      </rPr>
      <t xml:space="preserve">안전보건 관계자      업무수당 등</t>
    </r>
  </si>
  <si>
    <r>
      <rPr>
        <sz val="9"/>
        <rFont val="Noto Sans CJK SC"/>
        <family val="2"/>
      </rPr>
      <t xml:space="preserve">안전보조원</t>
    </r>
    <r>
      <rPr>
        <sz val="9"/>
        <rFont val="굴림체"/>
        <family val="3"/>
        <charset val="129"/>
      </rPr>
      <t xml:space="preserve">(</t>
    </r>
    <r>
      <rPr>
        <sz val="9"/>
        <rFont val="Noto Sans CJK SC"/>
        <family val="2"/>
      </rPr>
      <t xml:space="preserve">유도자</t>
    </r>
    <r>
      <rPr>
        <sz val="9"/>
        <rFont val="굴림체"/>
        <family val="3"/>
        <charset val="129"/>
      </rPr>
      <t xml:space="preserve">, </t>
    </r>
    <r>
      <rPr>
        <sz val="9"/>
        <rFont val="Noto Sans CJK SC"/>
        <family val="2"/>
      </rPr>
      <t xml:space="preserve">신호자</t>
    </r>
    <r>
      <rPr>
        <sz val="9"/>
        <rFont val="굴림체"/>
        <family val="3"/>
        <charset val="129"/>
      </rPr>
      <t xml:space="preserve">)</t>
    </r>
  </si>
  <si>
    <t xml:space="preserve">명</t>
  </si>
  <si>
    <t xml:space="preserve">소     계</t>
  </si>
  <si>
    <r>
      <rPr>
        <b val="true"/>
        <sz val="11"/>
        <rFont val="굴림체"/>
        <family val="3"/>
        <charset val="129"/>
      </rPr>
      <t xml:space="preserve">2.</t>
    </r>
    <r>
      <rPr>
        <b val="true"/>
        <sz val="11"/>
        <rFont val="Noto Sans CJK SC"/>
        <family val="2"/>
      </rPr>
      <t xml:space="preserve">안전시설비등</t>
    </r>
  </si>
  <si>
    <t xml:space="preserve">구입기자재 및 구급약품에 소요되는 비용</t>
  </si>
  <si>
    <t xml:space="preserve">개</t>
  </si>
  <si>
    <t xml:space="preserve">안전테이프</t>
  </si>
  <si>
    <t xml:space="preserve">개구부 덮개</t>
  </si>
  <si>
    <t xml:space="preserve">식</t>
  </si>
  <si>
    <t xml:space="preserve">안전표지판</t>
  </si>
  <si>
    <r>
      <rPr>
        <b val="true"/>
        <sz val="11"/>
        <rFont val="굴림체"/>
        <family val="3"/>
        <charset val="129"/>
      </rPr>
      <t xml:space="preserve">3.</t>
    </r>
    <r>
      <rPr>
        <b val="true"/>
        <sz val="11"/>
        <rFont val="Noto Sans CJK SC"/>
        <family val="2"/>
      </rPr>
      <t xml:space="preserve">개인보호구 및        안전장구 구입비등</t>
    </r>
  </si>
  <si>
    <t xml:space="preserve">안전모</t>
  </si>
  <si>
    <t xml:space="preserve">EA</t>
  </si>
  <si>
    <t xml:space="preserve">안전대</t>
  </si>
  <si>
    <t xml:space="preserve">안전화</t>
  </si>
  <si>
    <t xml:space="preserve">안전조끼</t>
  </si>
  <si>
    <t xml:space="preserve">보호장갑</t>
  </si>
  <si>
    <t xml:space="preserve">각반</t>
  </si>
  <si>
    <r>
      <rPr>
        <b val="true"/>
        <sz val="11"/>
        <rFont val="굴림체"/>
        <family val="3"/>
        <charset val="129"/>
      </rPr>
      <t xml:space="preserve">4.</t>
    </r>
    <r>
      <rPr>
        <b val="true"/>
        <sz val="11"/>
        <rFont val="Noto Sans CJK SC"/>
        <family val="2"/>
      </rPr>
      <t xml:space="preserve">사업장의             안전 진단비등</t>
    </r>
  </si>
  <si>
    <r>
      <rPr>
        <b val="true"/>
        <sz val="11"/>
        <rFont val="굴림체"/>
        <family val="3"/>
        <charset val="129"/>
      </rPr>
      <t xml:space="preserve">5.</t>
    </r>
    <r>
      <rPr>
        <b val="true"/>
        <sz val="11"/>
        <rFont val="Noto Sans CJK SC"/>
        <family val="2"/>
      </rPr>
      <t xml:space="preserve">안전보건 교육비 및 행사비 등</t>
    </r>
  </si>
  <si>
    <t xml:space="preserve">현장내 안전교육시 음료수 등 간식비용</t>
  </si>
  <si>
    <t xml:space="preserve">월</t>
  </si>
  <si>
    <r>
      <rPr>
        <sz val="9"/>
        <rFont val="Noto Sans CJK SC"/>
        <family val="2"/>
      </rPr>
      <t xml:space="preserve">안전교육장</t>
    </r>
    <r>
      <rPr>
        <sz val="9"/>
        <rFont val="굴림체"/>
        <family val="3"/>
        <charset val="129"/>
      </rPr>
      <t xml:space="preserve">(</t>
    </r>
    <r>
      <rPr>
        <sz val="9"/>
        <rFont val="Noto Sans CJK SC"/>
        <family val="2"/>
      </rPr>
      <t xml:space="preserve">간이설치</t>
    </r>
    <r>
      <rPr>
        <sz val="9"/>
        <rFont val="굴림체"/>
        <family val="3"/>
        <charset val="129"/>
      </rPr>
      <t xml:space="preserve">)</t>
    </r>
  </si>
  <si>
    <r>
      <rPr>
        <sz val="9"/>
        <rFont val="Noto Sans CJK SC"/>
        <family val="2"/>
      </rPr>
      <t xml:space="preserve">안전모임</t>
    </r>
    <r>
      <rPr>
        <sz val="9"/>
        <rFont val="굴림체"/>
        <family val="3"/>
        <charset val="129"/>
      </rPr>
      <t xml:space="preserve">,</t>
    </r>
    <r>
      <rPr>
        <sz val="9"/>
        <rFont val="Noto Sans CJK SC"/>
        <family val="2"/>
      </rPr>
      <t xml:space="preserve">자료에 소모되는 비용</t>
    </r>
  </si>
  <si>
    <t xml:space="preserve">회</t>
  </si>
  <si>
    <t xml:space="preserve">안전기원제에 소요되는 비용</t>
  </si>
  <si>
    <t xml:space="preserve">안전 사진 인화비</t>
  </si>
  <si>
    <r>
      <rPr>
        <b val="true"/>
        <sz val="11"/>
        <rFont val="굴림체"/>
        <family val="3"/>
        <charset val="129"/>
      </rPr>
      <t xml:space="preserve">6.</t>
    </r>
    <r>
      <rPr>
        <b val="true"/>
        <sz val="11"/>
        <rFont val="Noto Sans CJK SC"/>
        <family val="2"/>
      </rPr>
      <t xml:space="preserve">근로자건강진단비등</t>
    </r>
  </si>
  <si>
    <r>
      <rPr>
        <b val="true"/>
        <sz val="11"/>
        <rFont val="굴림체"/>
        <family val="3"/>
        <charset val="129"/>
      </rPr>
      <t xml:space="preserve">7.</t>
    </r>
    <r>
      <rPr>
        <b val="true"/>
        <sz val="11"/>
        <rFont val="Noto Sans CJK SC"/>
        <family val="2"/>
      </rPr>
      <t xml:space="preserve">건설재해
  예방기술지도비</t>
    </r>
  </si>
  <si>
    <t xml:space="preserve">재해예방 기술지도비</t>
  </si>
  <si>
    <r>
      <rPr>
        <b val="true"/>
        <sz val="11"/>
        <rFont val="굴림체"/>
        <family val="3"/>
        <charset val="129"/>
      </rPr>
      <t xml:space="preserve">8.</t>
    </r>
    <r>
      <rPr>
        <b val="true"/>
        <sz val="11"/>
        <rFont val="Noto Sans CJK SC"/>
        <family val="2"/>
      </rPr>
      <t xml:space="preserve">본사사용비</t>
    </r>
  </si>
  <si>
    <t xml:space="preserve">합     계</t>
  </si>
  <si>
    <t xml:space="preserve">환경보전비 사용계획서</t>
  </si>
  <si>
    <t xml:space="preserve">계  상  된
환경보전비</t>
  </si>
  <si>
    <t xml:space="preserve">사용계획
환경보전비</t>
  </si>
  <si>
    <t xml:space="preserve">잔      액</t>
  </si>
  <si>
    <r>
      <rPr>
        <sz val="11"/>
        <rFont val="휴먼명조"/>
        <family val="3"/>
        <charset val="129"/>
      </rPr>
      <t xml:space="preserve">1. </t>
    </r>
    <r>
      <rPr>
        <sz val="11"/>
        <rFont val="Noto Sans CJK SC"/>
        <family val="2"/>
      </rPr>
      <t xml:space="preserve">환경관리자 등 인건비 및 각종 업무수당</t>
    </r>
  </si>
  <si>
    <r>
      <rPr>
        <sz val="11"/>
        <rFont val="휴먼명조"/>
        <family val="3"/>
        <charset val="129"/>
      </rPr>
      <t xml:space="preserve">2. </t>
    </r>
    <r>
      <rPr>
        <sz val="11"/>
        <rFont val="Noto Sans CJK SC"/>
        <family val="2"/>
      </rPr>
      <t xml:space="preserve">환경시설비 등</t>
    </r>
  </si>
  <si>
    <r>
      <rPr>
        <sz val="11"/>
        <rFont val="휴먼명조"/>
        <family val="3"/>
        <charset val="129"/>
      </rPr>
      <t xml:space="preserve">3. </t>
    </r>
    <r>
      <rPr>
        <sz val="11"/>
        <rFont val="Noto Sans CJK SC"/>
        <family val="2"/>
      </rPr>
      <t xml:space="preserve">환경보전유지비</t>
    </r>
  </si>
  <si>
    <r>
      <rPr>
        <sz val="11"/>
        <rFont val="휴먼명조"/>
        <family val="3"/>
        <charset val="129"/>
      </rPr>
      <t xml:space="preserve">4. </t>
    </r>
    <r>
      <rPr>
        <sz val="11"/>
        <rFont val="Noto Sans CJK SC"/>
        <family val="2"/>
      </rPr>
      <t xml:space="preserve">환경보전교육비 및 행사비 등</t>
    </r>
  </si>
  <si>
    <r>
      <rPr>
        <sz val="11"/>
        <rFont val="Noto Sans CJK SC"/>
        <family val="2"/>
      </rPr>
      <t xml:space="preserve">건설기술관리법 시행규칙 제</t>
    </r>
    <r>
      <rPr>
        <sz val="11"/>
        <rFont val="휴먼명조"/>
        <family val="3"/>
        <charset val="129"/>
      </rPr>
      <t xml:space="preserve">28</t>
    </r>
    <r>
      <rPr>
        <sz val="11"/>
        <rFont val="Noto Sans CJK SC"/>
        <family val="2"/>
      </rPr>
      <t xml:space="preserve">조 </t>
    </r>
    <r>
      <rPr>
        <sz val="11"/>
        <rFont val="휴먼명조"/>
        <family val="3"/>
        <charset val="129"/>
      </rPr>
      <t xml:space="preserve">2</t>
    </r>
    <r>
      <rPr>
        <sz val="11"/>
        <rFont val="Noto Sans CJK SC"/>
        <family val="2"/>
      </rPr>
      <t xml:space="preserve">항에 의거 위와 같이 당 현장의</t>
    </r>
  </si>
  <si>
    <r>
      <rPr>
        <sz val="11"/>
        <rFont val="Noto Sans CJK SC"/>
        <family val="2"/>
      </rPr>
      <t xml:space="preserve">환경보전비 사용계획서를 제출합니다</t>
    </r>
    <r>
      <rPr>
        <sz val="11"/>
        <rFont val="휴먼명조"/>
        <family val="3"/>
        <charset val="129"/>
      </rPr>
      <t xml:space="preserve">.</t>
    </r>
  </si>
  <si>
    <r>
      <rPr>
        <b val="true"/>
        <sz val="11"/>
        <rFont val="굴림체"/>
        <family val="3"/>
        <charset val="129"/>
      </rPr>
      <t xml:space="preserve">1.</t>
    </r>
    <r>
      <rPr>
        <b val="true"/>
        <sz val="11"/>
        <rFont val="Noto Sans CJK SC"/>
        <family val="2"/>
      </rPr>
      <t xml:space="preserve">환경관리 관계자의 인건비 및 각종 업무수당 등</t>
    </r>
  </si>
  <si>
    <r>
      <rPr>
        <sz val="9"/>
        <rFont val="굴림체"/>
        <family val="3"/>
        <charset val="129"/>
      </rPr>
      <t xml:space="preserve">1. </t>
    </r>
    <r>
      <rPr>
        <sz val="9"/>
        <rFont val="Noto Sans CJK SC"/>
        <family val="2"/>
      </rPr>
      <t xml:space="preserve">환경관리자 등 인건비
     및 각종업무수당</t>
    </r>
  </si>
  <si>
    <r>
      <rPr>
        <sz val="9"/>
        <rFont val="굴림체"/>
        <family val="3"/>
        <charset val="129"/>
      </rPr>
      <t xml:space="preserve">2. </t>
    </r>
    <r>
      <rPr>
        <sz val="9"/>
        <rFont val="Noto Sans CJK SC"/>
        <family val="2"/>
      </rPr>
      <t xml:space="preserve">환경보전 청소 인건비</t>
    </r>
  </si>
  <si>
    <r>
      <rPr>
        <sz val="9"/>
        <rFont val="굴림체"/>
        <family val="3"/>
        <charset val="129"/>
      </rPr>
      <t xml:space="preserve">3. </t>
    </r>
    <r>
      <rPr>
        <sz val="9"/>
        <rFont val="Noto Sans CJK SC"/>
        <family val="2"/>
      </rPr>
      <t xml:space="preserve">고압살수 세척기 운영</t>
    </r>
  </si>
  <si>
    <r>
      <rPr>
        <b val="true"/>
        <sz val="11"/>
        <rFont val="굴림체"/>
        <family val="3"/>
        <charset val="129"/>
      </rPr>
      <t xml:space="preserve">2.</t>
    </r>
    <r>
      <rPr>
        <b val="true"/>
        <sz val="11"/>
        <rFont val="Noto Sans CJK SC"/>
        <family val="2"/>
      </rPr>
      <t xml:space="preserve">환경보전 시설비 등</t>
    </r>
  </si>
  <si>
    <r>
      <rPr>
        <sz val="9"/>
        <rFont val="굴림체"/>
        <family val="3"/>
        <charset val="129"/>
      </rPr>
      <t xml:space="preserve">1. </t>
    </r>
    <r>
      <rPr>
        <sz val="9"/>
        <rFont val="Noto Sans CJK SC"/>
        <family val="2"/>
      </rPr>
      <t xml:space="preserve">고압살수세척기 구입</t>
    </r>
  </si>
  <si>
    <r>
      <rPr>
        <sz val="9"/>
        <rFont val="굴림체"/>
        <family val="3"/>
        <charset val="129"/>
      </rPr>
      <t xml:space="preserve">2. </t>
    </r>
    <r>
      <rPr>
        <sz val="9"/>
        <rFont val="Noto Sans CJK SC"/>
        <family val="2"/>
      </rPr>
      <t xml:space="preserve">부직포</t>
    </r>
    <r>
      <rPr>
        <sz val="9"/>
        <rFont val="굴림체"/>
        <family val="3"/>
        <charset val="129"/>
      </rPr>
      <t xml:space="preserve">(</t>
    </r>
    <r>
      <rPr>
        <sz val="9"/>
        <rFont val="Noto Sans CJK SC"/>
        <family val="2"/>
      </rPr>
      <t xml:space="preserve">분진덮개용</t>
    </r>
    <r>
      <rPr>
        <sz val="9"/>
        <rFont val="굴림체"/>
        <family val="3"/>
        <charset val="129"/>
      </rPr>
      <t xml:space="preserve">)</t>
    </r>
  </si>
  <si>
    <t xml:space="preserve">롤</t>
  </si>
  <si>
    <r>
      <rPr>
        <sz val="9"/>
        <rFont val="굴림체"/>
        <family val="3"/>
        <charset val="129"/>
      </rPr>
      <t xml:space="preserve">3. </t>
    </r>
    <r>
      <rPr>
        <sz val="9"/>
        <rFont val="Noto Sans CJK SC"/>
        <family val="2"/>
      </rPr>
      <t xml:space="preserve">분진망</t>
    </r>
  </si>
  <si>
    <r>
      <rPr>
        <sz val="9"/>
        <rFont val="굴림체"/>
        <family val="3"/>
        <charset val="129"/>
      </rPr>
      <t xml:space="preserve">4. </t>
    </r>
    <r>
      <rPr>
        <sz val="9"/>
        <rFont val="Noto Sans CJK SC"/>
        <family val="2"/>
      </rPr>
      <t xml:space="preserve">살수차량 임대료</t>
    </r>
  </si>
  <si>
    <r>
      <rPr>
        <b val="true"/>
        <sz val="11"/>
        <rFont val="굴림체"/>
        <family val="3"/>
        <charset val="129"/>
      </rPr>
      <t xml:space="preserve">3.</t>
    </r>
    <r>
      <rPr>
        <b val="true"/>
        <sz val="11"/>
        <rFont val="Noto Sans CJK SC"/>
        <family val="2"/>
      </rPr>
      <t xml:space="preserve">환경보존 유지 장구 구입비등</t>
    </r>
  </si>
  <si>
    <r>
      <rPr>
        <sz val="9"/>
        <rFont val="굴림체"/>
        <family val="3"/>
        <charset val="129"/>
      </rPr>
      <t xml:space="preserve">1. </t>
    </r>
    <r>
      <rPr>
        <sz val="9"/>
        <rFont val="Noto Sans CJK SC"/>
        <family val="2"/>
      </rPr>
      <t xml:space="preserve">청소용구</t>
    </r>
  </si>
  <si>
    <r>
      <rPr>
        <sz val="9"/>
        <rFont val="굴림체"/>
        <family val="3"/>
        <charset val="129"/>
      </rPr>
      <t xml:space="preserve">2. </t>
    </r>
    <r>
      <rPr>
        <sz val="9"/>
        <rFont val="Noto Sans CJK SC"/>
        <family val="2"/>
      </rPr>
      <t xml:space="preserve">쓰레기봉투</t>
    </r>
    <r>
      <rPr>
        <sz val="9"/>
        <rFont val="굴림체"/>
        <family val="3"/>
        <charset val="129"/>
      </rPr>
      <t xml:space="preserve">(100ℓ)</t>
    </r>
  </si>
  <si>
    <r>
      <rPr>
        <sz val="9"/>
        <rFont val="굴림체"/>
        <family val="3"/>
        <charset val="129"/>
      </rPr>
      <t xml:space="preserve">3. </t>
    </r>
    <r>
      <rPr>
        <sz val="9"/>
        <rFont val="Noto Sans CJK SC"/>
        <family val="2"/>
      </rPr>
      <t xml:space="preserve">폐기물 마대</t>
    </r>
  </si>
  <si>
    <r>
      <rPr>
        <b val="true"/>
        <sz val="11"/>
        <rFont val="굴림체"/>
        <family val="3"/>
        <charset val="129"/>
      </rPr>
      <t xml:space="preserve">4.</t>
    </r>
    <r>
      <rPr>
        <b val="true"/>
        <sz val="11"/>
        <rFont val="Noto Sans CJK SC"/>
        <family val="2"/>
      </rPr>
      <t xml:space="preserve">환경보전 교육비 및 행사비</t>
    </r>
  </si>
  <si>
    <r>
      <rPr>
        <sz val="9"/>
        <rFont val="굴림체"/>
        <family val="3"/>
        <charset val="129"/>
      </rPr>
      <t xml:space="preserve">1. </t>
    </r>
    <r>
      <rPr>
        <sz val="9"/>
        <rFont val="Noto Sans CJK SC"/>
        <family val="2"/>
      </rPr>
      <t xml:space="preserve">환경관리자 교육</t>
    </r>
  </si>
  <si>
    <r>
      <rPr>
        <sz val="9"/>
        <rFont val="굴림체"/>
        <family val="3"/>
        <charset val="129"/>
      </rPr>
      <t xml:space="preserve">2. </t>
    </r>
    <r>
      <rPr>
        <sz val="9"/>
        <rFont val="Noto Sans CJK SC"/>
        <family val="2"/>
      </rPr>
      <t xml:space="preserve">현장내 환경교육시 음료수 비용</t>
    </r>
  </si>
  <si>
    <r>
      <rPr>
        <sz val="9"/>
        <rFont val="굴림체"/>
        <family val="3"/>
        <charset val="129"/>
      </rPr>
      <t xml:space="preserve">3. </t>
    </r>
    <r>
      <rPr>
        <sz val="9"/>
        <rFont val="Noto Sans CJK SC"/>
        <family val="2"/>
      </rPr>
      <t xml:space="preserve">환경보전교육에 소요되는 서식비</t>
    </r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</si>
</sst>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;\(#,##0\)"/>
    <numFmt numFmtId="166" formatCode="#,##0"/>
    <numFmt numFmtId="167" formatCode="\₩#,##0.00;&quot;₩-&quot;#,##0.00"/>
    <numFmt numFmtId="168" formatCode="#,##0.00000;[RED]\-#,##0.00000"/>
    <numFmt numFmtId="169" formatCode="#,##0.0000000;[RED]\-#,##0.0000000"/>
    <numFmt numFmtId="170" formatCode="0.00"/>
    <numFmt numFmtId="171" formatCode="0.00_)"/>
    <numFmt numFmtId="172" formatCode="0.00%"/>
    <numFmt numFmtId="173" formatCode="[$-409]#,##0.00_);[RED]\(#,##0.00\)"/>
    <numFmt numFmtId="174" formatCode="[$-409]#,##0_);[RED]\(#,##0\)"/>
    <numFmt numFmtId="175" formatCode="0%"/>
    <numFmt numFmtId="176" formatCode="_-* #,##0_-;\-* #,##0_-;_-* \-_-;_-@_-"/>
    <numFmt numFmtId="177" formatCode="_-\₩* #,##0_-;&quot;-₩&quot;* #,##0_-;_-\₩* \-_-;_-@_-"/>
    <numFmt numFmtId="178" formatCode="_ \₩* #,##0_ ;_ \₩* \-#,##0_ ;_ \₩* \-_ ;_ @_ "/>
    <numFmt numFmtId="179" formatCode="0.0%"/>
    <numFmt numFmtId="180" formatCode="\₩#,##0"/>
    <numFmt numFmtId="181" formatCode="\₩#,##0_);[RED]&quot;(₩&quot;#,##0\)"/>
    <numFmt numFmtId="182" formatCode="_ * #,##0_ ;_ * \-#,##0_ ;_ * \-_ ;_ @_ "/>
    <numFmt numFmtId="183" formatCode="General"/>
    <numFmt numFmtId="184" formatCode="\₩#,##0;&quot;-₩&quot;#,##0"/>
    <numFmt numFmtId="185" formatCode="#,##0_);[RED]\(#,##0\)"/>
  </numFmts>
  <fonts count="42">
    <font>
      <sz val="12"/>
      <name val="굴림체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12"/>
      <name val="System"/>
      <family val="2"/>
      <charset val="129"/>
    </font>
    <font>
      <sz val="12"/>
      <name val="¹UAAA¼"/>
      <family val="3"/>
      <charset val="129"/>
    </font>
    <font>
      <sz val="8"/>
      <name val="Arial"/>
      <family val="2"/>
    </font>
    <font>
      <b val="true"/>
      <sz val="12"/>
      <name val="Arial"/>
      <family val="2"/>
    </font>
    <font>
      <b val="true"/>
      <sz val="18"/>
      <name val="Arial"/>
      <family val="2"/>
    </font>
    <font>
      <b val="true"/>
      <sz val="11"/>
      <name val="Arial"/>
      <family val="2"/>
    </font>
    <font>
      <b val="true"/>
      <i val="true"/>
      <sz val="16"/>
      <name val="Arial"/>
      <family val="2"/>
    </font>
    <font>
      <u val="single"/>
      <sz val="9.6"/>
      <color rgb="FF800080"/>
      <name val="굴림체"/>
      <family val="3"/>
      <charset val="129"/>
    </font>
    <font>
      <sz val="12"/>
      <name val="뼻뮝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b val="true"/>
      <u val="single"/>
      <sz val="20"/>
      <name val="Noto Sans CJK SC"/>
      <family val="2"/>
    </font>
    <font>
      <sz val="20"/>
      <name val="바탕체"/>
      <family val="1"/>
      <charset val="129"/>
    </font>
    <font>
      <sz val="11"/>
      <name val="Noto Sans CJK SC"/>
      <family val="2"/>
    </font>
    <font>
      <sz val="10"/>
      <name val="Noto Sans CJK SC"/>
      <family val="2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휴먼명조"/>
      <family val="3"/>
      <charset val="129"/>
    </font>
    <font>
      <b val="true"/>
      <sz val="11"/>
      <name val="Noto Sans CJK SC"/>
      <family val="2"/>
    </font>
    <font>
      <b val="true"/>
      <sz val="11"/>
      <name val="휴먼명조"/>
      <family val="3"/>
      <charset val="129"/>
    </font>
    <font>
      <b val="true"/>
      <sz val="10"/>
      <name val="휴먼명조"/>
      <family val="3"/>
      <charset val="129"/>
    </font>
    <font>
      <sz val="14"/>
      <name val="바탕체"/>
      <family val="1"/>
      <charset val="129"/>
    </font>
    <font>
      <sz val="12"/>
      <name val="휴먼명조"/>
      <family val="3"/>
      <charset val="129"/>
    </font>
    <font>
      <b val="true"/>
      <sz val="12"/>
      <name val="Noto Sans CJK SC"/>
      <family val="2"/>
    </font>
    <font>
      <b val="true"/>
      <sz val="12"/>
      <name val="휴먼명조"/>
      <family val="3"/>
      <charset val="129"/>
    </font>
    <font>
      <sz val="10"/>
      <name val="휴먼명조"/>
      <family val="3"/>
      <charset val="129"/>
    </font>
    <font>
      <sz val="11"/>
      <name val="굴림체"/>
      <family val="3"/>
      <charset val="129"/>
    </font>
    <font>
      <b val="true"/>
      <sz val="20"/>
      <name val="Noto Sans CJK SC"/>
      <family val="2"/>
    </font>
    <font>
      <b val="true"/>
      <sz val="20"/>
      <name val="굴림체"/>
      <family val="3"/>
      <charset val="129"/>
    </font>
    <font>
      <b val="true"/>
      <sz val="9"/>
      <name val="Noto Sans CJK SC"/>
      <family val="2"/>
    </font>
    <font>
      <b val="true"/>
      <sz val="11"/>
      <name val="굴림체"/>
      <family val="3"/>
      <charset val="129"/>
    </font>
    <font>
      <sz val="9"/>
      <name val="Noto Sans CJK SC"/>
      <family val="2"/>
    </font>
    <font>
      <sz val="9"/>
      <name val="굴림체"/>
      <family val="3"/>
      <charset val="129"/>
    </font>
    <font>
      <b val="true"/>
      <sz val="9"/>
      <name val="굴림체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6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double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medium"/>
      <top style="medium"/>
      <bottom style="double"/>
      <diagonal/>
    </border>
    <border diagonalUp="false" diagonalDown="false">
      <left style="thin"/>
      <right style="hair"/>
      <top/>
      <bottom style="double"/>
      <diagonal/>
    </border>
    <border diagonalUp="false" diagonalDown="false">
      <left style="hair"/>
      <right style="hair"/>
      <top/>
      <bottom style="double"/>
      <diagonal/>
    </border>
    <border diagonalUp="false" diagonalDown="false">
      <left style="hair"/>
      <right style="thin"/>
      <top/>
      <bottom style="double"/>
      <diagonal/>
    </border>
    <border diagonalUp="false" diagonalDown="false">
      <left style="medium"/>
      <right style="thin"/>
      <top style="double"/>
      <bottom style="thin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 style="medium"/>
      <top style="double"/>
      <bottom style="hair"/>
      <diagonal/>
    </border>
    <border diagonalUp="false" diagonalDown="false">
      <left/>
      <right style="medium"/>
      <top style="hair"/>
      <bottom style="hair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/>
      <right style="medium"/>
      <top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/>
      <right style="thin"/>
      <top/>
      <bottom style="hair"/>
      <diagonal/>
    </border>
  </borders>
  <cellStyleXfs count="7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182" fontId="0" fillId="0" borderId="0" applyFont="true" applyBorder="false" applyAlignment="false" applyProtection="false"/>
    <xf numFmtId="44" fontId="1" fillId="0" borderId="0" applyFont="true" applyBorder="false" applyAlignment="false" applyProtection="false"/>
    <xf numFmtId="178" fontId="0" fillId="0" borderId="0" applyFont="true" applyBorder="false" applyAlignment="false" applyProtection="false"/>
    <xf numFmtId="175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false" applyProtection="false"/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false" applyProtection="false"/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applyFont="true" applyBorder="false" applyAlignment="false" applyProtection="false"/>
    <xf numFmtId="164" fontId="9" fillId="2" borderId="0" applyFont="true" applyBorder="false" applyAlignment="false" applyProtection="false"/>
    <xf numFmtId="164" fontId="1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applyFont="true" applyBorder="true" applyAlignment="false" applyProtection="false"/>
    <xf numFmtId="164" fontId="10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applyFont="true" applyBorder="false" applyAlignment="false" applyProtection="false"/>
    <xf numFmtId="164" fontId="10" fillId="0" borderId="0" applyFont="true" applyBorder="false" applyAlignment="false" applyProtection="false"/>
    <xf numFmtId="164" fontId="9" fillId="2" borderId="0" applyFont="true" applyBorder="false" applyAlignment="false" applyProtection="false"/>
    <xf numFmtId="164" fontId="12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applyFont="true" applyBorder="false" applyAlignment="false" applyProtection="false"/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applyFont="true" applyBorder="true" applyAlignment="false" applyProtection="false"/>
    <xf numFmtId="164" fontId="14" fillId="0" borderId="0" applyFont="true" applyBorder="false" applyAlignment="false" applyProtection="false"/>
    <xf numFmtId="173" fontId="0" fillId="0" borderId="0" applyFont="true" applyBorder="false" applyAlignment="false" applyProtection="false"/>
    <xf numFmtId="17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75" fontId="0" fillId="0" borderId="0" applyFont="true" applyBorder="false" applyAlignment="false" applyProtection="false"/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false" applyAlignment="false" applyProtection="false"/>
    <xf numFmtId="176" fontId="0" fillId="0" borderId="0" applyFont="true" applyBorder="false" applyAlignment="false" applyProtection="false"/>
    <xf numFmtId="176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77" fontId="0" fillId="0" borderId="0" applyFont="true" applyBorder="false" applyAlignment="false" applyProtection="false"/>
    <xf numFmtId="164" fontId="1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5" fillId="0" borderId="11" xfId="18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5" fillId="0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25" fillId="0" borderId="13" xf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7" xfId="7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27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28" fillId="0" borderId="14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0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0" fillId="0" borderId="7" xfId="16" applyFont="true" applyBorder="true" applyAlignment="true" applyProtection="true">
      <alignment horizontal="right" vertical="center" textRotation="0" wrapText="false" indent="1" shrinkToFit="false"/>
      <protection locked="true" hidden="false"/>
    </xf>
    <xf numFmtId="172" fontId="3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0" fillId="0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30" fillId="0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3" fontId="27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3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7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74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7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34" fillId="0" borderId="3" xfId="7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3" xfId="74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27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8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9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1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2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3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34" xfId="7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39" fillId="0" borderId="35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4" fillId="0" borderId="36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9" fillId="0" borderId="37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2" fontId="34" fillId="0" borderId="3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4" fillId="0" borderId="38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0" borderId="39" xfId="7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40" fillId="0" borderId="35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40" xfId="7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37" fillId="0" borderId="11" xfId="6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34" fillId="0" borderId="11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0" borderId="41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10" xfId="7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39" fillId="0" borderId="42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4" fillId="0" borderId="43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21" fillId="0" borderId="43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34" fillId="0" borderId="44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40" fillId="0" borderId="45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9" fillId="0" borderId="46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4" fillId="0" borderId="37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21" fillId="0" borderId="37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34" fillId="0" borderId="47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9" fillId="0" borderId="48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4" fillId="0" borderId="49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21" fillId="0" borderId="49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39" fillId="0" borderId="50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4" fillId="0" borderId="51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21" fillId="0" borderId="51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34" fillId="0" borderId="52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10" xfId="7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34" fillId="0" borderId="43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34" fillId="0" borderId="37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34" fillId="0" borderId="47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4" fillId="0" borderId="0" xfId="7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40" fillId="0" borderId="53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4" fillId="0" borderId="54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40" fillId="0" borderId="55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4" fillId="0" borderId="55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0" borderId="45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4" fillId="0" borderId="37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0" borderId="4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9" fillId="0" borderId="53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9" fillId="0" borderId="55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4" fillId="0" borderId="55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40" fillId="0" borderId="45" xfId="7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40" xfId="7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39" fillId="0" borderId="53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9" xfId="7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40" fillId="0" borderId="56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4" fillId="0" borderId="57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40" fillId="0" borderId="58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4" fillId="0" borderId="58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26" fillId="0" borderId="59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8" fillId="0" borderId="60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34" fillId="0" borderId="26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4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7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33" fillId="0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25" fillId="0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2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5" fillId="0" borderId="11" xf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25" fillId="0" borderId="12" xf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1" xfId="7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27" fillId="0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30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4" fontId="30" fillId="0" borderId="7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3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4" fontId="30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0" fillId="0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4" fontId="30" fillId="0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3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83" fontId="2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7" fillId="0" borderId="0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34" fillId="0" borderId="0" xfId="7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40" fillId="0" borderId="35" xfId="63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76" fontId="40" fillId="0" borderId="36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40" fillId="0" borderId="38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39" xfId="7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40" fillId="0" borderId="35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40" fillId="0" borderId="4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0" borderId="11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40" fillId="0" borderId="11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41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0" fillId="0" borderId="46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39" fillId="0" borderId="37" xfId="63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6" fontId="40" fillId="0" borderId="61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40" fillId="0" borderId="62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40" fillId="0" borderId="47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6" fontId="40" fillId="0" borderId="46" xfId="74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40" fillId="0" borderId="63" xfId="63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5" fontId="40" fillId="0" borderId="4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1" fillId="0" borderId="11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22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8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4" fillId="0" borderId="60" xfId="6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2" fontId="34" fillId="0" borderId="0" xfId="74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¡ⓒ [0]_INQUIRY ￠?￥i¨u¡AAⓒ￢Aⓒª " xfId="20"/>
    <cellStyle name="AeE¡ⓒ_INQUIRY ￠?￥i¨u¡AAⓒ￢Aⓒª " xfId="21"/>
    <cellStyle name="AeE­ [0]_AMT " xfId="22"/>
    <cellStyle name="AeE­_AMT " xfId="23"/>
    <cellStyle name="A¨­￠￢￠O [0]_INQUIRY ￠?￥i¨u¡AAⓒ￢Aⓒª " xfId="24"/>
    <cellStyle name="A¨­￠￢￠O_INQUIRY ￠?￥i¨u¡AAⓒ￢Aⓒª " xfId="25"/>
    <cellStyle name="AÞ¸¶ [0]_AN°y(1.25) " xfId="26"/>
    <cellStyle name="AÞ¸¶_AN°y(1.25) " xfId="27"/>
    <cellStyle name="category" xfId="28"/>
    <cellStyle name="Comma [0]_ SG&amp;A Bridge " xfId="29"/>
    <cellStyle name="comma zerodec" xfId="30"/>
    <cellStyle name="Comma0" xfId="31"/>
    <cellStyle name="Comma_ SG&amp;A Bridge " xfId="32"/>
    <cellStyle name="Curren?_x0012_퐀_x0017_?" xfId="33"/>
    <cellStyle name="Currency [0]_ SG&amp;A Bridge " xfId="34"/>
    <cellStyle name="Currency0" xfId="35"/>
    <cellStyle name="Currency1" xfId="36"/>
    <cellStyle name="Currency_ SG&amp;A Bridge " xfId="37"/>
    <cellStyle name="C¡IA¨ª_¡ic¨u¡A¨￢I¨￢¡Æ AN¡Æe " xfId="38"/>
    <cellStyle name="C￥AØ_¿μ¾÷CoE² " xfId="39"/>
    <cellStyle name="Date" xfId="40"/>
    <cellStyle name="Dollar (zero dec)" xfId="41"/>
    <cellStyle name="Fixed" xfId="42"/>
    <cellStyle name="Grey" xfId="43"/>
    <cellStyle name="HEADER" xfId="44"/>
    <cellStyle name="Header1" xfId="45"/>
    <cellStyle name="Header2" xfId="46"/>
    <cellStyle name="Heading 1 1" xfId="47"/>
    <cellStyle name="Heading 2 1" xfId="48"/>
    <cellStyle name="Input [yellow]" xfId="49"/>
    <cellStyle name="Model" xfId="50"/>
    <cellStyle name="Normal - Style1" xfId="51"/>
    <cellStyle name="Normal_ SG&amp;A Bridge " xfId="52"/>
    <cellStyle name="Percent [2]" xfId="53"/>
    <cellStyle name="subhead" xfId="54"/>
    <cellStyle name="Total" xfId="55"/>
    <cellStyle name="뒤에 오는 하이퍼링크" xfId="56"/>
    <cellStyle name="똿뗦먛귟 [0.00]_PRODUCT DETAIL Q1" xfId="57"/>
    <cellStyle name="똿뗦먛귟_PRODUCT DETAIL Q1" xfId="58"/>
    <cellStyle name="믅됞 [0.00]_PRODUCT DETAIL Q1" xfId="59"/>
    <cellStyle name="믅됞_PRODUCT DETAIL Q1" xfId="60"/>
    <cellStyle name="백분율 2" xfId="61"/>
    <cellStyle name="뷭?_BOOKSHIP" xfId="62"/>
    <cellStyle name="쉼표 [0] 2" xfId="63"/>
    <cellStyle name="쉼표 [0] 2 2" xfId="64"/>
    <cellStyle name="쉼표 [0] 3" xfId="65"/>
    <cellStyle name="스타일 1" xfId="66"/>
    <cellStyle name="콤마 [0]_ 견적기준 FLOW " xfId="67"/>
    <cellStyle name="콤마_ 견적기준 FLOW " xfId="68"/>
    <cellStyle name="통화 [0] 2" xfId="69"/>
    <cellStyle name="표준 2" xfId="70"/>
    <cellStyle name="표준 3" xfId="71"/>
    <cellStyle name="표준 4" xfId="72"/>
    <cellStyle name="표준_안전관~1" xfId="73"/>
    <cellStyle name="표준_월별안전관리비사용내역서" xfId="7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0234375" defaultRowHeight="14.2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9609375" defaultRowHeight="21.95" zeroHeight="false" outlineLevelRow="0" outlineLevelCol="0"/>
  <cols>
    <col collapsed="false" customWidth="true" hidden="false" outlineLevel="0" max="1" min="1" style="1" width="8.12"/>
    <col collapsed="false" customWidth="true" hidden="false" outlineLevel="0" max="2" min="2" style="1" width="3.5"/>
    <col collapsed="false" customWidth="true" hidden="false" outlineLevel="0" max="3" min="3" style="1" width="14.87"/>
    <col collapsed="false" customWidth="true" hidden="false" outlineLevel="0" max="4" min="4" style="1" width="12.87"/>
    <col collapsed="false" customWidth="true" hidden="false" outlineLevel="0" max="5" min="5" style="1" width="16.74"/>
    <col collapsed="false" customWidth="true" hidden="false" outlineLevel="0" max="6" min="6" style="1" width="14.87"/>
    <col collapsed="false" customWidth="true" hidden="false" outlineLevel="0" max="7" min="7" style="1" width="13.74"/>
    <col collapsed="false" customWidth="true" hidden="true" outlineLevel="0" max="8" min="8" style="1" width="0.37"/>
    <col collapsed="false" customWidth="false" hidden="false" outlineLevel="0" max="257" min="9" style="1" width="8.99"/>
  </cols>
  <sheetData>
    <row r="1" s="3" customFormat="true" ht="35.1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s="7" customFormat="true" ht="26.25" hidden="false" customHeight="true" outlineLevel="0" collapsed="false">
      <c r="A2" s="4" t="s">
        <v>1</v>
      </c>
      <c r="B2" s="4"/>
      <c r="C2" s="5"/>
      <c r="D2" s="5"/>
      <c r="E2" s="5" t="s">
        <v>3</v>
      </c>
      <c r="F2" s="6"/>
      <c r="G2" s="6"/>
    </row>
    <row r="3" s="7" customFormat="true" ht="27" hidden="false" customHeight="true" outlineLevel="0" collapsed="false">
      <c r="A3" s="4" t="s">
        <v>5</v>
      </c>
      <c r="B3" s="4"/>
      <c r="C3" s="8"/>
      <c r="D3" s="8"/>
      <c r="E3" s="5" t="s">
        <v>7</v>
      </c>
      <c r="F3" s="9"/>
      <c r="G3" s="9"/>
    </row>
    <row r="4" s="7" customFormat="true" ht="28.5" hidden="false" customHeight="true" outlineLevel="0" collapsed="false">
      <c r="A4" s="10" t="s">
        <v>9</v>
      </c>
      <c r="B4" s="10"/>
      <c r="C4" s="11"/>
      <c r="D4" s="11"/>
      <c r="E4" s="5" t="s">
        <v>10</v>
      </c>
      <c r="F4" s="12"/>
      <c r="G4" s="12"/>
    </row>
    <row r="5" s="7" customFormat="true" ht="28.5" hidden="false" customHeight="true" outlineLevel="0" collapsed="false">
      <c r="A5" s="10" t="s">
        <v>12</v>
      </c>
      <c r="B5" s="10"/>
      <c r="C5" s="13"/>
      <c r="D5" s="13"/>
      <c r="E5" s="14" t="s">
        <v>14</v>
      </c>
      <c r="F5" s="15"/>
      <c r="G5" s="15"/>
    </row>
    <row r="6" s="7" customFormat="true" ht="30.75" hidden="false" customHeight="true" outlineLevel="0" collapsed="false">
      <c r="A6" s="16" t="s">
        <v>15</v>
      </c>
      <c r="B6" s="16"/>
      <c r="C6" s="17"/>
      <c r="D6" s="17"/>
      <c r="E6" s="18" t="s">
        <v>16</v>
      </c>
      <c r="F6" s="19">
        <f aca="false">IFERROR(안전관리비세부내역!G38,"")</f>
      </c>
      <c r="G6" s="19"/>
      <c r="H6" s="20"/>
    </row>
    <row r="7" s="22" customFormat="true" ht="34.7" hidden="false" customHeight="true" outlineLevel="0" collapsed="false">
      <c r="A7" s="21" t="s">
        <v>17</v>
      </c>
      <c r="B7" s="21"/>
      <c r="C7" s="21"/>
      <c r="D7" s="21"/>
      <c r="E7" s="21"/>
      <c r="F7" s="21"/>
      <c r="G7" s="21"/>
    </row>
    <row r="8" customFormat="false" ht="25.35" hidden="false" customHeight="true" outlineLevel="0" collapsed="false">
      <c r="A8" s="23" t="s">
        <v>18</v>
      </c>
      <c r="B8" s="23"/>
      <c r="C8" s="23"/>
      <c r="D8" s="23"/>
      <c r="E8" s="24" t="s">
        <v>19</v>
      </c>
      <c r="F8" s="24" t="s">
        <v>20</v>
      </c>
      <c r="G8" s="25" t="s">
        <v>21</v>
      </c>
      <c r="H8" s="26"/>
    </row>
    <row r="9" customFormat="false" ht="25.35" hidden="false" customHeight="true" outlineLevel="0" collapsed="false">
      <c r="A9" s="27" t="s">
        <v>22</v>
      </c>
      <c r="B9" s="28"/>
      <c r="C9" s="28"/>
      <c r="D9" s="28"/>
      <c r="E9" s="29">
        <f aca="false">IFERROR(안전관리비세부내역!G7,"")</f>
      </c>
      <c r="F9" s="30">
        <f aca="false">IFERROR(E9/$C$6,"")</f>
      </c>
      <c r="G9" s="31"/>
    </row>
    <row r="10" customFormat="false" ht="25.35" hidden="false" customHeight="true" outlineLevel="0" collapsed="false">
      <c r="A10" s="27" t="s">
        <v>23</v>
      </c>
      <c r="B10" s="28"/>
      <c r="C10" s="28"/>
      <c r="D10" s="28"/>
      <c r="E10" s="29">
        <f aca="false">IFERROR(안전관리비세부내역!G12,"")</f>
      </c>
      <c r="F10" s="30">
        <f aca="false">IFERROR(E10/$C$6,"")</f>
      </c>
      <c r="G10" s="31"/>
    </row>
    <row r="11" customFormat="false" ht="25.35" hidden="false" customHeight="true" outlineLevel="0" collapsed="false">
      <c r="A11" s="27" t="s">
        <v>24</v>
      </c>
      <c r="B11" s="28"/>
      <c r="C11" s="28"/>
      <c r="D11" s="28"/>
      <c r="E11" s="29">
        <f aca="false">IFERROR(안전관리비세부내역!G19,"")</f>
      </c>
      <c r="F11" s="30">
        <f aca="false">IFERROR(E11/$C$6,"")</f>
      </c>
      <c r="G11" s="31"/>
    </row>
    <row r="12" customFormat="false" ht="25.35" hidden="false" customHeight="true" outlineLevel="0" collapsed="false">
      <c r="A12" s="27" t="s">
        <v>25</v>
      </c>
      <c r="B12" s="28"/>
      <c r="C12" s="28"/>
      <c r="D12" s="28"/>
      <c r="E12" s="29">
        <f aca="false">IFERROR(안전관리비세부내역!G22,"")</f>
      </c>
      <c r="F12" s="30">
        <f aca="false">IFERROR(E12/$C$6,"")</f>
      </c>
      <c r="G12" s="31"/>
    </row>
    <row r="13" customFormat="false" ht="25.35" hidden="false" customHeight="true" outlineLevel="0" collapsed="false">
      <c r="A13" s="27" t="s">
        <v>26</v>
      </c>
      <c r="B13" s="28"/>
      <c r="C13" s="28"/>
      <c r="D13" s="28"/>
      <c r="E13" s="29">
        <f aca="false">IFERROR(안전관리비세부내역!G28,"")</f>
      </c>
      <c r="F13" s="30">
        <f aca="false">IFERROR(E13/$C$6,"")</f>
      </c>
      <c r="G13" s="31"/>
    </row>
    <row r="14" customFormat="false" ht="25.35" hidden="false" customHeight="true" outlineLevel="0" collapsed="false">
      <c r="A14" s="32" t="s">
        <v>27</v>
      </c>
      <c r="B14" s="33"/>
      <c r="C14" s="33"/>
      <c r="D14" s="33"/>
      <c r="E14" s="34">
        <f aca="false">IFERROR(안전관리비세부내역!G31,"")</f>
      </c>
      <c r="F14" s="30">
        <f aca="false">IFERROR(E14/$C$6,"")</f>
      </c>
      <c r="G14" s="31"/>
    </row>
    <row r="15" customFormat="false" ht="25.35" hidden="false" customHeight="true" outlineLevel="0" collapsed="false">
      <c r="A15" s="32" t="s">
        <v>28</v>
      </c>
      <c r="B15" s="33"/>
      <c r="C15" s="33"/>
      <c r="D15" s="33"/>
      <c r="E15" s="34">
        <f aca="false">IFERROR(안전관리비세부내역!G34,"")</f>
      </c>
      <c r="F15" s="30">
        <f aca="false">IFERROR(E15/$C$6,"")</f>
      </c>
      <c r="G15" s="31"/>
    </row>
    <row r="16" customFormat="false" ht="25.35" hidden="false" customHeight="true" outlineLevel="0" collapsed="false">
      <c r="A16" s="32" t="s">
        <v>29</v>
      </c>
      <c r="B16" s="33"/>
      <c r="C16" s="33"/>
      <c r="D16" s="33"/>
      <c r="E16" s="34">
        <f aca="false">IFERROR(안전관리비세부내역!G37,"")</f>
      </c>
      <c r="F16" s="30">
        <f aca="false">IFERROR(E16/$C$6,"")</f>
      </c>
      <c r="G16" s="31"/>
    </row>
    <row r="17" customFormat="false" ht="25.35" hidden="false" customHeight="true" outlineLevel="0" collapsed="false">
      <c r="A17" s="10" t="s">
        <v>30</v>
      </c>
      <c r="B17" s="10"/>
      <c r="C17" s="10"/>
      <c r="D17" s="10"/>
      <c r="E17" s="35">
        <f aca="false">IFERROR(SUM(E9:E16),"")</f>
      </c>
      <c r="F17" s="30">
        <f aca="false">IFERROR(E17/$C$6,"")</f>
      </c>
      <c r="G17" s="31"/>
    </row>
    <row r="18" customFormat="false" ht="21.95" hidden="false" customHeight="true" outlineLevel="0" collapsed="false">
      <c r="A18" s="36"/>
      <c r="B18" s="37"/>
      <c r="C18" s="37"/>
      <c r="D18" s="37"/>
      <c r="E18" s="37"/>
      <c r="F18" s="37"/>
      <c r="G18" s="38"/>
    </row>
    <row r="19" customFormat="false" ht="21.95" hidden="false" customHeight="true" outlineLevel="0" collapsed="false">
      <c r="A19" s="39" t="s">
        <v>31</v>
      </c>
      <c r="B19" s="39"/>
      <c r="C19" s="39"/>
      <c r="D19" s="39"/>
      <c r="E19" s="39"/>
      <c r="F19" s="39"/>
      <c r="G19" s="39"/>
    </row>
    <row r="20" customFormat="false" ht="10.5" hidden="false" customHeight="true" outlineLevel="0" collapsed="false">
      <c r="A20" s="40"/>
      <c r="B20" s="41"/>
      <c r="C20" s="42"/>
      <c r="D20" s="42"/>
      <c r="E20" s="42"/>
      <c r="F20" s="42"/>
      <c r="G20" s="38"/>
    </row>
    <row r="21" customFormat="false" ht="21.95" hidden="false" customHeight="true" outlineLevel="0" collapsed="false">
      <c r="A21" s="43" t="s">
        <v>32</v>
      </c>
      <c r="B21" s="43"/>
      <c r="C21" s="43"/>
      <c r="D21" s="43"/>
      <c r="E21" s="43"/>
      <c r="F21" s="43"/>
      <c r="G21" s="43"/>
    </row>
    <row r="22" customFormat="false" ht="21.95" hidden="false" customHeight="true" outlineLevel="0" collapsed="false">
      <c r="A22" s="40"/>
      <c r="B22" s="41"/>
      <c r="C22" s="42"/>
      <c r="D22" s="42"/>
      <c r="E22" s="42"/>
      <c r="F22" s="42"/>
      <c r="G22" s="38"/>
    </row>
    <row r="23" customFormat="false" ht="21.75" hidden="false" customHeight="true" outlineLevel="0" collapsed="false">
      <c r="A23" s="44"/>
      <c r="B23" s="44"/>
      <c r="C23" s="44"/>
      <c r="D23" s="44"/>
      <c r="E23" s="44"/>
      <c r="F23" s="44"/>
      <c r="G23" s="44"/>
    </row>
    <row r="24" customFormat="false" ht="21.95" hidden="false" customHeight="true" outlineLevel="0" collapsed="false">
      <c r="A24" s="45"/>
      <c r="B24" s="42"/>
      <c r="C24" s="42"/>
      <c r="D24" s="42"/>
      <c r="E24" s="42"/>
      <c r="F24" s="42"/>
      <c r="G24" s="38"/>
    </row>
    <row r="25" customFormat="false" ht="24.95" hidden="false" customHeight="true" outlineLevel="0" collapsed="false">
      <c r="A25" s="40"/>
      <c r="B25" s="42"/>
      <c r="C25" s="46"/>
      <c r="D25" s="47" t="s">
        <v>34</v>
      </c>
      <c r="E25" s="48">
        <f aca="false">IFERROR(C3,"")</f>
      </c>
      <c r="F25" s="48"/>
      <c r="G25" s="38"/>
    </row>
    <row r="26" customFormat="false" ht="24.95" hidden="false" customHeight="true" outlineLevel="0" collapsed="false">
      <c r="A26" s="40"/>
      <c r="B26" s="42"/>
      <c r="C26" s="42" t="s">
        <v>35</v>
      </c>
      <c r="D26" s="49" t="s">
        <v>36</v>
      </c>
      <c r="E26" s="48">
        <f aca="false">IFERROR(C2,"")</f>
      </c>
      <c r="F26" s="48"/>
      <c r="G26" s="38"/>
    </row>
    <row r="27" customFormat="false" ht="24.95" hidden="false" customHeight="true" outlineLevel="0" collapsed="false">
      <c r="A27" s="40"/>
      <c r="B27" s="42"/>
      <c r="C27" s="42"/>
      <c r="D27" s="49" t="s">
        <v>37</v>
      </c>
      <c r="E27" s="50">
        <f aca="false">IFERROR(F3,"")</f>
      </c>
      <c r="F27" s="51" t="s">
        <v>38</v>
      </c>
      <c r="G27" s="38"/>
    </row>
    <row r="28" customFormat="false" ht="21.95" hidden="false" customHeight="true" outlineLevel="0" collapsed="false">
      <c r="A28" s="52"/>
      <c r="B28" s="53"/>
      <c r="C28" s="53"/>
      <c r="D28" s="53"/>
      <c r="E28" s="53"/>
      <c r="F28" s="53"/>
      <c r="G28" s="54"/>
    </row>
  </sheetData>
  <mergeCells count="23">
    <mergeCell ref="A1:G1"/>
    <mergeCell ref="A2:B2"/>
    <mergeCell ref="C2:D2"/>
    <mergeCell ref="F2:G2"/>
    <mergeCell ref="A3:B3"/>
    <mergeCell ref="C3:D3"/>
    <mergeCell ref="F3:G3"/>
    <mergeCell ref="A4:B4"/>
    <mergeCell ref="C4:D4"/>
    <mergeCell ref="F4:G4"/>
    <mergeCell ref="A5:B5"/>
    <mergeCell ref="C5:D5"/>
    <mergeCell ref="F5:G5"/>
    <mergeCell ref="A6:B6"/>
    <mergeCell ref="C6:D6"/>
    <mergeCell ref="F6:G6"/>
    <mergeCell ref="A7:G7"/>
    <mergeCell ref="A8:D8"/>
    <mergeCell ref="A17:D17"/>
    <mergeCell ref="A19:G19"/>
    <mergeCell ref="A21:G21"/>
    <mergeCell ref="A23:G23"/>
    <mergeCell ref="E26:F26"/>
  </mergeCells>
  <printOptions headings="false" gridLines="false" gridLinesSet="true" horizontalCentered="true" verticalCentered="true"/>
  <pageMargins left="0.354166666666667" right="0.354166666666667" top="0.472222222222222" bottom="0.31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5"/>
  <sheetViews>
    <sheetView showFormulas="false" showGridLines="true" showRowColHeaders="true" showZeros="true" rightToLeft="false" tabSelected="false" showOutlineSymbols="true" defaultGridColor="true" view="pageBreakPreview" topLeftCell="A1" colorId="64" zoomScale="115" zoomScaleNormal="100" zoomScalePageLayoutView="115" workbookViewId="0">
      <selection pane="topLeft" activeCell="E14" activeCellId="0" sqref="E14"/>
    </sheetView>
  </sheetViews>
  <sheetFormatPr defaultColWidth="8.99609375" defaultRowHeight="13.5" zeroHeight="false" outlineLevelRow="0" outlineLevelCol="0"/>
  <cols>
    <col collapsed="false" customWidth="true" hidden="false" outlineLevel="0" max="1" min="1" style="55" width="12.12"/>
    <col collapsed="false" customWidth="true" hidden="false" outlineLevel="0" max="2" min="2" style="55" width="10.24"/>
    <col collapsed="false" customWidth="true" hidden="false" outlineLevel="0" max="3" min="3" style="55" width="20.36"/>
    <col collapsed="false" customWidth="true" hidden="false" outlineLevel="0" max="4" min="4" style="56" width="6.62"/>
    <col collapsed="false" customWidth="true" hidden="false" outlineLevel="0" max="5" min="5" style="55" width="4.24"/>
    <col collapsed="false" customWidth="true" hidden="false" outlineLevel="0" max="6" min="6" style="55" width="12.5"/>
    <col collapsed="false" customWidth="true" hidden="false" outlineLevel="0" max="7" min="7" style="55" width="13.87"/>
    <col collapsed="false" customWidth="true" hidden="false" outlineLevel="0" max="8" min="8" style="57" width="7.99"/>
    <col collapsed="false" customWidth="false" hidden="false" outlineLevel="0" max="9" min="9" style="55" width="8.99"/>
    <col collapsed="false" customWidth="true" hidden="false" outlineLevel="0" max="10" min="10" style="55" width="14.87"/>
    <col collapsed="false" customWidth="false" hidden="false" outlineLevel="0" max="257" min="11" style="55" width="8.99"/>
  </cols>
  <sheetData>
    <row r="1" customFormat="false" ht="45.75" hidden="false" customHeight="true" outlineLevel="0" collapsed="false">
      <c r="A1" s="58" t="s">
        <v>39</v>
      </c>
      <c r="B1" s="58"/>
      <c r="C1" s="58"/>
      <c r="D1" s="58"/>
      <c r="E1" s="58"/>
      <c r="F1" s="58"/>
      <c r="G1" s="58"/>
      <c r="H1" s="58"/>
    </row>
    <row r="2" customFormat="false" ht="22.5" hidden="false" customHeight="true" outlineLevel="0" collapsed="false">
      <c r="A2" s="59">
        <f aca="false">IFERROR(안전관리비사용계획서!F2,"")</f>
      </c>
      <c r="B2" s="60"/>
      <c r="C2" s="61"/>
      <c r="D2" s="61"/>
      <c r="E2" s="61"/>
      <c r="F2" s="61"/>
      <c r="G2" s="62" t="s">
        <v>40</v>
      </c>
      <c r="H2" s="62"/>
    </row>
    <row r="3" customFormat="false" ht="20.1" hidden="false" customHeight="true" outlineLevel="0" collapsed="false">
      <c r="A3" s="63" t="s">
        <v>41</v>
      </c>
      <c r="B3" s="63"/>
      <c r="C3" s="64" t="s">
        <v>42</v>
      </c>
      <c r="D3" s="64"/>
      <c r="E3" s="64"/>
      <c r="F3" s="64"/>
      <c r="G3" s="65" t="s">
        <v>43</v>
      </c>
      <c r="H3" s="66" t="s">
        <v>44</v>
      </c>
    </row>
    <row r="4" customFormat="false" ht="20.1" hidden="false" customHeight="true" outlineLevel="0" collapsed="false">
      <c r="A4" s="63"/>
      <c r="B4" s="63"/>
      <c r="C4" s="67" t="s">
        <v>45</v>
      </c>
      <c r="D4" s="68" t="s">
        <v>46</v>
      </c>
      <c r="E4" s="68" t="s">
        <v>47</v>
      </c>
      <c r="F4" s="69" t="s">
        <v>48</v>
      </c>
      <c r="G4" s="65"/>
      <c r="H4" s="66"/>
    </row>
    <row r="5" customFormat="false" ht="20.1" hidden="false" customHeight="true" outlineLevel="0" collapsed="false">
      <c r="A5" s="70" t="s">
        <v>49</v>
      </c>
      <c r="B5" s="70"/>
      <c r="C5" s="71" t="s">
        <v>50</v>
      </c>
      <c r="D5" s="72"/>
      <c r="E5" s="73" t="s">
        <v>51</v>
      </c>
      <c r="F5" s="74"/>
      <c r="G5" s="75">
        <f aca="false">IFERROR(D5*F5,"")</f>
      </c>
      <c r="H5" s="76"/>
    </row>
    <row r="6" customFormat="false" ht="20.1" hidden="false" customHeight="true" outlineLevel="0" collapsed="false">
      <c r="A6" s="70"/>
      <c r="B6" s="70"/>
      <c r="C6" s="77"/>
      <c r="D6" s="72"/>
      <c r="E6" s="73"/>
      <c r="F6" s="74"/>
      <c r="G6" s="75">
        <f aca="false">IFERROR(D6*F6,"")</f>
      </c>
      <c r="H6" s="78"/>
    </row>
    <row r="7" customFormat="false" ht="20.1" hidden="false" customHeight="true" outlineLevel="0" collapsed="false">
      <c r="A7" s="70"/>
      <c r="B7" s="70"/>
      <c r="C7" s="79" t="s">
        <v>52</v>
      </c>
      <c r="D7" s="79"/>
      <c r="E7" s="79"/>
      <c r="F7" s="79"/>
      <c r="G7" s="80">
        <f aca="false">IFERROR(SUM(G5:G6),"")</f>
      </c>
      <c r="H7" s="81"/>
    </row>
    <row r="8" customFormat="false" ht="20.1" hidden="false" customHeight="true" outlineLevel="0" collapsed="false">
      <c r="A8" s="82" t="s">
        <v>53</v>
      </c>
      <c r="B8" s="82"/>
      <c r="C8" s="83" t="s">
        <v>54</v>
      </c>
      <c r="D8" s="84"/>
      <c r="E8" s="85" t="s">
        <v>55</v>
      </c>
      <c r="F8" s="86"/>
      <c r="G8" s="75">
        <f aca="false">IFERROR(D8*F8,"")</f>
      </c>
      <c r="H8" s="87"/>
    </row>
    <row r="9" customFormat="false" ht="20.1" hidden="false" customHeight="true" outlineLevel="0" collapsed="false">
      <c r="A9" s="82"/>
      <c r="B9" s="82"/>
      <c r="C9" s="88" t="s">
        <v>56</v>
      </c>
      <c r="D9" s="89"/>
      <c r="E9" s="90" t="s">
        <v>55</v>
      </c>
      <c r="F9" s="91"/>
      <c r="G9" s="75">
        <f aca="false">IFERROR(D9*F9,"")</f>
      </c>
      <c r="H9" s="87"/>
    </row>
    <row r="10" customFormat="false" ht="20.1" hidden="false" customHeight="true" outlineLevel="0" collapsed="false">
      <c r="A10" s="82"/>
      <c r="B10" s="82"/>
      <c r="C10" s="92" t="s">
        <v>57</v>
      </c>
      <c r="D10" s="93"/>
      <c r="E10" s="94" t="s">
        <v>58</v>
      </c>
      <c r="F10" s="91"/>
      <c r="G10" s="75">
        <f aca="false">IFERROR(D10*F10,"")</f>
      </c>
      <c r="H10" s="87"/>
    </row>
    <row r="11" customFormat="false" ht="20.1" hidden="false" customHeight="true" outlineLevel="0" collapsed="false">
      <c r="A11" s="82"/>
      <c r="B11" s="82"/>
      <c r="C11" s="95" t="s">
        <v>59</v>
      </c>
      <c r="D11" s="96"/>
      <c r="E11" s="97" t="s">
        <v>55</v>
      </c>
      <c r="F11" s="98"/>
      <c r="G11" s="75">
        <f aca="false">IFERROR(D11*F11,"")</f>
      </c>
      <c r="H11" s="87"/>
    </row>
    <row r="12" customFormat="false" ht="20.1" hidden="false" customHeight="true" outlineLevel="0" collapsed="false">
      <c r="A12" s="82"/>
      <c r="B12" s="82"/>
      <c r="C12" s="79" t="s">
        <v>52</v>
      </c>
      <c r="D12" s="79"/>
      <c r="E12" s="79"/>
      <c r="F12" s="79"/>
      <c r="G12" s="80">
        <f aca="false">IFERROR(SUM(G8:G11),"")</f>
      </c>
      <c r="H12" s="81"/>
    </row>
    <row r="13" customFormat="false" ht="20.1" hidden="false" customHeight="true" outlineLevel="0" collapsed="false">
      <c r="A13" s="99" t="s">
        <v>60</v>
      </c>
      <c r="B13" s="99"/>
      <c r="C13" s="83" t="s">
        <v>61</v>
      </c>
      <c r="D13" s="84"/>
      <c r="E13" s="100" t="s">
        <v>62</v>
      </c>
      <c r="F13" s="86"/>
      <c r="G13" s="75">
        <f aca="false">IFERROR(D13*F13,"")</f>
      </c>
      <c r="H13" s="87"/>
    </row>
    <row r="14" customFormat="false" ht="20.1" hidden="false" customHeight="true" outlineLevel="0" collapsed="false">
      <c r="A14" s="99"/>
      <c r="B14" s="99"/>
      <c r="C14" s="88" t="s">
        <v>63</v>
      </c>
      <c r="D14" s="89"/>
      <c r="E14" s="101" t="s">
        <v>62</v>
      </c>
      <c r="F14" s="102"/>
      <c r="G14" s="75">
        <f aca="false">IFERROR(D14*F14,"")</f>
      </c>
      <c r="H14" s="87"/>
    </row>
    <row r="15" customFormat="false" ht="20.1" hidden="false" customHeight="true" outlineLevel="0" collapsed="false">
      <c r="A15" s="99"/>
      <c r="B15" s="99"/>
      <c r="C15" s="88" t="s">
        <v>64</v>
      </c>
      <c r="D15" s="89"/>
      <c r="E15" s="101" t="s">
        <v>62</v>
      </c>
      <c r="F15" s="102"/>
      <c r="G15" s="75">
        <f aca="false">IFERROR(D15*F15,"")</f>
      </c>
      <c r="H15" s="87"/>
    </row>
    <row r="16" customFormat="false" ht="20.1" hidden="false" customHeight="true" outlineLevel="0" collapsed="false">
      <c r="A16" s="99"/>
      <c r="B16" s="99"/>
      <c r="C16" s="88" t="s">
        <v>65</v>
      </c>
      <c r="D16" s="89"/>
      <c r="E16" s="101" t="s">
        <v>62</v>
      </c>
      <c r="F16" s="102"/>
      <c r="G16" s="75">
        <f aca="false">IFERROR(D16*F16,"")</f>
      </c>
      <c r="H16" s="87"/>
    </row>
    <row r="17" customFormat="false" ht="20.1" hidden="false" customHeight="true" outlineLevel="0" collapsed="false">
      <c r="A17" s="99"/>
      <c r="B17" s="99"/>
      <c r="C17" s="88" t="s">
        <v>66</v>
      </c>
      <c r="D17" s="89"/>
      <c r="E17" s="101" t="s">
        <v>62</v>
      </c>
      <c r="F17" s="102"/>
      <c r="G17" s="75">
        <f aca="false">IFERROR(D17*F17,"")</f>
      </c>
      <c r="H17" s="87"/>
    </row>
    <row r="18" customFormat="false" ht="20.1" hidden="false" customHeight="true" outlineLevel="0" collapsed="false">
      <c r="A18" s="99"/>
      <c r="B18" s="99"/>
      <c r="C18" s="88" t="s">
        <v>67</v>
      </c>
      <c r="D18" s="89"/>
      <c r="E18" s="101" t="s">
        <v>62</v>
      </c>
      <c r="F18" s="102"/>
      <c r="G18" s="75">
        <f aca="false">IFERROR(D18*F18,"")</f>
      </c>
      <c r="H18" s="87"/>
      <c r="J18" s="103"/>
    </row>
    <row r="19" customFormat="false" ht="20.1" hidden="false" customHeight="true" outlineLevel="0" collapsed="false">
      <c r="A19" s="99"/>
      <c r="B19" s="99"/>
      <c r="C19" s="79" t="s">
        <v>52</v>
      </c>
      <c r="D19" s="79"/>
      <c r="E19" s="79"/>
      <c r="F19" s="79"/>
      <c r="G19" s="80">
        <f aca="false">IFERROR(SUM(G13:G18),"")</f>
      </c>
      <c r="H19" s="81"/>
      <c r="J19" s="103"/>
    </row>
    <row r="20" customFormat="false" ht="20.1" hidden="false" customHeight="true" outlineLevel="0" collapsed="false">
      <c r="A20" s="99" t="s">
        <v>68</v>
      </c>
      <c r="B20" s="99"/>
      <c r="C20" s="104"/>
      <c r="D20" s="105"/>
      <c r="E20" s="106"/>
      <c r="F20" s="107"/>
      <c r="G20" s="75">
        <f aca="false">IFERROR(D20*F20,"")</f>
      </c>
      <c r="H20" s="108"/>
    </row>
    <row r="21" customFormat="false" ht="20.1" hidden="false" customHeight="true" outlineLevel="0" collapsed="false">
      <c r="A21" s="99"/>
      <c r="B21" s="99"/>
      <c r="C21" s="77"/>
      <c r="D21" s="72"/>
      <c r="E21" s="73"/>
      <c r="F21" s="109"/>
      <c r="G21" s="75">
        <f aca="false">IFERROR(D21*F21,"")</f>
      </c>
      <c r="H21" s="110"/>
    </row>
    <row r="22" customFormat="false" ht="20.1" hidden="false" customHeight="true" outlineLevel="0" collapsed="false">
      <c r="A22" s="99"/>
      <c r="B22" s="99"/>
      <c r="C22" s="79" t="s">
        <v>52</v>
      </c>
      <c r="D22" s="79"/>
      <c r="E22" s="79"/>
      <c r="F22" s="79"/>
      <c r="G22" s="80">
        <f aca="false">IFERROR(SUM(G20:G21),"")</f>
      </c>
      <c r="H22" s="81"/>
    </row>
    <row r="23" customFormat="false" ht="20.1" hidden="false" customHeight="true" outlineLevel="0" collapsed="false">
      <c r="A23" s="99" t="s">
        <v>69</v>
      </c>
      <c r="B23" s="99"/>
      <c r="C23" s="111" t="s">
        <v>70</v>
      </c>
      <c r="D23" s="105"/>
      <c r="E23" s="112" t="s">
        <v>71</v>
      </c>
      <c r="F23" s="113"/>
      <c r="G23" s="75">
        <f aca="false">IFERROR(D23*F23,"")</f>
      </c>
      <c r="H23" s="114"/>
    </row>
    <row r="24" customFormat="false" ht="20.1" hidden="false" customHeight="true" outlineLevel="0" collapsed="false">
      <c r="A24" s="99"/>
      <c r="B24" s="99"/>
      <c r="C24" s="71" t="s">
        <v>72</v>
      </c>
      <c r="D24" s="105"/>
      <c r="E24" s="112" t="s">
        <v>58</v>
      </c>
      <c r="F24" s="109"/>
      <c r="G24" s="75">
        <f aca="false">IFERROR(D24*F24,"")</f>
      </c>
      <c r="H24" s="115"/>
    </row>
    <row r="25" customFormat="false" ht="20.1" hidden="false" customHeight="true" outlineLevel="0" collapsed="false">
      <c r="A25" s="99"/>
      <c r="B25" s="99"/>
      <c r="C25" s="71" t="s">
        <v>73</v>
      </c>
      <c r="D25" s="105"/>
      <c r="E25" s="112" t="s">
        <v>74</v>
      </c>
      <c r="F25" s="109"/>
      <c r="G25" s="75">
        <f aca="false">IFERROR(D25*F25,"")</f>
      </c>
      <c r="H25" s="115"/>
    </row>
    <row r="26" customFormat="false" ht="20.1" hidden="false" customHeight="true" outlineLevel="0" collapsed="false">
      <c r="A26" s="99"/>
      <c r="B26" s="99"/>
      <c r="C26" s="71" t="s">
        <v>75</v>
      </c>
      <c r="D26" s="105"/>
      <c r="E26" s="112" t="s">
        <v>58</v>
      </c>
      <c r="F26" s="89"/>
      <c r="G26" s="75">
        <f aca="false">IFERROR(D26*F26,"")</f>
      </c>
      <c r="H26" s="115"/>
    </row>
    <row r="27" customFormat="false" ht="20.1" hidden="false" customHeight="true" outlineLevel="0" collapsed="false">
      <c r="A27" s="99"/>
      <c r="B27" s="99"/>
      <c r="C27" s="71" t="s">
        <v>76</v>
      </c>
      <c r="D27" s="105"/>
      <c r="E27" s="112" t="s">
        <v>71</v>
      </c>
      <c r="F27" s="89"/>
      <c r="G27" s="75">
        <f aca="false">IFERROR(D27*F27,"")</f>
      </c>
      <c r="H27" s="115"/>
    </row>
    <row r="28" customFormat="false" ht="20.1" hidden="false" customHeight="true" outlineLevel="0" collapsed="false">
      <c r="A28" s="99"/>
      <c r="B28" s="99"/>
      <c r="C28" s="79" t="s">
        <v>52</v>
      </c>
      <c r="D28" s="79"/>
      <c r="E28" s="79"/>
      <c r="F28" s="79"/>
      <c r="G28" s="80">
        <f aca="false">IFERROR(SUM(G23:G27),"")</f>
      </c>
      <c r="H28" s="81"/>
    </row>
    <row r="29" customFormat="false" ht="20.1" hidden="false" customHeight="true" outlineLevel="0" collapsed="false">
      <c r="A29" s="82" t="s">
        <v>77</v>
      </c>
      <c r="B29" s="82"/>
      <c r="C29" s="111" t="s">
        <v>54</v>
      </c>
      <c r="D29" s="105"/>
      <c r="E29" s="112" t="s">
        <v>58</v>
      </c>
      <c r="F29" s="107"/>
      <c r="G29" s="75">
        <f aca="false">IFERROR(D29*F29,"")</f>
      </c>
      <c r="H29" s="108"/>
    </row>
    <row r="30" customFormat="false" ht="20.1" hidden="false" customHeight="true" outlineLevel="0" collapsed="false">
      <c r="A30" s="82"/>
      <c r="B30" s="82"/>
      <c r="C30" s="104"/>
      <c r="D30" s="105"/>
      <c r="E30" s="112"/>
      <c r="F30" s="107"/>
      <c r="G30" s="75">
        <f aca="false">IFERROR(D30*F30,"")</f>
      </c>
      <c r="H30" s="108"/>
    </row>
    <row r="31" customFormat="false" ht="20.1" hidden="false" customHeight="true" outlineLevel="0" collapsed="false">
      <c r="A31" s="82"/>
      <c r="B31" s="82"/>
      <c r="C31" s="79" t="s">
        <v>52</v>
      </c>
      <c r="D31" s="79"/>
      <c r="E31" s="79"/>
      <c r="F31" s="79"/>
      <c r="G31" s="80">
        <f aca="false">IFERROR(SUM(G29:G30),"")</f>
      </c>
      <c r="H31" s="81"/>
    </row>
    <row r="32" customFormat="false" ht="20.1" hidden="false" customHeight="true" outlineLevel="0" collapsed="false">
      <c r="A32" s="99" t="s">
        <v>78</v>
      </c>
      <c r="B32" s="99"/>
      <c r="C32" s="116" t="s">
        <v>79</v>
      </c>
      <c r="D32" s="105"/>
      <c r="E32" s="112" t="s">
        <v>58</v>
      </c>
      <c r="F32" s="113"/>
      <c r="G32" s="75">
        <f aca="false">IFERROR(D32*F32,"")</f>
      </c>
      <c r="H32" s="117"/>
    </row>
    <row r="33" customFormat="false" ht="20.1" hidden="false" customHeight="true" outlineLevel="0" collapsed="false">
      <c r="A33" s="99"/>
      <c r="B33" s="99"/>
      <c r="C33" s="118"/>
      <c r="D33" s="119"/>
      <c r="E33" s="120"/>
      <c r="F33" s="121"/>
      <c r="G33" s="75">
        <f aca="false">IFERROR(D33*F33,"")</f>
      </c>
      <c r="H33" s="117"/>
    </row>
    <row r="34" customFormat="false" ht="20.1" hidden="false" customHeight="true" outlineLevel="0" collapsed="false">
      <c r="A34" s="99"/>
      <c r="B34" s="99"/>
      <c r="C34" s="79" t="s">
        <v>52</v>
      </c>
      <c r="D34" s="79"/>
      <c r="E34" s="79"/>
      <c r="F34" s="79"/>
      <c r="G34" s="80">
        <f aca="false">IFERROR(SUM(G32:G33),"")</f>
      </c>
      <c r="H34" s="81"/>
    </row>
    <row r="35" customFormat="false" ht="20.1" hidden="false" customHeight="true" outlineLevel="0" collapsed="false">
      <c r="A35" s="99" t="s">
        <v>80</v>
      </c>
      <c r="B35" s="99"/>
      <c r="C35" s="116"/>
      <c r="D35" s="105"/>
      <c r="E35" s="112"/>
      <c r="F35" s="113"/>
      <c r="G35" s="75">
        <f aca="false">IFERROR(D35*F35,"")</f>
      </c>
      <c r="H35" s="117"/>
    </row>
    <row r="36" customFormat="false" ht="20.1" hidden="false" customHeight="true" outlineLevel="0" collapsed="false">
      <c r="A36" s="99"/>
      <c r="B36" s="99"/>
      <c r="C36" s="118"/>
      <c r="D36" s="119"/>
      <c r="E36" s="120"/>
      <c r="F36" s="121"/>
      <c r="G36" s="75">
        <f aca="false">IFERROR(D36*F36,"")</f>
      </c>
      <c r="H36" s="117"/>
    </row>
    <row r="37" customFormat="false" ht="20.1" hidden="false" customHeight="true" outlineLevel="0" collapsed="false">
      <c r="A37" s="99"/>
      <c r="B37" s="99"/>
      <c r="C37" s="79" t="s">
        <v>52</v>
      </c>
      <c r="D37" s="79"/>
      <c r="E37" s="79"/>
      <c r="F37" s="79"/>
      <c r="G37" s="80">
        <f aca="false">IFERROR(SUM(G35:G36),"")</f>
      </c>
      <c r="H37" s="81"/>
    </row>
    <row r="38" customFormat="false" ht="20.1" hidden="false" customHeight="true" outlineLevel="0" collapsed="false">
      <c r="A38" s="122" t="s">
        <v>81</v>
      </c>
      <c r="B38" s="122"/>
      <c r="C38" s="122"/>
      <c r="D38" s="122"/>
      <c r="E38" s="122"/>
      <c r="F38" s="122"/>
      <c r="G38" s="123">
        <f aca="false">IFERROR(G7+G12+G19+G22+G28+G31+G34+G37,"")</f>
      </c>
      <c r="H38" s="124"/>
    </row>
    <row r="39" customFormat="false" ht="18" hidden="false" customHeight="true" outlineLevel="0" collapsed="false">
      <c r="G39" s="125">
        <f aca="false">IFERROR(안전관리비사용계획서!C6,"")</f>
      </c>
      <c r="H39" s="126"/>
    </row>
    <row r="40" customFormat="false" ht="13.5" hidden="false" customHeight="true" outlineLevel="0" collapsed="false">
      <c r="G40" s="103">
        <f aca="false">IFERROR(G38-G39,"")</f>
      </c>
    </row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5" customFormat="false" ht="14.25" hidden="false" customHeight="true" outlineLevel="0" collapsed="false"/>
  </sheetData>
  <mergeCells count="25">
    <mergeCell ref="A1:H1"/>
    <mergeCell ref="G2:H2"/>
    <mergeCell ref="A3:B4"/>
    <mergeCell ref="C3:F3"/>
    <mergeCell ref="G3:G4"/>
    <mergeCell ref="H3:H4"/>
    <mergeCell ref="A5:B7"/>
    <mergeCell ref="C7:F7"/>
    <mergeCell ref="A8:B12"/>
    <mergeCell ref="C12:F12"/>
    <mergeCell ref="A13:B19"/>
    <mergeCell ref="C19:F19"/>
    <mergeCell ref="A20:B22"/>
    <mergeCell ref="C22:F22"/>
    <mergeCell ref="A23:B28"/>
    <mergeCell ref="C28:F28"/>
    <mergeCell ref="A29:B31"/>
    <mergeCell ref="C31:F31"/>
    <mergeCell ref="A32:B34"/>
    <mergeCell ref="H32:H33"/>
    <mergeCell ref="C34:F34"/>
    <mergeCell ref="A35:B37"/>
    <mergeCell ref="H35:H36"/>
    <mergeCell ref="C37:F37"/>
    <mergeCell ref="A38:F38"/>
  </mergeCells>
  <printOptions headings="false" gridLines="false" gridLinesSet="true" horizontalCentered="true" verticalCentered="false"/>
  <pageMargins left="0.0784722222222222" right="0.0784722222222222" top="0.7875" bottom="0.196527777777778" header="0.511811023622047" footer="0.511811023622047"/>
  <pageSetup paperSize="9" scale="100" fitToWidth="0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D21" activeCellId="0" sqref="D21"/>
    </sheetView>
  </sheetViews>
  <sheetFormatPr defaultColWidth="8.99609375" defaultRowHeight="21.95" zeroHeight="false" outlineLevelRow="0" outlineLevelCol="0"/>
  <cols>
    <col collapsed="false" customWidth="true" hidden="false" outlineLevel="0" max="1" min="1" style="1" width="8.12"/>
    <col collapsed="false" customWidth="true" hidden="false" outlineLevel="0" max="2" min="2" style="1" width="3.5"/>
    <col collapsed="false" customWidth="true" hidden="false" outlineLevel="0" max="3" min="3" style="1" width="14.87"/>
    <col collapsed="false" customWidth="true" hidden="false" outlineLevel="0" max="4" min="4" style="1" width="12.87"/>
    <col collapsed="false" customWidth="true" hidden="false" outlineLevel="0" max="5" min="5" style="1" width="16.74"/>
    <col collapsed="false" customWidth="true" hidden="false" outlineLevel="0" max="6" min="6" style="1" width="14.87"/>
    <col collapsed="false" customWidth="true" hidden="false" outlineLevel="0" max="7" min="7" style="1" width="14.62"/>
    <col collapsed="false" customWidth="true" hidden="false" outlineLevel="0" max="8" min="8" style="1" width="13.87"/>
    <col collapsed="false" customWidth="false" hidden="false" outlineLevel="0" max="257" min="9" style="1" width="8.99"/>
  </cols>
  <sheetData>
    <row r="1" s="3" customFormat="true" ht="35.1" hidden="false" customHeight="true" outlineLevel="0" collapsed="false">
      <c r="A1" s="2" t="s">
        <v>82</v>
      </c>
      <c r="B1" s="2"/>
      <c r="C1" s="2"/>
      <c r="D1" s="2"/>
      <c r="E1" s="2"/>
      <c r="F1" s="2"/>
      <c r="G1" s="2"/>
    </row>
    <row r="2" s="7" customFormat="true" ht="17.1" hidden="false" customHeight="true" outlineLevel="0" collapsed="false">
      <c r="A2" s="127" t="s">
        <v>1</v>
      </c>
      <c r="B2" s="127"/>
      <c r="C2" s="128">
        <f aca="false">IFERROR(안전관리비사용계획서!C2:D2,"")</f>
      </c>
      <c r="D2" s="128"/>
      <c r="E2" s="129" t="s">
        <v>3</v>
      </c>
      <c r="F2" s="130">
        <f aca="false">IFERROR(안전관리비사용계획서!F2:G2,"")</f>
      </c>
      <c r="G2" s="130"/>
    </row>
    <row r="3" s="7" customFormat="true" ht="17.1" hidden="false" customHeight="true" outlineLevel="0" collapsed="false">
      <c r="A3" s="127"/>
      <c r="B3" s="127"/>
      <c r="C3" s="128"/>
      <c r="D3" s="128"/>
      <c r="E3" s="129"/>
      <c r="F3" s="130"/>
      <c r="G3" s="130"/>
    </row>
    <row r="4" s="7" customFormat="true" ht="17.1" hidden="false" customHeight="true" outlineLevel="0" collapsed="false">
      <c r="A4" s="127" t="s">
        <v>5</v>
      </c>
      <c r="B4" s="127"/>
      <c r="C4" s="131">
        <f aca="false">IFERROR(안전관리비사용계획서!C3:D3,"")</f>
      </c>
      <c r="D4" s="131"/>
      <c r="E4" s="129" t="s">
        <v>7</v>
      </c>
      <c r="F4" s="132">
        <f aca="false">IFERROR(안전관리비사용계획서!F3:G3,"")</f>
      </c>
      <c r="G4" s="132"/>
    </row>
    <row r="5" s="7" customFormat="true" ht="17.1" hidden="false" customHeight="true" outlineLevel="0" collapsed="false">
      <c r="A5" s="127"/>
      <c r="B5" s="127"/>
      <c r="C5" s="131"/>
      <c r="D5" s="131"/>
      <c r="E5" s="129"/>
      <c r="F5" s="132"/>
      <c r="G5" s="132"/>
    </row>
    <row r="6" s="7" customFormat="true" ht="25.35" hidden="false" customHeight="true" outlineLevel="0" collapsed="false">
      <c r="A6" s="127" t="s">
        <v>9</v>
      </c>
      <c r="B6" s="127"/>
      <c r="C6" s="133">
        <f aca="false">IFERROR(안전관리비사용계획서!C4:D4,"")</f>
      </c>
      <c r="D6" s="133"/>
      <c r="E6" s="134" t="s">
        <v>10</v>
      </c>
      <c r="F6" s="132">
        <f aca="false">IFERROR(안전관리비사용계획서!F4,"")</f>
      </c>
      <c r="G6" s="132"/>
    </row>
    <row r="7" s="7" customFormat="true" ht="36.75" hidden="false" customHeight="true" outlineLevel="0" collapsed="false">
      <c r="A7" s="127" t="s">
        <v>12</v>
      </c>
      <c r="B7" s="127"/>
      <c r="C7" s="135">
        <f aca="false">IFERROR(안전관리비사용계획서!C5:D5,"")</f>
      </c>
      <c r="D7" s="135"/>
      <c r="E7" s="134" t="s">
        <v>14</v>
      </c>
      <c r="F7" s="15"/>
      <c r="G7" s="15"/>
    </row>
    <row r="8" s="7" customFormat="true" ht="17.1" hidden="false" customHeight="true" outlineLevel="0" collapsed="false">
      <c r="A8" s="136" t="s">
        <v>83</v>
      </c>
      <c r="B8" s="136"/>
      <c r="C8" s="137"/>
      <c r="D8" s="137"/>
      <c r="E8" s="138" t="s">
        <v>84</v>
      </c>
      <c r="F8" s="139">
        <f aca="false">IFERROR(E20,"")</f>
      </c>
      <c r="G8" s="139"/>
    </row>
    <row r="9" s="7" customFormat="true" ht="17.1" hidden="false" customHeight="true" outlineLevel="0" collapsed="false">
      <c r="A9" s="136"/>
      <c r="B9" s="136"/>
      <c r="C9" s="137"/>
      <c r="D9" s="137"/>
      <c r="E9" s="138"/>
      <c r="F9" s="139"/>
      <c r="G9" s="139"/>
    </row>
    <row r="10" s="22" customFormat="true" ht="34.7" hidden="false" customHeight="true" outlineLevel="0" collapsed="false">
      <c r="A10" s="140" t="s">
        <v>17</v>
      </c>
      <c r="B10" s="140"/>
      <c r="C10" s="140"/>
      <c r="D10" s="140"/>
      <c r="E10" s="140"/>
      <c r="F10" s="140"/>
      <c r="G10" s="140"/>
    </row>
    <row r="11" customFormat="false" ht="25.35" hidden="false" customHeight="true" outlineLevel="0" collapsed="false">
      <c r="A11" s="141" t="s">
        <v>18</v>
      </c>
      <c r="B11" s="141"/>
      <c r="C11" s="141"/>
      <c r="D11" s="141"/>
      <c r="E11" s="129" t="s">
        <v>19</v>
      </c>
      <c r="F11" s="24" t="s">
        <v>85</v>
      </c>
      <c r="G11" s="25" t="s">
        <v>21</v>
      </c>
      <c r="H11" s="26"/>
    </row>
    <row r="12" customFormat="false" ht="25.35" hidden="false" customHeight="true" outlineLevel="0" collapsed="false">
      <c r="A12" s="142" t="s">
        <v>86</v>
      </c>
      <c r="B12" s="142"/>
      <c r="C12" s="142"/>
      <c r="D12" s="142"/>
      <c r="E12" s="143">
        <f aca="false">IFERROR(환경보전비세부내역서!G10,"")</f>
      </c>
      <c r="F12" s="144"/>
      <c r="G12" s="145"/>
    </row>
    <row r="13" customFormat="false" ht="25.35" hidden="false" customHeight="true" outlineLevel="0" collapsed="false">
      <c r="A13" s="146" t="s">
        <v>87</v>
      </c>
      <c r="B13" s="147"/>
      <c r="C13" s="147"/>
      <c r="D13" s="147"/>
      <c r="E13" s="143">
        <f aca="false">IFERROR(환경보전비세부내역서!G16,"")</f>
      </c>
      <c r="F13" s="148"/>
      <c r="G13" s="145"/>
    </row>
    <row r="14" customFormat="false" ht="25.35" hidden="false" customHeight="true" outlineLevel="0" collapsed="false">
      <c r="A14" s="146" t="s">
        <v>88</v>
      </c>
      <c r="B14" s="147"/>
      <c r="C14" s="147"/>
      <c r="D14" s="147"/>
      <c r="E14" s="143">
        <f aca="false">IFERROR(환경보전비세부내역서!G21,"")</f>
      </c>
      <c r="F14" s="148"/>
      <c r="G14" s="145"/>
    </row>
    <row r="15" customFormat="false" ht="25.35" hidden="false" customHeight="true" outlineLevel="0" collapsed="false">
      <c r="A15" s="146" t="s">
        <v>89</v>
      </c>
      <c r="B15" s="147"/>
      <c r="C15" s="147"/>
      <c r="D15" s="147"/>
      <c r="E15" s="143">
        <f aca="false">IFERROR(환경보전비세부내역서!G26,"")</f>
      </c>
      <c r="F15" s="148"/>
      <c r="G15" s="145"/>
    </row>
    <row r="16" customFormat="false" ht="25.35" hidden="false" customHeight="true" outlineLevel="0" collapsed="false">
      <c r="A16" s="146"/>
      <c r="B16" s="147"/>
      <c r="C16" s="147"/>
      <c r="D16" s="147"/>
      <c r="E16" s="143"/>
      <c r="F16" s="148"/>
      <c r="G16" s="145"/>
    </row>
    <row r="17" customFormat="false" ht="25.35" hidden="false" customHeight="true" outlineLevel="0" collapsed="false">
      <c r="A17" s="149"/>
      <c r="B17" s="150"/>
      <c r="C17" s="150"/>
      <c r="D17" s="150"/>
      <c r="E17" s="151"/>
      <c r="F17" s="152"/>
      <c r="G17" s="145"/>
    </row>
    <row r="18" customFormat="false" ht="25.35" hidden="false" customHeight="true" outlineLevel="0" collapsed="false">
      <c r="A18" s="149"/>
      <c r="B18" s="150"/>
      <c r="C18" s="150"/>
      <c r="D18" s="150"/>
      <c r="E18" s="151"/>
      <c r="F18" s="152"/>
      <c r="G18" s="145"/>
    </row>
    <row r="19" customFormat="false" ht="25.35" hidden="false" customHeight="true" outlineLevel="0" collapsed="false">
      <c r="A19" s="149"/>
      <c r="B19" s="150"/>
      <c r="C19" s="150"/>
      <c r="D19" s="150"/>
      <c r="E19" s="151"/>
      <c r="F19" s="152"/>
      <c r="G19" s="145"/>
    </row>
    <row r="20" customFormat="false" ht="25.35" hidden="false" customHeight="true" outlineLevel="0" collapsed="false">
      <c r="A20" s="127" t="s">
        <v>30</v>
      </c>
      <c r="B20" s="127"/>
      <c r="C20" s="127"/>
      <c r="D20" s="127"/>
      <c r="E20" s="35">
        <f aca="false">IFERROR(SUM(E12:E19),"")</f>
      </c>
      <c r="F20" s="152"/>
      <c r="G20" s="145"/>
    </row>
    <row r="21" customFormat="false" ht="21.95" hidden="false" customHeight="true" outlineLevel="0" collapsed="false">
      <c r="A21" s="153"/>
      <c r="B21" s="154"/>
      <c r="C21" s="154"/>
      <c r="D21" s="154"/>
      <c r="E21" s="154"/>
      <c r="F21" s="154"/>
      <c r="G21" s="155"/>
    </row>
    <row r="22" customFormat="false" ht="21.95" hidden="false" customHeight="true" outlineLevel="0" collapsed="false">
      <c r="A22" s="156" t="s">
        <v>90</v>
      </c>
      <c r="B22" s="156"/>
      <c r="C22" s="156"/>
      <c r="D22" s="156"/>
      <c r="E22" s="156"/>
      <c r="F22" s="156"/>
      <c r="G22" s="156"/>
    </row>
    <row r="23" customFormat="false" ht="10.5" hidden="false" customHeight="true" outlineLevel="0" collapsed="false">
      <c r="A23" s="157"/>
      <c r="B23" s="158"/>
      <c r="C23" s="159"/>
      <c r="D23" s="159"/>
      <c r="E23" s="159"/>
      <c r="F23" s="159"/>
      <c r="G23" s="155"/>
    </row>
    <row r="24" customFormat="false" ht="21.95" hidden="false" customHeight="true" outlineLevel="0" collapsed="false">
      <c r="A24" s="160" t="s">
        <v>91</v>
      </c>
      <c r="B24" s="160"/>
      <c r="C24" s="160"/>
      <c r="D24" s="160"/>
      <c r="E24" s="160"/>
      <c r="F24" s="160"/>
      <c r="G24" s="160"/>
    </row>
    <row r="25" customFormat="false" ht="21.95" hidden="false" customHeight="true" outlineLevel="0" collapsed="false">
      <c r="A25" s="157"/>
      <c r="B25" s="158"/>
      <c r="C25" s="159"/>
      <c r="D25" s="159"/>
      <c r="E25" s="159"/>
      <c r="F25" s="159"/>
      <c r="G25" s="155"/>
    </row>
    <row r="26" customFormat="false" ht="14.25" hidden="false" customHeight="true" outlineLevel="0" collapsed="false">
      <c r="A26" s="161">
        <f aca="false">IFERROR(안전관리비사용계획서!A23:G23,"")</f>
      </c>
      <c r="B26" s="161"/>
      <c r="C26" s="161"/>
      <c r="D26" s="161"/>
      <c r="E26" s="161"/>
      <c r="F26" s="161"/>
      <c r="G26" s="161"/>
    </row>
    <row r="27" customFormat="false" ht="14.25" hidden="false" customHeight="tru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21.95" hidden="false" customHeight="true" outlineLevel="0" collapsed="false">
      <c r="A28" s="162"/>
      <c r="B28" s="159"/>
      <c r="C28" s="159"/>
      <c r="D28" s="159"/>
      <c r="E28" s="159"/>
      <c r="F28" s="159"/>
      <c r="G28" s="155"/>
    </row>
    <row r="29" customFormat="false" ht="24.95" hidden="false" customHeight="true" outlineLevel="0" collapsed="false">
      <c r="A29" s="157"/>
      <c r="B29" s="159"/>
      <c r="C29" s="159"/>
      <c r="D29" s="47" t="s">
        <v>34</v>
      </c>
      <c r="E29" s="163">
        <f aca="false">IFERROR(안전관리비사용계획서!E25,"")</f>
      </c>
      <c r="F29" s="159"/>
      <c r="G29" s="155"/>
    </row>
    <row r="30" customFormat="false" ht="24.95" hidden="false" customHeight="true" outlineLevel="0" collapsed="false">
      <c r="A30" s="157"/>
      <c r="B30" s="159"/>
      <c r="C30" s="159"/>
      <c r="D30" s="49" t="s">
        <v>36</v>
      </c>
      <c r="E30" s="163">
        <f aca="false">IFERROR(안전관리비사용계획서!E26,"")</f>
      </c>
      <c r="F30" s="159"/>
      <c r="G30" s="155"/>
    </row>
    <row r="31" customFormat="false" ht="24.95" hidden="false" customHeight="true" outlineLevel="0" collapsed="false">
      <c r="A31" s="157"/>
      <c r="B31" s="159"/>
      <c r="C31" s="159"/>
      <c r="D31" s="49" t="s">
        <v>37</v>
      </c>
      <c r="E31" s="164">
        <f aca="false">IFERROR(안전관리비사용계획서!E27,"")</f>
      </c>
      <c r="F31" s="165" t="s">
        <v>38</v>
      </c>
      <c r="G31" s="155"/>
    </row>
    <row r="32" customFormat="false" ht="21.95" hidden="false" customHeight="true" outlineLevel="0" collapsed="false">
      <c r="A32" s="166"/>
      <c r="B32" s="167"/>
      <c r="C32" s="167"/>
      <c r="D32" s="167"/>
      <c r="E32" s="167"/>
      <c r="F32" s="167"/>
      <c r="G32" s="168"/>
    </row>
  </sheetData>
  <mergeCells count="26">
    <mergeCell ref="A1:G1"/>
    <mergeCell ref="A2:B3"/>
    <mergeCell ref="C2:D3"/>
    <mergeCell ref="E2:E3"/>
    <mergeCell ref="F2:G3"/>
    <mergeCell ref="A4:B5"/>
    <mergeCell ref="C4:D5"/>
    <mergeCell ref="E4:E5"/>
    <mergeCell ref="F4:G5"/>
    <mergeCell ref="A6:B6"/>
    <mergeCell ref="C6:D6"/>
    <mergeCell ref="F6:G6"/>
    <mergeCell ref="A7:B7"/>
    <mergeCell ref="C7:D7"/>
    <mergeCell ref="F7:G7"/>
    <mergeCell ref="A8:B9"/>
    <mergeCell ref="C8:D9"/>
    <mergeCell ref="E8:E9"/>
    <mergeCell ref="F8:G9"/>
    <mergeCell ref="A10:G10"/>
    <mergeCell ref="A11:D11"/>
    <mergeCell ref="A12:D12"/>
    <mergeCell ref="A20:D20"/>
    <mergeCell ref="A22:G22"/>
    <mergeCell ref="A24:G24"/>
    <mergeCell ref="A26:G27"/>
  </mergeCells>
  <printOptions headings="false" gridLines="false" gridLinesSet="true" horizontalCentered="true" verticalCentered="true"/>
  <pageMargins left="0.35" right="0.35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F15" activeCellId="0" sqref="F15"/>
    </sheetView>
  </sheetViews>
  <sheetFormatPr defaultColWidth="8.99609375" defaultRowHeight="13.5" zeroHeight="false" outlineLevelRow="0" outlineLevelCol="0"/>
  <cols>
    <col collapsed="false" customWidth="true" hidden="false" outlineLevel="0" max="1" min="1" style="55" width="12.12"/>
    <col collapsed="false" customWidth="true" hidden="false" outlineLevel="0" max="2" min="2" style="55" width="11.62"/>
    <col collapsed="false" customWidth="true" hidden="false" outlineLevel="0" max="3" min="3" style="55" width="22.37"/>
    <col collapsed="false" customWidth="true" hidden="false" outlineLevel="0" max="4" min="4" style="55" width="10.99"/>
    <col collapsed="false" customWidth="true" hidden="false" outlineLevel="0" max="5" min="5" style="55" width="4.24"/>
    <col collapsed="false" customWidth="true" hidden="false" outlineLevel="0" max="6" min="6" style="56" width="6.62"/>
    <col collapsed="false" customWidth="true" hidden="false" outlineLevel="0" max="7" min="7" style="55" width="12.75"/>
    <col collapsed="false" customWidth="true" hidden="false" outlineLevel="0" max="8" min="8" style="57" width="8.37"/>
    <col collapsed="false" customWidth="true" hidden="false" outlineLevel="0" max="9" min="9" style="55" width="12.99"/>
    <col collapsed="false" customWidth="true" hidden="false" outlineLevel="0" max="10" min="10" style="55" width="14.87"/>
    <col collapsed="false" customWidth="false" hidden="false" outlineLevel="0" max="257" min="11" style="55" width="8.99"/>
  </cols>
  <sheetData>
    <row r="1" customFormat="false" ht="45.75" hidden="false" customHeight="true" outlineLevel="0" collapsed="false">
      <c r="A1" s="58" t="s">
        <v>39</v>
      </c>
      <c r="B1" s="58"/>
      <c r="C1" s="58"/>
      <c r="D1" s="58"/>
      <c r="E1" s="58"/>
      <c r="F1" s="58"/>
      <c r="G1" s="58"/>
      <c r="H1" s="58"/>
    </row>
    <row r="2" customFormat="false" ht="27" hidden="false" customHeight="true" outlineLevel="0" collapsed="false">
      <c r="A2" s="169">
        <f aca="false">IFERROR(안전관리비세부내역!A2,"")</f>
      </c>
      <c r="B2" s="61"/>
      <c r="C2" s="61"/>
      <c r="D2" s="61"/>
      <c r="E2" s="61"/>
      <c r="F2" s="61"/>
      <c r="G2" s="62" t="s">
        <v>40</v>
      </c>
      <c r="H2" s="62"/>
    </row>
    <row r="3" customFormat="false" ht="27" hidden="false" customHeight="true" outlineLevel="0" collapsed="false">
      <c r="A3" s="63" t="s">
        <v>41</v>
      </c>
      <c r="B3" s="63"/>
      <c r="C3" s="64" t="s">
        <v>42</v>
      </c>
      <c r="D3" s="64"/>
      <c r="E3" s="64"/>
      <c r="F3" s="64"/>
      <c r="G3" s="65" t="s">
        <v>43</v>
      </c>
      <c r="H3" s="66" t="s">
        <v>44</v>
      </c>
    </row>
    <row r="4" customFormat="false" ht="27" hidden="false" customHeight="true" outlineLevel="0" collapsed="false">
      <c r="A4" s="63"/>
      <c r="B4" s="63"/>
      <c r="C4" s="67" t="s">
        <v>45</v>
      </c>
      <c r="D4" s="68" t="s">
        <v>48</v>
      </c>
      <c r="E4" s="68" t="s">
        <v>47</v>
      </c>
      <c r="F4" s="69" t="s">
        <v>46</v>
      </c>
      <c r="G4" s="65"/>
      <c r="H4" s="66"/>
    </row>
    <row r="5" customFormat="false" ht="27" hidden="false" customHeight="true" outlineLevel="0" collapsed="false">
      <c r="A5" s="70" t="s">
        <v>92</v>
      </c>
      <c r="B5" s="70"/>
      <c r="C5" s="170" t="s">
        <v>93</v>
      </c>
      <c r="D5" s="73"/>
      <c r="E5" s="73"/>
      <c r="F5" s="171"/>
      <c r="G5" s="172">
        <f aca="false">IFERROR(D5*F5,"")</f>
      </c>
      <c r="H5" s="173"/>
    </row>
    <row r="6" customFormat="false" ht="27" hidden="false" customHeight="true" outlineLevel="0" collapsed="false">
      <c r="A6" s="70"/>
      <c r="B6" s="70"/>
      <c r="C6" s="174" t="s">
        <v>94</v>
      </c>
      <c r="D6" s="73"/>
      <c r="E6" s="73"/>
      <c r="F6" s="171"/>
      <c r="G6" s="172">
        <f aca="false">IFERROR(D6*F6,"")</f>
      </c>
      <c r="H6" s="78"/>
    </row>
    <row r="7" customFormat="false" ht="27" hidden="false" customHeight="true" outlineLevel="0" collapsed="false">
      <c r="A7" s="70"/>
      <c r="B7" s="70"/>
      <c r="C7" s="174" t="s">
        <v>95</v>
      </c>
      <c r="D7" s="73"/>
      <c r="E7" s="73"/>
      <c r="F7" s="171"/>
      <c r="G7" s="172">
        <f aca="false">IFERROR(D7*F7,"")</f>
      </c>
      <c r="H7" s="78"/>
    </row>
    <row r="8" customFormat="false" ht="27" hidden="false" customHeight="true" outlineLevel="0" collapsed="false">
      <c r="A8" s="70"/>
      <c r="B8" s="70"/>
      <c r="C8" s="71"/>
      <c r="D8" s="73"/>
      <c r="E8" s="73"/>
      <c r="F8" s="171"/>
      <c r="G8" s="172">
        <f aca="false">IFERROR(D8*F8,"")</f>
      </c>
      <c r="H8" s="78"/>
    </row>
    <row r="9" customFormat="false" ht="27" hidden="false" customHeight="true" outlineLevel="0" collapsed="false">
      <c r="A9" s="70"/>
      <c r="B9" s="70"/>
      <c r="C9" s="71"/>
      <c r="D9" s="73"/>
      <c r="E9" s="73"/>
      <c r="F9" s="171"/>
      <c r="G9" s="172">
        <f aca="false">IFERROR(D9*F9,"")</f>
      </c>
      <c r="H9" s="175"/>
    </row>
    <row r="10" customFormat="false" ht="27" hidden="false" customHeight="true" outlineLevel="0" collapsed="false">
      <c r="A10" s="70"/>
      <c r="B10" s="70"/>
      <c r="C10" s="176" t="s">
        <v>52</v>
      </c>
      <c r="D10" s="176"/>
      <c r="E10" s="176"/>
      <c r="F10" s="176"/>
      <c r="G10" s="177">
        <f aca="false">IFERROR(SUM(G5:G9),"")</f>
      </c>
      <c r="H10" s="178"/>
    </row>
    <row r="11" customFormat="false" ht="27" hidden="false" customHeight="true" outlineLevel="0" collapsed="false">
      <c r="A11" s="99" t="s">
        <v>96</v>
      </c>
      <c r="B11" s="99"/>
      <c r="C11" s="179" t="s">
        <v>97</v>
      </c>
      <c r="D11" s="171"/>
      <c r="E11" s="180" t="s">
        <v>58</v>
      </c>
      <c r="F11" s="181"/>
      <c r="G11" s="172">
        <f aca="false">IFERROR(D11*F11,"")</f>
      </c>
      <c r="H11" s="87"/>
    </row>
    <row r="12" customFormat="false" ht="27" hidden="false" customHeight="true" outlineLevel="0" collapsed="false">
      <c r="A12" s="99"/>
      <c r="B12" s="99"/>
      <c r="C12" s="182" t="s">
        <v>98</v>
      </c>
      <c r="D12" s="73"/>
      <c r="E12" s="180" t="s">
        <v>99</v>
      </c>
      <c r="F12" s="181"/>
      <c r="G12" s="172">
        <f aca="false">IFERROR(D12*F12,"")</f>
      </c>
      <c r="H12" s="87"/>
    </row>
    <row r="13" customFormat="false" ht="27" hidden="false" customHeight="true" outlineLevel="0" collapsed="false">
      <c r="A13" s="99"/>
      <c r="B13" s="99"/>
      <c r="C13" s="182" t="s">
        <v>100</v>
      </c>
      <c r="D13" s="73"/>
      <c r="E13" s="180" t="s">
        <v>55</v>
      </c>
      <c r="F13" s="183"/>
      <c r="G13" s="172">
        <f aca="false">IFERROR(D13*F13,"")</f>
      </c>
      <c r="H13" s="87"/>
    </row>
    <row r="14" customFormat="false" ht="27" hidden="false" customHeight="true" outlineLevel="0" collapsed="false">
      <c r="A14" s="99"/>
      <c r="B14" s="99"/>
      <c r="C14" s="182" t="s">
        <v>101</v>
      </c>
      <c r="D14" s="73"/>
      <c r="E14" s="180" t="s">
        <v>74</v>
      </c>
      <c r="F14" s="181"/>
      <c r="G14" s="172">
        <f aca="false">IFERROR(D14*F14,"")</f>
      </c>
      <c r="H14" s="175"/>
    </row>
    <row r="15" customFormat="false" ht="27" hidden="false" customHeight="true" outlineLevel="0" collapsed="false">
      <c r="A15" s="99"/>
      <c r="B15" s="99"/>
      <c r="C15" s="184"/>
      <c r="D15" s="73"/>
      <c r="E15" s="180"/>
      <c r="F15" s="185"/>
      <c r="G15" s="172">
        <f aca="false">IFERROR(D15*F15,"")</f>
      </c>
      <c r="H15" s="186"/>
      <c r="I15" s="125"/>
    </row>
    <row r="16" customFormat="false" ht="27" hidden="false" customHeight="true" outlineLevel="0" collapsed="false">
      <c r="A16" s="99"/>
      <c r="B16" s="99"/>
      <c r="C16" s="176" t="s">
        <v>52</v>
      </c>
      <c r="D16" s="176"/>
      <c r="E16" s="176"/>
      <c r="F16" s="176"/>
      <c r="G16" s="187">
        <f aca="false">IFERROR(SUM(G11:G15),"")</f>
      </c>
      <c r="H16" s="178"/>
    </row>
    <row r="17" customFormat="false" ht="27" hidden="false" customHeight="true" outlineLevel="0" collapsed="false">
      <c r="A17" s="99" t="s">
        <v>102</v>
      </c>
      <c r="B17" s="99"/>
      <c r="C17" s="182" t="s">
        <v>103</v>
      </c>
      <c r="D17" s="73"/>
      <c r="E17" s="180"/>
      <c r="F17" s="181"/>
      <c r="G17" s="172">
        <f aca="false">IFERROR(D17*F17,"")</f>
      </c>
      <c r="H17" s="87"/>
    </row>
    <row r="18" customFormat="false" ht="27" hidden="false" customHeight="true" outlineLevel="0" collapsed="false">
      <c r="A18" s="99"/>
      <c r="B18" s="99"/>
      <c r="C18" s="182" t="s">
        <v>104</v>
      </c>
      <c r="D18" s="73"/>
      <c r="E18" s="180"/>
      <c r="F18" s="181"/>
      <c r="G18" s="172">
        <f aca="false">IFERROR(D18*F18,"")</f>
      </c>
      <c r="H18" s="87"/>
    </row>
    <row r="19" customFormat="false" ht="27" hidden="false" customHeight="true" outlineLevel="0" collapsed="false">
      <c r="A19" s="99"/>
      <c r="B19" s="99"/>
      <c r="C19" s="182" t="s">
        <v>105</v>
      </c>
      <c r="D19" s="73"/>
      <c r="E19" s="180"/>
      <c r="F19" s="183"/>
      <c r="G19" s="172">
        <f aca="false">IFERROR(D19*F19,"")</f>
      </c>
      <c r="H19" s="87"/>
      <c r="J19" s="103"/>
    </row>
    <row r="20" customFormat="false" ht="27" hidden="false" customHeight="true" outlineLevel="0" collapsed="false">
      <c r="A20" s="99"/>
      <c r="B20" s="99"/>
      <c r="C20" s="182"/>
      <c r="D20" s="73"/>
      <c r="E20" s="180"/>
      <c r="F20" s="183"/>
      <c r="G20" s="172">
        <f aca="false">IFERROR(D20*F20,"")</f>
      </c>
      <c r="H20" s="188"/>
    </row>
    <row r="21" customFormat="false" ht="27" hidden="false" customHeight="true" outlineLevel="0" collapsed="false">
      <c r="A21" s="99"/>
      <c r="B21" s="99"/>
      <c r="C21" s="176" t="s">
        <v>52</v>
      </c>
      <c r="D21" s="176"/>
      <c r="E21" s="176"/>
      <c r="F21" s="176"/>
      <c r="G21" s="187">
        <f aca="false">IFERROR(SUM(G17:G20),"")</f>
      </c>
      <c r="H21" s="189"/>
    </row>
    <row r="22" customFormat="false" ht="27" hidden="false" customHeight="true" outlineLevel="0" collapsed="false">
      <c r="A22" s="99" t="s">
        <v>106</v>
      </c>
      <c r="B22" s="99"/>
      <c r="C22" s="182" t="s">
        <v>107</v>
      </c>
      <c r="D22" s="73"/>
      <c r="E22" s="180"/>
      <c r="F22" s="181"/>
      <c r="G22" s="172">
        <f aca="false">IFERROR(D22*F22,"")</f>
      </c>
      <c r="H22" s="87"/>
    </row>
    <row r="23" customFormat="false" ht="27" hidden="false" customHeight="true" outlineLevel="0" collapsed="false">
      <c r="A23" s="99"/>
      <c r="B23" s="99"/>
      <c r="C23" s="182" t="s">
        <v>108</v>
      </c>
      <c r="D23" s="73"/>
      <c r="E23" s="180"/>
      <c r="F23" s="181"/>
      <c r="G23" s="172">
        <f aca="false">IFERROR(D23*F23,"")</f>
      </c>
      <c r="H23" s="87"/>
    </row>
    <row r="24" customFormat="false" ht="27" hidden="false" customHeight="true" outlineLevel="0" collapsed="false">
      <c r="A24" s="99"/>
      <c r="B24" s="99"/>
      <c r="C24" s="182" t="s">
        <v>109</v>
      </c>
      <c r="D24" s="73"/>
      <c r="E24" s="180"/>
      <c r="F24" s="183"/>
      <c r="G24" s="172">
        <f aca="false">IFERROR(D24*F24,"")</f>
      </c>
      <c r="H24" s="87"/>
      <c r="J24" s="103"/>
    </row>
    <row r="25" customFormat="false" ht="27" hidden="false" customHeight="true" outlineLevel="0" collapsed="false">
      <c r="A25" s="99"/>
      <c r="B25" s="99"/>
      <c r="C25" s="182"/>
      <c r="D25" s="73"/>
      <c r="E25" s="180"/>
      <c r="F25" s="183"/>
      <c r="G25" s="172">
        <f aca="false">IFERROR(D25*F25,"")</f>
      </c>
      <c r="H25" s="188"/>
    </row>
    <row r="26" customFormat="false" ht="27" hidden="false" customHeight="true" outlineLevel="0" collapsed="false">
      <c r="A26" s="99"/>
      <c r="B26" s="99"/>
      <c r="C26" s="176" t="s">
        <v>52</v>
      </c>
      <c r="D26" s="176"/>
      <c r="E26" s="176"/>
      <c r="F26" s="176"/>
      <c r="G26" s="187">
        <f aca="false">IFERROR(SUM(G22:G25),"")</f>
      </c>
      <c r="H26" s="189"/>
    </row>
    <row r="27" customFormat="false" ht="27" hidden="false" customHeight="true" outlineLevel="0" collapsed="false">
      <c r="A27" s="122" t="s">
        <v>81</v>
      </c>
      <c r="B27" s="122"/>
      <c r="C27" s="122"/>
      <c r="D27" s="122"/>
      <c r="E27" s="122"/>
      <c r="F27" s="122"/>
      <c r="G27" s="190">
        <f aca="false">IFERROR(G10+G16+G21+G26,"")</f>
      </c>
      <c r="H27" s="124"/>
    </row>
    <row r="28" customFormat="false" ht="18" hidden="false" customHeight="true" outlineLevel="0" collapsed="false">
      <c r="G28" s="125">
        <f aca="false">IFERROR(환경보전비계획서!C8,"")</f>
      </c>
      <c r="H28" s="126"/>
    </row>
    <row r="29" customFormat="false" ht="13.5" hidden="false" customHeight="true" outlineLevel="0" collapsed="false">
      <c r="G29" s="191">
        <f aca="false">IFERROR(G27-G28,"")</f>
      </c>
    </row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4" customFormat="false" ht="14.25" hidden="false" customHeight="true" outlineLevel="0" collapsed="false"/>
  </sheetData>
  <mergeCells count="15">
    <mergeCell ref="A1:H1"/>
    <mergeCell ref="G2:H2"/>
    <mergeCell ref="A3:B4"/>
    <mergeCell ref="C3:F3"/>
    <mergeCell ref="G3:G4"/>
    <mergeCell ref="H3:H4"/>
    <mergeCell ref="A5:B10"/>
    <mergeCell ref="C10:F10"/>
    <mergeCell ref="A11:B16"/>
    <mergeCell ref="C16:F16"/>
    <mergeCell ref="A17:B21"/>
    <mergeCell ref="C21:F21"/>
    <mergeCell ref="A22:B26"/>
    <mergeCell ref="C26:F26"/>
    <mergeCell ref="A27:F27"/>
  </mergeCells>
  <printOptions headings="false" gridLines="false" gridLinesSet="true" horizontalCentered="true" verticalCentered="false"/>
  <pageMargins left="0.0784722222222222" right="0.0784722222222222" top="0.7875" bottom="0.196527777777778" header="0.511811023622047" footer="0.511811023622047"/>
  <pageSetup paperSize="9" scale="9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1998-03-05T03:40:40Z</dcterms:created>
  <dc:creator>박영호</dc:creator>
  <dc:description/>
  <dc:language>en-US</dc:language>
  <cp:lastModifiedBy>OS</cp:lastModifiedBy>
  <cp:lastPrinted>2025-06-05T23:33:42Z</cp:lastPrinted>
  <dcterms:modified xsi:type="dcterms:W3CDTF">2025-06-26T23:37:35Z</dcterms:modified>
  <cp:revision>0</cp:revision>
  <dc:subject/>
  <dc:title>안전관리비</dc:title>
</cp:coreProperties>
</file>