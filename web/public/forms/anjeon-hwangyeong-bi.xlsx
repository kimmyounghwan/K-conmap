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관리비 사용계획서" sheetId="1" state="visible" r:id="rId1"/>
    <sheet xmlns:r="http://schemas.openxmlformats.org/officeDocument/2006/relationships" name="안전관리비 세부내역" sheetId="2" state="visible" r:id="rId2"/>
    <sheet xmlns:r="http://schemas.openxmlformats.org/officeDocument/2006/relationships" name="환경보전비 사용계획서" sheetId="3" state="visible" r:id="rId3"/>
    <sheet xmlns:r="http://schemas.openxmlformats.org/officeDocument/2006/relationships" name="환경보전비 세부내역" sheetId="4" state="visible" r:id="rId4"/>
    <sheet xmlns:r="http://schemas.openxmlformats.org/officeDocument/2006/relationships" name="예시-안전관리비 사용계획서" sheetId="5" state="visible" r:id="rId5"/>
    <sheet xmlns:r="http://schemas.openxmlformats.org/officeDocument/2006/relationships" name="예시-안전관리비 세부내역" sheetId="6" state="visible" r:id="rId6"/>
    <sheet xmlns:r="http://schemas.openxmlformats.org/officeDocument/2006/relationships" name="예시-환경보전비 사용계획서" sheetId="7" state="visible" r:id="rId7"/>
    <sheet xmlns:r="http://schemas.openxmlformats.org/officeDocument/2006/relationships" name="예시-환경보전비 세부내역" sheetId="8" state="visible" r:id="rId8"/>
  </sheets>
  <definedNames>
    <definedName name="_xlnm.Print_Area" localSheetId="0">'안전관리비 사용계획서'!$A$1:$G$31</definedName>
    <definedName name="_xlnm.Print_Area" localSheetId="1">'안전관리비 세부내역'!$A$1:$G$46</definedName>
    <definedName name="_xlnm.Print_Area" localSheetId="2">'환경보전비 사용계획서'!$A$1:$G$30</definedName>
    <definedName name="_xlnm.Print_Area" localSheetId="3">'환경보전비 세부내역'!$A$1:$G$32</definedName>
    <definedName name="_xlnm.Print_Area" localSheetId="4">'예시-안전관리비 사용계획서'!$A$1:$G$31</definedName>
    <definedName name="_xlnm.Print_Area" localSheetId="5">'예시-안전관리비 세부내역'!$A$1:$G$46</definedName>
    <definedName name="_xlnm.Print_Area" localSheetId="6">'예시-환경보전비 사용계획서'!$A$1:$G$30</definedName>
    <definedName name="_xlnm.Print_Area" localSheetId="7">'예시-환경보전비 세부내역'!$A$1:$G$32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%;;&quot;0.0%&quot;"/>
    <numFmt numFmtId="166" formatCode="0.0%;[Red]-0.0%;&quot;&quot;"/>
    <numFmt numFmtId="167" formatCode="yyyy&quot;년&quot; m&quot;월&quot; d&quot;일&quot;"/>
    <numFmt numFmtId="168" formatCode="#,##0.##;;&quot;&quot;"/>
    <numFmt numFmtId="169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b val="1"/>
      <color rgb="001F2937"/>
      <sz val="11"/>
    </font>
    <font>
      <name val="맑은 고딕"/>
      <color rgb="00000000"/>
      <sz val="9"/>
    </font>
    <font>
      <name val="맑은 고딕"/>
      <color rgb="001F2937"/>
      <sz val="10.5"/>
    </font>
    <font>
      <name val="맑은 고딕"/>
      <color rgb="00374151"/>
      <sz val="10"/>
    </font>
    <font>
      <name val="맑은 고딕"/>
      <color rgb="001F2937"/>
      <sz val="9"/>
    </font>
    <font>
      <name val="맑은 고딕"/>
      <b val="1"/>
      <color rgb="001F2937"/>
      <sz val="9"/>
    </font>
    <font>
      <name val="맑은 고딕"/>
      <color rgb="00000000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shrinkToFit="1"/>
    </xf>
    <xf numFmtId="164" fontId="6" fillId="3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166" fontId="6" fillId="3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 shrinkToFit="1"/>
    </xf>
    <xf numFmtId="166" fontId="4" fillId="3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 wrapText="1"/>
    </xf>
    <xf numFmtId="0" fontId="13" fillId="2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8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4" customHeight="1"/>
    <row r="3" ht="38" customHeight="1">
      <c r="A3" s="3" t="inlineStr">
        <is>
          <t>산업안전보건관리비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6" t="n"/>
      <c r="D5" s="5" t="n"/>
      <c r="E5" s="4" t="inlineStr">
        <is>
          <t>공   사   명</t>
        </is>
      </c>
      <c r="F5" s="6" t="n"/>
      <c r="G5" s="5" t="n"/>
    </row>
    <row r="6" ht="26" customHeight="1">
      <c r="A6" s="4" t="inlineStr">
        <is>
          <t>소  재  지</t>
        </is>
      </c>
      <c r="B6" s="5" t="n"/>
      <c r="C6" s="6" t="n"/>
      <c r="D6" s="5" t="n"/>
      <c r="E6" s="4" t="inlineStr">
        <is>
          <t>대  표  자</t>
        </is>
      </c>
      <c r="F6" s="6" t="n"/>
      <c r="G6" s="5" t="n"/>
    </row>
    <row r="7" ht="26" customHeight="1">
      <c r="A7" s="4" t="inlineStr">
        <is>
          <t>공 사 금 액</t>
        </is>
      </c>
      <c r="B7" s="5" t="n"/>
      <c r="C7" s="7" t="n"/>
      <c r="D7" s="5" t="n"/>
      <c r="E7" s="4" t="inlineStr">
        <is>
          <t>공 사 기 간</t>
        </is>
      </c>
      <c r="F7" s="6" t="n"/>
      <c r="G7" s="5" t="n"/>
    </row>
    <row r="8" ht="26" customHeight="1">
      <c r="A8" s="4" t="inlineStr">
        <is>
          <t>발  주  자</t>
        </is>
      </c>
      <c r="B8" s="5" t="n"/>
      <c r="C8" s="6" t="n"/>
      <c r="D8" s="5" t="n"/>
      <c r="E8" s="4" t="inlineStr">
        <is>
          <t>누계공정율</t>
        </is>
      </c>
      <c r="F8" s="8" t="n"/>
      <c r="G8" s="5" t="n"/>
    </row>
    <row r="9" ht="34" customHeight="1">
      <c r="A9" s="4" t="inlineStr">
        <is>
          <t>계  상  된
안전관리비</t>
        </is>
      </c>
      <c r="B9" s="5" t="n"/>
      <c r="C9" s="7" t="n"/>
      <c r="D9" s="5" t="n"/>
      <c r="E9" s="4" t="inlineStr">
        <is>
          <t>사용계획
안전관리비</t>
        </is>
      </c>
      <c r="F9" s="9">
        <f>IF('안전관리비 세부내역'!F45=0,"",'안전관리비 세부내역'!F45)</f>
        <v/>
      </c>
      <c r="G9" s="5" t="n"/>
    </row>
    <row r="10" ht="16" customHeight="1">
      <c r="A10" s="10">
        <f>IF(AND(N(C9)&gt;0,N(F9)&gt;C9),"⚠ 사용계획 금액이 계상된 안전관리비를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비      율</t>
        </is>
      </c>
      <c r="G12" s="12" t="inlineStr">
        <is>
          <t>비      고</t>
        </is>
      </c>
    </row>
    <row r="13" ht="26" customHeight="1">
      <c r="A13" s="13" t="inlineStr">
        <is>
          <t>1. 안전관리자·보건관리자의 임금 등</t>
        </is>
      </c>
      <c r="B13" s="5" t="n"/>
      <c r="C13" s="5" t="n"/>
      <c r="D13" s="5" t="n"/>
      <c r="E13" s="9">
        <f>IF(N('안전관리비 세부내역'!F11)=0,"",'안전관리비 세부내역'!F11)</f>
        <v/>
      </c>
      <c r="F13" s="14">
        <f>IF(OR(N(E13)=0,N(C9)=0),"",E13/C9)</f>
        <v/>
      </c>
      <c r="G13" s="15" t="n"/>
    </row>
    <row r="14" ht="26" customHeight="1">
      <c r="A14" s="13" t="inlineStr">
        <is>
          <t>2. 안전시설비 등</t>
        </is>
      </c>
      <c r="B14" s="5" t="n"/>
      <c r="C14" s="5" t="n"/>
      <c r="D14" s="5" t="n"/>
      <c r="E14" s="9">
        <f>IF(N('안전관리비 세부내역'!F17)=0,"",'안전관리비 세부내역'!F17)</f>
        <v/>
      </c>
      <c r="F14" s="14">
        <f>IF(OR(N(E14)=0,N(C9)=0),"",E14/C9)</f>
        <v/>
      </c>
      <c r="G14" s="15" t="n"/>
    </row>
    <row r="15" ht="26" customHeight="1">
      <c r="A15" s="13" t="inlineStr">
        <is>
          <t>3. 보호구 등</t>
        </is>
      </c>
      <c r="B15" s="5" t="n"/>
      <c r="C15" s="5" t="n"/>
      <c r="D15" s="5" t="n"/>
      <c r="E15" s="9">
        <f>IF(N('안전관리비 세부내역'!F24)=0,"",'안전관리비 세부내역'!F24)</f>
        <v/>
      </c>
      <c r="F15" s="14">
        <f>IF(OR(N(E15)=0,N(C9)=0),"",E15/C9)</f>
        <v/>
      </c>
      <c r="G15" s="15" t="n"/>
    </row>
    <row r="16" ht="26" customHeight="1">
      <c r="A16" s="13" t="inlineStr">
        <is>
          <t>4. 안전보건진단비 등</t>
        </is>
      </c>
      <c r="B16" s="5" t="n"/>
      <c r="C16" s="5" t="n"/>
      <c r="D16" s="5" t="n"/>
      <c r="E16" s="9">
        <f>IF(N('안전관리비 세부내역'!F27)=0,"",'안전관리비 세부내역'!F27)</f>
        <v/>
      </c>
      <c r="F16" s="14">
        <f>IF(OR(N(E16)=0,N(C9)=0),"",E16/C9)</f>
        <v/>
      </c>
      <c r="G16" s="15" t="n"/>
    </row>
    <row r="17" ht="26" customHeight="1">
      <c r="A17" s="13" t="inlineStr">
        <is>
          <t>5. 안전보건교육비 등</t>
        </is>
      </c>
      <c r="B17" s="5" t="n"/>
      <c r="C17" s="5" t="n"/>
      <c r="D17" s="5" t="n"/>
      <c r="E17" s="9">
        <f>IF(N('안전관리비 세부내역'!F31)=0,"",'안전관리비 세부내역'!F31)</f>
        <v/>
      </c>
      <c r="F17" s="14">
        <f>IF(OR(N(E17)=0,N(C9)=0),"",E17/C9)</f>
        <v/>
      </c>
      <c r="G17" s="15" t="n"/>
    </row>
    <row r="18" ht="26" customHeight="1">
      <c r="A18" s="13" t="inlineStr">
        <is>
          <t>6. 근로자 건강장해예방비 등</t>
        </is>
      </c>
      <c r="B18" s="5" t="n"/>
      <c r="C18" s="5" t="n"/>
      <c r="D18" s="5" t="n"/>
      <c r="E18" s="9">
        <f>IF(N('안전관리비 세부내역'!F35)=0,"",'안전관리비 세부내역'!F35)</f>
        <v/>
      </c>
      <c r="F18" s="14">
        <f>IF(OR(N(E18)=0,N(C9)=0),"",E18/C9)</f>
        <v/>
      </c>
      <c r="G18" s="15" t="n"/>
    </row>
    <row r="19" ht="26" customHeight="1">
      <c r="A19" s="13" t="inlineStr">
        <is>
          <t>7. 건설재해예방전문지도기관 기술지도비</t>
        </is>
      </c>
      <c r="B19" s="5" t="n"/>
      <c r="C19" s="5" t="n"/>
      <c r="D19" s="5" t="n"/>
      <c r="E19" s="9">
        <f>IF(N('안전관리비 세부내역'!F38)=0,"",'안전관리비 세부내역'!F38)</f>
        <v/>
      </c>
      <c r="F19" s="14">
        <f>IF(OR(N(E19)=0,N(C9)=0),"",E19/C9)</f>
        <v/>
      </c>
      <c r="G19" s="15" t="n"/>
    </row>
    <row r="20" ht="26" customHeight="1">
      <c r="A20" s="13" t="inlineStr">
        <is>
          <t>8. 본사 전담조직 근로자 임금 등</t>
        </is>
      </c>
      <c r="B20" s="5" t="n"/>
      <c r="C20" s="5" t="n"/>
      <c r="D20" s="5" t="n"/>
      <c r="E20" s="9">
        <f>IF(N('안전관리비 세부내역'!F41)=0,"",'안전관리비 세부내역'!F41)</f>
        <v/>
      </c>
      <c r="F20" s="14">
        <f>IF(OR(N(E20)=0,N(C9)=0),"",E20/C9)</f>
        <v/>
      </c>
      <c r="G20" s="15" t="n"/>
    </row>
    <row r="21" ht="26" customHeight="1">
      <c r="A21" s="13" t="inlineStr">
        <is>
          <t>9. 위험성평가 등에 따른 소요비용</t>
        </is>
      </c>
      <c r="B21" s="5" t="n"/>
      <c r="C21" s="5" t="n"/>
      <c r="D21" s="5" t="n"/>
      <c r="E21" s="9">
        <f>IF(N('안전관리비 세부내역'!F44)=0,"",'안전관리비 세부내역'!F44)</f>
        <v/>
      </c>
      <c r="F21" s="14">
        <f>IF(OR(N(E21)=0,N(C9)=0),"",E21/C9)</f>
        <v/>
      </c>
      <c r="G21" s="15" t="n"/>
    </row>
    <row r="22" ht="28" customHeight="1">
      <c r="A22" s="16" t="inlineStr">
        <is>
          <t>합                    계</t>
        </is>
      </c>
      <c r="B22" s="5" t="n"/>
      <c r="C22" s="5" t="n"/>
      <c r="D22" s="5" t="n"/>
      <c r="E22" s="17">
        <f>SUM(E13:E21)</f>
        <v/>
      </c>
      <c r="F22" s="18">
        <f>IF(OR(N(E22)=0,N(C9)=0),"",E22/C9)</f>
        <v/>
      </c>
      <c r="G22" s="16" t="inlineStr"/>
    </row>
    <row r="23" ht="10" customHeight="1"/>
    <row r="24" ht="22" customHeight="1">
      <c r="A24" s="19" t="inlineStr">
        <is>
          <t>「건설업 산업안전보건관리비 계상 및 사용기준」(고용노동부 고시)에 따라</t>
        </is>
      </c>
    </row>
    <row r="25" ht="22" customHeight="1">
      <c r="A25" s="19" t="inlineStr">
        <is>
          <t>위와 같이 당 현장의 산업안전보건관리비 사용계획서를 제출합니다.</t>
        </is>
      </c>
    </row>
    <row r="26" ht="6" customHeight="1"/>
    <row r="27" ht="26" customHeight="1">
      <c r="A27" s="20" t="inlineStr">
        <is>
          <t xml:space="preserve">          년        월        일</t>
        </is>
      </c>
    </row>
    <row r="28" ht="4" customHeight="1"/>
    <row r="29" ht="24" customHeight="1">
      <c r="A29" s="21" t="inlineStr"/>
      <c r="D29" s="22" t="inlineStr">
        <is>
          <t>주     소 :</t>
        </is>
      </c>
      <c r="E29" s="21">
        <f>IF(C6="","",C6)</f>
        <v/>
      </c>
      <c r="G29" s="23" t="inlineStr"/>
    </row>
    <row r="30" ht="24" customHeight="1">
      <c r="A30" s="21" t="inlineStr"/>
      <c r="D30" s="22" t="inlineStr">
        <is>
          <t>상     호 :</t>
        </is>
      </c>
      <c r="E30" s="21">
        <f>IF(C5="","",C5)</f>
        <v/>
      </c>
      <c r="G30" s="23" t="inlineStr"/>
    </row>
    <row r="31" ht="24" customHeight="1">
      <c r="A31" s="21" t="inlineStr"/>
      <c r="D31" s="22" t="inlineStr">
        <is>
          <t>성     명 :</t>
        </is>
      </c>
      <c r="E31" s="21">
        <f>IF(F6="","",F6)</f>
        <v/>
      </c>
      <c r="G31" s="23" t="inlineStr">
        <is>
          <t>(인)</t>
        </is>
      </c>
    </row>
    <row r="33" ht="34" customHeight="1">
      <c r="A33" s="24" t="inlineStr">
        <is>
          <t>계획금액·비율(잔액)·합계는 뒤 «세부 사용계획» 시트에서 저절로 옵니다 — 세부 시트의 품명·수량·단가만 적으세요.</t>
        </is>
      </c>
    </row>
    <row r="34" ht="19.5" customHeight="1">
      <c r="A34" s="24" t="inlineStr">
        <is>
          <t>노란 칸은 없습니다. 계상된 금액은 공사원가계산서(산출내역서)의 금액을 그대로 적습니다.</t>
        </is>
      </c>
    </row>
  </sheetData>
  <mergeCells count="42">
    <mergeCell ref="A17:D17"/>
    <mergeCell ref="C6:D6"/>
    <mergeCell ref="A22:D22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34:G34"/>
    <mergeCell ref="A15:D15"/>
    <mergeCell ref="A24:G24"/>
    <mergeCell ref="C9:D9"/>
    <mergeCell ref="A29:C29"/>
    <mergeCell ref="A11:G11"/>
    <mergeCell ref="E31:F31"/>
    <mergeCell ref="F8:G8"/>
    <mergeCell ref="A1:D1"/>
    <mergeCell ref="E30:F30"/>
    <mergeCell ref="A31:C31"/>
    <mergeCell ref="A5:B5"/>
    <mergeCell ref="A30:C30"/>
    <mergeCell ref="A16:D16"/>
    <mergeCell ref="A25:G25"/>
    <mergeCell ref="A8:B8"/>
    <mergeCell ref="F9:G9"/>
    <mergeCell ref="C8:D8"/>
    <mergeCell ref="A18:D18"/>
    <mergeCell ref="C7:D7"/>
    <mergeCell ref="A27:G27"/>
    <mergeCell ref="A3:G3"/>
    <mergeCell ref="A12:D12"/>
    <mergeCell ref="A21:D21"/>
    <mergeCell ref="A9:B9"/>
    <mergeCell ref="A33:G33"/>
    <mergeCell ref="E1:G1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2" t="inlineStr">
        <is>
          <t xml:space="preserve">← 이 1행을 지우고 쓰셔도 됩니다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(산업안전보건관리비)</t>
        </is>
      </c>
    </row>
    <row r="5" ht="4" customHeight="1"/>
    <row r="6" ht="22" customHeight="1">
      <c r="A6" s="26">
        <f>IF('안전관리비 사용계획서'!F5="","",'안전관리비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수 량</t>
        </is>
      </c>
      <c r="D8" s="12" t="inlineStr">
        <is>
          <t>단 위</t>
        </is>
      </c>
      <c r="E8" s="12" t="inlineStr">
        <is>
          <t>단 가</t>
        </is>
      </c>
      <c r="F8" s="5" t="n"/>
      <c r="G8" s="5" t="n"/>
    </row>
    <row r="9" ht="20" customHeight="1">
      <c r="A9" s="28" t="inlineStr">
        <is>
          <t>1. 안전관리자·보건관리자의 임금 등</t>
        </is>
      </c>
      <c r="B9" s="29" t="n"/>
      <c r="C9" s="30" t="n"/>
      <c r="D9" s="31" t="n"/>
      <c r="E9" s="7" t="n"/>
      <c r="F9" s="9">
        <f>IF(OR(N(C9)=0,N(E9)=0),"",INT(ROUND(C9*E9,6)))</f>
        <v/>
      </c>
      <c r="G9" s="15" t="n"/>
    </row>
    <row r="10" ht="20" customHeight="1">
      <c r="A10" s="5" t="n"/>
      <c r="B10" s="29" t="n"/>
      <c r="C10" s="30" t="n"/>
      <c r="D10" s="31" t="n"/>
      <c r="E10" s="7" t="n"/>
      <c r="F10" s="9">
        <f>IF(OR(N(C10)=0,N(E10)=0),"",INT(ROUND(C10*E10,6)))</f>
        <v/>
      </c>
      <c r="G10" s="15" t="n"/>
    </row>
    <row r="11" ht="20" customHeight="1">
      <c r="A11" s="5" t="n"/>
      <c r="B11" s="16" t="inlineStr">
        <is>
          <t>소          계</t>
        </is>
      </c>
      <c r="C11" s="5" t="n"/>
      <c r="D11" s="5" t="n"/>
      <c r="E11" s="5" t="n"/>
      <c r="F11" s="17">
        <f>SUM(F9:F10)</f>
        <v/>
      </c>
      <c r="G11" s="16" t="inlineStr"/>
    </row>
    <row r="12" ht="20" customHeight="1">
      <c r="A12" s="28" t="inlineStr">
        <is>
          <t>2. 안전시설비 등</t>
        </is>
      </c>
      <c r="B12" s="29" t="n"/>
      <c r="C12" s="30" t="n"/>
      <c r="D12" s="31" t="n"/>
      <c r="E12" s="7" t="n"/>
      <c r="F12" s="9">
        <f>IF(OR(N(C12)=0,N(E12)=0),"",INT(ROUND(C12*E12,6)))</f>
        <v/>
      </c>
      <c r="G12" s="15" t="n"/>
    </row>
    <row r="13" ht="20" customHeight="1">
      <c r="A13" s="5" t="n"/>
      <c r="B13" s="29" t="n"/>
      <c r="C13" s="30" t="n"/>
      <c r="D13" s="31" t="n"/>
      <c r="E13" s="7" t="n"/>
      <c r="F13" s="9">
        <f>IF(OR(N(C13)=0,N(E13)=0),"",INT(ROUND(C13*E13,6)))</f>
        <v/>
      </c>
      <c r="G13" s="15" t="n"/>
    </row>
    <row r="14" ht="20" customHeight="1">
      <c r="A14" s="5" t="n"/>
      <c r="B14" s="29" t="n"/>
      <c r="C14" s="30" t="n"/>
      <c r="D14" s="31" t="n"/>
      <c r="E14" s="7" t="n"/>
      <c r="F14" s="9">
        <f>IF(OR(N(C14)=0,N(E14)=0),"",INT(ROUND(C14*E14,6)))</f>
        <v/>
      </c>
      <c r="G14" s="15" t="n"/>
    </row>
    <row r="15" ht="20" customHeight="1">
      <c r="A15" s="5" t="n"/>
      <c r="B15" s="29" t="n"/>
      <c r="C15" s="30" t="n"/>
      <c r="D15" s="31" t="n"/>
      <c r="E15" s="7" t="n"/>
      <c r="F15" s="9">
        <f>IF(OR(N(C15)=0,N(E15)=0),"",INT(ROUND(C15*E15,6)))</f>
        <v/>
      </c>
      <c r="G15" s="15" t="n"/>
    </row>
    <row r="16" ht="20" customHeight="1">
      <c r="A16" s="5" t="n"/>
      <c r="B16" s="29" t="n"/>
      <c r="C16" s="30" t="n"/>
      <c r="D16" s="31" t="n"/>
      <c r="E16" s="7" t="n"/>
      <c r="F16" s="9">
        <f>IF(OR(N(C16)=0,N(E16)=0),"",INT(ROUND(C16*E16,6)))</f>
        <v/>
      </c>
      <c r="G16" s="15" t="n"/>
    </row>
    <row r="17" ht="20" customHeight="1">
      <c r="A17" s="5" t="n"/>
      <c r="B17" s="16" t="inlineStr">
        <is>
          <t>소          계</t>
        </is>
      </c>
      <c r="C17" s="5" t="n"/>
      <c r="D17" s="5" t="n"/>
      <c r="E17" s="5" t="n"/>
      <c r="F17" s="17">
        <f>SUM(F12:F16)</f>
        <v/>
      </c>
      <c r="G17" s="16" t="inlineStr"/>
    </row>
    <row r="18" ht="20" customHeight="1">
      <c r="A18" s="28" t="inlineStr">
        <is>
          <t>3. 보호구 등</t>
        </is>
      </c>
      <c r="B18" s="29" t="n"/>
      <c r="C18" s="30" t="n"/>
      <c r="D18" s="31" t="n"/>
      <c r="E18" s="7" t="n"/>
      <c r="F18" s="9">
        <f>IF(OR(N(C18)=0,N(E18)=0),"",INT(ROUND(C18*E18,6)))</f>
        <v/>
      </c>
      <c r="G18" s="15" t="n"/>
    </row>
    <row r="19" ht="20" customHeight="1">
      <c r="A19" s="5" t="n"/>
      <c r="B19" s="29" t="n"/>
      <c r="C19" s="30" t="n"/>
      <c r="D19" s="31" t="n"/>
      <c r="E19" s="7" t="n"/>
      <c r="F19" s="9">
        <f>IF(OR(N(C19)=0,N(E19)=0),"",INT(ROUND(C19*E19,6)))</f>
        <v/>
      </c>
      <c r="G19" s="15" t="n"/>
    </row>
    <row r="20" ht="20" customHeight="1">
      <c r="A20" s="5" t="n"/>
      <c r="B20" s="29" t="n"/>
      <c r="C20" s="30" t="n"/>
      <c r="D20" s="31" t="n"/>
      <c r="E20" s="7" t="n"/>
      <c r="F20" s="9">
        <f>IF(OR(N(C20)=0,N(E20)=0),"",INT(ROUND(C20*E20,6)))</f>
        <v/>
      </c>
      <c r="G20" s="15" t="n"/>
    </row>
    <row r="21" ht="20" customHeight="1">
      <c r="A21" s="5" t="n"/>
      <c r="B21" s="29" t="n"/>
      <c r="C21" s="30" t="n"/>
      <c r="D21" s="31" t="n"/>
      <c r="E21" s="7" t="n"/>
      <c r="F21" s="9">
        <f>IF(OR(N(C21)=0,N(E21)=0),"",INT(ROUND(C21*E21,6)))</f>
        <v/>
      </c>
      <c r="G21" s="15" t="n"/>
    </row>
    <row r="22" ht="20" customHeight="1">
      <c r="A22" s="5" t="n"/>
      <c r="B22" s="29" t="n"/>
      <c r="C22" s="30" t="n"/>
      <c r="D22" s="31" t="n"/>
      <c r="E22" s="7" t="n"/>
      <c r="F22" s="9">
        <f>IF(OR(N(C22)=0,N(E22)=0),"",INT(ROUND(C22*E22,6)))</f>
        <v/>
      </c>
      <c r="G22" s="15" t="n"/>
    </row>
    <row r="23" ht="20" customHeight="1">
      <c r="A23" s="5" t="n"/>
      <c r="B23" s="29" t="n"/>
      <c r="C23" s="30" t="n"/>
      <c r="D23" s="31" t="n"/>
      <c r="E23" s="7" t="n"/>
      <c r="F23" s="9">
        <f>IF(OR(N(C23)=0,N(E23)=0),"",INT(ROUND(C23*E23,6)))</f>
        <v/>
      </c>
      <c r="G23" s="15" t="n"/>
    </row>
    <row r="24" ht="20" customHeight="1">
      <c r="A24" s="5" t="n"/>
      <c r="B24" s="16" t="inlineStr">
        <is>
          <t>소          계</t>
        </is>
      </c>
      <c r="C24" s="5" t="n"/>
      <c r="D24" s="5" t="n"/>
      <c r="E24" s="5" t="n"/>
      <c r="F24" s="17">
        <f>SUM(F18:F23)</f>
        <v/>
      </c>
      <c r="G24" s="16" t="inlineStr"/>
    </row>
    <row r="25" ht="20" customHeight="1">
      <c r="A25" s="28" t="inlineStr">
        <is>
          <t>4. 안전보건진단비 등</t>
        </is>
      </c>
      <c r="B25" s="29" t="n"/>
      <c r="C25" s="30" t="n"/>
      <c r="D25" s="31" t="n"/>
      <c r="E25" s="7" t="n"/>
      <c r="F25" s="9">
        <f>IF(OR(N(C25)=0,N(E25)=0),"",INT(ROUND(C25*E25,6)))</f>
        <v/>
      </c>
      <c r="G25" s="15" t="n"/>
    </row>
    <row r="26" ht="20" customHeight="1">
      <c r="A26" s="5" t="n"/>
      <c r="B26" s="29" t="n"/>
      <c r="C26" s="30" t="n"/>
      <c r="D26" s="31" t="n"/>
      <c r="E26" s="7" t="n"/>
      <c r="F26" s="9">
        <f>IF(OR(N(C26)=0,N(E26)=0),"",INT(ROUND(C26*E26,6)))</f>
        <v/>
      </c>
      <c r="G26" s="15" t="n"/>
    </row>
    <row r="27" ht="20" customHeight="1">
      <c r="A27" s="5" t="n"/>
      <c r="B27" s="16" t="inlineStr">
        <is>
          <t>소          계</t>
        </is>
      </c>
      <c r="C27" s="5" t="n"/>
      <c r="D27" s="5" t="n"/>
      <c r="E27" s="5" t="n"/>
      <c r="F27" s="17">
        <f>SUM(F25:F26)</f>
        <v/>
      </c>
      <c r="G27" s="16" t="inlineStr"/>
    </row>
    <row r="28" ht="20" customHeight="1">
      <c r="A28" s="28" t="inlineStr">
        <is>
          <t>5. 안전보건교육비 등</t>
        </is>
      </c>
      <c r="B28" s="29" t="n"/>
      <c r="C28" s="30" t="n"/>
      <c r="D28" s="31" t="n"/>
      <c r="E28" s="7" t="n"/>
      <c r="F28" s="9">
        <f>IF(OR(N(C28)=0,N(E28)=0),"",INT(ROUND(C28*E28,6)))</f>
        <v/>
      </c>
      <c r="G28" s="15" t="n"/>
    </row>
    <row r="29" ht="20" customHeight="1">
      <c r="A29" s="5" t="n"/>
      <c r="B29" s="29" t="n"/>
      <c r="C29" s="30" t="n"/>
      <c r="D29" s="31" t="n"/>
      <c r="E29" s="7" t="n"/>
      <c r="F29" s="9">
        <f>IF(OR(N(C29)=0,N(E29)=0),"",INT(ROUND(C29*E29,6)))</f>
        <v/>
      </c>
      <c r="G29" s="15" t="n"/>
    </row>
    <row r="30" ht="20" customHeight="1">
      <c r="A30" s="5" t="n"/>
      <c r="B30" s="29" t="n"/>
      <c r="C30" s="30" t="n"/>
      <c r="D30" s="31" t="n"/>
      <c r="E30" s="7" t="n"/>
      <c r="F30" s="9">
        <f>IF(OR(N(C30)=0,N(E30)=0),"",INT(ROUND(C30*E30,6)))</f>
        <v/>
      </c>
      <c r="G30" s="15" t="n"/>
    </row>
    <row r="31" ht="20" customHeight="1">
      <c r="A31" s="5" t="n"/>
      <c r="B31" s="16" t="inlineStr">
        <is>
          <t>소          계</t>
        </is>
      </c>
      <c r="C31" s="5" t="n"/>
      <c r="D31" s="5" t="n"/>
      <c r="E31" s="5" t="n"/>
      <c r="F31" s="17">
        <f>SUM(F28:F30)</f>
        <v/>
      </c>
      <c r="G31" s="16" t="inlineStr"/>
    </row>
    <row r="32" ht="20" customHeight="1">
      <c r="A32" s="28" t="inlineStr">
        <is>
          <t>6. 근로자 건강장해예방비 등</t>
        </is>
      </c>
      <c r="B32" s="29" t="n"/>
      <c r="C32" s="30" t="n"/>
      <c r="D32" s="31" t="n"/>
      <c r="E32" s="7" t="n"/>
      <c r="F32" s="9">
        <f>IF(OR(N(C32)=0,N(E32)=0),"",INT(ROUND(C32*E32,6)))</f>
        <v/>
      </c>
      <c r="G32" s="15" t="n"/>
    </row>
    <row r="33" ht="20" customHeight="1">
      <c r="A33" s="5" t="n"/>
      <c r="B33" s="29" t="n"/>
      <c r="C33" s="30" t="n"/>
      <c r="D33" s="31" t="n"/>
      <c r="E33" s="7" t="n"/>
      <c r="F33" s="9">
        <f>IF(OR(N(C33)=0,N(E33)=0),"",INT(ROUND(C33*E33,6)))</f>
        <v/>
      </c>
      <c r="G33" s="15" t="n"/>
    </row>
    <row r="34" ht="20" customHeight="1">
      <c r="A34" s="5" t="n"/>
      <c r="B34" s="29" t="n"/>
      <c r="C34" s="30" t="n"/>
      <c r="D34" s="31" t="n"/>
      <c r="E34" s="7" t="n"/>
      <c r="F34" s="9">
        <f>IF(OR(N(C34)=0,N(E34)=0),"",INT(ROUND(C34*E34,6)))</f>
        <v/>
      </c>
      <c r="G34" s="15" t="n"/>
    </row>
    <row r="35" ht="20" customHeight="1">
      <c r="A35" s="5" t="n"/>
      <c r="B35" s="16" t="inlineStr">
        <is>
          <t>소          계</t>
        </is>
      </c>
      <c r="C35" s="5" t="n"/>
      <c r="D35" s="5" t="n"/>
      <c r="E35" s="5" t="n"/>
      <c r="F35" s="17">
        <f>SUM(F32:F34)</f>
        <v/>
      </c>
      <c r="G35" s="16" t="inlineStr"/>
    </row>
    <row r="36" ht="20" customHeight="1">
      <c r="A36" s="28" t="inlineStr">
        <is>
          <t>7. 건설재해예방전문지도기관 기술지도비</t>
        </is>
      </c>
      <c r="B36" s="29" t="n"/>
      <c r="C36" s="30" t="n"/>
      <c r="D36" s="31" t="n"/>
      <c r="E36" s="7" t="n"/>
      <c r="F36" s="9">
        <f>IF(OR(N(C36)=0,N(E36)=0),"",INT(ROUND(C36*E36,6)))</f>
        <v/>
      </c>
      <c r="G36" s="15" t="n"/>
    </row>
    <row r="37" ht="20" customHeight="1">
      <c r="A37" s="5" t="n"/>
      <c r="B37" s="29" t="n"/>
      <c r="C37" s="30" t="n"/>
      <c r="D37" s="31" t="n"/>
      <c r="E37" s="7" t="n"/>
      <c r="F37" s="9">
        <f>IF(OR(N(C37)=0,N(E37)=0),"",INT(ROUND(C37*E37,6)))</f>
        <v/>
      </c>
      <c r="G37" s="15" t="n"/>
    </row>
    <row r="38" ht="20" customHeight="1">
      <c r="A38" s="5" t="n"/>
      <c r="B38" s="16" t="inlineStr">
        <is>
          <t>소          계</t>
        </is>
      </c>
      <c r="C38" s="5" t="n"/>
      <c r="D38" s="5" t="n"/>
      <c r="E38" s="5" t="n"/>
      <c r="F38" s="17">
        <f>SUM(F36:F37)</f>
        <v/>
      </c>
      <c r="G38" s="16" t="inlineStr"/>
    </row>
    <row r="39" ht="20" customHeight="1">
      <c r="A39" s="28" t="inlineStr">
        <is>
          <t>8. 본사 전담조직 근로자 임금 등</t>
        </is>
      </c>
      <c r="B39" s="29" t="n"/>
      <c r="C39" s="30" t="n"/>
      <c r="D39" s="31" t="n"/>
      <c r="E39" s="7" t="n"/>
      <c r="F39" s="9">
        <f>IF(OR(N(C39)=0,N(E39)=0),"",INT(ROUND(C39*E39,6)))</f>
        <v/>
      </c>
      <c r="G39" s="15" t="n"/>
    </row>
    <row r="40" ht="20" customHeight="1">
      <c r="A40" s="5" t="n"/>
      <c r="B40" s="29" t="n"/>
      <c r="C40" s="30" t="n"/>
      <c r="D40" s="31" t="n"/>
      <c r="E40" s="7" t="n"/>
      <c r="F40" s="9">
        <f>IF(OR(N(C40)=0,N(E40)=0),"",INT(ROUND(C40*E40,6)))</f>
        <v/>
      </c>
      <c r="G40" s="15" t="n"/>
    </row>
    <row r="41" ht="20" customHeight="1">
      <c r="A41" s="5" t="n"/>
      <c r="B41" s="16" t="inlineStr">
        <is>
          <t>소          계</t>
        </is>
      </c>
      <c r="C41" s="5" t="n"/>
      <c r="D41" s="5" t="n"/>
      <c r="E41" s="5" t="n"/>
      <c r="F41" s="17">
        <f>SUM(F39:F40)</f>
        <v/>
      </c>
      <c r="G41" s="16" t="inlineStr"/>
    </row>
    <row r="42" ht="20" customHeight="1">
      <c r="A42" s="28" t="inlineStr">
        <is>
          <t>9. 위험성평가 등에 따른 소요비용</t>
        </is>
      </c>
      <c r="B42" s="29" t="n"/>
      <c r="C42" s="30" t="n"/>
      <c r="D42" s="31" t="n"/>
      <c r="E42" s="7" t="n"/>
      <c r="F42" s="9">
        <f>IF(OR(N(C42)=0,N(E42)=0),"",INT(ROUND(C42*E42,6)))</f>
        <v/>
      </c>
      <c r="G42" s="15" t="n"/>
    </row>
    <row r="43" ht="20" customHeight="1">
      <c r="A43" s="5" t="n"/>
      <c r="B43" s="29" t="n"/>
      <c r="C43" s="30" t="n"/>
      <c r="D43" s="31" t="n"/>
      <c r="E43" s="7" t="n"/>
      <c r="F43" s="9">
        <f>IF(OR(N(C43)=0,N(E43)=0),"",INT(ROUND(C43*E43,6)))</f>
        <v/>
      </c>
      <c r="G43" s="15" t="n"/>
    </row>
    <row r="44" ht="20" customHeight="1">
      <c r="A44" s="5" t="n"/>
      <c r="B44" s="16" t="inlineStr">
        <is>
          <t>소          계</t>
        </is>
      </c>
      <c r="C44" s="5" t="n"/>
      <c r="D44" s="5" t="n"/>
      <c r="E44" s="5" t="n"/>
      <c r="F44" s="17">
        <f>SUM(F42:F43)</f>
        <v/>
      </c>
      <c r="G44" s="16" t="inlineStr"/>
    </row>
    <row r="45" ht="24" customHeight="1">
      <c r="A45" s="16" t="inlineStr">
        <is>
          <t>합                    계</t>
        </is>
      </c>
      <c r="B45" s="5" t="n"/>
      <c r="C45" s="5" t="n"/>
      <c r="D45" s="5" t="n"/>
      <c r="E45" s="5" t="n"/>
      <c r="F45" s="17">
        <f>F11+F17+F24+F27+F31+F35+F38+F41+F44</f>
        <v/>
      </c>
      <c r="G45" s="16" t="inlineStr"/>
    </row>
    <row r="46" ht="16" customHeight="1">
      <c r="A46" s="32">
        <f>IF(OR(N('안전관리비 사용계획서'!C9)=0,F45=0),"",IF(F45&gt;'안전관리비 사용계획서'!C9,"⚠ 계상액보다 "&amp;TEXT(F45-'안전관리비 사용계획서'!C9,"#,##0")&amp;"원 많습니다.","계상액 "&amp;TEXT('안전관리비 사용계획서'!C9,"#,##0")&amp;"원 중 "&amp;TEXT('안전관리비 사용계획서'!C9-F45,"#,##0")&amp;"원 남음"))</f>
        <v/>
      </c>
    </row>
    <row r="48" ht="34" customHeight="1">
      <c r="A48" s="24" t="inlineStr">
        <is>
          <t>품명·수량·단위·단가를 적으면 금액(원 미만 버림)·소계·합계가 나오고, 앞 «사용계획서» 의 계획금액으로 넘어갑니다.</t>
        </is>
      </c>
    </row>
  </sheetData>
  <mergeCells count="31">
    <mergeCell ref="A4:G4"/>
    <mergeCell ref="A7:A8"/>
    <mergeCell ref="G7:G8"/>
    <mergeCell ref="F6:G6"/>
    <mergeCell ref="A45:E45"/>
    <mergeCell ref="B24:E24"/>
    <mergeCell ref="A18:A24"/>
    <mergeCell ref="A6:E6"/>
    <mergeCell ref="B41:E41"/>
    <mergeCell ref="B35:E35"/>
    <mergeCell ref="A48:G48"/>
    <mergeCell ref="B7:E7"/>
    <mergeCell ref="D1:G1"/>
    <mergeCell ref="A9:A11"/>
    <mergeCell ref="A36:A38"/>
    <mergeCell ref="A32:A35"/>
    <mergeCell ref="B31:E31"/>
    <mergeCell ref="A39:A41"/>
    <mergeCell ref="B27:E27"/>
    <mergeCell ref="A12:A17"/>
    <mergeCell ref="B11:E11"/>
    <mergeCell ref="A46:G46"/>
    <mergeCell ref="B17:E17"/>
    <mergeCell ref="A1:C1"/>
    <mergeCell ref="A3:G3"/>
    <mergeCell ref="A25:A27"/>
    <mergeCell ref="B38:E38"/>
    <mergeCell ref="A28:A31"/>
    <mergeCell ref="B44:E44"/>
    <mergeCell ref="F7:F8"/>
    <mergeCell ref="A42:A44"/>
  </mergeCells>
  <conditionalFormatting sqref="C9:C10">
    <cfRule type="expression" priority="1" dxfId="0">
      <formula>AND(ISNUMBER(C9),MOD(C9,1)=0)</formula>
    </cfRule>
  </conditionalFormatting>
  <conditionalFormatting sqref="C12:C16">
    <cfRule type="expression" priority="2" dxfId="0">
      <formula>AND(ISNUMBER(C12),MOD(C12,1)=0)</formula>
    </cfRule>
  </conditionalFormatting>
  <conditionalFormatting sqref="C18:C23">
    <cfRule type="expression" priority="3" dxfId="0">
      <formula>AND(ISNUMBER(C18),MOD(C18,1)=0)</formula>
    </cfRule>
  </conditionalFormatting>
  <conditionalFormatting sqref="C25:C26">
    <cfRule type="expression" priority="4" dxfId="0">
      <formula>AND(ISNUMBER(C25),MOD(C25,1)=0)</formula>
    </cfRule>
  </conditionalFormatting>
  <conditionalFormatting sqref="C28:C30">
    <cfRule type="expression" priority="5" dxfId="0">
      <formula>AND(ISNUMBER(C28),MOD(C28,1)=0)</formula>
    </cfRule>
  </conditionalFormatting>
  <conditionalFormatting sqref="C32:C34">
    <cfRule type="expression" priority="6" dxfId="0">
      <formula>AND(ISNUMBER(C32),MOD(C32,1)=0)</formula>
    </cfRule>
  </conditionalFormatting>
  <conditionalFormatting sqref="C36:C37">
    <cfRule type="expression" priority="7" dxfId="0">
      <formula>AND(ISNUMBER(C36),MOD(C36,1)=0)</formula>
    </cfRule>
  </conditionalFormatting>
  <conditionalFormatting sqref="C39:C40">
    <cfRule type="expression" priority="8" dxfId="0">
      <formula>AND(ISNUMBER(C39),MOD(C39,1)=0)</formula>
    </cfRule>
  </conditionalFormatting>
  <conditionalFormatting sqref="C42:C43">
    <cfRule type="expression" priority="9" dxfId="0">
      <formula>AND(ISNUMBER(C42),MOD(C42,1)=0)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4" customHeight="1"/>
    <row r="3" ht="38" customHeight="1">
      <c r="A3" s="3" t="inlineStr">
        <is>
          <t>환경보전비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33">
        <f>IF('안전관리비 사용계획서'!C5="","",'안전관리비 사용계획서'!C5)</f>
        <v/>
      </c>
      <c r="D5" s="5" t="n"/>
      <c r="E5" s="4" t="inlineStr">
        <is>
          <t>공   사   명</t>
        </is>
      </c>
      <c r="F5" s="33">
        <f>IF('안전관리비 사용계획서'!F5="","",'안전관리비 사용계획서'!F5)</f>
        <v/>
      </c>
      <c r="G5" s="5" t="n"/>
    </row>
    <row r="6" ht="26" customHeight="1">
      <c r="A6" s="4" t="inlineStr">
        <is>
          <t>소  재  지</t>
        </is>
      </c>
      <c r="B6" s="5" t="n"/>
      <c r="C6" s="33">
        <f>IF('안전관리비 사용계획서'!C6="","",'안전관리비 사용계획서'!C6)</f>
        <v/>
      </c>
      <c r="D6" s="5" t="n"/>
      <c r="E6" s="4" t="inlineStr">
        <is>
          <t>대  표  자</t>
        </is>
      </c>
      <c r="F6" s="33">
        <f>IF('안전관리비 사용계획서'!F6="","",'안전관리비 사용계획서'!F6)</f>
        <v/>
      </c>
      <c r="G6" s="5" t="n"/>
    </row>
    <row r="7" ht="26" customHeight="1">
      <c r="A7" s="4" t="inlineStr">
        <is>
          <t>공 사 금 액</t>
        </is>
      </c>
      <c r="B7" s="5" t="n"/>
      <c r="C7" s="9">
        <f>IF('안전관리비 사용계획서'!C7="","",'안전관리비 사용계획서'!C7)</f>
        <v/>
      </c>
      <c r="D7" s="5" t="n"/>
      <c r="E7" s="4" t="inlineStr">
        <is>
          <t>공 사 기 간</t>
        </is>
      </c>
      <c r="F7" s="33">
        <f>IF('안전관리비 사용계획서'!F7="","",'안전관리비 사용계획서'!F7)</f>
        <v/>
      </c>
      <c r="G7" s="5" t="n"/>
    </row>
    <row r="8" ht="26" customHeight="1">
      <c r="A8" s="4" t="inlineStr">
        <is>
          <t>발  주  자</t>
        </is>
      </c>
      <c r="B8" s="5" t="n"/>
      <c r="C8" s="33">
        <f>IF('안전관리비 사용계획서'!C8="","",'안전관리비 사용계획서'!C8)</f>
        <v/>
      </c>
      <c r="D8" s="5" t="n"/>
      <c r="E8" s="4" t="inlineStr">
        <is>
          <t>누계공정율</t>
        </is>
      </c>
      <c r="F8" s="34">
        <f>IF('안전관리비 사용계획서'!F8="","",'안전관리비 사용계획서'!F8)</f>
        <v/>
      </c>
      <c r="G8" s="5" t="n"/>
    </row>
    <row r="9" ht="34" customHeight="1">
      <c r="A9" s="4" t="inlineStr">
        <is>
          <t>계  상  된
환경보전비</t>
        </is>
      </c>
      <c r="B9" s="5" t="n"/>
      <c r="C9" s="7" t="n"/>
      <c r="D9" s="5" t="n"/>
      <c r="E9" s="4" t="inlineStr">
        <is>
          <t>사용계획
환경보전비</t>
        </is>
      </c>
      <c r="F9" s="9">
        <f>IF('환경보전비 세부내역'!F31=0,"",'환경보전비 세부내역'!F31)</f>
        <v/>
      </c>
      <c r="G9" s="5" t="n"/>
    </row>
    <row r="10" ht="16" customHeight="1">
      <c r="A10" s="10">
        <f>IF(AND(N(C9)&gt;0,N(F9)&gt;C9),"⚠ 사용계획 금액이 계상된 환경보전비를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잔      액</t>
        </is>
      </c>
      <c r="G12" s="12" t="inlineStr">
        <is>
          <t>비      고</t>
        </is>
      </c>
    </row>
    <row r="13" ht="26" customHeight="1">
      <c r="A13" s="13" t="inlineStr">
        <is>
          <t>1. 환경관리자 등 인건비 및 각종 업무수당</t>
        </is>
      </c>
      <c r="B13" s="5" t="n"/>
      <c r="C13" s="5" t="n"/>
      <c r="D13" s="5" t="n"/>
      <c r="E13" s="9">
        <f>IF(N('환경보전비 세부내역'!F14)=0,"",'환경보전비 세부내역'!F14)</f>
        <v/>
      </c>
      <c r="F13" s="9">
        <f>IF(OR(N(C9)=0,N(E13)=0),"",C9-SUM($E$13:E13))</f>
        <v/>
      </c>
      <c r="G13" s="15" t="n"/>
    </row>
    <row r="14" ht="26" customHeight="1">
      <c r="A14" s="13" t="inlineStr">
        <is>
          <t>2. 환경시설비 등</t>
        </is>
      </c>
      <c r="B14" s="5" t="n"/>
      <c r="C14" s="5" t="n"/>
      <c r="D14" s="5" t="n"/>
      <c r="E14" s="9">
        <f>IF(N('환경보전비 세부내역'!F20)=0,"",'환경보전비 세부내역'!F20)</f>
        <v/>
      </c>
      <c r="F14" s="9">
        <f>IF(OR(N(C9)=0,N(E14)=0),"",C9-SUM($E$13:E14))</f>
        <v/>
      </c>
      <c r="G14" s="15" t="n"/>
    </row>
    <row r="15" ht="26" customHeight="1">
      <c r="A15" s="13" t="inlineStr">
        <is>
          <t>3. 환경보전유지비</t>
        </is>
      </c>
      <c r="B15" s="5" t="n"/>
      <c r="C15" s="5" t="n"/>
      <c r="D15" s="5" t="n"/>
      <c r="E15" s="9">
        <f>IF(N('환경보전비 세부내역'!F25)=0,"",'환경보전비 세부내역'!F25)</f>
        <v/>
      </c>
      <c r="F15" s="9">
        <f>IF(OR(N(C9)=0,N(E15)=0),"",C9-SUM($E$13:E15))</f>
        <v/>
      </c>
      <c r="G15" s="15" t="n"/>
    </row>
    <row r="16" ht="26" customHeight="1">
      <c r="A16" s="13" t="inlineStr">
        <is>
          <t>4. 환경보전교육비 및 행사비 등</t>
        </is>
      </c>
      <c r="B16" s="5" t="n"/>
      <c r="C16" s="5" t="n"/>
      <c r="D16" s="5" t="n"/>
      <c r="E16" s="9">
        <f>IF(N('환경보전비 세부내역'!F30)=0,"",'환경보전비 세부내역'!F30)</f>
        <v/>
      </c>
      <c r="F16" s="9">
        <f>IF(OR(N(C9)=0,N(E16)=0),"",C9-SUM($E$13:E16))</f>
        <v/>
      </c>
      <c r="G16" s="15" t="n"/>
    </row>
    <row r="17" ht="26" customHeight="1">
      <c r="A17" s="6" t="n"/>
      <c r="B17" s="5" t="n"/>
      <c r="C17" s="5" t="n"/>
      <c r="D17" s="5" t="n"/>
      <c r="E17" s="7" t="n"/>
      <c r="F17" s="9">
        <f>IF(OR(N(C9)=0,N(E17)=0),"",C9-SUM($E$13:E17))</f>
        <v/>
      </c>
      <c r="G17" s="15" t="n"/>
    </row>
    <row r="18" ht="26" customHeight="1">
      <c r="A18" s="6" t="n"/>
      <c r="B18" s="5" t="n"/>
      <c r="C18" s="5" t="n"/>
      <c r="D18" s="5" t="n"/>
      <c r="E18" s="7" t="n"/>
      <c r="F18" s="9">
        <f>IF(OR(N(C9)=0,N(E18)=0),"",C9-SUM($E$13:E18))</f>
        <v/>
      </c>
      <c r="G18" s="15" t="n"/>
    </row>
    <row r="19" ht="26" customHeight="1">
      <c r="A19" s="6" t="n"/>
      <c r="B19" s="5" t="n"/>
      <c r="C19" s="5" t="n"/>
      <c r="D19" s="5" t="n"/>
      <c r="E19" s="7" t="n"/>
      <c r="F19" s="9">
        <f>IF(OR(N(C9)=0,N(E19)=0),"",C9-SUM($E$13:E19))</f>
        <v/>
      </c>
      <c r="G19" s="15" t="n"/>
    </row>
    <row r="20" ht="26" customHeight="1">
      <c r="A20" s="6" t="n"/>
      <c r="B20" s="5" t="n"/>
      <c r="C20" s="5" t="n"/>
      <c r="D20" s="5" t="n"/>
      <c r="E20" s="7" t="n"/>
      <c r="F20" s="9">
        <f>IF(OR(N(C9)=0,N(E20)=0),"",C9-SUM($E$13:E20))</f>
        <v/>
      </c>
      <c r="G20" s="15" t="n"/>
    </row>
    <row r="21" ht="28" customHeight="1">
      <c r="A21" s="16" t="inlineStr">
        <is>
          <t>합                    계</t>
        </is>
      </c>
      <c r="B21" s="5" t="n"/>
      <c r="C21" s="5" t="n"/>
      <c r="D21" s="5" t="n"/>
      <c r="E21" s="17">
        <f>SUM(E13:E20)</f>
        <v/>
      </c>
      <c r="F21" s="17">
        <f>IF(OR(N(C9)=0,N(E21)=0),"",C9-E21)</f>
        <v/>
      </c>
      <c r="G21" s="16" t="inlineStr"/>
    </row>
    <row r="22" ht="10" customHeight="1"/>
    <row r="23" ht="22" customHeight="1">
      <c r="A23" s="19" t="inlineStr">
        <is>
          <t>「건설기술 진흥법 시행규칙」 제61조제2항에 따라 위와 같이 당 현장의</t>
        </is>
      </c>
    </row>
    <row r="24" ht="22" customHeight="1">
      <c r="A24" s="19" t="inlineStr">
        <is>
          <t>환경보전비 사용계획서를 제출합니다.</t>
        </is>
      </c>
    </row>
    <row r="25" ht="6" customHeight="1"/>
    <row r="26" ht="26" customHeight="1">
      <c r="A26" s="20" t="inlineStr">
        <is>
          <t xml:space="preserve">          년        월        일</t>
        </is>
      </c>
    </row>
    <row r="27" ht="4" customHeight="1"/>
    <row r="28" ht="24" customHeight="1">
      <c r="A28" s="21" t="inlineStr"/>
      <c r="D28" s="22" t="inlineStr">
        <is>
          <t>주     소 :</t>
        </is>
      </c>
      <c r="E28" s="21">
        <f>IF('안전관리비 사용계획서'!C6="","",'안전관리비 사용계획서'!C6)</f>
        <v/>
      </c>
      <c r="G28" s="23" t="inlineStr"/>
    </row>
    <row r="29" ht="24" customHeight="1">
      <c r="A29" s="21" t="inlineStr"/>
      <c r="D29" s="22" t="inlineStr">
        <is>
          <t>상     호 :</t>
        </is>
      </c>
      <c r="E29" s="21">
        <f>IF('안전관리비 사용계획서'!C5="","",'안전관리비 사용계획서'!C5)</f>
        <v/>
      </c>
      <c r="G29" s="23" t="inlineStr"/>
    </row>
    <row r="30" ht="24" customHeight="1">
      <c r="A30" s="21" t="inlineStr"/>
      <c r="D30" s="22" t="inlineStr">
        <is>
          <t>성     명 :</t>
        </is>
      </c>
      <c r="E30" s="21">
        <f>IF('안전관리비 사용계획서'!F6="","",'안전관리비 사용계획서'!F6)</f>
        <v/>
      </c>
      <c r="G30" s="23" t="inlineStr">
        <is>
          <t>(인)</t>
        </is>
      </c>
    </row>
    <row r="32" ht="34" customHeight="1">
      <c r="A32" s="24" t="inlineStr">
        <is>
          <t>계획금액·비율(잔액)·합계는 뒤 «세부 사용계획» 시트에서 저절로 옵니다 — 세부 시트의 품명·수량·단가만 적으세요.</t>
        </is>
      </c>
    </row>
    <row r="33" ht="19.5" customHeight="1">
      <c r="A33" s="24" t="inlineStr">
        <is>
          <t>노란 칸은 없습니다. 계상된 금액은 공사원가계산서(산출내역서)의 금액을 그대로 적습니다.</t>
        </is>
      </c>
    </row>
  </sheetData>
  <mergeCells count="41">
    <mergeCell ref="A32:G32"/>
    <mergeCell ref="A17:D17"/>
    <mergeCell ref="C6:D6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15:D15"/>
    <mergeCell ref="A24:G24"/>
    <mergeCell ref="E28:F28"/>
    <mergeCell ref="C9:D9"/>
    <mergeCell ref="A29:C29"/>
    <mergeCell ref="A11:G11"/>
    <mergeCell ref="F8:G8"/>
    <mergeCell ref="A1:D1"/>
    <mergeCell ref="A28:C28"/>
    <mergeCell ref="E30:F30"/>
    <mergeCell ref="A5:B5"/>
    <mergeCell ref="A30:C30"/>
    <mergeCell ref="A16:D16"/>
    <mergeCell ref="A8:B8"/>
    <mergeCell ref="F9:G9"/>
    <mergeCell ref="C8:D8"/>
    <mergeCell ref="A18:D18"/>
    <mergeCell ref="C7:D7"/>
    <mergeCell ref="A3:G3"/>
    <mergeCell ref="A12:D12"/>
    <mergeCell ref="A21:D21"/>
    <mergeCell ref="A26:G26"/>
    <mergeCell ref="A9:B9"/>
    <mergeCell ref="A33:G33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2" t="inlineStr">
        <is>
          <t xml:space="preserve">← 이 1행을 지우고 쓰셔도 됩니다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(환경보전비)</t>
        </is>
      </c>
    </row>
    <row r="5" ht="4" customHeight="1"/>
    <row r="6" ht="22" customHeight="1">
      <c r="A6" s="26">
        <f>IF('안전관리비 사용계획서'!F5="","",'안전관리비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단 가</t>
        </is>
      </c>
      <c r="D8" s="12" t="inlineStr">
        <is>
          <t>단 위</t>
        </is>
      </c>
      <c r="E8" s="12" t="inlineStr">
        <is>
          <t>수 량</t>
        </is>
      </c>
      <c r="F8" s="5" t="n"/>
      <c r="G8" s="5" t="n"/>
    </row>
    <row r="9" ht="20" customHeight="1">
      <c r="A9" s="28" t="inlineStr">
        <is>
          <t>1. 환경관리자 등 인건비 및 각종 업무수당</t>
        </is>
      </c>
      <c r="B9" s="29" t="n"/>
      <c r="C9" s="7" t="n"/>
      <c r="D9" s="31" t="n"/>
      <c r="E9" s="30" t="n"/>
      <c r="F9" s="9">
        <f>IF(OR(N(E9)=0,N(C9)=0),"",INT(ROUND(E9*C9,6)))</f>
        <v/>
      </c>
      <c r="G9" s="15" t="n"/>
    </row>
    <row r="10" ht="20" customHeight="1">
      <c r="A10" s="5" t="n"/>
      <c r="B10" s="29" t="n"/>
      <c r="C10" s="7" t="n"/>
      <c r="D10" s="31" t="n"/>
      <c r="E10" s="30" t="n"/>
      <c r="F10" s="9">
        <f>IF(OR(N(E10)=0,N(C10)=0),"",INT(ROUND(E10*C10,6)))</f>
        <v/>
      </c>
      <c r="G10" s="15" t="n"/>
    </row>
    <row r="11" ht="20" customHeight="1">
      <c r="A11" s="5" t="n"/>
      <c r="B11" s="29" t="n"/>
      <c r="C11" s="7" t="n"/>
      <c r="D11" s="31" t="n"/>
      <c r="E11" s="30" t="n"/>
      <c r="F11" s="9">
        <f>IF(OR(N(E11)=0,N(C11)=0),"",INT(ROUND(E11*C11,6)))</f>
        <v/>
      </c>
      <c r="G11" s="15" t="n"/>
    </row>
    <row r="12" ht="20" customHeight="1">
      <c r="A12" s="5" t="n"/>
      <c r="B12" s="29" t="n"/>
      <c r="C12" s="7" t="n"/>
      <c r="D12" s="31" t="n"/>
      <c r="E12" s="30" t="n"/>
      <c r="F12" s="9">
        <f>IF(OR(N(E12)=0,N(C12)=0),"",INT(ROUND(E12*C12,6)))</f>
        <v/>
      </c>
      <c r="G12" s="15" t="n"/>
    </row>
    <row r="13" ht="20" customHeight="1">
      <c r="A13" s="5" t="n"/>
      <c r="B13" s="29" t="n"/>
      <c r="C13" s="7" t="n"/>
      <c r="D13" s="31" t="n"/>
      <c r="E13" s="30" t="n"/>
      <c r="F13" s="9">
        <f>IF(OR(N(E13)=0,N(C13)=0),"",INT(ROUND(E13*C13,6)))</f>
        <v/>
      </c>
      <c r="G13" s="15" t="n"/>
    </row>
    <row r="14" ht="20" customHeight="1">
      <c r="A14" s="5" t="n"/>
      <c r="B14" s="16" t="inlineStr">
        <is>
          <t>소          계</t>
        </is>
      </c>
      <c r="C14" s="5" t="n"/>
      <c r="D14" s="5" t="n"/>
      <c r="E14" s="5" t="n"/>
      <c r="F14" s="17">
        <f>SUM(F9:F13)</f>
        <v/>
      </c>
      <c r="G14" s="16" t="inlineStr"/>
    </row>
    <row r="15" ht="20" customHeight="1">
      <c r="A15" s="28" t="inlineStr">
        <is>
          <t>2. 환경시설비 등</t>
        </is>
      </c>
      <c r="B15" s="29" t="n"/>
      <c r="C15" s="7" t="n"/>
      <c r="D15" s="31" t="n"/>
      <c r="E15" s="30" t="n"/>
      <c r="F15" s="9">
        <f>IF(OR(N(E15)=0,N(C15)=0),"",INT(ROUND(E15*C15,6)))</f>
        <v/>
      </c>
      <c r="G15" s="15" t="n"/>
    </row>
    <row r="16" ht="20" customHeight="1">
      <c r="A16" s="5" t="n"/>
      <c r="B16" s="29" t="n"/>
      <c r="C16" s="7" t="n"/>
      <c r="D16" s="31" t="n"/>
      <c r="E16" s="30" t="n"/>
      <c r="F16" s="9">
        <f>IF(OR(N(E16)=0,N(C16)=0),"",INT(ROUND(E16*C16,6)))</f>
        <v/>
      </c>
      <c r="G16" s="15" t="n"/>
    </row>
    <row r="17" ht="20" customHeight="1">
      <c r="A17" s="5" t="n"/>
      <c r="B17" s="29" t="n"/>
      <c r="C17" s="7" t="n"/>
      <c r="D17" s="31" t="n"/>
      <c r="E17" s="30" t="n"/>
      <c r="F17" s="9">
        <f>IF(OR(N(E17)=0,N(C17)=0),"",INT(ROUND(E17*C17,6)))</f>
        <v/>
      </c>
      <c r="G17" s="15" t="n"/>
    </row>
    <row r="18" ht="20" customHeight="1">
      <c r="A18" s="5" t="n"/>
      <c r="B18" s="29" t="n"/>
      <c r="C18" s="7" t="n"/>
      <c r="D18" s="31" t="n"/>
      <c r="E18" s="30" t="n"/>
      <c r="F18" s="9">
        <f>IF(OR(N(E18)=0,N(C18)=0),"",INT(ROUND(E18*C18,6)))</f>
        <v/>
      </c>
      <c r="G18" s="15" t="n"/>
    </row>
    <row r="19" ht="20" customHeight="1">
      <c r="A19" s="5" t="n"/>
      <c r="B19" s="29" t="n"/>
      <c r="C19" s="7" t="n"/>
      <c r="D19" s="31" t="n"/>
      <c r="E19" s="30" t="n"/>
      <c r="F19" s="9">
        <f>IF(OR(N(E19)=0,N(C19)=0),"",INT(ROUND(E19*C19,6)))</f>
        <v/>
      </c>
      <c r="G19" s="15" t="n"/>
    </row>
    <row r="20" ht="20" customHeight="1">
      <c r="A20" s="5" t="n"/>
      <c r="B20" s="16" t="inlineStr">
        <is>
          <t>소          계</t>
        </is>
      </c>
      <c r="C20" s="5" t="n"/>
      <c r="D20" s="5" t="n"/>
      <c r="E20" s="5" t="n"/>
      <c r="F20" s="17">
        <f>SUM(F15:F19)</f>
        <v/>
      </c>
      <c r="G20" s="16" t="inlineStr"/>
    </row>
    <row r="21" ht="20" customHeight="1">
      <c r="A21" s="28" t="inlineStr">
        <is>
          <t>3. 환경보전유지비</t>
        </is>
      </c>
      <c r="B21" s="29" t="n"/>
      <c r="C21" s="7" t="n"/>
      <c r="D21" s="31" t="n"/>
      <c r="E21" s="30" t="n"/>
      <c r="F21" s="9">
        <f>IF(OR(N(E21)=0,N(C21)=0),"",INT(ROUND(E21*C21,6)))</f>
        <v/>
      </c>
      <c r="G21" s="15" t="n"/>
    </row>
    <row r="22" ht="20" customHeight="1">
      <c r="A22" s="5" t="n"/>
      <c r="B22" s="29" t="n"/>
      <c r="C22" s="7" t="n"/>
      <c r="D22" s="31" t="n"/>
      <c r="E22" s="30" t="n"/>
      <c r="F22" s="9">
        <f>IF(OR(N(E22)=0,N(C22)=0),"",INT(ROUND(E22*C22,6)))</f>
        <v/>
      </c>
      <c r="G22" s="15" t="n"/>
    </row>
    <row r="23" ht="20" customHeight="1">
      <c r="A23" s="5" t="n"/>
      <c r="B23" s="29" t="n"/>
      <c r="C23" s="7" t="n"/>
      <c r="D23" s="31" t="n"/>
      <c r="E23" s="30" t="n"/>
      <c r="F23" s="9">
        <f>IF(OR(N(E23)=0,N(C23)=0),"",INT(ROUND(E23*C23,6)))</f>
        <v/>
      </c>
      <c r="G23" s="15" t="n"/>
    </row>
    <row r="24" ht="20" customHeight="1">
      <c r="A24" s="5" t="n"/>
      <c r="B24" s="29" t="n"/>
      <c r="C24" s="7" t="n"/>
      <c r="D24" s="31" t="n"/>
      <c r="E24" s="30" t="n"/>
      <c r="F24" s="9">
        <f>IF(OR(N(E24)=0,N(C24)=0),"",INT(ROUND(E24*C24,6)))</f>
        <v/>
      </c>
      <c r="G24" s="15" t="n"/>
    </row>
    <row r="25" ht="20" customHeight="1">
      <c r="A25" s="5" t="n"/>
      <c r="B25" s="16" t="inlineStr">
        <is>
          <t>소          계</t>
        </is>
      </c>
      <c r="C25" s="5" t="n"/>
      <c r="D25" s="5" t="n"/>
      <c r="E25" s="5" t="n"/>
      <c r="F25" s="17">
        <f>SUM(F21:F24)</f>
        <v/>
      </c>
      <c r="G25" s="16" t="inlineStr"/>
    </row>
    <row r="26" ht="20" customHeight="1">
      <c r="A26" s="28" t="inlineStr">
        <is>
          <t>4. 환경보전교육비 및 행사비 등</t>
        </is>
      </c>
      <c r="B26" s="29" t="n"/>
      <c r="C26" s="7" t="n"/>
      <c r="D26" s="31" t="n"/>
      <c r="E26" s="30" t="n"/>
      <c r="F26" s="9">
        <f>IF(OR(N(E26)=0,N(C26)=0),"",INT(ROUND(E26*C26,6)))</f>
        <v/>
      </c>
      <c r="G26" s="15" t="n"/>
    </row>
    <row r="27" ht="20" customHeight="1">
      <c r="A27" s="5" t="n"/>
      <c r="B27" s="29" t="n"/>
      <c r="C27" s="7" t="n"/>
      <c r="D27" s="31" t="n"/>
      <c r="E27" s="30" t="n"/>
      <c r="F27" s="9">
        <f>IF(OR(N(E27)=0,N(C27)=0),"",INT(ROUND(E27*C27,6)))</f>
        <v/>
      </c>
      <c r="G27" s="15" t="n"/>
    </row>
    <row r="28" ht="20" customHeight="1">
      <c r="A28" s="5" t="n"/>
      <c r="B28" s="29" t="n"/>
      <c r="C28" s="7" t="n"/>
      <c r="D28" s="31" t="n"/>
      <c r="E28" s="30" t="n"/>
      <c r="F28" s="9">
        <f>IF(OR(N(E28)=0,N(C28)=0),"",INT(ROUND(E28*C28,6)))</f>
        <v/>
      </c>
      <c r="G28" s="15" t="n"/>
    </row>
    <row r="29" ht="20" customHeight="1">
      <c r="A29" s="5" t="n"/>
      <c r="B29" s="29" t="n"/>
      <c r="C29" s="7" t="n"/>
      <c r="D29" s="31" t="n"/>
      <c r="E29" s="30" t="n"/>
      <c r="F29" s="9">
        <f>IF(OR(N(E29)=0,N(C29)=0),"",INT(ROUND(E29*C29,6)))</f>
        <v/>
      </c>
      <c r="G29" s="15" t="n"/>
    </row>
    <row r="30" ht="20" customHeight="1">
      <c r="A30" s="5" t="n"/>
      <c r="B30" s="16" t="inlineStr">
        <is>
          <t>소          계</t>
        </is>
      </c>
      <c r="C30" s="5" t="n"/>
      <c r="D30" s="5" t="n"/>
      <c r="E30" s="5" t="n"/>
      <c r="F30" s="17">
        <f>SUM(F26:F29)</f>
        <v/>
      </c>
      <c r="G30" s="16" t="inlineStr"/>
    </row>
    <row r="31" ht="24" customHeight="1">
      <c r="A31" s="16" t="inlineStr">
        <is>
          <t>합                    계</t>
        </is>
      </c>
      <c r="B31" s="5" t="n"/>
      <c r="C31" s="5" t="n"/>
      <c r="D31" s="5" t="n"/>
      <c r="E31" s="5" t="n"/>
      <c r="F31" s="17">
        <f>F14+F20+F25+F30</f>
        <v/>
      </c>
      <c r="G31" s="16" t="inlineStr"/>
    </row>
    <row r="32" ht="16" customHeight="1">
      <c r="A32" s="32">
        <f>IF(OR(N('환경보전비 사용계획서'!C9)=0,F31=0),"",IF(F31&gt;'환경보전비 사용계획서'!C9,"⚠ 계상액보다 "&amp;TEXT(F31-'환경보전비 사용계획서'!C9,"#,##0")&amp;"원 많습니다.","계상액 "&amp;TEXT('환경보전비 사용계획서'!C9,"#,##0")&amp;"원 중 "&amp;TEXT('환경보전비 사용계획서'!C9-F31,"#,##0")&amp;"원 남음"))</f>
        <v/>
      </c>
    </row>
    <row r="34" ht="34" customHeight="1">
      <c r="A34" s="24" t="inlineStr">
        <is>
          <t>품명·수량·단위·단가를 적으면 금액(원 미만 버림)·소계·합계가 나오고, 앞 «사용계획서» 의 계획금액으로 넘어갑니다.</t>
        </is>
      </c>
    </row>
  </sheetData>
  <mergeCells count="21">
    <mergeCell ref="A32:G32"/>
    <mergeCell ref="A9:A14"/>
    <mergeCell ref="A21:A25"/>
    <mergeCell ref="A15:A20"/>
    <mergeCell ref="B30:E30"/>
    <mergeCell ref="A4:G4"/>
    <mergeCell ref="A7:A8"/>
    <mergeCell ref="G7:G8"/>
    <mergeCell ref="F6:G6"/>
    <mergeCell ref="B20:E20"/>
    <mergeCell ref="A6:E6"/>
    <mergeCell ref="A26:A30"/>
    <mergeCell ref="A34:G34"/>
    <mergeCell ref="B7:E7"/>
    <mergeCell ref="B25:E25"/>
    <mergeCell ref="D1:G1"/>
    <mergeCell ref="B14:E14"/>
    <mergeCell ref="A1:C1"/>
    <mergeCell ref="A3:G3"/>
    <mergeCell ref="F7:F8"/>
    <mergeCell ref="A31:E31"/>
  </mergeCells>
  <conditionalFormatting sqref="E9:E13">
    <cfRule type="expression" priority="1" dxfId="0">
      <formula>AND(ISNUMBER(E9),MOD(E9,1)=0)</formula>
    </cfRule>
  </conditionalFormatting>
  <conditionalFormatting sqref="E15:E19">
    <cfRule type="expression" priority="2" dxfId="0">
      <formula>AND(ISNUMBER(E15),MOD(E15,1)=0)</formula>
    </cfRule>
  </conditionalFormatting>
  <conditionalFormatting sqref="E21:E24">
    <cfRule type="expression" priority="3" dxfId="0">
      <formula>AND(ISNUMBER(E21),MOD(E21,1)=0)</formula>
    </cfRule>
  </conditionalFormatting>
  <conditionalFormatting sqref="E26:E29">
    <cfRule type="expression" priority="4" dxfId="0">
      <formula>AND(ISNUMBER(E26),MOD(E26,1)=0)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3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35" t="inlineStr">
        <is>
          <t xml:space="preserve">작성 예시 (가상의 현장)  </t>
        </is>
      </c>
    </row>
    <row r="2" ht="4" customHeight="1"/>
    <row r="3" ht="38" customHeight="1">
      <c r="A3" s="3" t="inlineStr">
        <is>
          <t>산업안전보건관리비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6" t="inlineStr">
        <is>
          <t>예시건설(주)</t>
        </is>
      </c>
      <c r="D5" s="5" t="n"/>
      <c r="E5" s="4" t="inlineStr">
        <is>
          <t>공   사   명</t>
        </is>
      </c>
      <c r="F5" s="6" t="inlineStr">
        <is>
          <t>가나지구 배수로 정비공사</t>
        </is>
      </c>
      <c r="G5" s="5" t="n"/>
    </row>
    <row r="6" ht="26" customHeight="1">
      <c r="A6" s="4" t="inlineStr">
        <is>
          <t>소  재  지</t>
        </is>
      </c>
      <c r="B6" s="5" t="n"/>
      <c r="C6" s="6" t="inlineStr">
        <is>
          <t>가나시 마바로 45, 2층</t>
        </is>
      </c>
      <c r="D6" s="5" t="n"/>
      <c r="E6" s="4" t="inlineStr">
        <is>
          <t>대  표  자</t>
        </is>
      </c>
      <c r="F6" s="6" t="inlineStr">
        <is>
          <t>홍길동</t>
        </is>
      </c>
      <c r="G6" s="5" t="n"/>
    </row>
    <row r="7" ht="26" customHeight="1">
      <c r="A7" s="4" t="inlineStr">
        <is>
          <t>공 사 금 액</t>
        </is>
      </c>
      <c r="B7" s="5" t="n"/>
      <c r="C7" s="7" t="n">
        <v>963241000</v>
      </c>
      <c r="D7" s="5" t="n"/>
      <c r="E7" s="4" t="inlineStr">
        <is>
          <t>공 사 기 간</t>
        </is>
      </c>
      <c r="F7" s="6" t="inlineStr">
        <is>
          <t>2026. 3. 9. ~ 2026. 12. 31. (298일)</t>
        </is>
      </c>
      <c r="G7" s="5" t="n"/>
    </row>
    <row r="8" ht="26" customHeight="1">
      <c r="A8" s="4" t="inlineStr">
        <is>
          <t>발  주  자</t>
        </is>
      </c>
      <c r="B8" s="5" t="n"/>
      <c r="C8" s="6" t="inlineStr">
        <is>
          <t>가나시</t>
        </is>
      </c>
      <c r="D8" s="5" t="n"/>
      <c r="E8" s="4" t="inlineStr">
        <is>
          <t>누계공정율</t>
        </is>
      </c>
      <c r="F8" s="8" t="n">
        <v>0</v>
      </c>
      <c r="G8" s="5" t="n"/>
    </row>
    <row r="9" ht="34" customHeight="1">
      <c r="A9" s="4" t="inlineStr">
        <is>
          <t>계  상  된
안전관리비</t>
        </is>
      </c>
      <c r="B9" s="5" t="n"/>
      <c r="C9" s="7" t="n">
        <v>19134669</v>
      </c>
      <c r="D9" s="5" t="n"/>
      <c r="E9" s="4" t="inlineStr">
        <is>
          <t>사용계획
안전관리비</t>
        </is>
      </c>
      <c r="F9" s="9">
        <f>IF('예시-안전관리비 세부내역'!F45=0,"",'예시-안전관리비 세부내역'!F45)</f>
        <v/>
      </c>
      <c r="G9" s="5" t="n"/>
    </row>
    <row r="10" ht="16" customHeight="1">
      <c r="A10" s="10">
        <f>IF(AND(N(C9)&gt;0,N(F9)&gt;C9),"⚠ 사용계획 금액이 계상된 안전관리비를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비      율</t>
        </is>
      </c>
      <c r="G12" s="12" t="inlineStr">
        <is>
          <t>비      고</t>
        </is>
      </c>
    </row>
    <row r="13" ht="26" customHeight="1">
      <c r="A13" s="13" t="inlineStr">
        <is>
          <t>1. 안전관리자·보건관리자의 임금 등</t>
        </is>
      </c>
      <c r="B13" s="5" t="n"/>
      <c r="C13" s="5" t="n"/>
      <c r="D13" s="5" t="n"/>
      <c r="E13" s="9">
        <f>IF(N('예시-안전관리비 세부내역'!F11)=0,"",'예시-안전관리비 세부내역'!F11)</f>
        <v/>
      </c>
      <c r="F13" s="14">
        <f>IF(OR(N(E13)=0,N(C9)=0),"",E13/C9)</f>
        <v/>
      </c>
      <c r="G13" s="15" t="n"/>
    </row>
    <row r="14" ht="26" customHeight="1">
      <c r="A14" s="13" t="inlineStr">
        <is>
          <t>2. 안전시설비 등</t>
        </is>
      </c>
      <c r="B14" s="5" t="n"/>
      <c r="C14" s="5" t="n"/>
      <c r="D14" s="5" t="n"/>
      <c r="E14" s="9">
        <f>IF(N('예시-안전관리비 세부내역'!F17)=0,"",'예시-안전관리비 세부내역'!F17)</f>
        <v/>
      </c>
      <c r="F14" s="14">
        <f>IF(OR(N(E14)=0,N(C9)=0),"",E14/C9)</f>
        <v/>
      </c>
      <c r="G14" s="15" t="n"/>
    </row>
    <row r="15" ht="26" customHeight="1">
      <c r="A15" s="13" t="inlineStr">
        <is>
          <t>3. 보호구 등</t>
        </is>
      </c>
      <c r="B15" s="5" t="n"/>
      <c r="C15" s="5" t="n"/>
      <c r="D15" s="5" t="n"/>
      <c r="E15" s="9">
        <f>IF(N('예시-안전관리비 세부내역'!F24)=0,"",'예시-안전관리비 세부내역'!F24)</f>
        <v/>
      </c>
      <c r="F15" s="14">
        <f>IF(OR(N(E15)=0,N(C9)=0),"",E15/C9)</f>
        <v/>
      </c>
      <c r="G15" s="15" t="n"/>
    </row>
    <row r="16" ht="26" customHeight="1">
      <c r="A16" s="13" t="inlineStr">
        <is>
          <t>4. 안전보건진단비 등</t>
        </is>
      </c>
      <c r="B16" s="5" t="n"/>
      <c r="C16" s="5" t="n"/>
      <c r="D16" s="5" t="n"/>
      <c r="E16" s="9">
        <f>IF(N('예시-안전관리비 세부내역'!F27)=0,"",'예시-안전관리비 세부내역'!F27)</f>
        <v/>
      </c>
      <c r="F16" s="14">
        <f>IF(OR(N(E16)=0,N(C9)=0),"",E16/C9)</f>
        <v/>
      </c>
      <c r="G16" s="15" t="n"/>
    </row>
    <row r="17" ht="26" customHeight="1">
      <c r="A17" s="13" t="inlineStr">
        <is>
          <t>5. 안전보건교육비 등</t>
        </is>
      </c>
      <c r="B17" s="5" t="n"/>
      <c r="C17" s="5" t="n"/>
      <c r="D17" s="5" t="n"/>
      <c r="E17" s="9">
        <f>IF(N('예시-안전관리비 세부내역'!F31)=0,"",'예시-안전관리비 세부내역'!F31)</f>
        <v/>
      </c>
      <c r="F17" s="14">
        <f>IF(OR(N(E17)=0,N(C9)=0),"",E17/C9)</f>
        <v/>
      </c>
      <c r="G17" s="15" t="n"/>
    </row>
    <row r="18" ht="26" customHeight="1">
      <c r="A18" s="13" t="inlineStr">
        <is>
          <t>6. 근로자 건강장해예방비 등</t>
        </is>
      </c>
      <c r="B18" s="5" t="n"/>
      <c r="C18" s="5" t="n"/>
      <c r="D18" s="5" t="n"/>
      <c r="E18" s="9">
        <f>IF(N('예시-안전관리비 세부내역'!F35)=0,"",'예시-안전관리비 세부내역'!F35)</f>
        <v/>
      </c>
      <c r="F18" s="14">
        <f>IF(OR(N(E18)=0,N(C9)=0),"",E18/C9)</f>
        <v/>
      </c>
      <c r="G18" s="15" t="n"/>
    </row>
    <row r="19" ht="26" customHeight="1">
      <c r="A19" s="13" t="inlineStr">
        <is>
          <t>7. 건설재해예방전문지도기관 기술지도비</t>
        </is>
      </c>
      <c r="B19" s="5" t="n"/>
      <c r="C19" s="5" t="n"/>
      <c r="D19" s="5" t="n"/>
      <c r="E19" s="9">
        <f>IF(N('예시-안전관리비 세부내역'!F38)=0,"",'예시-안전관리비 세부내역'!F38)</f>
        <v/>
      </c>
      <c r="F19" s="14">
        <f>IF(OR(N(E19)=0,N(C9)=0),"",E19/C9)</f>
        <v/>
      </c>
      <c r="G19" s="15" t="n"/>
    </row>
    <row r="20" ht="26" customHeight="1">
      <c r="A20" s="13" t="inlineStr">
        <is>
          <t>8. 본사 전담조직 근로자 임금 등</t>
        </is>
      </c>
      <c r="B20" s="5" t="n"/>
      <c r="C20" s="5" t="n"/>
      <c r="D20" s="5" t="n"/>
      <c r="E20" s="9">
        <f>IF(N('예시-안전관리비 세부내역'!F41)=0,"",'예시-안전관리비 세부내역'!F41)</f>
        <v/>
      </c>
      <c r="F20" s="14">
        <f>IF(OR(N(E20)=0,N(C9)=0),"",E20/C9)</f>
        <v/>
      </c>
      <c r="G20" s="15" t="n"/>
    </row>
    <row r="21" ht="26" customHeight="1">
      <c r="A21" s="13" t="inlineStr">
        <is>
          <t>9. 위험성평가 등에 따른 소요비용</t>
        </is>
      </c>
      <c r="B21" s="5" t="n"/>
      <c r="C21" s="5" t="n"/>
      <c r="D21" s="5" t="n"/>
      <c r="E21" s="9">
        <f>IF(N('예시-안전관리비 세부내역'!F44)=0,"",'예시-안전관리비 세부내역'!F44)</f>
        <v/>
      </c>
      <c r="F21" s="14">
        <f>IF(OR(N(E21)=0,N(C9)=0),"",E21/C9)</f>
        <v/>
      </c>
      <c r="G21" s="15" t="n"/>
    </row>
    <row r="22" ht="28" customHeight="1">
      <c r="A22" s="16" t="inlineStr">
        <is>
          <t>합                    계</t>
        </is>
      </c>
      <c r="B22" s="5" t="n"/>
      <c r="C22" s="5" t="n"/>
      <c r="D22" s="5" t="n"/>
      <c r="E22" s="17">
        <f>SUM(E13:E21)</f>
        <v/>
      </c>
      <c r="F22" s="18">
        <f>IF(OR(N(E22)=0,N(C9)=0),"",E22/C9)</f>
        <v/>
      </c>
      <c r="G22" s="16" t="inlineStr"/>
    </row>
    <row r="23" ht="10" customHeight="1"/>
    <row r="24" ht="22" customHeight="1">
      <c r="A24" s="19" t="inlineStr">
        <is>
          <t>「건설업 산업안전보건관리비 계상 및 사용기준」(고용노동부 고시)에 따라</t>
        </is>
      </c>
    </row>
    <row r="25" ht="22" customHeight="1">
      <c r="A25" s="19" t="inlineStr">
        <is>
          <t>위와 같이 당 현장의 산업안전보건관리비 사용계획서를 제출합니다.</t>
        </is>
      </c>
    </row>
    <row r="26" ht="6" customHeight="1"/>
    <row r="27" ht="26" customHeight="1">
      <c r="A27" s="20" t="n">
        <v>46101</v>
      </c>
    </row>
    <row r="28" ht="4" customHeight="1"/>
    <row r="29" ht="24" customHeight="1">
      <c r="A29" s="21" t="inlineStr"/>
      <c r="D29" s="22" t="inlineStr">
        <is>
          <t>주     소 :</t>
        </is>
      </c>
      <c r="E29" s="21">
        <f>IF(C6="","",C6)</f>
        <v/>
      </c>
      <c r="G29" s="23" t="inlineStr"/>
    </row>
    <row r="30" ht="24" customHeight="1">
      <c r="A30" s="21" t="inlineStr"/>
      <c r="D30" s="22" t="inlineStr">
        <is>
          <t>상     호 :</t>
        </is>
      </c>
      <c r="E30" s="21">
        <f>IF(C5="","",C5)</f>
        <v/>
      </c>
      <c r="G30" s="23" t="inlineStr"/>
    </row>
    <row r="31" ht="24" customHeight="1">
      <c r="A31" s="21" t="inlineStr"/>
      <c r="D31" s="22" t="inlineStr">
        <is>
          <t>성     명 :</t>
        </is>
      </c>
      <c r="E31" s="21">
        <f>IF(F6="","",F6)</f>
        <v/>
      </c>
      <c r="G31" s="23" t="inlineStr">
        <is>
          <t>(인)</t>
        </is>
      </c>
    </row>
    <row r="33" ht="19.5" customHeight="1">
      <c r="A33" s="24" t="inlineStr">
        <is>
          <t>이 시트는 작성 예시입니다(가상의 현장 · 금액). 실제로는 앞의 빈 시트에 적으세요.</t>
        </is>
      </c>
    </row>
  </sheetData>
  <mergeCells count="41">
    <mergeCell ref="A17:D17"/>
    <mergeCell ref="C6:D6"/>
    <mergeCell ref="A22:D22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15:D15"/>
    <mergeCell ref="A24:G24"/>
    <mergeCell ref="C9:D9"/>
    <mergeCell ref="A29:C29"/>
    <mergeCell ref="A11:G11"/>
    <mergeCell ref="E31:F31"/>
    <mergeCell ref="F8:G8"/>
    <mergeCell ref="A1:D1"/>
    <mergeCell ref="E30:F30"/>
    <mergeCell ref="A31:C31"/>
    <mergeCell ref="A5:B5"/>
    <mergeCell ref="A30:C30"/>
    <mergeCell ref="A16:D16"/>
    <mergeCell ref="A25:G25"/>
    <mergeCell ref="A8:B8"/>
    <mergeCell ref="F9:G9"/>
    <mergeCell ref="C8:D8"/>
    <mergeCell ref="A18:D18"/>
    <mergeCell ref="C7:D7"/>
    <mergeCell ref="A27:G27"/>
    <mergeCell ref="A3:G3"/>
    <mergeCell ref="A12:D12"/>
    <mergeCell ref="A21:D21"/>
    <mergeCell ref="A9:B9"/>
    <mergeCell ref="A33:G33"/>
    <mergeCell ref="E1:G1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48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35" t="inlineStr">
        <is>
          <t xml:space="preserve">작성 예시 (가상의 현장)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(산업안전보건관리비)</t>
        </is>
      </c>
    </row>
    <row r="5" ht="4" customHeight="1"/>
    <row r="6" ht="22" customHeight="1">
      <c r="A6" s="26">
        <f>IF('예시-안전관리비 사용계획서'!F5="","",'예시-안전관리비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수 량</t>
        </is>
      </c>
      <c r="D8" s="12" t="inlineStr">
        <is>
          <t>단 위</t>
        </is>
      </c>
      <c r="E8" s="12" t="inlineStr">
        <is>
          <t>단 가</t>
        </is>
      </c>
      <c r="F8" s="5" t="n"/>
      <c r="G8" s="5" t="n"/>
    </row>
    <row r="9" ht="20" customHeight="1">
      <c r="A9" s="28" t="inlineStr">
        <is>
          <t>1. 안전관리자·보건관리자의 임금 등</t>
        </is>
      </c>
      <c r="B9" s="29" t="inlineStr">
        <is>
          <t>유도자·신호수 임금</t>
        </is>
      </c>
      <c r="C9" s="30" t="n">
        <v>24</v>
      </c>
      <c r="D9" s="31" t="inlineStr">
        <is>
          <t>인</t>
        </is>
      </c>
      <c r="E9" s="7" t="n">
        <v>150000</v>
      </c>
      <c r="F9" s="9">
        <f>IF(OR(N(C9)=0,N(E9)=0),"",INT(ROUND(C9*E9,6)))</f>
        <v/>
      </c>
      <c r="G9" s="15" t="n"/>
    </row>
    <row r="10" ht="20" customHeight="1">
      <c r="A10" s="5" t="n"/>
      <c r="B10" s="29" t="n"/>
      <c r="C10" s="30" t="n"/>
      <c r="D10" s="31" t="n"/>
      <c r="E10" s="7" t="n"/>
      <c r="F10" s="9">
        <f>IF(OR(N(C10)=0,N(E10)=0),"",INT(ROUND(C10*E10,6)))</f>
        <v/>
      </c>
      <c r="G10" s="15" t="n"/>
    </row>
    <row r="11" ht="20" customHeight="1">
      <c r="A11" s="5" t="n"/>
      <c r="B11" s="16" t="inlineStr">
        <is>
          <t>소          계</t>
        </is>
      </c>
      <c r="C11" s="5" t="n"/>
      <c r="D11" s="5" t="n"/>
      <c r="E11" s="5" t="n"/>
      <c r="F11" s="17">
        <f>SUM(F9:F10)</f>
        <v/>
      </c>
      <c r="G11" s="16" t="inlineStr"/>
    </row>
    <row r="12" ht="20" customHeight="1">
      <c r="A12" s="28" t="inlineStr">
        <is>
          <t>2. 안전시설비 등</t>
        </is>
      </c>
      <c r="B12" s="29" t="inlineStr">
        <is>
          <t>안전난간</t>
        </is>
      </c>
      <c r="C12" s="30" t="n">
        <v>40</v>
      </c>
      <c r="D12" s="31" t="inlineStr">
        <is>
          <t>m</t>
        </is>
      </c>
      <c r="E12" s="7" t="n">
        <v>12000</v>
      </c>
      <c r="F12" s="9">
        <f>IF(OR(N(C12)=0,N(E12)=0),"",INT(ROUND(C12*E12,6)))</f>
        <v/>
      </c>
      <c r="G12" s="15" t="n"/>
    </row>
    <row r="13" ht="20" customHeight="1">
      <c r="A13" s="5" t="n"/>
      <c r="B13" s="29" t="inlineStr">
        <is>
          <t>추락방지망</t>
        </is>
      </c>
      <c r="C13" s="30" t="n">
        <v>1</v>
      </c>
      <c r="D13" s="31" t="inlineStr">
        <is>
          <t>식</t>
        </is>
      </c>
      <c r="E13" s="7" t="n">
        <v>1200000</v>
      </c>
      <c r="F13" s="9">
        <f>IF(OR(N(C13)=0,N(E13)=0),"",INT(ROUND(C13*E13,6)))</f>
        <v/>
      </c>
      <c r="G13" s="15" t="n"/>
    </row>
    <row r="14" ht="20" customHeight="1">
      <c r="A14" s="5" t="n"/>
      <c r="B14" s="29" t="inlineStr">
        <is>
          <t>가설계단</t>
        </is>
      </c>
      <c r="C14" s="30" t="n">
        <v>2</v>
      </c>
      <c r="D14" s="31" t="inlineStr">
        <is>
          <t>개소</t>
        </is>
      </c>
      <c r="E14" s="7" t="n">
        <v>850000</v>
      </c>
      <c r="F14" s="9">
        <f>IF(OR(N(C14)=0,N(E14)=0),"",INT(ROUND(C14*E14,6)))</f>
        <v/>
      </c>
      <c r="G14" s="15" t="n"/>
    </row>
    <row r="15" ht="20" customHeight="1">
      <c r="A15" s="5" t="n"/>
      <c r="B15" s="29" t="inlineStr">
        <is>
          <t>안전표지판</t>
        </is>
      </c>
      <c r="C15" s="30" t="n">
        <v>10</v>
      </c>
      <c r="D15" s="31" t="inlineStr">
        <is>
          <t>개</t>
        </is>
      </c>
      <c r="E15" s="7" t="n">
        <v>35000</v>
      </c>
      <c r="F15" s="9">
        <f>IF(OR(N(C15)=0,N(E15)=0),"",INT(ROUND(C15*E15,6)))</f>
        <v/>
      </c>
      <c r="G15" s="15" t="n"/>
    </row>
    <row r="16" ht="20" customHeight="1">
      <c r="A16" s="5" t="n"/>
      <c r="B16" s="29" t="n"/>
      <c r="C16" s="30" t="n"/>
      <c r="D16" s="31" t="n"/>
      <c r="E16" s="7" t="n"/>
      <c r="F16" s="9">
        <f>IF(OR(N(C16)=0,N(E16)=0),"",INT(ROUND(C16*E16,6)))</f>
        <v/>
      </c>
      <c r="G16" s="15" t="n"/>
    </row>
    <row r="17" ht="20" customHeight="1">
      <c r="A17" s="5" t="n"/>
      <c r="B17" s="16" t="inlineStr">
        <is>
          <t>소          계</t>
        </is>
      </c>
      <c r="C17" s="5" t="n"/>
      <c r="D17" s="5" t="n"/>
      <c r="E17" s="5" t="n"/>
      <c r="F17" s="17">
        <f>SUM(F12:F16)</f>
        <v/>
      </c>
      <c r="G17" s="16" t="inlineStr"/>
    </row>
    <row r="18" ht="20" customHeight="1">
      <c r="A18" s="28" t="inlineStr">
        <is>
          <t>3. 보호구 등</t>
        </is>
      </c>
      <c r="B18" s="29" t="inlineStr">
        <is>
          <t>안전모</t>
        </is>
      </c>
      <c r="C18" s="30" t="n">
        <v>30</v>
      </c>
      <c r="D18" s="31" t="inlineStr">
        <is>
          <t>개</t>
        </is>
      </c>
      <c r="E18" s="7" t="n">
        <v>9000</v>
      </c>
      <c r="F18" s="9">
        <f>IF(OR(N(C18)=0,N(E18)=0),"",INT(ROUND(C18*E18,6)))</f>
        <v/>
      </c>
      <c r="G18" s="15" t="n"/>
    </row>
    <row r="19" ht="20" customHeight="1">
      <c r="A19" s="5" t="n"/>
      <c r="B19" s="29" t="inlineStr">
        <is>
          <t>안전화</t>
        </is>
      </c>
      <c r="C19" s="30" t="n">
        <v>20</v>
      </c>
      <c r="D19" s="31" t="inlineStr">
        <is>
          <t>켤레</t>
        </is>
      </c>
      <c r="E19" s="7" t="n">
        <v>38000</v>
      </c>
      <c r="F19" s="9">
        <f>IF(OR(N(C19)=0,N(E19)=0),"",INT(ROUND(C19*E19,6)))</f>
        <v/>
      </c>
      <c r="G19" s="15" t="n"/>
    </row>
    <row r="20" ht="20" customHeight="1">
      <c r="A20" s="5" t="n"/>
      <c r="B20" s="29" t="inlineStr">
        <is>
          <t>안전대</t>
        </is>
      </c>
      <c r="C20" s="30" t="n">
        <v>10</v>
      </c>
      <c r="D20" s="31" t="inlineStr">
        <is>
          <t>개</t>
        </is>
      </c>
      <c r="E20" s="7" t="n">
        <v>65000</v>
      </c>
      <c r="F20" s="9">
        <f>IF(OR(N(C20)=0,N(E20)=0),"",INT(ROUND(C20*E20,6)))</f>
        <v/>
      </c>
      <c r="G20" s="15" t="n"/>
    </row>
    <row r="21" ht="20" customHeight="1">
      <c r="A21" s="5" t="n"/>
      <c r="B21" s="29" t="inlineStr">
        <is>
          <t>안전조끼</t>
        </is>
      </c>
      <c r="C21" s="30" t="n">
        <v>30</v>
      </c>
      <c r="D21" s="31" t="inlineStr">
        <is>
          <t>개</t>
        </is>
      </c>
      <c r="E21" s="7" t="n">
        <v>8000</v>
      </c>
      <c r="F21" s="9">
        <f>IF(OR(N(C21)=0,N(E21)=0),"",INT(ROUND(C21*E21,6)))</f>
        <v/>
      </c>
      <c r="G21" s="15" t="n"/>
    </row>
    <row r="22" ht="20" customHeight="1">
      <c r="A22" s="5" t="n"/>
      <c r="B22" s="29" t="inlineStr">
        <is>
          <t>보안경</t>
        </is>
      </c>
      <c r="C22" s="30" t="n">
        <v>10</v>
      </c>
      <c r="D22" s="31" t="inlineStr">
        <is>
          <t>개</t>
        </is>
      </c>
      <c r="E22" s="7" t="n">
        <v>6000</v>
      </c>
      <c r="F22" s="9">
        <f>IF(OR(N(C22)=0,N(E22)=0),"",INT(ROUND(C22*E22,6)))</f>
        <v/>
      </c>
      <c r="G22" s="15" t="n"/>
    </row>
    <row r="23" ht="20" customHeight="1">
      <c r="A23" s="5" t="n"/>
      <c r="B23" s="29" t="n"/>
      <c r="C23" s="30" t="n"/>
      <c r="D23" s="31" t="n"/>
      <c r="E23" s="7" t="n"/>
      <c r="F23" s="9">
        <f>IF(OR(N(C23)=0,N(E23)=0),"",INT(ROUND(C23*E23,6)))</f>
        <v/>
      </c>
      <c r="G23" s="15" t="n"/>
    </row>
    <row r="24" ht="20" customHeight="1">
      <c r="A24" s="5" t="n"/>
      <c r="B24" s="16" t="inlineStr">
        <is>
          <t>소          계</t>
        </is>
      </c>
      <c r="C24" s="5" t="n"/>
      <c r="D24" s="5" t="n"/>
      <c r="E24" s="5" t="n"/>
      <c r="F24" s="17">
        <f>SUM(F18:F23)</f>
        <v/>
      </c>
      <c r="G24" s="16" t="inlineStr"/>
    </row>
    <row r="25" ht="20" customHeight="1">
      <c r="A25" s="28" t="inlineStr">
        <is>
          <t>4. 안전보건진단비 등</t>
        </is>
      </c>
      <c r="B25" s="29" t="n"/>
      <c r="C25" s="30" t="n"/>
      <c r="D25" s="31" t="n"/>
      <c r="E25" s="7" t="n"/>
      <c r="F25" s="9">
        <f>IF(OR(N(C25)=0,N(E25)=0),"",INT(ROUND(C25*E25,6)))</f>
        <v/>
      </c>
      <c r="G25" s="15" t="n"/>
    </row>
    <row r="26" ht="20" customHeight="1">
      <c r="A26" s="5" t="n"/>
      <c r="B26" s="29" t="n"/>
      <c r="C26" s="30" t="n"/>
      <c r="D26" s="31" t="n"/>
      <c r="E26" s="7" t="n"/>
      <c r="F26" s="9">
        <f>IF(OR(N(C26)=0,N(E26)=0),"",INT(ROUND(C26*E26,6)))</f>
        <v/>
      </c>
      <c r="G26" s="15" t="n"/>
    </row>
    <row r="27" ht="20" customHeight="1">
      <c r="A27" s="5" t="n"/>
      <c r="B27" s="16" t="inlineStr">
        <is>
          <t>소          계</t>
        </is>
      </c>
      <c r="C27" s="5" t="n"/>
      <c r="D27" s="5" t="n"/>
      <c r="E27" s="5" t="n"/>
      <c r="F27" s="17">
        <f>SUM(F25:F26)</f>
        <v/>
      </c>
      <c r="G27" s="16" t="inlineStr"/>
    </row>
    <row r="28" ht="20" customHeight="1">
      <c r="A28" s="28" t="inlineStr">
        <is>
          <t>5. 안전보건교육비 등</t>
        </is>
      </c>
      <c r="B28" s="29" t="inlineStr">
        <is>
          <t>교육 교재·자료</t>
        </is>
      </c>
      <c r="C28" s="30" t="n">
        <v>1</v>
      </c>
      <c r="D28" s="31" t="inlineStr">
        <is>
          <t>식</t>
        </is>
      </c>
      <c r="E28" s="7" t="n">
        <v>200000</v>
      </c>
      <c r="F28" s="9">
        <f>IF(OR(N(C28)=0,N(E28)=0),"",INT(ROUND(C28*E28,6)))</f>
        <v/>
      </c>
      <c r="G28" s="15" t="n"/>
    </row>
    <row r="29" ht="20" customHeight="1">
      <c r="A29" s="5" t="n"/>
      <c r="B29" s="29" t="inlineStr">
        <is>
          <t>안전교육장 설치</t>
        </is>
      </c>
      <c r="C29" s="30" t="n">
        <v>1</v>
      </c>
      <c r="D29" s="31" t="inlineStr">
        <is>
          <t>식</t>
        </is>
      </c>
      <c r="E29" s="7" t="n">
        <v>600000</v>
      </c>
      <c r="F29" s="9">
        <f>IF(OR(N(C29)=0,N(E29)=0),"",INT(ROUND(C29*E29,6)))</f>
        <v/>
      </c>
      <c r="G29" s="15" t="n"/>
    </row>
    <row r="30" ht="20" customHeight="1">
      <c r="A30" s="5" t="n"/>
      <c r="B30" s="29" t="n"/>
      <c r="C30" s="30" t="n"/>
      <c r="D30" s="31" t="n"/>
      <c r="E30" s="7" t="n"/>
      <c r="F30" s="9">
        <f>IF(OR(N(C30)=0,N(E30)=0),"",INT(ROUND(C30*E30,6)))</f>
        <v/>
      </c>
      <c r="G30" s="15" t="n"/>
    </row>
    <row r="31" ht="20" customHeight="1">
      <c r="A31" s="5" t="n"/>
      <c r="B31" s="16" t="inlineStr">
        <is>
          <t>소          계</t>
        </is>
      </c>
      <c r="C31" s="5" t="n"/>
      <c r="D31" s="5" t="n"/>
      <c r="E31" s="5" t="n"/>
      <c r="F31" s="17">
        <f>SUM(F28:F30)</f>
        <v/>
      </c>
      <c r="G31" s="16" t="inlineStr"/>
    </row>
    <row r="32" ht="20" customHeight="1">
      <c r="A32" s="28" t="inlineStr">
        <is>
          <t>6. 근로자 건강장해예방비 등</t>
        </is>
      </c>
      <c r="B32" s="29" t="inlineStr">
        <is>
          <t>음용수·얼음</t>
        </is>
      </c>
      <c r="C32" s="30" t="n">
        <v>5</v>
      </c>
      <c r="D32" s="31" t="inlineStr">
        <is>
          <t>월</t>
        </is>
      </c>
      <c r="E32" s="7" t="n">
        <v>60000</v>
      </c>
      <c r="F32" s="9">
        <f>IF(OR(N(C32)=0,N(E32)=0),"",INT(ROUND(C32*E32,6)))</f>
        <v/>
      </c>
      <c r="G32" s="15" t="n"/>
    </row>
    <row r="33" ht="20" customHeight="1">
      <c r="A33" s="5" t="n"/>
      <c r="B33" s="29" t="inlineStr">
        <is>
          <t>그늘막</t>
        </is>
      </c>
      <c r="C33" s="30" t="n">
        <v>2</v>
      </c>
      <c r="D33" s="31" t="inlineStr">
        <is>
          <t>개</t>
        </is>
      </c>
      <c r="E33" s="7" t="n">
        <v>150000</v>
      </c>
      <c r="F33" s="9">
        <f>IF(OR(N(C33)=0,N(E33)=0),"",INT(ROUND(C33*E33,6)))</f>
        <v/>
      </c>
      <c r="G33" s="15" t="n"/>
    </row>
    <row r="34" ht="20" customHeight="1">
      <c r="A34" s="5" t="n"/>
      <c r="B34" s="29" t="inlineStr">
        <is>
          <t>구급함·구급약</t>
        </is>
      </c>
      <c r="C34" s="30" t="n">
        <v>1</v>
      </c>
      <c r="D34" s="31" t="inlineStr">
        <is>
          <t>식</t>
        </is>
      </c>
      <c r="E34" s="7" t="n">
        <v>80000</v>
      </c>
      <c r="F34" s="9">
        <f>IF(OR(N(C34)=0,N(E34)=0),"",INT(ROUND(C34*E34,6)))</f>
        <v/>
      </c>
      <c r="G34" s="15" t="n"/>
    </row>
    <row r="35" ht="20" customHeight="1">
      <c r="A35" s="5" t="n"/>
      <c r="B35" s="16" t="inlineStr">
        <is>
          <t>소          계</t>
        </is>
      </c>
      <c r="C35" s="5" t="n"/>
      <c r="D35" s="5" t="n"/>
      <c r="E35" s="5" t="n"/>
      <c r="F35" s="17">
        <f>SUM(F32:F34)</f>
        <v/>
      </c>
      <c r="G35" s="16" t="inlineStr"/>
    </row>
    <row r="36" ht="20" customHeight="1">
      <c r="A36" s="28" t="inlineStr">
        <is>
          <t>7. 건설재해예방전문지도기관 기술지도비</t>
        </is>
      </c>
      <c r="B36" s="29" t="inlineStr">
        <is>
          <t>재해예방 기술지도</t>
        </is>
      </c>
      <c r="C36" s="30" t="n">
        <v>11</v>
      </c>
      <c r="D36" s="31" t="inlineStr">
        <is>
          <t>회</t>
        </is>
      </c>
      <c r="E36" s="7" t="n">
        <v>360000</v>
      </c>
      <c r="F36" s="9">
        <f>IF(OR(N(C36)=0,N(E36)=0),"",INT(ROUND(C36*E36,6)))</f>
        <v/>
      </c>
      <c r="G36" s="15" t="n"/>
    </row>
    <row r="37" ht="20" customHeight="1">
      <c r="A37" s="5" t="n"/>
      <c r="B37" s="29" t="n"/>
      <c r="C37" s="30" t="n"/>
      <c r="D37" s="31" t="n"/>
      <c r="E37" s="7" t="n"/>
      <c r="F37" s="9">
        <f>IF(OR(N(C37)=0,N(E37)=0),"",INT(ROUND(C37*E37,6)))</f>
        <v/>
      </c>
      <c r="G37" s="15" t="n"/>
    </row>
    <row r="38" ht="20" customHeight="1">
      <c r="A38" s="5" t="n"/>
      <c r="B38" s="16" t="inlineStr">
        <is>
          <t>소          계</t>
        </is>
      </c>
      <c r="C38" s="5" t="n"/>
      <c r="D38" s="5" t="n"/>
      <c r="E38" s="5" t="n"/>
      <c r="F38" s="17">
        <f>SUM(F36:F37)</f>
        <v/>
      </c>
      <c r="G38" s="16" t="inlineStr"/>
    </row>
    <row r="39" ht="20" customHeight="1">
      <c r="A39" s="28" t="inlineStr">
        <is>
          <t>8. 본사 전담조직 근로자 임금 등</t>
        </is>
      </c>
      <c r="B39" s="29" t="n"/>
      <c r="C39" s="30" t="n"/>
      <c r="D39" s="31" t="n"/>
      <c r="E39" s="7" t="n"/>
      <c r="F39" s="9">
        <f>IF(OR(N(C39)=0,N(E39)=0),"",INT(ROUND(C39*E39,6)))</f>
        <v/>
      </c>
      <c r="G39" s="15" t="n"/>
    </row>
    <row r="40" ht="20" customHeight="1">
      <c r="A40" s="5" t="n"/>
      <c r="B40" s="29" t="n"/>
      <c r="C40" s="30" t="n"/>
      <c r="D40" s="31" t="n"/>
      <c r="E40" s="7" t="n"/>
      <c r="F40" s="9">
        <f>IF(OR(N(C40)=0,N(E40)=0),"",INT(ROUND(C40*E40,6)))</f>
        <v/>
      </c>
      <c r="G40" s="15" t="n"/>
    </row>
    <row r="41" ht="20" customHeight="1">
      <c r="A41" s="5" t="n"/>
      <c r="B41" s="16" t="inlineStr">
        <is>
          <t>소          계</t>
        </is>
      </c>
      <c r="C41" s="5" t="n"/>
      <c r="D41" s="5" t="n"/>
      <c r="E41" s="5" t="n"/>
      <c r="F41" s="17">
        <f>SUM(F39:F40)</f>
        <v/>
      </c>
      <c r="G41" s="16" t="inlineStr"/>
    </row>
    <row r="42" ht="20" customHeight="1">
      <c r="A42" s="28" t="inlineStr">
        <is>
          <t>9. 위험성평가 등에 따른 소요비용</t>
        </is>
      </c>
      <c r="B42" s="29" t="inlineStr">
        <is>
          <t>위험성평가 개선 조치</t>
        </is>
      </c>
      <c r="C42" s="30" t="n">
        <v>1</v>
      </c>
      <c r="D42" s="31" t="inlineStr">
        <is>
          <t>식</t>
        </is>
      </c>
      <c r="E42" s="7" t="n">
        <v>500000</v>
      </c>
      <c r="F42" s="9">
        <f>IF(OR(N(C42)=0,N(E42)=0),"",INT(ROUND(C42*E42,6)))</f>
        <v/>
      </c>
      <c r="G42" s="15" t="n"/>
    </row>
    <row r="43" ht="20" customHeight="1">
      <c r="A43" s="5" t="n"/>
      <c r="B43" s="29" t="n"/>
      <c r="C43" s="30" t="n"/>
      <c r="D43" s="31" t="n"/>
      <c r="E43" s="7" t="n"/>
      <c r="F43" s="9">
        <f>IF(OR(N(C43)=0,N(E43)=0),"",INT(ROUND(C43*E43,6)))</f>
        <v/>
      </c>
      <c r="G43" s="15" t="n"/>
    </row>
    <row r="44" ht="20" customHeight="1">
      <c r="A44" s="5" t="n"/>
      <c r="B44" s="16" t="inlineStr">
        <is>
          <t>소          계</t>
        </is>
      </c>
      <c r="C44" s="5" t="n"/>
      <c r="D44" s="5" t="n"/>
      <c r="E44" s="5" t="n"/>
      <c r="F44" s="17">
        <f>SUM(F42:F43)</f>
        <v/>
      </c>
      <c r="G44" s="16" t="inlineStr"/>
    </row>
    <row r="45" ht="24" customHeight="1">
      <c r="A45" s="16" t="inlineStr">
        <is>
          <t>합                    계</t>
        </is>
      </c>
      <c r="B45" s="5" t="n"/>
      <c r="C45" s="5" t="n"/>
      <c r="D45" s="5" t="n"/>
      <c r="E45" s="5" t="n"/>
      <c r="F45" s="17">
        <f>F11+F17+F24+F27+F31+F35+F38+F41+F44</f>
        <v/>
      </c>
      <c r="G45" s="16" t="inlineStr"/>
    </row>
    <row r="46" ht="16" customHeight="1">
      <c r="A46" s="32">
        <f>IF(OR(N('예시-안전관리비 사용계획서'!C9)=0,F45=0),"",IF(F45&gt;'예시-안전관리비 사용계획서'!C9,"⚠ 계상액보다 "&amp;TEXT(F45-'예시-안전관리비 사용계획서'!C9,"#,##0")&amp;"원 많습니다.","계상액 "&amp;TEXT('예시-안전관리비 사용계획서'!C9,"#,##0")&amp;"원 중 "&amp;TEXT('예시-안전관리비 사용계획서'!C9-F45,"#,##0")&amp;"원 남음"))</f>
        <v/>
      </c>
    </row>
    <row r="48" ht="19.5" customHeight="1">
      <c r="A48" s="24" t="inlineStr">
        <is>
          <t>이 시트는 작성 예시입니다(가상의 현장 · 금액).</t>
        </is>
      </c>
    </row>
  </sheetData>
  <mergeCells count="31">
    <mergeCell ref="A4:G4"/>
    <mergeCell ref="A7:A8"/>
    <mergeCell ref="G7:G8"/>
    <mergeCell ref="F6:G6"/>
    <mergeCell ref="A45:E45"/>
    <mergeCell ref="B24:E24"/>
    <mergeCell ref="A18:A24"/>
    <mergeCell ref="A6:E6"/>
    <mergeCell ref="B41:E41"/>
    <mergeCell ref="B35:E35"/>
    <mergeCell ref="A48:G48"/>
    <mergeCell ref="B7:E7"/>
    <mergeCell ref="D1:G1"/>
    <mergeCell ref="A9:A11"/>
    <mergeCell ref="A36:A38"/>
    <mergeCell ref="A32:A35"/>
    <mergeCell ref="B31:E31"/>
    <mergeCell ref="A39:A41"/>
    <mergeCell ref="B27:E27"/>
    <mergeCell ref="A12:A17"/>
    <mergeCell ref="B11:E11"/>
    <mergeCell ref="A46:G46"/>
    <mergeCell ref="B17:E17"/>
    <mergeCell ref="A1:C1"/>
    <mergeCell ref="A3:G3"/>
    <mergeCell ref="A25:A27"/>
    <mergeCell ref="B38:E38"/>
    <mergeCell ref="A28:A31"/>
    <mergeCell ref="B44:E44"/>
    <mergeCell ref="F7:F8"/>
    <mergeCell ref="A42:A44"/>
  </mergeCells>
  <conditionalFormatting sqref="C9:C10">
    <cfRule type="expression" priority="1" dxfId="0">
      <formula>AND(ISNUMBER(C9),MOD(C9,1)=0)</formula>
    </cfRule>
  </conditionalFormatting>
  <conditionalFormatting sqref="C12:C16">
    <cfRule type="expression" priority="2" dxfId="0">
      <formula>AND(ISNUMBER(C12),MOD(C12,1)=0)</formula>
    </cfRule>
  </conditionalFormatting>
  <conditionalFormatting sqref="C18:C23">
    <cfRule type="expression" priority="3" dxfId="0">
      <formula>AND(ISNUMBER(C18),MOD(C18,1)=0)</formula>
    </cfRule>
  </conditionalFormatting>
  <conditionalFormatting sqref="C25:C26">
    <cfRule type="expression" priority="4" dxfId="0">
      <formula>AND(ISNUMBER(C25),MOD(C25,1)=0)</formula>
    </cfRule>
  </conditionalFormatting>
  <conditionalFormatting sqref="C28:C30">
    <cfRule type="expression" priority="5" dxfId="0">
      <formula>AND(ISNUMBER(C28),MOD(C28,1)=0)</formula>
    </cfRule>
  </conditionalFormatting>
  <conditionalFormatting sqref="C32:C34">
    <cfRule type="expression" priority="6" dxfId="0">
      <formula>AND(ISNUMBER(C32),MOD(C32,1)=0)</formula>
    </cfRule>
  </conditionalFormatting>
  <conditionalFormatting sqref="C36:C37">
    <cfRule type="expression" priority="7" dxfId="0">
      <formula>AND(ISNUMBER(C36),MOD(C36,1)=0)</formula>
    </cfRule>
  </conditionalFormatting>
  <conditionalFormatting sqref="C39:C40">
    <cfRule type="expression" priority="8" dxfId="0">
      <formula>AND(ISNUMBER(C39),MOD(C39,1)=0)</formula>
    </cfRule>
  </conditionalFormatting>
  <conditionalFormatting sqref="C42:C43">
    <cfRule type="expression" priority="9" dxfId="0">
      <formula>AND(ISNUMBER(C42),MOD(C42,1)=0)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2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5" customWidth="1" min="3" max="3"/>
    <col width="13" customWidth="1" min="4" max="4"/>
    <col width="16" customWidth="1" min="5" max="5"/>
    <col width="15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35" t="inlineStr">
        <is>
          <t xml:space="preserve">작성 예시 (가상의 현장)  </t>
        </is>
      </c>
    </row>
    <row r="2" ht="4" customHeight="1"/>
    <row r="3" ht="38" customHeight="1">
      <c r="A3" s="3" t="inlineStr">
        <is>
          <t>환경보전비 사용계획서</t>
        </is>
      </c>
    </row>
    <row r="4" ht="6" customHeight="1"/>
    <row r="5" ht="26" customHeight="1">
      <c r="A5" s="4" t="inlineStr">
        <is>
          <t>건설업체명</t>
        </is>
      </c>
      <c r="B5" s="5" t="n"/>
      <c r="C5" s="33">
        <f>IF('예시-안전관리비 사용계획서'!C5="","",'예시-안전관리비 사용계획서'!C5)</f>
        <v/>
      </c>
      <c r="D5" s="5" t="n"/>
      <c r="E5" s="4" t="inlineStr">
        <is>
          <t>공   사   명</t>
        </is>
      </c>
      <c r="F5" s="33">
        <f>IF('예시-안전관리비 사용계획서'!F5="","",'예시-안전관리비 사용계획서'!F5)</f>
        <v/>
      </c>
      <c r="G5" s="5" t="n"/>
    </row>
    <row r="6" ht="26" customHeight="1">
      <c r="A6" s="4" t="inlineStr">
        <is>
          <t>소  재  지</t>
        </is>
      </c>
      <c r="B6" s="5" t="n"/>
      <c r="C6" s="33">
        <f>IF('예시-안전관리비 사용계획서'!C6="","",'예시-안전관리비 사용계획서'!C6)</f>
        <v/>
      </c>
      <c r="D6" s="5" t="n"/>
      <c r="E6" s="4" t="inlineStr">
        <is>
          <t>대  표  자</t>
        </is>
      </c>
      <c r="F6" s="33">
        <f>IF('예시-안전관리비 사용계획서'!F6="","",'예시-안전관리비 사용계획서'!F6)</f>
        <v/>
      </c>
      <c r="G6" s="5" t="n"/>
    </row>
    <row r="7" ht="26" customHeight="1">
      <c r="A7" s="4" t="inlineStr">
        <is>
          <t>공 사 금 액</t>
        </is>
      </c>
      <c r="B7" s="5" t="n"/>
      <c r="C7" s="9">
        <f>IF('예시-안전관리비 사용계획서'!C7="","",'예시-안전관리비 사용계획서'!C7)</f>
        <v/>
      </c>
      <c r="D7" s="5" t="n"/>
      <c r="E7" s="4" t="inlineStr">
        <is>
          <t>공 사 기 간</t>
        </is>
      </c>
      <c r="F7" s="33">
        <f>IF('예시-안전관리비 사용계획서'!F7="","",'예시-안전관리비 사용계획서'!F7)</f>
        <v/>
      </c>
      <c r="G7" s="5" t="n"/>
    </row>
    <row r="8" ht="26" customHeight="1">
      <c r="A8" s="4" t="inlineStr">
        <is>
          <t>발  주  자</t>
        </is>
      </c>
      <c r="B8" s="5" t="n"/>
      <c r="C8" s="33">
        <f>IF('예시-안전관리비 사용계획서'!C8="","",'예시-안전관리비 사용계획서'!C8)</f>
        <v/>
      </c>
      <c r="D8" s="5" t="n"/>
      <c r="E8" s="4" t="inlineStr">
        <is>
          <t>누계공정율</t>
        </is>
      </c>
      <c r="F8" s="34">
        <f>IF('예시-안전관리비 사용계획서'!F8="","",'예시-안전관리비 사용계획서'!F8)</f>
        <v/>
      </c>
      <c r="G8" s="5" t="n"/>
    </row>
    <row r="9" ht="34" customHeight="1">
      <c r="A9" s="4" t="inlineStr">
        <is>
          <t>계  상  된
환경보전비</t>
        </is>
      </c>
      <c r="B9" s="5" t="n"/>
      <c r="C9" s="7" t="n">
        <v>6500000</v>
      </c>
      <c r="D9" s="5" t="n"/>
      <c r="E9" s="4" t="inlineStr">
        <is>
          <t>사용계획
환경보전비</t>
        </is>
      </c>
      <c r="F9" s="9">
        <f>IF('예시-환경보전비 세부내역'!F31=0,"",'예시-환경보전비 세부내역'!F31)</f>
        <v/>
      </c>
      <c r="G9" s="5" t="n"/>
    </row>
    <row r="10" ht="16" customHeight="1">
      <c r="A10" s="10">
        <f>IF(AND(N(C9)&gt;0,N(F9)&gt;C9),"⚠ 사용계획 금액이 계상된 환경보전비를 넘습니다 — "&amp;TEXT(N(F9)-C9,"#,##0")&amp;"원 초과","")</f>
        <v/>
      </c>
    </row>
    <row r="11" ht="30" customHeight="1">
      <c r="A11" s="11" t="inlineStr">
        <is>
          <t>계     획     금     액</t>
        </is>
      </c>
      <c r="B11" s="5" t="n"/>
      <c r="C11" s="5" t="n"/>
      <c r="D11" s="5" t="n"/>
      <c r="E11" s="5" t="n"/>
      <c r="F11" s="5" t="n"/>
      <c r="G11" s="5" t="n"/>
    </row>
    <row r="12" ht="26" customHeight="1">
      <c r="A12" s="12" t="inlineStr">
        <is>
          <t>항          목</t>
        </is>
      </c>
      <c r="B12" s="5" t="n"/>
      <c r="C12" s="5" t="n"/>
      <c r="D12" s="5" t="n"/>
      <c r="E12" s="12" t="inlineStr">
        <is>
          <t>계 획 금 액</t>
        </is>
      </c>
      <c r="F12" s="12" t="inlineStr">
        <is>
          <t>잔      액</t>
        </is>
      </c>
      <c r="G12" s="12" t="inlineStr">
        <is>
          <t>비      고</t>
        </is>
      </c>
    </row>
    <row r="13" ht="26" customHeight="1">
      <c r="A13" s="13" t="inlineStr">
        <is>
          <t>1. 환경관리자 등 인건비 및 각종 업무수당</t>
        </is>
      </c>
      <c r="B13" s="5" t="n"/>
      <c r="C13" s="5" t="n"/>
      <c r="D13" s="5" t="n"/>
      <c r="E13" s="9">
        <f>IF(N('예시-환경보전비 세부내역'!F14)=0,"",'예시-환경보전비 세부내역'!F14)</f>
        <v/>
      </c>
      <c r="F13" s="9">
        <f>IF(OR(N(C9)=0,N(E13)=0),"",C9-SUM($E$13:E13))</f>
        <v/>
      </c>
      <c r="G13" s="15" t="n"/>
    </row>
    <row r="14" ht="26" customHeight="1">
      <c r="A14" s="13" t="inlineStr">
        <is>
          <t>2. 환경시설비 등</t>
        </is>
      </c>
      <c r="B14" s="5" t="n"/>
      <c r="C14" s="5" t="n"/>
      <c r="D14" s="5" t="n"/>
      <c r="E14" s="9">
        <f>IF(N('예시-환경보전비 세부내역'!F20)=0,"",'예시-환경보전비 세부내역'!F20)</f>
        <v/>
      </c>
      <c r="F14" s="9">
        <f>IF(OR(N(C9)=0,N(E14)=0),"",C9-SUM($E$13:E14))</f>
        <v/>
      </c>
      <c r="G14" s="15" t="n"/>
    </row>
    <row r="15" ht="26" customHeight="1">
      <c r="A15" s="13" t="inlineStr">
        <is>
          <t>3. 환경보전유지비</t>
        </is>
      </c>
      <c r="B15" s="5" t="n"/>
      <c r="C15" s="5" t="n"/>
      <c r="D15" s="5" t="n"/>
      <c r="E15" s="9">
        <f>IF(N('예시-환경보전비 세부내역'!F25)=0,"",'예시-환경보전비 세부내역'!F25)</f>
        <v/>
      </c>
      <c r="F15" s="9">
        <f>IF(OR(N(C9)=0,N(E15)=0),"",C9-SUM($E$13:E15))</f>
        <v/>
      </c>
      <c r="G15" s="15" t="n"/>
    </row>
    <row r="16" ht="26" customHeight="1">
      <c r="A16" s="13" t="inlineStr">
        <is>
          <t>4. 환경보전교육비 및 행사비 등</t>
        </is>
      </c>
      <c r="B16" s="5" t="n"/>
      <c r="C16" s="5" t="n"/>
      <c r="D16" s="5" t="n"/>
      <c r="E16" s="9">
        <f>IF(N('예시-환경보전비 세부내역'!F30)=0,"",'예시-환경보전비 세부내역'!F30)</f>
        <v/>
      </c>
      <c r="F16" s="9">
        <f>IF(OR(N(C9)=0,N(E16)=0),"",C9-SUM($E$13:E16))</f>
        <v/>
      </c>
      <c r="G16" s="15" t="n"/>
    </row>
    <row r="17" ht="26" customHeight="1">
      <c r="A17" s="6" t="n"/>
      <c r="B17" s="5" t="n"/>
      <c r="C17" s="5" t="n"/>
      <c r="D17" s="5" t="n"/>
      <c r="E17" s="7" t="n"/>
      <c r="F17" s="9">
        <f>IF(OR(N(C9)=0,N(E17)=0),"",C9-SUM($E$13:E17))</f>
        <v/>
      </c>
      <c r="G17" s="15" t="n"/>
    </row>
    <row r="18" ht="26" customHeight="1">
      <c r="A18" s="6" t="n"/>
      <c r="B18" s="5" t="n"/>
      <c r="C18" s="5" t="n"/>
      <c r="D18" s="5" t="n"/>
      <c r="E18" s="7" t="n"/>
      <c r="F18" s="9">
        <f>IF(OR(N(C9)=0,N(E18)=0),"",C9-SUM($E$13:E18))</f>
        <v/>
      </c>
      <c r="G18" s="15" t="n"/>
    </row>
    <row r="19" ht="26" customHeight="1">
      <c r="A19" s="6" t="n"/>
      <c r="B19" s="5" t="n"/>
      <c r="C19" s="5" t="n"/>
      <c r="D19" s="5" t="n"/>
      <c r="E19" s="7" t="n"/>
      <c r="F19" s="9">
        <f>IF(OR(N(C9)=0,N(E19)=0),"",C9-SUM($E$13:E19))</f>
        <v/>
      </c>
      <c r="G19" s="15" t="n"/>
    </row>
    <row r="20" ht="26" customHeight="1">
      <c r="A20" s="6" t="n"/>
      <c r="B20" s="5" t="n"/>
      <c r="C20" s="5" t="n"/>
      <c r="D20" s="5" t="n"/>
      <c r="E20" s="7" t="n"/>
      <c r="F20" s="9">
        <f>IF(OR(N(C9)=0,N(E20)=0),"",C9-SUM($E$13:E20))</f>
        <v/>
      </c>
      <c r="G20" s="15" t="n"/>
    </row>
    <row r="21" ht="28" customHeight="1">
      <c r="A21" s="16" t="inlineStr">
        <is>
          <t>합                    계</t>
        </is>
      </c>
      <c r="B21" s="5" t="n"/>
      <c r="C21" s="5" t="n"/>
      <c r="D21" s="5" t="n"/>
      <c r="E21" s="17">
        <f>SUM(E13:E20)</f>
        <v/>
      </c>
      <c r="F21" s="17">
        <f>IF(OR(N(C9)=0,N(E21)=0),"",C9-E21)</f>
        <v/>
      </c>
      <c r="G21" s="16" t="inlineStr"/>
    </row>
    <row r="22" ht="10" customHeight="1"/>
    <row r="23" ht="22" customHeight="1">
      <c r="A23" s="19" t="inlineStr">
        <is>
          <t>「건설기술 진흥법 시행규칙」 제61조제2항에 따라 위와 같이 당 현장의</t>
        </is>
      </c>
    </row>
    <row r="24" ht="22" customHeight="1">
      <c r="A24" s="19" t="inlineStr">
        <is>
          <t>환경보전비 사용계획서를 제출합니다.</t>
        </is>
      </c>
    </row>
    <row r="25" ht="6" customHeight="1"/>
    <row r="26" ht="26" customHeight="1">
      <c r="A26" s="20" t="n">
        <v>46101</v>
      </c>
    </row>
    <row r="27" ht="4" customHeight="1"/>
    <row r="28" ht="24" customHeight="1">
      <c r="A28" s="21" t="inlineStr"/>
      <c r="D28" s="22" t="inlineStr">
        <is>
          <t>주     소 :</t>
        </is>
      </c>
      <c r="E28" s="21">
        <f>IF('예시-안전관리비 사용계획서'!C6="","",'예시-안전관리비 사용계획서'!C6)</f>
        <v/>
      </c>
      <c r="G28" s="23" t="inlineStr"/>
    </row>
    <row r="29" ht="24" customHeight="1">
      <c r="A29" s="21" t="inlineStr"/>
      <c r="D29" s="22" t="inlineStr">
        <is>
          <t>상     호 :</t>
        </is>
      </c>
      <c r="E29" s="21">
        <f>IF('예시-안전관리비 사용계획서'!C5="","",'예시-안전관리비 사용계획서'!C5)</f>
        <v/>
      </c>
      <c r="G29" s="23" t="inlineStr"/>
    </row>
    <row r="30" ht="24" customHeight="1">
      <c r="A30" s="21" t="inlineStr"/>
      <c r="D30" s="22" t="inlineStr">
        <is>
          <t>성     명 :</t>
        </is>
      </c>
      <c r="E30" s="21">
        <f>IF('예시-안전관리비 사용계획서'!F6="","",'예시-안전관리비 사용계획서'!F6)</f>
        <v/>
      </c>
      <c r="G30" s="23" t="inlineStr">
        <is>
          <t>(인)</t>
        </is>
      </c>
    </row>
    <row r="32" ht="19.5" customHeight="1">
      <c r="A32" s="24" t="inlineStr">
        <is>
          <t>이 시트는 작성 예시입니다(가상의 현장 · 금액). 실제로는 앞의 빈 시트에 적으세요.</t>
        </is>
      </c>
    </row>
  </sheetData>
  <mergeCells count="40">
    <mergeCell ref="A32:G32"/>
    <mergeCell ref="A17:D17"/>
    <mergeCell ref="C6:D6"/>
    <mergeCell ref="A20:D20"/>
    <mergeCell ref="C5:D5"/>
    <mergeCell ref="A14:D14"/>
    <mergeCell ref="F6:G6"/>
    <mergeCell ref="A19:D19"/>
    <mergeCell ref="A6:B6"/>
    <mergeCell ref="A10:G10"/>
    <mergeCell ref="F7:G7"/>
    <mergeCell ref="A13:D13"/>
    <mergeCell ref="A7:B7"/>
    <mergeCell ref="E29:F29"/>
    <mergeCell ref="F5:G5"/>
    <mergeCell ref="A15:D15"/>
    <mergeCell ref="A24:G24"/>
    <mergeCell ref="E28:F28"/>
    <mergeCell ref="C9:D9"/>
    <mergeCell ref="A29:C29"/>
    <mergeCell ref="A11:G11"/>
    <mergeCell ref="F8:G8"/>
    <mergeCell ref="A1:D1"/>
    <mergeCell ref="A28:C28"/>
    <mergeCell ref="E30:F30"/>
    <mergeCell ref="A5:B5"/>
    <mergeCell ref="A30:C30"/>
    <mergeCell ref="A16:D16"/>
    <mergeCell ref="A8:B8"/>
    <mergeCell ref="F9:G9"/>
    <mergeCell ref="C8:D8"/>
    <mergeCell ref="A18:D18"/>
    <mergeCell ref="C7:D7"/>
    <mergeCell ref="A3:G3"/>
    <mergeCell ref="A12:D12"/>
    <mergeCell ref="A21:D21"/>
    <mergeCell ref="A26:G26"/>
    <mergeCell ref="A9:B9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4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7" customWidth="1" min="4" max="4"/>
    <col width="12" customWidth="1" min="5" max="5"/>
    <col width="14" customWidth="1" min="6" max="6"/>
    <col width="10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35" t="inlineStr">
        <is>
          <t xml:space="preserve">작성 예시 (가상의 현장)  </t>
        </is>
      </c>
    </row>
    <row r="2" ht="4" customHeight="1"/>
    <row r="3" ht="36" customHeight="1">
      <c r="A3" s="3" t="inlineStr">
        <is>
          <t>항 목 별  세 부 사 용 계 획</t>
        </is>
      </c>
    </row>
    <row r="4" ht="18" customHeight="1">
      <c r="A4" s="25" t="inlineStr">
        <is>
          <t>(환경보전비)</t>
        </is>
      </c>
    </row>
    <row r="5" ht="4" customHeight="1"/>
    <row r="6" ht="22" customHeight="1">
      <c r="A6" s="26">
        <f>IF('예시-안전관리비 사용계획서'!F5="","",'예시-안전관리비 사용계획서'!F5)</f>
        <v/>
      </c>
      <c r="F6" s="27" t="inlineStr">
        <is>
          <t>(VAT 별도)</t>
        </is>
      </c>
    </row>
    <row r="7" ht="22" customHeight="1">
      <c r="A7" s="12" t="inlineStr">
        <is>
          <t>항     목</t>
        </is>
      </c>
      <c r="B7" s="12" t="inlineStr">
        <is>
          <t>사   용   내   역</t>
        </is>
      </c>
      <c r="C7" s="5" t="n"/>
      <c r="D7" s="5" t="n"/>
      <c r="E7" s="5" t="n"/>
      <c r="F7" s="12" t="inlineStr">
        <is>
          <t>금     액</t>
        </is>
      </c>
      <c r="G7" s="12" t="inlineStr">
        <is>
          <t>비 고</t>
        </is>
      </c>
    </row>
    <row r="8" ht="22" customHeight="1">
      <c r="A8" s="5" t="n"/>
      <c r="B8" s="12" t="inlineStr">
        <is>
          <t>품          명</t>
        </is>
      </c>
      <c r="C8" s="12" t="inlineStr">
        <is>
          <t>단 가</t>
        </is>
      </c>
      <c r="D8" s="12" t="inlineStr">
        <is>
          <t>단 위</t>
        </is>
      </c>
      <c r="E8" s="12" t="inlineStr">
        <is>
          <t>수 량</t>
        </is>
      </c>
      <c r="F8" s="5" t="n"/>
      <c r="G8" s="5" t="n"/>
    </row>
    <row r="9" ht="20" customHeight="1">
      <c r="A9" s="28" t="inlineStr">
        <is>
          <t>1. 환경관리자 등 인건비 및 각종 업무수당</t>
        </is>
      </c>
      <c r="B9" s="29" t="inlineStr">
        <is>
          <t>환경보전 청소 인건비</t>
        </is>
      </c>
      <c r="C9" s="7" t="n">
        <v>150000</v>
      </c>
      <c r="D9" s="31" t="inlineStr">
        <is>
          <t>인</t>
        </is>
      </c>
      <c r="E9" s="30" t="n">
        <v>10</v>
      </c>
      <c r="F9" s="9">
        <f>IF(OR(N(E9)=0,N(C9)=0),"",INT(ROUND(E9*C9,6)))</f>
        <v/>
      </c>
      <c r="G9" s="15" t="n"/>
    </row>
    <row r="10" ht="20" customHeight="1">
      <c r="A10" s="5" t="n"/>
      <c r="B10" s="29" t="inlineStr">
        <is>
          <t>세륜시설 운영 인건비</t>
        </is>
      </c>
      <c r="C10" s="7" t="n">
        <v>150000</v>
      </c>
      <c r="D10" s="31" t="inlineStr">
        <is>
          <t>인</t>
        </is>
      </c>
      <c r="E10" s="30" t="n">
        <v>6</v>
      </c>
      <c r="F10" s="9">
        <f>IF(OR(N(E10)=0,N(C10)=0),"",INT(ROUND(E10*C10,6)))</f>
        <v/>
      </c>
      <c r="G10" s="15" t="n"/>
    </row>
    <row r="11" ht="20" customHeight="1">
      <c r="A11" s="5" t="n"/>
      <c r="B11" s="29" t="n"/>
      <c r="C11" s="7" t="n"/>
      <c r="D11" s="31" t="n"/>
      <c r="E11" s="30" t="n"/>
      <c r="F11" s="9">
        <f>IF(OR(N(E11)=0,N(C11)=0),"",INT(ROUND(E11*C11,6)))</f>
        <v/>
      </c>
      <c r="G11" s="15" t="n"/>
    </row>
    <row r="12" ht="20" customHeight="1">
      <c r="A12" s="5" t="n"/>
      <c r="B12" s="29" t="n"/>
      <c r="C12" s="7" t="n"/>
      <c r="D12" s="31" t="n"/>
      <c r="E12" s="30" t="n"/>
      <c r="F12" s="9">
        <f>IF(OR(N(E12)=0,N(C12)=0),"",INT(ROUND(E12*C12,6)))</f>
        <v/>
      </c>
      <c r="G12" s="15" t="n"/>
    </row>
    <row r="13" ht="20" customHeight="1">
      <c r="A13" s="5" t="n"/>
      <c r="B13" s="29" t="n"/>
      <c r="C13" s="7" t="n"/>
      <c r="D13" s="31" t="n"/>
      <c r="E13" s="30" t="n"/>
      <c r="F13" s="9">
        <f>IF(OR(N(E13)=0,N(C13)=0),"",INT(ROUND(E13*C13,6)))</f>
        <v/>
      </c>
      <c r="G13" s="15" t="n"/>
    </row>
    <row r="14" ht="20" customHeight="1">
      <c r="A14" s="5" t="n"/>
      <c r="B14" s="16" t="inlineStr">
        <is>
          <t>소          계</t>
        </is>
      </c>
      <c r="C14" s="5" t="n"/>
      <c r="D14" s="5" t="n"/>
      <c r="E14" s="5" t="n"/>
      <c r="F14" s="17">
        <f>SUM(F9:F13)</f>
        <v/>
      </c>
      <c r="G14" s="16" t="inlineStr"/>
    </row>
    <row r="15" ht="20" customHeight="1">
      <c r="A15" s="28" t="inlineStr">
        <is>
          <t>2. 환경시설비 등</t>
        </is>
      </c>
      <c r="B15" s="29" t="inlineStr">
        <is>
          <t>세륜시설 설치·임대</t>
        </is>
      </c>
      <c r="C15" s="7" t="n">
        <v>1200000</v>
      </c>
      <c r="D15" s="31" t="inlineStr">
        <is>
          <t>식</t>
        </is>
      </c>
      <c r="E15" s="30" t="n">
        <v>1</v>
      </c>
      <c r="F15" s="9">
        <f>IF(OR(N(E15)=0,N(C15)=0),"",INT(ROUND(E15*C15,6)))</f>
        <v/>
      </c>
      <c r="G15" s="15" t="n"/>
    </row>
    <row r="16" ht="20" customHeight="1">
      <c r="A16" s="5" t="n"/>
      <c r="B16" s="29" t="inlineStr">
        <is>
          <t>부직포(분진덮개용)</t>
        </is>
      </c>
      <c r="C16" s="7" t="n">
        <v>45000</v>
      </c>
      <c r="D16" s="31" t="inlineStr">
        <is>
          <t>롤</t>
        </is>
      </c>
      <c r="E16" s="30" t="n">
        <v>6</v>
      </c>
      <c r="F16" s="9">
        <f>IF(OR(N(E16)=0,N(C16)=0),"",INT(ROUND(E16*C16,6)))</f>
        <v/>
      </c>
      <c r="G16" s="15" t="n"/>
    </row>
    <row r="17" ht="20" customHeight="1">
      <c r="A17" s="5" t="n"/>
      <c r="B17" s="29" t="inlineStr">
        <is>
          <t>분진망</t>
        </is>
      </c>
      <c r="C17" s="7" t="n">
        <v>25000</v>
      </c>
      <c r="D17" s="31" t="inlineStr">
        <is>
          <t>개</t>
        </is>
      </c>
      <c r="E17" s="30" t="n">
        <v>20</v>
      </c>
      <c r="F17" s="9">
        <f>IF(OR(N(E17)=0,N(C17)=0),"",INT(ROUND(E17*C17,6)))</f>
        <v/>
      </c>
      <c r="G17" s="15" t="n"/>
    </row>
    <row r="18" ht="20" customHeight="1">
      <c r="A18" s="5" t="n"/>
      <c r="B18" s="29" t="inlineStr">
        <is>
          <t>살수차량 임대</t>
        </is>
      </c>
      <c r="C18" s="7" t="n">
        <v>250000</v>
      </c>
      <c r="D18" s="31" t="inlineStr">
        <is>
          <t>회</t>
        </is>
      </c>
      <c r="E18" s="30" t="n">
        <v>4</v>
      </c>
      <c r="F18" s="9">
        <f>IF(OR(N(E18)=0,N(C18)=0),"",INT(ROUND(E18*C18,6)))</f>
        <v/>
      </c>
      <c r="G18" s="15" t="n"/>
    </row>
    <row r="19" ht="20" customHeight="1">
      <c r="A19" s="5" t="n"/>
      <c r="B19" s="29" t="n"/>
      <c r="C19" s="7" t="n"/>
      <c r="D19" s="31" t="n"/>
      <c r="E19" s="30" t="n"/>
      <c r="F19" s="9">
        <f>IF(OR(N(E19)=0,N(C19)=0),"",INT(ROUND(E19*C19,6)))</f>
        <v/>
      </c>
      <c r="G19" s="15" t="n"/>
    </row>
    <row r="20" ht="20" customHeight="1">
      <c r="A20" s="5" t="n"/>
      <c r="B20" s="16" t="inlineStr">
        <is>
          <t>소          계</t>
        </is>
      </c>
      <c r="C20" s="5" t="n"/>
      <c r="D20" s="5" t="n"/>
      <c r="E20" s="5" t="n"/>
      <c r="F20" s="17">
        <f>SUM(F15:F19)</f>
        <v/>
      </c>
      <c r="G20" s="16" t="inlineStr"/>
    </row>
    <row r="21" ht="20" customHeight="1">
      <c r="A21" s="28" t="inlineStr">
        <is>
          <t>3. 환경보전유지비</t>
        </is>
      </c>
      <c r="B21" s="29" t="inlineStr">
        <is>
          <t>청소용구</t>
        </is>
      </c>
      <c r="C21" s="7" t="n">
        <v>150000</v>
      </c>
      <c r="D21" s="31" t="inlineStr">
        <is>
          <t>식</t>
        </is>
      </c>
      <c r="E21" s="30" t="n">
        <v>1</v>
      </c>
      <c r="F21" s="9">
        <f>IF(OR(N(E21)=0,N(C21)=0),"",INT(ROUND(E21*C21,6)))</f>
        <v/>
      </c>
      <c r="G21" s="15" t="n"/>
    </row>
    <row r="22" ht="20" customHeight="1">
      <c r="A22" s="5" t="n"/>
      <c r="B22" s="29" t="inlineStr">
        <is>
          <t>쓰레기봉투(100ℓ)</t>
        </is>
      </c>
      <c r="C22" s="7" t="n">
        <v>1000</v>
      </c>
      <c r="D22" s="31" t="inlineStr">
        <is>
          <t>매</t>
        </is>
      </c>
      <c r="E22" s="30" t="n">
        <v>100</v>
      </c>
      <c r="F22" s="9">
        <f>IF(OR(N(E22)=0,N(C22)=0),"",INT(ROUND(E22*C22,6)))</f>
        <v/>
      </c>
      <c r="G22" s="15" t="n"/>
    </row>
    <row r="23" ht="20" customHeight="1">
      <c r="A23" s="5" t="n"/>
      <c r="B23" s="29" t="inlineStr">
        <is>
          <t>폐기물 마대</t>
        </is>
      </c>
      <c r="C23" s="7" t="n">
        <v>1500</v>
      </c>
      <c r="D23" s="31" t="inlineStr">
        <is>
          <t>개</t>
        </is>
      </c>
      <c r="E23" s="30" t="n">
        <v>60</v>
      </c>
      <c r="F23" s="9">
        <f>IF(OR(N(E23)=0,N(C23)=0),"",INT(ROUND(E23*C23,6)))</f>
        <v/>
      </c>
      <c r="G23" s="15" t="n"/>
    </row>
    <row r="24" ht="20" customHeight="1">
      <c r="A24" s="5" t="n"/>
      <c r="B24" s="29" t="n"/>
      <c r="C24" s="7" t="n"/>
      <c r="D24" s="31" t="n"/>
      <c r="E24" s="30" t="n"/>
      <c r="F24" s="9">
        <f>IF(OR(N(E24)=0,N(C24)=0),"",INT(ROUND(E24*C24,6)))</f>
        <v/>
      </c>
      <c r="G24" s="15" t="n"/>
    </row>
    <row r="25" ht="20" customHeight="1">
      <c r="A25" s="5" t="n"/>
      <c r="B25" s="16" t="inlineStr">
        <is>
          <t>소          계</t>
        </is>
      </c>
      <c r="C25" s="5" t="n"/>
      <c r="D25" s="5" t="n"/>
      <c r="E25" s="5" t="n"/>
      <c r="F25" s="17">
        <f>SUM(F21:F24)</f>
        <v/>
      </c>
      <c r="G25" s="16" t="inlineStr"/>
    </row>
    <row r="26" ht="20" customHeight="1">
      <c r="A26" s="28" t="inlineStr">
        <is>
          <t>4. 환경보전교육비 및 행사비 등</t>
        </is>
      </c>
      <c r="B26" s="29" t="inlineStr">
        <is>
          <t>현장 환경교육 음료</t>
        </is>
      </c>
      <c r="C26" s="7" t="n">
        <v>40000</v>
      </c>
      <c r="D26" s="31" t="inlineStr">
        <is>
          <t>회</t>
        </is>
      </c>
      <c r="E26" s="30" t="n">
        <v>5</v>
      </c>
      <c r="F26" s="9">
        <f>IF(OR(N(E26)=0,N(C26)=0),"",INT(ROUND(E26*C26,6)))</f>
        <v/>
      </c>
      <c r="G26" s="15" t="n"/>
    </row>
    <row r="27" ht="20" customHeight="1">
      <c r="A27" s="5" t="n"/>
      <c r="B27" s="29" t="inlineStr">
        <is>
          <t>교육 자료 인쇄</t>
        </is>
      </c>
      <c r="C27" s="7" t="n">
        <v>50000</v>
      </c>
      <c r="D27" s="31" t="inlineStr">
        <is>
          <t>식</t>
        </is>
      </c>
      <c r="E27" s="30" t="n">
        <v>1</v>
      </c>
      <c r="F27" s="9">
        <f>IF(OR(N(E27)=0,N(C27)=0),"",INT(ROUND(E27*C27,6)))</f>
        <v/>
      </c>
      <c r="G27" s="15" t="n"/>
    </row>
    <row r="28" ht="20" customHeight="1">
      <c r="A28" s="5" t="n"/>
      <c r="B28" s="29" t="n"/>
      <c r="C28" s="7" t="n"/>
      <c r="D28" s="31" t="n"/>
      <c r="E28" s="30" t="n"/>
      <c r="F28" s="9">
        <f>IF(OR(N(E28)=0,N(C28)=0),"",INT(ROUND(E28*C28,6)))</f>
        <v/>
      </c>
      <c r="G28" s="15" t="n"/>
    </row>
    <row r="29" ht="20" customHeight="1">
      <c r="A29" s="5" t="n"/>
      <c r="B29" s="29" t="n"/>
      <c r="C29" s="7" t="n"/>
      <c r="D29" s="31" t="n"/>
      <c r="E29" s="30" t="n"/>
      <c r="F29" s="9">
        <f>IF(OR(N(E29)=0,N(C29)=0),"",INT(ROUND(E29*C29,6)))</f>
        <v/>
      </c>
      <c r="G29" s="15" t="n"/>
    </row>
    <row r="30" ht="20" customHeight="1">
      <c r="A30" s="5" t="n"/>
      <c r="B30" s="16" t="inlineStr">
        <is>
          <t>소          계</t>
        </is>
      </c>
      <c r="C30" s="5" t="n"/>
      <c r="D30" s="5" t="n"/>
      <c r="E30" s="5" t="n"/>
      <c r="F30" s="17">
        <f>SUM(F26:F29)</f>
        <v/>
      </c>
      <c r="G30" s="16" t="inlineStr"/>
    </row>
    <row r="31" ht="24" customHeight="1">
      <c r="A31" s="16" t="inlineStr">
        <is>
          <t>합                    계</t>
        </is>
      </c>
      <c r="B31" s="5" t="n"/>
      <c r="C31" s="5" t="n"/>
      <c r="D31" s="5" t="n"/>
      <c r="E31" s="5" t="n"/>
      <c r="F31" s="17">
        <f>F14+F20+F25+F30</f>
        <v/>
      </c>
      <c r="G31" s="16" t="inlineStr"/>
    </row>
    <row r="32" ht="16" customHeight="1">
      <c r="A32" s="32">
        <f>IF(OR(N('예시-환경보전비 사용계획서'!C9)=0,F31=0),"",IF(F31&gt;'예시-환경보전비 사용계획서'!C9,"⚠ 계상액보다 "&amp;TEXT(F31-'예시-환경보전비 사용계획서'!C9,"#,##0")&amp;"원 많습니다.","계상액 "&amp;TEXT('예시-환경보전비 사용계획서'!C9,"#,##0")&amp;"원 중 "&amp;TEXT('예시-환경보전비 사용계획서'!C9-F31,"#,##0")&amp;"원 남음"))</f>
        <v/>
      </c>
    </row>
    <row r="34" ht="19.5" customHeight="1">
      <c r="A34" s="24" t="inlineStr">
        <is>
          <t>이 시트는 작성 예시입니다(가상의 현장 · 금액).</t>
        </is>
      </c>
    </row>
  </sheetData>
  <mergeCells count="21">
    <mergeCell ref="A32:G32"/>
    <mergeCell ref="A9:A14"/>
    <mergeCell ref="A21:A25"/>
    <mergeCell ref="A15:A20"/>
    <mergeCell ref="B30:E30"/>
    <mergeCell ref="A4:G4"/>
    <mergeCell ref="A7:A8"/>
    <mergeCell ref="G7:G8"/>
    <mergeCell ref="F6:G6"/>
    <mergeCell ref="B20:E20"/>
    <mergeCell ref="A6:E6"/>
    <mergeCell ref="A26:A30"/>
    <mergeCell ref="A34:G34"/>
    <mergeCell ref="B7:E7"/>
    <mergeCell ref="B25:E25"/>
    <mergeCell ref="D1:G1"/>
    <mergeCell ref="B14:E14"/>
    <mergeCell ref="A1:C1"/>
    <mergeCell ref="A3:G3"/>
    <mergeCell ref="F7:F8"/>
    <mergeCell ref="A31:E31"/>
  </mergeCells>
  <conditionalFormatting sqref="E9:E13">
    <cfRule type="expression" priority="1" dxfId="0">
      <formula>AND(ISNUMBER(E9),MOD(E9,1)=0)</formula>
    </cfRule>
  </conditionalFormatting>
  <conditionalFormatting sqref="E15:E19">
    <cfRule type="expression" priority="2" dxfId="0">
      <formula>AND(ISNUMBER(E15),MOD(E15,1)=0)</formula>
    </cfRule>
  </conditionalFormatting>
  <conditionalFormatting sqref="E21:E24">
    <cfRule type="expression" priority="3" dxfId="0">
      <formula>AND(ISNUMBER(E21),MOD(E21,1)=0)</formula>
    </cfRule>
  </conditionalFormatting>
  <conditionalFormatting sqref="E26:E29">
    <cfRule type="expression" priority="4" dxfId="0">
      <formula>AND(ISNUMBER(E26),MOD(E26,1)=0)</formula>
    </cfRule>
  </conditionalFormatting>
  <printOptions horizontalCentered="1"/>
  <pageMargins left="0.4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안전·환경보전비 사용계획서</dc:title>
  <dcterms:created xmlns:dcterms="http://purl.org/dc/terms/" xmlns:xsi="http://www.w3.org/2001/XMLSchema-instance" xsi:type="dcterms:W3CDTF">2026-09-29T06:20:50Z</dcterms:created>
  <dcterms:modified xmlns:dcterms="http://purl.org/dc/terms/" xmlns:xsi="http://www.w3.org/2001/XMLSchema-instance" xsi:type="dcterms:W3CDTF">2026-09-29T06:20:50Z</dcterms:modified>
</cp:coreProperties>
</file>