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공사 산출내역서" sheetId="1" state="visible" r:id="rId1"/>
    <sheet xmlns:r="http://schemas.openxmlformats.org/officeDocument/2006/relationships" name="작성 예시" sheetId="2" state="visible" r:id="rId2"/>
  </sheets>
  <definedNames>
    <definedName name="_xlnm.Print_Area" localSheetId="0">'공사 산출내역서'!$A$1:$X$45</definedName>
    <definedName name="_xlnm.Print_Area" localSheetId="1">'작성 예시'!$A$1:$X$45</definedName>
  </definedNames>
  <calcPr calcId="124519" fullCalcOnLoad="1"/>
</workbook>
</file>

<file path=xl/styles.xml><?xml version="1.0" encoding="utf-8"?>
<styleSheet xmlns="http://schemas.openxmlformats.org/spreadsheetml/2006/main">
  <numFmts count="6">
    <numFmt numFmtId="164" formatCode="#,##0;[Red]-#,##0;&quot;&quot;"/>
    <numFmt numFmtId="165" formatCode="0.000%;[Red]-0.000%;&quot;&quot;"/>
    <numFmt numFmtId="166" formatCode="yyyy&quot;년&quot; m&quot;월&quot; d&quot;일&quot;"/>
    <numFmt numFmtId="167" formatCode="#,##0.###;[Red]-#,##0.###;&quot;&quot;"/>
    <numFmt numFmtId="168" formatCode="0.0##%"/>
    <numFmt numFmtId="169" formatCode="yyyy-mm-dd"/>
  </numFmts>
  <fonts count="9">
    <font>
      <name val="Calibri"/>
      <family val="2"/>
      <color theme="1"/>
      <sz val="11"/>
      <scheme val="minor"/>
    </font>
    <font>
      <name val="맑은 고딕"/>
      <b val="1"/>
      <color rgb="000F203F"/>
      <sz val="10"/>
    </font>
    <font>
      <name val="맑은 고딕"/>
      <color rgb="006B7280"/>
      <sz val="8.5"/>
    </font>
    <font>
      <name val="맑은 고딕"/>
      <b val="1"/>
      <color rgb="00111827"/>
      <sz val="19"/>
    </font>
    <font>
      <name val="맑은 고딕"/>
      <b val="1"/>
      <color rgb="001F2937"/>
      <sz val="10"/>
    </font>
    <font>
      <name val="맑은 고딕"/>
      <color rgb="00000000"/>
      <sz val="10"/>
    </font>
    <font>
      <name val="맑은 고딕"/>
      <color rgb="001F2937"/>
      <sz val="10"/>
    </font>
    <font>
      <name val="맑은 고딕"/>
      <color rgb="001F2937"/>
      <sz val="8.5"/>
    </font>
    <font>
      <name val="맑은 고딕"/>
      <b val="1"/>
      <color rgb="00B45309"/>
      <sz val="9"/>
    </font>
  </fonts>
  <fills count="6">
    <fill>
      <patternFill/>
    </fill>
    <fill>
      <patternFill patternType="gray125"/>
    </fill>
    <fill>
      <patternFill patternType="solid">
        <fgColor rgb="00F3F5F9"/>
      </patternFill>
    </fill>
    <fill>
      <patternFill patternType="solid">
        <fgColor rgb="00E8EEF7"/>
      </patternFill>
    </fill>
    <fill>
      <patternFill patternType="solid">
        <fgColor rgb="00EEF4FC"/>
      </patternFill>
    </fill>
    <fill>
      <patternFill patternType="solid">
        <fgColor rgb="00FFF1B8"/>
      </patternFill>
    </fill>
  </fills>
  <borders count="2">
    <border>
      <left/>
      <right/>
      <top/>
      <bottom/>
      <diagonal/>
    </border>
    <border>
      <left style="thin">
        <color rgb="005B6573"/>
      </left>
      <right style="thin">
        <color rgb="005B6573"/>
      </right>
      <top style="thin">
        <color rgb="005B6573"/>
      </top>
      <bottom style="thin">
        <color rgb="005B6573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right" vertical="center"/>
    </xf>
    <xf numFmtId="0" fontId="3" fillId="0" borderId="0" applyAlignment="1" pivotButton="0" quotePrefix="0" xfId="0">
      <alignment horizontal="center" vertical="center" wrapText="1"/>
    </xf>
    <xf numFmtId="0" fontId="4" fillId="2" borderId="1" applyAlignment="1" pivotButton="0" quotePrefix="0" xfId="0">
      <alignment horizontal="left" vertical="center" wrapText="1"/>
    </xf>
    <xf numFmtId="0" fontId="0" fillId="0" borderId="1" pivotButton="0" quotePrefix="0" xfId="0"/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right" vertical="center" shrinkToFit="1"/>
    </xf>
    <xf numFmtId="165" fontId="5" fillId="0" borderId="1" applyAlignment="1" pivotButton="0" quotePrefix="0" xfId="0">
      <alignment horizontal="right" vertical="center" shrinkToFit="1"/>
    </xf>
    <xf numFmtId="166" fontId="5" fillId="0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67" fontId="5" fillId="0" borderId="1" applyAlignment="1" pivotButton="0" quotePrefix="0" xfId="0">
      <alignment horizontal="right" vertical="center" shrinkToFit="1"/>
    </xf>
    <xf numFmtId="164" fontId="6" fillId="4" borderId="1" applyAlignment="1" pivotButton="0" quotePrefix="0" xfId="0">
      <alignment horizontal="right" vertical="center" shrinkToFit="1"/>
    </xf>
    <xf numFmtId="168" fontId="5" fillId="5" borderId="1" applyAlignment="1" pivotButton="0" quotePrefix="0" xfId="0">
      <alignment horizontal="center" vertical="center" shrinkToFit="1"/>
    </xf>
    <xf numFmtId="166" fontId="5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right" vertical="center"/>
    </xf>
  </cellXfs>
  <cellStyles count="1">
    <cellStyle name="Normal" xfId="0" builtinId="0" hidden="0"/>
  </cellStyles>
  <dxfs count="1">
    <dxf>
      <numFmt numFmtId="300" formatCode="#,##0;[Red]-#,##0;&quot;&quot;"/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X49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" t="inlineStr">
        <is>
          <t xml:space="preserve">← 이 1행을 지우고 쓰셔도 됩니다  </t>
        </is>
      </c>
    </row>
    <row r="2" ht="6" customHeight="1"/>
    <row r="3" ht="38" customHeight="1">
      <c r="A3" s="3" t="inlineStr">
        <is>
          <t>공 사 산 출 내 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n"/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/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낙 찰 률</t>
        </is>
      </c>
      <c r="B8" s="5" t="n"/>
      <c r="C8" s="5" t="n"/>
      <c r="D8" s="5" t="n"/>
      <c r="E8" s="5" t="n"/>
      <c r="F8" s="5" t="n"/>
      <c r="G8" s="8" t="n"/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작성일자</t>
        </is>
      </c>
      <c r="B9" s="5" t="n"/>
      <c r="C9" s="5" t="n"/>
      <c r="D9" s="5" t="n"/>
      <c r="E9" s="5" t="n"/>
      <c r="F9" s="5" t="n"/>
      <c r="G9" s="9" t="n"/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10" t="inlineStr">
        <is>
          <t>번호</t>
        </is>
      </c>
      <c r="B11" s="5" t="n"/>
      <c r="C11" s="10" t="inlineStr">
        <is>
          <t>공종·품명</t>
        </is>
      </c>
      <c r="D11" s="5" t="n"/>
      <c r="E11" s="5" t="n"/>
      <c r="F11" s="5" t="n"/>
      <c r="G11" s="10" t="inlineStr">
        <is>
          <t>규  격</t>
        </is>
      </c>
      <c r="H11" s="5" t="n"/>
      <c r="I11" s="5" t="n"/>
      <c r="J11" s="10" t="inlineStr">
        <is>
          <t>단위</t>
        </is>
      </c>
      <c r="K11" s="5" t="n"/>
      <c r="L11" s="10" t="inlineStr">
        <is>
          <t>수량</t>
        </is>
      </c>
      <c r="M11" s="5" t="n"/>
      <c r="N11" s="10" t="inlineStr">
        <is>
          <t>재료비단가</t>
        </is>
      </c>
      <c r="O11" s="5" t="n"/>
      <c r="P11" s="10" t="inlineStr">
        <is>
          <t>노무비단가</t>
        </is>
      </c>
      <c r="Q11" s="5" t="n"/>
      <c r="R11" s="10" t="inlineStr">
        <is>
          <t>경비단가</t>
        </is>
      </c>
      <c r="S11" s="5" t="n"/>
      <c r="T11" s="10" t="inlineStr">
        <is>
          <t>합계단가</t>
        </is>
      </c>
      <c r="U11" s="5" t="n"/>
      <c r="V11" s="10" t="inlineStr">
        <is>
          <t>금  액</t>
        </is>
      </c>
      <c r="W11" s="5" t="n"/>
      <c r="X11" s="5" t="n"/>
    </row>
    <row r="12" ht="22" customHeight="1">
      <c r="A12" s="11">
        <f>IF(C12="","",COUNTA(C12:C12))</f>
        <v/>
      </c>
      <c r="B12" s="5" t="n"/>
      <c r="C12" s="12" t="n"/>
      <c r="D12" s="5" t="n"/>
      <c r="E12" s="5" t="n"/>
      <c r="F12" s="5" t="n"/>
      <c r="G12" s="12" t="n"/>
      <c r="H12" s="5" t="n"/>
      <c r="I12" s="5" t="n"/>
      <c r="J12" s="12" t="n"/>
      <c r="K12" s="5" t="n"/>
      <c r="L12" s="13" t="n"/>
      <c r="M12" s="5" t="n"/>
      <c r="N12" s="7" t="n"/>
      <c r="O12" s="5" t="n"/>
      <c r="P12" s="7" t="n"/>
      <c r="Q12" s="5" t="n"/>
      <c r="R12" s="7" t="n"/>
      <c r="S12" s="5" t="n"/>
      <c r="T12" s="14">
        <f>IF(COUNT(N12,P12,R12)=0,"",N(N12)+N(P12)+N(R12))</f>
        <v/>
      </c>
      <c r="U12" s="5" t="n"/>
      <c r="V12" s="14">
        <f>IF(OR(L12="",T12=""),"",INT(ROUND(L12*T12,6)))</f>
        <v/>
      </c>
      <c r="W12" s="5" t="n"/>
      <c r="X12" s="5" t="n"/>
    </row>
    <row r="13" ht="22" customHeight="1">
      <c r="A13" s="11">
        <f>IF(C13="","",COUNTA(C12:C13))</f>
        <v/>
      </c>
      <c r="B13" s="5" t="n"/>
      <c r="C13" s="12" t="n"/>
      <c r="D13" s="5" t="n"/>
      <c r="E13" s="5" t="n"/>
      <c r="F13" s="5" t="n"/>
      <c r="G13" s="12" t="n"/>
      <c r="H13" s="5" t="n"/>
      <c r="I13" s="5" t="n"/>
      <c r="J13" s="12" t="n"/>
      <c r="K13" s="5" t="n"/>
      <c r="L13" s="13" t="n"/>
      <c r="M13" s="5" t="n"/>
      <c r="N13" s="7" t="n"/>
      <c r="O13" s="5" t="n"/>
      <c r="P13" s="7" t="n"/>
      <c r="Q13" s="5" t="n"/>
      <c r="R13" s="7" t="n"/>
      <c r="S13" s="5" t="n"/>
      <c r="T13" s="14">
        <f>IF(COUNT(N13,P13,R13)=0,"",N(N13)+N(P13)+N(R13))</f>
        <v/>
      </c>
      <c r="U13" s="5" t="n"/>
      <c r="V13" s="14">
        <f>IF(OR(L13="",T13=""),"",INT(ROUND(L13*T13,6)))</f>
        <v/>
      </c>
      <c r="W13" s="5" t="n"/>
      <c r="X13" s="5" t="n"/>
    </row>
    <row r="14" ht="22" customHeight="1">
      <c r="A14" s="11">
        <f>IF(C14="","",COUNTA(C12:C14))</f>
        <v/>
      </c>
      <c r="B14" s="5" t="n"/>
      <c r="C14" s="12" t="n"/>
      <c r="D14" s="5" t="n"/>
      <c r="E14" s="5" t="n"/>
      <c r="F14" s="5" t="n"/>
      <c r="G14" s="12" t="n"/>
      <c r="H14" s="5" t="n"/>
      <c r="I14" s="5" t="n"/>
      <c r="J14" s="12" t="n"/>
      <c r="K14" s="5" t="n"/>
      <c r="L14" s="13" t="n"/>
      <c r="M14" s="5" t="n"/>
      <c r="N14" s="7" t="n"/>
      <c r="O14" s="5" t="n"/>
      <c r="P14" s="7" t="n"/>
      <c r="Q14" s="5" t="n"/>
      <c r="R14" s="7" t="n"/>
      <c r="S14" s="5" t="n"/>
      <c r="T14" s="14">
        <f>IF(COUNT(N14,P14,R14)=0,"",N(N14)+N(P14)+N(R14))</f>
        <v/>
      </c>
      <c r="U14" s="5" t="n"/>
      <c r="V14" s="14">
        <f>IF(OR(L14="",T14=""),"",INT(ROUND(L14*T14,6)))</f>
        <v/>
      </c>
      <c r="W14" s="5" t="n"/>
      <c r="X14" s="5" t="n"/>
    </row>
    <row r="15" ht="22" customHeight="1">
      <c r="A15" s="11">
        <f>IF(C15="","",COUNTA(C12:C15))</f>
        <v/>
      </c>
      <c r="B15" s="5" t="n"/>
      <c r="C15" s="12" t="n"/>
      <c r="D15" s="5" t="n"/>
      <c r="E15" s="5" t="n"/>
      <c r="F15" s="5" t="n"/>
      <c r="G15" s="12" t="n"/>
      <c r="H15" s="5" t="n"/>
      <c r="I15" s="5" t="n"/>
      <c r="J15" s="12" t="n"/>
      <c r="K15" s="5" t="n"/>
      <c r="L15" s="13" t="n"/>
      <c r="M15" s="5" t="n"/>
      <c r="N15" s="7" t="n"/>
      <c r="O15" s="5" t="n"/>
      <c r="P15" s="7" t="n"/>
      <c r="Q15" s="5" t="n"/>
      <c r="R15" s="7" t="n"/>
      <c r="S15" s="5" t="n"/>
      <c r="T15" s="14">
        <f>IF(COUNT(N15,P15,R15)=0,"",N(N15)+N(P15)+N(R15))</f>
        <v/>
      </c>
      <c r="U15" s="5" t="n"/>
      <c r="V15" s="14">
        <f>IF(OR(L15="",T15=""),"",INT(ROUND(L15*T15,6)))</f>
        <v/>
      </c>
      <c r="W15" s="5" t="n"/>
      <c r="X15" s="5" t="n"/>
    </row>
    <row r="16" ht="22" customHeight="1">
      <c r="A16" s="11">
        <f>IF(C16="","",COUNTA(C12:C16))</f>
        <v/>
      </c>
      <c r="B16" s="5" t="n"/>
      <c r="C16" s="12" t="n"/>
      <c r="D16" s="5" t="n"/>
      <c r="E16" s="5" t="n"/>
      <c r="F16" s="5" t="n"/>
      <c r="G16" s="12" t="n"/>
      <c r="H16" s="5" t="n"/>
      <c r="I16" s="5" t="n"/>
      <c r="J16" s="12" t="n"/>
      <c r="K16" s="5" t="n"/>
      <c r="L16" s="13" t="n"/>
      <c r="M16" s="5" t="n"/>
      <c r="N16" s="7" t="n"/>
      <c r="O16" s="5" t="n"/>
      <c r="P16" s="7" t="n"/>
      <c r="Q16" s="5" t="n"/>
      <c r="R16" s="7" t="n"/>
      <c r="S16" s="5" t="n"/>
      <c r="T16" s="14">
        <f>IF(COUNT(N16,P16,R16)=0,"",N(N16)+N(P16)+N(R16))</f>
        <v/>
      </c>
      <c r="U16" s="5" t="n"/>
      <c r="V16" s="14">
        <f>IF(OR(L16="",T16=""),"",INT(ROUND(L16*T16,6)))</f>
        <v/>
      </c>
      <c r="W16" s="5" t="n"/>
      <c r="X16" s="5" t="n"/>
    </row>
    <row r="17" ht="22" customHeight="1">
      <c r="A17" s="11">
        <f>IF(C17="","",COUNTA(C12:C17))</f>
        <v/>
      </c>
      <c r="B17" s="5" t="n"/>
      <c r="C17" s="12" t="n"/>
      <c r="D17" s="5" t="n"/>
      <c r="E17" s="5" t="n"/>
      <c r="F17" s="5" t="n"/>
      <c r="G17" s="12" t="n"/>
      <c r="H17" s="5" t="n"/>
      <c r="I17" s="5" t="n"/>
      <c r="J17" s="12" t="n"/>
      <c r="K17" s="5" t="n"/>
      <c r="L17" s="13" t="n"/>
      <c r="M17" s="5" t="n"/>
      <c r="N17" s="7" t="n"/>
      <c r="O17" s="5" t="n"/>
      <c r="P17" s="7" t="n"/>
      <c r="Q17" s="5" t="n"/>
      <c r="R17" s="7" t="n"/>
      <c r="S17" s="5" t="n"/>
      <c r="T17" s="14">
        <f>IF(COUNT(N17,P17,R17)=0,"",N(N17)+N(P17)+N(R17))</f>
        <v/>
      </c>
      <c r="U17" s="5" t="n"/>
      <c r="V17" s="14">
        <f>IF(OR(L17="",T17=""),"",INT(ROUND(L17*T17,6)))</f>
        <v/>
      </c>
      <c r="W17" s="5" t="n"/>
      <c r="X17" s="5" t="n"/>
    </row>
    <row r="18" ht="22" customHeight="1">
      <c r="A18" s="11">
        <f>IF(C18="","",COUNTA(C12:C18))</f>
        <v/>
      </c>
      <c r="B18" s="5" t="n"/>
      <c r="C18" s="12" t="n"/>
      <c r="D18" s="5" t="n"/>
      <c r="E18" s="5" t="n"/>
      <c r="F18" s="5" t="n"/>
      <c r="G18" s="12" t="n"/>
      <c r="H18" s="5" t="n"/>
      <c r="I18" s="5" t="n"/>
      <c r="J18" s="12" t="n"/>
      <c r="K18" s="5" t="n"/>
      <c r="L18" s="13" t="n"/>
      <c r="M18" s="5" t="n"/>
      <c r="N18" s="7" t="n"/>
      <c r="O18" s="5" t="n"/>
      <c r="P18" s="7" t="n"/>
      <c r="Q18" s="5" t="n"/>
      <c r="R18" s="7" t="n"/>
      <c r="S18" s="5" t="n"/>
      <c r="T18" s="14">
        <f>IF(COUNT(N18,P18,R18)=0,"",N(N18)+N(P18)+N(R18))</f>
        <v/>
      </c>
      <c r="U18" s="5" t="n"/>
      <c r="V18" s="14">
        <f>IF(OR(L18="",T18=""),"",INT(ROUND(L18*T18,6)))</f>
        <v/>
      </c>
      <c r="W18" s="5" t="n"/>
      <c r="X18" s="5" t="n"/>
    </row>
    <row r="19" ht="22" customHeight="1">
      <c r="A19" s="11">
        <f>IF(C19="","",COUNTA(C12:C19))</f>
        <v/>
      </c>
      <c r="B19" s="5" t="n"/>
      <c r="C19" s="12" t="n"/>
      <c r="D19" s="5" t="n"/>
      <c r="E19" s="5" t="n"/>
      <c r="F19" s="5" t="n"/>
      <c r="G19" s="12" t="n"/>
      <c r="H19" s="5" t="n"/>
      <c r="I19" s="5" t="n"/>
      <c r="J19" s="12" t="n"/>
      <c r="K19" s="5" t="n"/>
      <c r="L19" s="13" t="n"/>
      <c r="M19" s="5" t="n"/>
      <c r="N19" s="7" t="n"/>
      <c r="O19" s="5" t="n"/>
      <c r="P19" s="7" t="n"/>
      <c r="Q19" s="5" t="n"/>
      <c r="R19" s="7" t="n"/>
      <c r="S19" s="5" t="n"/>
      <c r="T19" s="14">
        <f>IF(COUNT(N19,P19,R19)=0,"",N(N19)+N(P19)+N(R19))</f>
        <v/>
      </c>
      <c r="U19" s="5" t="n"/>
      <c r="V19" s="14">
        <f>IF(OR(L19="",T19=""),"",INT(ROUND(L19*T19,6)))</f>
        <v/>
      </c>
      <c r="W19" s="5" t="n"/>
      <c r="X19" s="5" t="n"/>
    </row>
    <row r="20" ht="22" customHeight="1">
      <c r="A20" s="11">
        <f>IF(C20="","",COUNTA(C12:C20))</f>
        <v/>
      </c>
      <c r="B20" s="5" t="n"/>
      <c r="C20" s="12" t="n"/>
      <c r="D20" s="5" t="n"/>
      <c r="E20" s="5" t="n"/>
      <c r="F20" s="5" t="n"/>
      <c r="G20" s="12" t="n"/>
      <c r="H20" s="5" t="n"/>
      <c r="I20" s="5" t="n"/>
      <c r="J20" s="12" t="n"/>
      <c r="K20" s="5" t="n"/>
      <c r="L20" s="13" t="n"/>
      <c r="M20" s="5" t="n"/>
      <c r="N20" s="7" t="n"/>
      <c r="O20" s="5" t="n"/>
      <c r="P20" s="7" t="n"/>
      <c r="Q20" s="5" t="n"/>
      <c r="R20" s="7" t="n"/>
      <c r="S20" s="5" t="n"/>
      <c r="T20" s="14">
        <f>IF(COUNT(N20,P20,R20)=0,"",N(N20)+N(P20)+N(R20))</f>
        <v/>
      </c>
      <c r="U20" s="5" t="n"/>
      <c r="V20" s="14">
        <f>IF(OR(L20="",T20=""),"",INT(ROUND(L20*T20,6)))</f>
        <v/>
      </c>
      <c r="W20" s="5" t="n"/>
      <c r="X20" s="5" t="n"/>
    </row>
    <row r="21" ht="22" customHeight="1">
      <c r="A21" s="11">
        <f>IF(C21="","",COUNTA(C12:C21))</f>
        <v/>
      </c>
      <c r="B21" s="5" t="n"/>
      <c r="C21" s="12" t="n"/>
      <c r="D21" s="5" t="n"/>
      <c r="E21" s="5" t="n"/>
      <c r="F21" s="5" t="n"/>
      <c r="G21" s="12" t="n"/>
      <c r="H21" s="5" t="n"/>
      <c r="I21" s="5" t="n"/>
      <c r="J21" s="12" t="n"/>
      <c r="K21" s="5" t="n"/>
      <c r="L21" s="13" t="n"/>
      <c r="M21" s="5" t="n"/>
      <c r="N21" s="7" t="n"/>
      <c r="O21" s="5" t="n"/>
      <c r="P21" s="7" t="n"/>
      <c r="Q21" s="5" t="n"/>
      <c r="R21" s="7" t="n"/>
      <c r="S21" s="5" t="n"/>
      <c r="T21" s="14">
        <f>IF(COUNT(N21,P21,R21)=0,"",N(N21)+N(P21)+N(R21))</f>
        <v/>
      </c>
      <c r="U21" s="5" t="n"/>
      <c r="V21" s="14">
        <f>IF(OR(L21="",T21=""),"",INT(ROUND(L21*T21,6)))</f>
        <v/>
      </c>
      <c r="W21" s="5" t="n"/>
      <c r="X21" s="5" t="n"/>
    </row>
    <row r="22" ht="22" customHeight="1">
      <c r="A22" s="11">
        <f>IF(C22="","",COUNTA(C12:C22))</f>
        <v/>
      </c>
      <c r="B22" s="5" t="n"/>
      <c r="C22" s="12" t="n"/>
      <c r="D22" s="5" t="n"/>
      <c r="E22" s="5" t="n"/>
      <c r="F22" s="5" t="n"/>
      <c r="G22" s="12" t="n"/>
      <c r="H22" s="5" t="n"/>
      <c r="I22" s="5" t="n"/>
      <c r="J22" s="12" t="n"/>
      <c r="K22" s="5" t="n"/>
      <c r="L22" s="13" t="n"/>
      <c r="M22" s="5" t="n"/>
      <c r="N22" s="7" t="n"/>
      <c r="O22" s="5" t="n"/>
      <c r="P22" s="7" t="n"/>
      <c r="Q22" s="5" t="n"/>
      <c r="R22" s="7" t="n"/>
      <c r="S22" s="5" t="n"/>
      <c r="T22" s="14">
        <f>IF(COUNT(N22,P22,R22)=0,"",N(N22)+N(P22)+N(R22))</f>
        <v/>
      </c>
      <c r="U22" s="5" t="n"/>
      <c r="V22" s="14">
        <f>IF(OR(L22="",T22=""),"",INT(ROUND(L22*T22,6)))</f>
        <v/>
      </c>
      <c r="W22" s="5" t="n"/>
      <c r="X22" s="5" t="n"/>
    </row>
    <row r="23" ht="22" customHeight="1">
      <c r="A23" s="11">
        <f>IF(C23="","",COUNTA(C12:C23))</f>
        <v/>
      </c>
      <c r="B23" s="5" t="n"/>
      <c r="C23" s="12" t="n"/>
      <c r="D23" s="5" t="n"/>
      <c r="E23" s="5" t="n"/>
      <c r="F23" s="5" t="n"/>
      <c r="G23" s="12" t="n"/>
      <c r="H23" s="5" t="n"/>
      <c r="I23" s="5" t="n"/>
      <c r="J23" s="12" t="n"/>
      <c r="K23" s="5" t="n"/>
      <c r="L23" s="13" t="n"/>
      <c r="M23" s="5" t="n"/>
      <c r="N23" s="7" t="n"/>
      <c r="O23" s="5" t="n"/>
      <c r="P23" s="7" t="n"/>
      <c r="Q23" s="5" t="n"/>
      <c r="R23" s="7" t="n"/>
      <c r="S23" s="5" t="n"/>
      <c r="T23" s="14">
        <f>IF(COUNT(N23,P23,R23)=0,"",N(N23)+N(P23)+N(R23))</f>
        <v/>
      </c>
      <c r="U23" s="5" t="n"/>
      <c r="V23" s="14">
        <f>IF(OR(L23="",T23=""),"",INT(ROUND(L23*T23,6)))</f>
        <v/>
      </c>
      <c r="W23" s="5" t="n"/>
      <c r="X23" s="5" t="n"/>
    </row>
    <row r="24" ht="22" customHeight="1">
      <c r="A24" s="11">
        <f>IF(C24="","",COUNTA(C12:C24))</f>
        <v/>
      </c>
      <c r="B24" s="5" t="n"/>
      <c r="C24" s="12" t="n"/>
      <c r="D24" s="5" t="n"/>
      <c r="E24" s="5" t="n"/>
      <c r="F24" s="5" t="n"/>
      <c r="G24" s="12" t="n"/>
      <c r="H24" s="5" t="n"/>
      <c r="I24" s="5" t="n"/>
      <c r="J24" s="12" t="n"/>
      <c r="K24" s="5" t="n"/>
      <c r="L24" s="13" t="n"/>
      <c r="M24" s="5" t="n"/>
      <c r="N24" s="7" t="n"/>
      <c r="O24" s="5" t="n"/>
      <c r="P24" s="7" t="n"/>
      <c r="Q24" s="5" t="n"/>
      <c r="R24" s="7" t="n"/>
      <c r="S24" s="5" t="n"/>
      <c r="T24" s="14">
        <f>IF(COUNT(N24,P24,R24)=0,"",N(N24)+N(P24)+N(R24))</f>
        <v/>
      </c>
      <c r="U24" s="5" t="n"/>
      <c r="V24" s="14">
        <f>IF(OR(L24="",T24=""),"",INT(ROUND(L24*T24,6)))</f>
        <v/>
      </c>
      <c r="W24" s="5" t="n"/>
      <c r="X24" s="5" t="n"/>
    </row>
    <row r="25" ht="22" customHeight="1">
      <c r="A25" s="11">
        <f>IF(C25="","",COUNTA(C12:C25))</f>
        <v/>
      </c>
      <c r="B25" s="5" t="n"/>
      <c r="C25" s="12" t="n"/>
      <c r="D25" s="5" t="n"/>
      <c r="E25" s="5" t="n"/>
      <c r="F25" s="5" t="n"/>
      <c r="G25" s="12" t="n"/>
      <c r="H25" s="5" t="n"/>
      <c r="I25" s="5" t="n"/>
      <c r="J25" s="12" t="n"/>
      <c r="K25" s="5" t="n"/>
      <c r="L25" s="13" t="n"/>
      <c r="M25" s="5" t="n"/>
      <c r="N25" s="7" t="n"/>
      <c r="O25" s="5" t="n"/>
      <c r="P25" s="7" t="n"/>
      <c r="Q25" s="5" t="n"/>
      <c r="R25" s="7" t="n"/>
      <c r="S25" s="5" t="n"/>
      <c r="T25" s="14">
        <f>IF(COUNT(N25,P25,R25)=0,"",N(N25)+N(P25)+N(R25))</f>
        <v/>
      </c>
      <c r="U25" s="5" t="n"/>
      <c r="V25" s="14">
        <f>IF(OR(L25="",T25=""),"",INT(ROUND(L25*T25,6)))</f>
        <v/>
      </c>
      <c r="W25" s="5" t="n"/>
      <c r="X25" s="5" t="n"/>
    </row>
    <row r="26" ht="22" customHeight="1">
      <c r="A26" s="11">
        <f>IF(C26="","",COUNTA(C12:C26))</f>
        <v/>
      </c>
      <c r="B26" s="5" t="n"/>
      <c r="C26" s="12" t="n"/>
      <c r="D26" s="5" t="n"/>
      <c r="E26" s="5" t="n"/>
      <c r="F26" s="5" t="n"/>
      <c r="G26" s="12" t="n"/>
      <c r="H26" s="5" t="n"/>
      <c r="I26" s="5" t="n"/>
      <c r="J26" s="12" t="n"/>
      <c r="K26" s="5" t="n"/>
      <c r="L26" s="13" t="n"/>
      <c r="M26" s="5" t="n"/>
      <c r="N26" s="7" t="n"/>
      <c r="O26" s="5" t="n"/>
      <c r="P26" s="7" t="n"/>
      <c r="Q26" s="5" t="n"/>
      <c r="R26" s="7" t="n"/>
      <c r="S26" s="5" t="n"/>
      <c r="T26" s="14">
        <f>IF(COUNT(N26,P26,R26)=0,"",N(N26)+N(P26)+N(R26))</f>
        <v/>
      </c>
      <c r="U26" s="5" t="n"/>
      <c r="V26" s="14">
        <f>IF(OR(L26="",T26=""),"",INT(ROUND(L26*T26,6)))</f>
        <v/>
      </c>
      <c r="W26" s="5" t="n"/>
      <c r="X26" s="5" t="n"/>
    </row>
    <row r="27" ht="22" customHeight="1">
      <c r="A27" s="11">
        <f>IF(C27="","",COUNTA(C12:C27))</f>
        <v/>
      </c>
      <c r="B27" s="5" t="n"/>
      <c r="C27" s="12" t="n"/>
      <c r="D27" s="5" t="n"/>
      <c r="E27" s="5" t="n"/>
      <c r="F27" s="5" t="n"/>
      <c r="G27" s="12" t="n"/>
      <c r="H27" s="5" t="n"/>
      <c r="I27" s="5" t="n"/>
      <c r="J27" s="12" t="n"/>
      <c r="K27" s="5" t="n"/>
      <c r="L27" s="13" t="n"/>
      <c r="M27" s="5" t="n"/>
      <c r="N27" s="7" t="n"/>
      <c r="O27" s="5" t="n"/>
      <c r="P27" s="7" t="n"/>
      <c r="Q27" s="5" t="n"/>
      <c r="R27" s="7" t="n"/>
      <c r="S27" s="5" t="n"/>
      <c r="T27" s="14">
        <f>IF(COUNT(N27,P27,R27)=0,"",N(N27)+N(P27)+N(R27))</f>
        <v/>
      </c>
      <c r="U27" s="5" t="n"/>
      <c r="V27" s="14">
        <f>IF(OR(L27="",T27=""),"",INT(ROUND(L27*T27,6)))</f>
        <v/>
      </c>
      <c r="W27" s="5" t="n"/>
      <c r="X27" s="5" t="n"/>
    </row>
    <row r="28" ht="22" customHeight="1">
      <c r="A28" s="11">
        <f>IF(C28="","",COUNTA(C12:C28))</f>
        <v/>
      </c>
      <c r="B28" s="5" t="n"/>
      <c r="C28" s="12" t="n"/>
      <c r="D28" s="5" t="n"/>
      <c r="E28" s="5" t="n"/>
      <c r="F28" s="5" t="n"/>
      <c r="G28" s="12" t="n"/>
      <c r="H28" s="5" t="n"/>
      <c r="I28" s="5" t="n"/>
      <c r="J28" s="12" t="n"/>
      <c r="K28" s="5" t="n"/>
      <c r="L28" s="13" t="n"/>
      <c r="M28" s="5" t="n"/>
      <c r="N28" s="7" t="n"/>
      <c r="O28" s="5" t="n"/>
      <c r="P28" s="7" t="n"/>
      <c r="Q28" s="5" t="n"/>
      <c r="R28" s="7" t="n"/>
      <c r="S28" s="5" t="n"/>
      <c r="T28" s="14">
        <f>IF(COUNT(N28,P28,R28)=0,"",N(N28)+N(P28)+N(R28))</f>
        <v/>
      </c>
      <c r="U28" s="5" t="n"/>
      <c r="V28" s="14">
        <f>IF(OR(L28="",T28=""),"",INT(ROUND(L28*T28,6)))</f>
        <v/>
      </c>
      <c r="W28" s="5" t="n"/>
      <c r="X28" s="5" t="n"/>
    </row>
    <row r="29" ht="22" customHeight="1">
      <c r="A29" s="11">
        <f>IF(C29="","",COUNTA(C12:C29))</f>
        <v/>
      </c>
      <c r="B29" s="5" t="n"/>
      <c r="C29" s="12" t="n"/>
      <c r="D29" s="5" t="n"/>
      <c r="E29" s="5" t="n"/>
      <c r="F29" s="5" t="n"/>
      <c r="G29" s="12" t="n"/>
      <c r="H29" s="5" t="n"/>
      <c r="I29" s="5" t="n"/>
      <c r="J29" s="12" t="n"/>
      <c r="K29" s="5" t="n"/>
      <c r="L29" s="13" t="n"/>
      <c r="M29" s="5" t="n"/>
      <c r="N29" s="7" t="n"/>
      <c r="O29" s="5" t="n"/>
      <c r="P29" s="7" t="n"/>
      <c r="Q29" s="5" t="n"/>
      <c r="R29" s="7" t="n"/>
      <c r="S29" s="5" t="n"/>
      <c r="T29" s="14">
        <f>IF(COUNT(N29,P29,R29)=0,"",N(N29)+N(P29)+N(R29))</f>
        <v/>
      </c>
      <c r="U29" s="5" t="n"/>
      <c r="V29" s="14">
        <f>IF(OR(L29="",T29=""),"",INT(ROUND(L29*T29,6)))</f>
        <v/>
      </c>
      <c r="W29" s="5" t="n"/>
      <c r="X29" s="5" t="n"/>
    </row>
    <row r="30" ht="22" customHeight="1">
      <c r="A30" s="11">
        <f>IF(C30="","",COUNTA(C12:C30))</f>
        <v/>
      </c>
      <c r="B30" s="5" t="n"/>
      <c r="C30" s="12" t="n"/>
      <c r="D30" s="5" t="n"/>
      <c r="E30" s="5" t="n"/>
      <c r="F30" s="5" t="n"/>
      <c r="G30" s="12" t="n"/>
      <c r="H30" s="5" t="n"/>
      <c r="I30" s="5" t="n"/>
      <c r="J30" s="12" t="n"/>
      <c r="K30" s="5" t="n"/>
      <c r="L30" s="13" t="n"/>
      <c r="M30" s="5" t="n"/>
      <c r="N30" s="7" t="n"/>
      <c r="O30" s="5" t="n"/>
      <c r="P30" s="7" t="n"/>
      <c r="Q30" s="5" t="n"/>
      <c r="R30" s="7" t="n"/>
      <c r="S30" s="5" t="n"/>
      <c r="T30" s="14">
        <f>IF(COUNT(N30,P30,R30)=0,"",N(N30)+N(P30)+N(R30))</f>
        <v/>
      </c>
      <c r="U30" s="5" t="n"/>
      <c r="V30" s="14">
        <f>IF(OR(L30="",T30=""),"",INT(ROUND(L30*T30,6)))</f>
        <v/>
      </c>
      <c r="W30" s="5" t="n"/>
      <c r="X30" s="5" t="n"/>
    </row>
    <row r="31" ht="22" customHeight="1">
      <c r="A31" s="11">
        <f>IF(C31="","",COUNTA(C12:C31))</f>
        <v/>
      </c>
      <c r="B31" s="5" t="n"/>
      <c r="C31" s="12" t="n"/>
      <c r="D31" s="5" t="n"/>
      <c r="E31" s="5" t="n"/>
      <c r="F31" s="5" t="n"/>
      <c r="G31" s="12" t="n"/>
      <c r="H31" s="5" t="n"/>
      <c r="I31" s="5" t="n"/>
      <c r="J31" s="12" t="n"/>
      <c r="K31" s="5" t="n"/>
      <c r="L31" s="13" t="n"/>
      <c r="M31" s="5" t="n"/>
      <c r="N31" s="7" t="n"/>
      <c r="O31" s="5" t="n"/>
      <c r="P31" s="7" t="n"/>
      <c r="Q31" s="5" t="n"/>
      <c r="R31" s="7" t="n"/>
      <c r="S31" s="5" t="n"/>
      <c r="T31" s="14">
        <f>IF(COUNT(N31,P31,R31)=0,"",N(N31)+N(P31)+N(R31))</f>
        <v/>
      </c>
      <c r="U31" s="5" t="n"/>
      <c r="V31" s="14">
        <f>IF(OR(L31="",T31=""),"",INT(ROUND(L31*T31,6)))</f>
        <v/>
      </c>
      <c r="W31" s="5" t="n"/>
      <c r="X31" s="5" t="n"/>
    </row>
    <row r="32" ht="22" customHeight="1">
      <c r="A32" s="11">
        <f>IF(C32="","",COUNTA(C12:C32))</f>
        <v/>
      </c>
      <c r="B32" s="5" t="n"/>
      <c r="C32" s="12" t="n"/>
      <c r="D32" s="5" t="n"/>
      <c r="E32" s="5" t="n"/>
      <c r="F32" s="5" t="n"/>
      <c r="G32" s="12" t="n"/>
      <c r="H32" s="5" t="n"/>
      <c r="I32" s="5" t="n"/>
      <c r="J32" s="12" t="n"/>
      <c r="K32" s="5" t="n"/>
      <c r="L32" s="13" t="n"/>
      <c r="M32" s="5" t="n"/>
      <c r="N32" s="7" t="n"/>
      <c r="O32" s="5" t="n"/>
      <c r="P32" s="7" t="n"/>
      <c r="Q32" s="5" t="n"/>
      <c r="R32" s="7" t="n"/>
      <c r="S32" s="5" t="n"/>
      <c r="T32" s="14">
        <f>IF(COUNT(N32,P32,R32)=0,"",N(N32)+N(P32)+N(R32))</f>
        <v/>
      </c>
      <c r="U32" s="5" t="n"/>
      <c r="V32" s="14">
        <f>IF(OR(L32="",T32=""),"",INT(ROUND(L32*T32,6)))</f>
        <v/>
      </c>
      <c r="W32" s="5" t="n"/>
      <c r="X32" s="5" t="n"/>
    </row>
    <row r="33" ht="22" customHeight="1">
      <c r="A33" s="11">
        <f>IF(C33="","",COUNTA(C12:C33))</f>
        <v/>
      </c>
      <c r="B33" s="5" t="n"/>
      <c r="C33" s="12" t="n"/>
      <c r="D33" s="5" t="n"/>
      <c r="E33" s="5" t="n"/>
      <c r="F33" s="5" t="n"/>
      <c r="G33" s="12" t="n"/>
      <c r="H33" s="5" t="n"/>
      <c r="I33" s="5" t="n"/>
      <c r="J33" s="12" t="n"/>
      <c r="K33" s="5" t="n"/>
      <c r="L33" s="13" t="n"/>
      <c r="M33" s="5" t="n"/>
      <c r="N33" s="7" t="n"/>
      <c r="O33" s="5" t="n"/>
      <c r="P33" s="7" t="n"/>
      <c r="Q33" s="5" t="n"/>
      <c r="R33" s="7" t="n"/>
      <c r="S33" s="5" t="n"/>
      <c r="T33" s="14">
        <f>IF(COUNT(N33,P33,R33)=0,"",N(N33)+N(P33)+N(R33))</f>
        <v/>
      </c>
      <c r="U33" s="5" t="n"/>
      <c r="V33" s="14">
        <f>IF(OR(L33="",T33=""),"",INT(ROUND(L33*T33,6)))</f>
        <v/>
      </c>
      <c r="W33" s="5" t="n"/>
      <c r="X33" s="5" t="n"/>
    </row>
    <row r="34" ht="22" customHeight="1">
      <c r="A34" s="11">
        <f>IF(C34="","",COUNTA(C12:C34))</f>
        <v/>
      </c>
      <c r="B34" s="5" t="n"/>
      <c r="C34" s="12" t="n"/>
      <c r="D34" s="5" t="n"/>
      <c r="E34" s="5" t="n"/>
      <c r="F34" s="5" t="n"/>
      <c r="G34" s="12" t="n"/>
      <c r="H34" s="5" t="n"/>
      <c r="I34" s="5" t="n"/>
      <c r="J34" s="12" t="n"/>
      <c r="K34" s="5" t="n"/>
      <c r="L34" s="13" t="n"/>
      <c r="M34" s="5" t="n"/>
      <c r="N34" s="7" t="n"/>
      <c r="O34" s="5" t="n"/>
      <c r="P34" s="7" t="n"/>
      <c r="Q34" s="5" t="n"/>
      <c r="R34" s="7" t="n"/>
      <c r="S34" s="5" t="n"/>
      <c r="T34" s="14">
        <f>IF(COUNT(N34,P34,R34)=0,"",N(N34)+N(P34)+N(R34))</f>
        <v/>
      </c>
      <c r="U34" s="5" t="n"/>
      <c r="V34" s="14">
        <f>IF(OR(L34="",T34=""),"",INT(ROUND(L34*T34,6)))</f>
        <v/>
      </c>
      <c r="W34" s="5" t="n"/>
      <c r="X34" s="5" t="n"/>
    </row>
    <row r="35" ht="22" customHeight="1">
      <c r="A35" s="11">
        <f>IF(C35="","",COUNTA(C12:C35))</f>
        <v/>
      </c>
      <c r="B35" s="5" t="n"/>
      <c r="C35" s="12" t="n"/>
      <c r="D35" s="5" t="n"/>
      <c r="E35" s="5" t="n"/>
      <c r="F35" s="5" t="n"/>
      <c r="G35" s="12" t="n"/>
      <c r="H35" s="5" t="n"/>
      <c r="I35" s="5" t="n"/>
      <c r="J35" s="12" t="n"/>
      <c r="K35" s="5" t="n"/>
      <c r="L35" s="13" t="n"/>
      <c r="M35" s="5" t="n"/>
      <c r="N35" s="7" t="n"/>
      <c r="O35" s="5" t="n"/>
      <c r="P35" s="7" t="n"/>
      <c r="Q35" s="5" t="n"/>
      <c r="R35" s="7" t="n"/>
      <c r="S35" s="5" t="n"/>
      <c r="T35" s="14">
        <f>IF(COUNT(N35,P35,R35)=0,"",N(N35)+N(P35)+N(R35))</f>
        <v/>
      </c>
      <c r="U35" s="5" t="n"/>
      <c r="V35" s="14">
        <f>IF(OR(L35="",T35=""),"",INT(ROUND(L35*T35,6)))</f>
        <v/>
      </c>
      <c r="W35" s="5" t="n"/>
      <c r="X35" s="5" t="n"/>
    </row>
    <row r="36" ht="6" customHeight="1"/>
    <row r="37" ht="24" customHeight="1">
      <c r="A37" s="4" t="inlineStr">
        <is>
          <t xml:space="preserve">  소  계</t>
        </is>
      </c>
      <c r="B37" s="5" t="n"/>
      <c r="C37" s="5" t="n"/>
      <c r="D37" s="5" t="n"/>
      <c r="E37" s="5" t="n"/>
      <c r="F37" s="5" t="n"/>
      <c r="G37" s="14">
        <f>SUM(V12:V35)</f>
        <v/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 ht="24" customHeight="1">
      <c r="A38" s="4" t="inlineStr">
        <is>
          <t xml:space="preserve">  부가가치세</t>
        </is>
      </c>
      <c r="B38" s="5" t="n"/>
      <c r="C38" s="5" t="n"/>
      <c r="D38" s="5" t="n"/>
      <c r="E38" s="5" t="n"/>
      <c r="F38" s="5" t="n"/>
      <c r="G38" s="15" t="n">
        <v>0.1</v>
      </c>
      <c r="H38" s="5" t="n"/>
      <c r="I38" s="5" t="n"/>
      <c r="J38" s="5" t="n"/>
      <c r="K38" s="14">
        <f>INT(ROUND(G37*G38,6))</f>
        <v/>
      </c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24" customHeight="1">
      <c r="A39" s="4" t="inlineStr">
        <is>
          <t xml:space="preserve">  총  계</t>
        </is>
      </c>
      <c r="B39" s="5" t="n"/>
      <c r="C39" s="5" t="n"/>
      <c r="D39" s="5" t="n"/>
      <c r="E39" s="5" t="n"/>
      <c r="F39" s="5" t="n"/>
      <c r="G39" s="14">
        <f>G37+K38</f>
        <v/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6" customHeight="1"/>
    <row r="41" ht="10" customHeight="1"/>
    <row r="42" ht="26" customHeight="1">
      <c r="A42" s="16" t="inlineStr">
        <is>
          <t xml:space="preserve">          년        월        일</t>
        </is>
      </c>
    </row>
    <row r="43" ht="24" customHeight="1">
      <c r="A43" s="17" t="inlineStr"/>
      <c r="K43" s="18" t="inlineStr">
        <is>
          <t>현장대리인</t>
        </is>
      </c>
      <c r="Q43" s="19" t="n"/>
      <c r="U43" s="20" t="inlineStr">
        <is>
          <t>(서명 또는 인)</t>
        </is>
      </c>
    </row>
    <row r="44" ht="24" customHeight="1">
      <c r="A44" s="17" t="inlineStr"/>
      <c r="K44" s="18" t="inlineStr">
        <is>
          <t>대표자</t>
        </is>
      </c>
      <c r="Q44" s="19" t="n"/>
      <c r="U44" s="20" t="inlineStr">
        <is>
          <t>(서명 또는 인)</t>
        </is>
      </c>
    </row>
    <row r="45" ht="6" customHeight="1"/>
    <row r="47" ht="34" customHeight="1">
      <c r="A47" s="21" t="inlineStr">
        <is>
          <t>단가는 재료비·노무비·경비를 따로 적으면 합계단가·금액이 저절로 나옵니다(금액은 원 미만 버림).</t>
        </is>
      </c>
    </row>
    <row r="48" ht="34" customHeight="1">
      <c r="A48" s="21" t="inlineStr">
        <is>
          <t>노란 칸 = 요율·기준값(발주기관 기준으로 고쳐 씀) · 옅은 하늘색 칸 = 자동 계산(지우지 마세요) · 뒤 시트에 «작성 예시» 가 있습니다.</t>
        </is>
      </c>
    </row>
    <row r="49" ht="19.5" customHeight="1">
      <c r="A49" s="21" t="inlineStr">
        <is>
          <t>발주기관이 정한 서식이 있으면 그 서식을 쓰세요. 이 줄과 1행은 지워도 됩니다.</t>
        </is>
      </c>
    </row>
  </sheetData>
  <mergeCells count="282">
    <mergeCell ref="L17:M17"/>
    <mergeCell ref="V24:X24"/>
    <mergeCell ref="A15:B15"/>
    <mergeCell ref="N11:O11"/>
    <mergeCell ref="N20:O20"/>
    <mergeCell ref="G13:I13"/>
    <mergeCell ref="P20:Q20"/>
    <mergeCell ref="K44:P44"/>
    <mergeCell ref="J19:K19"/>
    <mergeCell ref="R28:S28"/>
    <mergeCell ref="L19:M19"/>
    <mergeCell ref="J28:K28"/>
    <mergeCell ref="C32:F32"/>
    <mergeCell ref="A43:J43"/>
    <mergeCell ref="L28:M28"/>
    <mergeCell ref="N22:O22"/>
    <mergeCell ref="G15:I15"/>
    <mergeCell ref="P22:Q22"/>
    <mergeCell ref="C13:F13"/>
    <mergeCell ref="G24:I24"/>
    <mergeCell ref="A3:X3"/>
    <mergeCell ref="L12:M12"/>
    <mergeCell ref="R30:S30"/>
    <mergeCell ref="N12:O12"/>
    <mergeCell ref="A5:F5"/>
    <mergeCell ref="C15:F15"/>
    <mergeCell ref="G26:I26"/>
    <mergeCell ref="C24:F24"/>
    <mergeCell ref="L14:M14"/>
    <mergeCell ref="A27:B27"/>
    <mergeCell ref="N14:O14"/>
    <mergeCell ref="R12:S12"/>
    <mergeCell ref="A38:F38"/>
    <mergeCell ref="T12:U12"/>
    <mergeCell ref="G16:I16"/>
    <mergeCell ref="L29:M29"/>
    <mergeCell ref="V22:X22"/>
    <mergeCell ref="N29:O29"/>
    <mergeCell ref="A33:B33"/>
    <mergeCell ref="C26:F26"/>
    <mergeCell ref="P32:Q32"/>
    <mergeCell ref="R32:S32"/>
    <mergeCell ref="V12:X12"/>
    <mergeCell ref="J31:K31"/>
    <mergeCell ref="P13:Q13"/>
    <mergeCell ref="A17:B17"/>
    <mergeCell ref="V21:X21"/>
    <mergeCell ref="L31:M31"/>
    <mergeCell ref="N31:O31"/>
    <mergeCell ref="A22:B22"/>
    <mergeCell ref="A35:B35"/>
    <mergeCell ref="J21:K21"/>
    <mergeCell ref="L21:M21"/>
    <mergeCell ref="V14:X14"/>
    <mergeCell ref="N15:O15"/>
    <mergeCell ref="P15:Q15"/>
    <mergeCell ref="A19:B19"/>
    <mergeCell ref="V23:X23"/>
    <mergeCell ref="N24:O24"/>
    <mergeCell ref="P24:Q24"/>
    <mergeCell ref="A28:B28"/>
    <mergeCell ref="P33:Q33"/>
    <mergeCell ref="V13:X13"/>
    <mergeCell ref="R18:S18"/>
    <mergeCell ref="R33:S33"/>
    <mergeCell ref="J23:K23"/>
    <mergeCell ref="C27:F27"/>
    <mergeCell ref="T27:U27"/>
    <mergeCell ref="A7:F7"/>
    <mergeCell ref="N26:O26"/>
    <mergeCell ref="P26:Q26"/>
    <mergeCell ref="A30:B30"/>
    <mergeCell ref="C17:F17"/>
    <mergeCell ref="T24:U24"/>
    <mergeCell ref="G7:X7"/>
    <mergeCell ref="G28:I28"/>
    <mergeCell ref="N35:O35"/>
    <mergeCell ref="L16:M16"/>
    <mergeCell ref="T33:U33"/>
    <mergeCell ref="A11:B11"/>
    <mergeCell ref="N16:O16"/>
    <mergeCell ref="P35:Q35"/>
    <mergeCell ref="N25:O25"/>
    <mergeCell ref="P25:Q25"/>
    <mergeCell ref="R19:S19"/>
    <mergeCell ref="C19:F19"/>
    <mergeCell ref="G30:I30"/>
    <mergeCell ref="C28:F28"/>
    <mergeCell ref="T35:U35"/>
    <mergeCell ref="P34:Q34"/>
    <mergeCell ref="A44:J44"/>
    <mergeCell ref="R34:S34"/>
    <mergeCell ref="R16:S16"/>
    <mergeCell ref="J34:K34"/>
    <mergeCell ref="G14:I14"/>
    <mergeCell ref="R25:S25"/>
    <mergeCell ref="V27:X27"/>
    <mergeCell ref="T25:U25"/>
    <mergeCell ref="A42:X42"/>
    <mergeCell ref="C30:F30"/>
    <mergeCell ref="T18:U18"/>
    <mergeCell ref="P11:Q11"/>
    <mergeCell ref="J27:K27"/>
    <mergeCell ref="A47:X47"/>
    <mergeCell ref="V25:X25"/>
    <mergeCell ref="C14:F14"/>
    <mergeCell ref="L30:M30"/>
    <mergeCell ref="A26:B26"/>
    <mergeCell ref="G32:I32"/>
    <mergeCell ref="J11:K11"/>
    <mergeCell ref="J20:K20"/>
    <mergeCell ref="L20:M20"/>
    <mergeCell ref="T11:U11"/>
    <mergeCell ref="A9:F9"/>
    <mergeCell ref="N28:O28"/>
    <mergeCell ref="G38:J38"/>
    <mergeCell ref="P28:Q28"/>
    <mergeCell ref="G8:X8"/>
    <mergeCell ref="G9:X9"/>
    <mergeCell ref="V17:X17"/>
    <mergeCell ref="J22:K22"/>
    <mergeCell ref="N13:O13"/>
    <mergeCell ref="L22:M22"/>
    <mergeCell ref="T22:U22"/>
    <mergeCell ref="T31:U31"/>
    <mergeCell ref="N30:O30"/>
    <mergeCell ref="J12:K12"/>
    <mergeCell ref="G27:I27"/>
    <mergeCell ref="P30:Q30"/>
    <mergeCell ref="P14:Q14"/>
    <mergeCell ref="G17:I17"/>
    <mergeCell ref="V20:X20"/>
    <mergeCell ref="R14:S14"/>
    <mergeCell ref="U43:X43"/>
    <mergeCell ref="V29:X29"/>
    <mergeCell ref="R23:S23"/>
    <mergeCell ref="G39:X39"/>
    <mergeCell ref="A34:B34"/>
    <mergeCell ref="J29:K29"/>
    <mergeCell ref="T15:U15"/>
    <mergeCell ref="G19:I19"/>
    <mergeCell ref="T29:U29"/>
    <mergeCell ref="L32:M32"/>
    <mergeCell ref="V31:X31"/>
    <mergeCell ref="N32:O32"/>
    <mergeCell ref="G37:X37"/>
    <mergeCell ref="G34:I34"/>
    <mergeCell ref="V15:X15"/>
    <mergeCell ref="K43:P43"/>
    <mergeCell ref="C18:F18"/>
    <mergeCell ref="U44:X44"/>
    <mergeCell ref="J24:K24"/>
    <mergeCell ref="C34:F34"/>
    <mergeCell ref="L24:M24"/>
    <mergeCell ref="V32:X32"/>
    <mergeCell ref="A8:F8"/>
    <mergeCell ref="L18:M18"/>
    <mergeCell ref="V26:X26"/>
    <mergeCell ref="N18:O18"/>
    <mergeCell ref="N27:O27"/>
    <mergeCell ref="G20:I20"/>
    <mergeCell ref="P27:Q27"/>
    <mergeCell ref="L33:M33"/>
    <mergeCell ref="N33:O33"/>
    <mergeCell ref="R27:S27"/>
    <mergeCell ref="G29:I29"/>
    <mergeCell ref="J26:K26"/>
    <mergeCell ref="A12:B12"/>
    <mergeCell ref="V16:X16"/>
    <mergeCell ref="N17:O17"/>
    <mergeCell ref="L26:M26"/>
    <mergeCell ref="P17:Q17"/>
    <mergeCell ref="A21:B21"/>
    <mergeCell ref="J35:K35"/>
    <mergeCell ref="L35:M35"/>
    <mergeCell ref="R35:S35"/>
    <mergeCell ref="R20:S20"/>
    <mergeCell ref="G22:I22"/>
    <mergeCell ref="J16:K16"/>
    <mergeCell ref="C20:F20"/>
    <mergeCell ref="G31:I31"/>
    <mergeCell ref="J25:K25"/>
    <mergeCell ref="C29:F29"/>
    <mergeCell ref="A32:B32"/>
    <mergeCell ref="L25:M25"/>
    <mergeCell ref="A14:B14"/>
    <mergeCell ref="V18:X18"/>
    <mergeCell ref="N19:O19"/>
    <mergeCell ref="G12:I12"/>
    <mergeCell ref="R17:S17"/>
    <mergeCell ref="P19:Q19"/>
    <mergeCell ref="A23:B23"/>
    <mergeCell ref="T17:U17"/>
    <mergeCell ref="G21:I21"/>
    <mergeCell ref="A39:F39"/>
    <mergeCell ref="R22:S22"/>
    <mergeCell ref="V33:X33"/>
    <mergeCell ref="C22:F22"/>
    <mergeCell ref="C31:F31"/>
    <mergeCell ref="P12:Q12"/>
    <mergeCell ref="A48:X48"/>
    <mergeCell ref="C12:F12"/>
    <mergeCell ref="T19:U19"/>
    <mergeCell ref="G23:I23"/>
    <mergeCell ref="T34:U34"/>
    <mergeCell ref="C21:F21"/>
    <mergeCell ref="L11:M11"/>
    <mergeCell ref="T28:U28"/>
    <mergeCell ref="V35:X35"/>
    <mergeCell ref="K38:X38"/>
    <mergeCell ref="V19:X19"/>
    <mergeCell ref="V34:X34"/>
    <mergeCell ref="A24:B24"/>
    <mergeCell ref="V28:X28"/>
    <mergeCell ref="C23:F23"/>
    <mergeCell ref="T30:U30"/>
    <mergeCell ref="P29:Q29"/>
    <mergeCell ref="R29:S29"/>
    <mergeCell ref="R11:S11"/>
    <mergeCell ref="J14:K14"/>
    <mergeCell ref="A37:F37"/>
    <mergeCell ref="T20:U20"/>
    <mergeCell ref="T32:U32"/>
    <mergeCell ref="T14:U14"/>
    <mergeCell ref="G18:I18"/>
    <mergeCell ref="G6:X6"/>
    <mergeCell ref="R13:S13"/>
    <mergeCell ref="V30:X30"/>
    <mergeCell ref="J13:K13"/>
    <mergeCell ref="P31:Q31"/>
    <mergeCell ref="L13:M13"/>
    <mergeCell ref="R31:S31"/>
    <mergeCell ref="G33:I33"/>
    <mergeCell ref="V11:X11"/>
    <mergeCell ref="J30:K30"/>
    <mergeCell ref="A16:B16"/>
    <mergeCell ref="N21:O21"/>
    <mergeCell ref="P21:Q21"/>
    <mergeCell ref="A25:B25"/>
    <mergeCell ref="R15:S15"/>
    <mergeCell ref="J15:K15"/>
    <mergeCell ref="R24:S24"/>
    <mergeCell ref="G5:X5"/>
    <mergeCell ref="L15:M15"/>
    <mergeCell ref="G35:I35"/>
    <mergeCell ref="Q43:T43"/>
    <mergeCell ref="C33:F33"/>
    <mergeCell ref="L23:M23"/>
    <mergeCell ref="A18:B18"/>
    <mergeCell ref="N23:O23"/>
    <mergeCell ref="R21:S21"/>
    <mergeCell ref="P23:Q23"/>
    <mergeCell ref="T21:U21"/>
    <mergeCell ref="G25:I25"/>
    <mergeCell ref="R26:S26"/>
    <mergeCell ref="T26:U26"/>
    <mergeCell ref="C35:F35"/>
    <mergeCell ref="P16:Q16"/>
    <mergeCell ref="J32:K32"/>
    <mergeCell ref="C16:F16"/>
    <mergeCell ref="T23:U23"/>
    <mergeCell ref="C25:F25"/>
    <mergeCell ref="T13:U13"/>
    <mergeCell ref="G11:I11"/>
    <mergeCell ref="P18:Q18"/>
    <mergeCell ref="A20:B20"/>
    <mergeCell ref="T16:U16"/>
    <mergeCell ref="L34:M34"/>
    <mergeCell ref="A29:B29"/>
    <mergeCell ref="N34:O34"/>
    <mergeCell ref="A1:L1"/>
    <mergeCell ref="J18:K18"/>
    <mergeCell ref="A6:F6"/>
    <mergeCell ref="A13:B13"/>
    <mergeCell ref="L27:M27"/>
    <mergeCell ref="J33:K33"/>
    <mergeCell ref="M1:X1"/>
    <mergeCell ref="C11:F11"/>
    <mergeCell ref="A49:X49"/>
    <mergeCell ref="A31:B31"/>
    <mergeCell ref="Q44:T44"/>
    <mergeCell ref="J17:K17"/>
  </mergeCells>
  <conditionalFormatting sqref="L12:L35">
    <cfRule type="expression" priority="1" dxfId="0">
      <formula>AND(ISNUMBER(L12),MOD(L12,1)=0)</formula>
    </cfRule>
  </conditionalFormatting>
  <printOptions horizontalCentered="1"/>
  <pageMargins left="0.3" right="0.3" top="0.4" bottom="0.4" header="0.2" footer="0.2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tabColor rgb="00F59E0B"/>
    <outlinePr summaryBelow="1" summaryRight="1"/>
    <pageSetUpPr fitToPage="1"/>
  </sheetPr>
  <dimension ref="A1:X47"/>
  <sheetViews>
    <sheetView showGridLines="0" zoomScale="100" workbookViewId="0">
      <selection activeCell="A1" sqref="A1"/>
    </sheetView>
  </sheetViews>
  <sheetFormatPr baseColWidth="8" defaultRowHeight="15"/>
  <cols>
    <col width="3.6" customWidth="1" min="1" max="1"/>
    <col width="3.6" customWidth="1" min="2" max="2"/>
    <col width="3.6" customWidth="1" min="3" max="3"/>
    <col width="3.6" customWidth="1" min="4" max="4"/>
    <col width="3.6" customWidth="1" min="5" max="5"/>
    <col width="3.6" customWidth="1" min="6" max="6"/>
    <col width="3.6" customWidth="1" min="7" max="7"/>
    <col width="3.6" customWidth="1" min="8" max="8"/>
    <col width="3.6" customWidth="1" min="9" max="9"/>
    <col width="3.6" customWidth="1" min="10" max="10"/>
    <col width="3.6" customWidth="1" min="11" max="11"/>
    <col width="3.6" customWidth="1" min="12" max="12"/>
    <col width="3.6" customWidth="1" min="13" max="13"/>
    <col width="3.6" customWidth="1" min="14" max="14"/>
    <col width="3.6" customWidth="1" min="15" max="15"/>
    <col width="3.6" customWidth="1" min="16" max="16"/>
    <col width="3.6" customWidth="1" min="17" max="17"/>
    <col width="3.6" customWidth="1" min="18" max="18"/>
    <col width="3.6" customWidth="1" min="19" max="19"/>
    <col width="3.6" customWidth="1" min="20" max="20"/>
    <col width="3.6" customWidth="1" min="21" max="21"/>
    <col width="3.6" customWidth="1" min="22" max="22"/>
    <col width="3.6" customWidth="1" min="23" max="23"/>
    <col width="3.6" customWidth="1" min="24" max="24"/>
  </cols>
  <sheetData>
    <row r="1" ht="20" customHeight="1">
      <c r="A1" s="1" t="inlineStr">
        <is>
          <t xml:space="preserve">  K-건설맵  |  k-conmap.com  건설 서식</t>
        </is>
      </c>
      <c r="M1" s="22" t="inlineStr">
        <is>
          <t xml:space="preserve">작성 예시 (가상의 현장)  </t>
        </is>
      </c>
    </row>
    <row r="2" ht="6" customHeight="1"/>
    <row r="3" ht="38" customHeight="1">
      <c r="A3" s="3" t="inlineStr">
        <is>
          <t>공 사 산 출 내 역 서</t>
        </is>
      </c>
    </row>
    <row r="4" ht="10" customHeight="1"/>
    <row r="5" ht="24" customHeight="1">
      <c r="A5" s="4" t="inlineStr">
        <is>
          <t xml:space="preserve">  공 사 명</t>
        </is>
      </c>
      <c r="B5" s="5" t="n"/>
      <c r="C5" s="5" t="n"/>
      <c r="D5" s="5" t="n"/>
      <c r="E5" s="5" t="n"/>
      <c r="F5" s="5" t="n"/>
      <c r="G5" s="6" t="inlineStr">
        <is>
          <t>가나지구 배수로 정비공사</t>
        </is>
      </c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</row>
    <row r="6" ht="24" customHeight="1">
      <c r="A6" s="4" t="inlineStr">
        <is>
          <t xml:space="preserve">  계약번호</t>
        </is>
      </c>
      <c r="B6" s="5" t="n"/>
      <c r="C6" s="5" t="n"/>
      <c r="D6" s="5" t="n"/>
      <c r="E6" s="5" t="n"/>
      <c r="F6" s="5" t="n"/>
      <c r="G6" s="6" t="inlineStr">
        <is>
          <t>제2026-0312호</t>
        </is>
      </c>
      <c r="H6" s="5" t="n"/>
      <c r="I6" s="5" t="n"/>
      <c r="J6" s="5" t="n"/>
      <c r="K6" s="5" t="n"/>
      <c r="L6" s="5" t="n"/>
      <c r="M6" s="5" t="n"/>
      <c r="N6" s="5" t="n"/>
      <c r="O6" s="5" t="n"/>
      <c r="P6" s="5" t="n"/>
      <c r="Q6" s="5" t="n"/>
      <c r="R6" s="5" t="n"/>
      <c r="S6" s="5" t="n"/>
      <c r="T6" s="5" t="n"/>
      <c r="U6" s="5" t="n"/>
      <c r="V6" s="5" t="n"/>
      <c r="W6" s="5" t="n"/>
      <c r="X6" s="5" t="n"/>
    </row>
    <row r="7" ht="24" customHeight="1">
      <c r="A7" s="4" t="inlineStr">
        <is>
          <t xml:space="preserve">  계약금액</t>
        </is>
      </c>
      <c r="B7" s="5" t="n"/>
      <c r="C7" s="5" t="n"/>
      <c r="D7" s="5" t="n"/>
      <c r="E7" s="5" t="n"/>
      <c r="F7" s="5" t="n"/>
      <c r="G7" s="7" t="n">
        <v>963241000</v>
      </c>
      <c r="H7" s="5" t="n"/>
      <c r="I7" s="5" t="n"/>
      <c r="J7" s="5" t="n"/>
      <c r="K7" s="5" t="n"/>
      <c r="L7" s="5" t="n"/>
      <c r="M7" s="5" t="n"/>
      <c r="N7" s="5" t="n"/>
      <c r="O7" s="5" t="n"/>
      <c r="P7" s="5" t="n"/>
      <c r="Q7" s="5" t="n"/>
      <c r="R7" s="5" t="n"/>
      <c r="S7" s="5" t="n"/>
      <c r="T7" s="5" t="n"/>
      <c r="U7" s="5" t="n"/>
      <c r="V7" s="5" t="n"/>
      <c r="W7" s="5" t="n"/>
      <c r="X7" s="5" t="n"/>
    </row>
    <row r="8" ht="24" customHeight="1">
      <c r="A8" s="4" t="inlineStr">
        <is>
          <t xml:space="preserve">  낙 찰 률</t>
        </is>
      </c>
      <c r="B8" s="5" t="n"/>
      <c r="C8" s="5" t="n"/>
      <c r="D8" s="5" t="n"/>
      <c r="E8" s="5" t="n"/>
      <c r="F8" s="5" t="n"/>
      <c r="G8" s="8" t="n">
        <v>0.87452</v>
      </c>
      <c r="H8" s="5" t="n"/>
      <c r="I8" s="5" t="n"/>
      <c r="J8" s="5" t="n"/>
      <c r="K8" s="5" t="n"/>
      <c r="L8" s="5" t="n"/>
      <c r="M8" s="5" t="n"/>
      <c r="N8" s="5" t="n"/>
      <c r="O8" s="5" t="n"/>
      <c r="P8" s="5" t="n"/>
      <c r="Q8" s="5" t="n"/>
      <c r="R8" s="5" t="n"/>
      <c r="S8" s="5" t="n"/>
      <c r="T8" s="5" t="n"/>
      <c r="U8" s="5" t="n"/>
      <c r="V8" s="5" t="n"/>
      <c r="W8" s="5" t="n"/>
      <c r="X8" s="5" t="n"/>
    </row>
    <row r="9" ht="24" customHeight="1">
      <c r="A9" s="4" t="inlineStr">
        <is>
          <t xml:space="preserve">  작성일자</t>
        </is>
      </c>
      <c r="B9" s="5" t="n"/>
      <c r="C9" s="5" t="n"/>
      <c r="D9" s="5" t="n"/>
      <c r="E9" s="5" t="n"/>
      <c r="F9" s="5" t="n"/>
      <c r="G9" s="9" t="n">
        <v>46294</v>
      </c>
      <c r="H9" s="5" t="n"/>
      <c r="I9" s="5" t="n"/>
      <c r="J9" s="5" t="n"/>
      <c r="K9" s="5" t="n"/>
      <c r="L9" s="5" t="n"/>
      <c r="M9" s="5" t="n"/>
      <c r="N9" s="5" t="n"/>
      <c r="O9" s="5" t="n"/>
      <c r="P9" s="5" t="n"/>
      <c r="Q9" s="5" t="n"/>
      <c r="R9" s="5" t="n"/>
      <c r="S9" s="5" t="n"/>
      <c r="T9" s="5" t="n"/>
      <c r="U9" s="5" t="n"/>
      <c r="V9" s="5" t="n"/>
      <c r="W9" s="5" t="n"/>
      <c r="X9" s="5" t="n"/>
    </row>
    <row r="10" ht="6" customHeight="1"/>
    <row r="11" ht="24" customHeight="1">
      <c r="A11" s="10" t="inlineStr">
        <is>
          <t>번호</t>
        </is>
      </c>
      <c r="B11" s="5" t="n"/>
      <c r="C11" s="10" t="inlineStr">
        <is>
          <t>공종·품명</t>
        </is>
      </c>
      <c r="D11" s="5" t="n"/>
      <c r="E11" s="5" t="n"/>
      <c r="F11" s="5" t="n"/>
      <c r="G11" s="10" t="inlineStr">
        <is>
          <t>규  격</t>
        </is>
      </c>
      <c r="H11" s="5" t="n"/>
      <c r="I11" s="5" t="n"/>
      <c r="J11" s="10" t="inlineStr">
        <is>
          <t>단위</t>
        </is>
      </c>
      <c r="K11" s="5" t="n"/>
      <c r="L11" s="10" t="inlineStr">
        <is>
          <t>수량</t>
        </is>
      </c>
      <c r="M11" s="5" t="n"/>
      <c r="N11" s="10" t="inlineStr">
        <is>
          <t>재료비단가</t>
        </is>
      </c>
      <c r="O11" s="5" t="n"/>
      <c r="P11" s="10" t="inlineStr">
        <is>
          <t>노무비단가</t>
        </is>
      </c>
      <c r="Q11" s="5" t="n"/>
      <c r="R11" s="10" t="inlineStr">
        <is>
          <t>경비단가</t>
        </is>
      </c>
      <c r="S11" s="5" t="n"/>
      <c r="T11" s="10" t="inlineStr">
        <is>
          <t>합계단가</t>
        </is>
      </c>
      <c r="U11" s="5" t="n"/>
      <c r="V11" s="10" t="inlineStr">
        <is>
          <t>금  액</t>
        </is>
      </c>
      <c r="W11" s="5" t="n"/>
      <c r="X11" s="5" t="n"/>
    </row>
    <row r="12" ht="32" customHeight="1">
      <c r="A12" s="11">
        <f>IF(C12="","",COUNTA(C12:C12))</f>
        <v/>
      </c>
      <c r="B12" s="5" t="n"/>
      <c r="C12" s="12" t="inlineStr">
        <is>
          <t>터파기(토사)</t>
        </is>
      </c>
      <c r="D12" s="5" t="n"/>
      <c r="E12" s="5" t="n"/>
      <c r="F12" s="5" t="n"/>
      <c r="G12" s="12" t="inlineStr">
        <is>
          <t>0.6㎥ 굴착기</t>
        </is>
      </c>
      <c r="H12" s="5" t="n"/>
      <c r="I12" s="5" t="n"/>
      <c r="J12" s="12" t="inlineStr">
        <is>
          <t>m³</t>
        </is>
      </c>
      <c r="K12" s="5" t="n"/>
      <c r="L12" s="13" t="n">
        <v>4850</v>
      </c>
      <c r="M12" s="5" t="n"/>
      <c r="N12" s="7" t="n"/>
      <c r="O12" s="5" t="n"/>
      <c r="P12" s="7" t="n">
        <v>1120</v>
      </c>
      <c r="Q12" s="5" t="n"/>
      <c r="R12" s="7" t="n">
        <v>1845</v>
      </c>
      <c r="S12" s="5" t="n"/>
      <c r="T12" s="14">
        <f>IF(COUNT(N12,P12,R12)=0,"",N(N12)+N(P12)+N(R12))</f>
        <v/>
      </c>
      <c r="U12" s="5" t="n"/>
      <c r="V12" s="14">
        <f>IF(OR(L12="",T12=""),"",INT(ROUND(L12*T12,6)))</f>
        <v/>
      </c>
      <c r="W12" s="5" t="n"/>
      <c r="X12" s="5" t="n"/>
    </row>
    <row r="13" ht="22" customHeight="1">
      <c r="A13" s="11">
        <f>IF(C13="","",COUNTA(C12:C13))</f>
        <v/>
      </c>
      <c r="B13" s="5" t="n"/>
      <c r="C13" s="12" t="inlineStr">
        <is>
          <t>되메우기</t>
        </is>
      </c>
      <c r="D13" s="5" t="n"/>
      <c r="E13" s="5" t="n"/>
      <c r="F13" s="5" t="n"/>
      <c r="G13" s="12" t="inlineStr">
        <is>
          <t>다짐 포함</t>
        </is>
      </c>
      <c r="H13" s="5" t="n"/>
      <c r="I13" s="5" t="n"/>
      <c r="J13" s="12" t="inlineStr">
        <is>
          <t>m³</t>
        </is>
      </c>
      <c r="K13" s="5" t="n"/>
      <c r="L13" s="13" t="n">
        <v>3920</v>
      </c>
      <c r="M13" s="5" t="n"/>
      <c r="N13" s="7" t="n"/>
      <c r="O13" s="5" t="n"/>
      <c r="P13" s="7" t="n">
        <v>1430</v>
      </c>
      <c r="Q13" s="5" t="n"/>
      <c r="R13" s="7" t="n">
        <v>1280</v>
      </c>
      <c r="S13" s="5" t="n"/>
      <c r="T13" s="14">
        <f>IF(COUNT(N13,P13,R13)=0,"",N(N13)+N(P13)+N(R13))</f>
        <v/>
      </c>
      <c r="U13" s="5" t="n"/>
      <c r="V13" s="14">
        <f>IF(OR(L13="",T13=""),"",INT(ROUND(L13*T13,6)))</f>
        <v/>
      </c>
      <c r="W13" s="5" t="n"/>
      <c r="X13" s="5" t="n"/>
    </row>
    <row r="14" ht="32" customHeight="1">
      <c r="A14" s="11">
        <f>IF(C14="","",COUNTA(C12:C14))</f>
        <v/>
      </c>
      <c r="B14" s="5" t="n"/>
      <c r="C14" s="12" t="inlineStr">
        <is>
          <t>PE 이중벽관 부설</t>
        </is>
      </c>
      <c r="D14" s="5" t="n"/>
      <c r="E14" s="5" t="n"/>
      <c r="F14" s="5" t="n"/>
      <c r="G14" s="12" t="inlineStr">
        <is>
          <t>D600</t>
        </is>
      </c>
      <c r="H14" s="5" t="n"/>
      <c r="I14" s="5" t="n"/>
      <c r="J14" s="12" t="inlineStr">
        <is>
          <t>m</t>
        </is>
      </c>
      <c r="K14" s="5" t="n"/>
      <c r="L14" s="13" t="n">
        <v>820</v>
      </c>
      <c r="M14" s="5" t="n"/>
      <c r="N14" s="7" t="n">
        <v>86140</v>
      </c>
      <c r="O14" s="5" t="n"/>
      <c r="P14" s="7" t="n">
        <v>42310</v>
      </c>
      <c r="Q14" s="5" t="n"/>
      <c r="R14" s="7" t="n">
        <v>9870</v>
      </c>
      <c r="S14" s="5" t="n"/>
      <c r="T14" s="14">
        <f>IF(COUNT(N14,P14,R14)=0,"",N(N14)+N(P14)+N(R14))</f>
        <v/>
      </c>
      <c r="U14" s="5" t="n"/>
      <c r="V14" s="14">
        <f>IF(OR(L14="",T14=""),"",INT(ROUND(L14*T14,6)))</f>
        <v/>
      </c>
      <c r="W14" s="5" t="n"/>
      <c r="X14" s="5" t="n"/>
    </row>
    <row r="15" ht="22" customHeight="1">
      <c r="A15" s="11">
        <f>IF(C15="","",COUNTA(C12:C15))</f>
        <v/>
      </c>
      <c r="B15" s="5" t="n"/>
      <c r="C15" s="12" t="inlineStr">
        <is>
          <t>집수정 설치</t>
        </is>
      </c>
      <c r="D15" s="5" t="n"/>
      <c r="E15" s="5" t="n"/>
      <c r="F15" s="5" t="n"/>
      <c r="G15" s="12" t="inlineStr">
        <is>
          <t>1.2×1.2</t>
        </is>
      </c>
      <c r="H15" s="5" t="n"/>
      <c r="I15" s="5" t="n"/>
      <c r="J15" s="12" t="inlineStr">
        <is>
          <t>개소</t>
        </is>
      </c>
      <c r="K15" s="5" t="n"/>
      <c r="L15" s="13" t="n">
        <v>42</v>
      </c>
      <c r="M15" s="5" t="n"/>
      <c r="N15" s="7" t="n">
        <v>412000</v>
      </c>
      <c r="O15" s="5" t="n"/>
      <c r="P15" s="7" t="n">
        <v>268400</v>
      </c>
      <c r="Q15" s="5" t="n"/>
      <c r="R15" s="7" t="n">
        <v>38900</v>
      </c>
      <c r="S15" s="5" t="n"/>
      <c r="T15" s="14">
        <f>IF(COUNT(N15,P15,R15)=0,"",N(N15)+N(P15)+N(R15))</f>
        <v/>
      </c>
      <c r="U15" s="5" t="n"/>
      <c r="V15" s="14">
        <f>IF(OR(L15="",T15=""),"",INT(ROUND(L15*T15,6)))</f>
        <v/>
      </c>
      <c r="W15" s="5" t="n"/>
      <c r="X15" s="5" t="n"/>
    </row>
    <row r="16" ht="32" customHeight="1">
      <c r="A16" s="11">
        <f>IF(C16="","",COUNTA(C12:C16))</f>
        <v/>
      </c>
      <c r="B16" s="5" t="n"/>
      <c r="C16" s="12" t="inlineStr">
        <is>
          <t>아스팔트 포장(표층)</t>
        </is>
      </c>
      <c r="D16" s="5" t="n"/>
      <c r="E16" s="5" t="n"/>
      <c r="F16" s="5" t="n"/>
      <c r="G16" s="12" t="inlineStr">
        <is>
          <t>t=5cm</t>
        </is>
      </c>
      <c r="H16" s="5" t="n"/>
      <c r="I16" s="5" t="n"/>
      <c r="J16" s="12" t="inlineStr">
        <is>
          <t>m²</t>
        </is>
      </c>
      <c r="K16" s="5" t="n"/>
      <c r="L16" s="13" t="n">
        <v>6300</v>
      </c>
      <c r="M16" s="5" t="n"/>
      <c r="N16" s="7" t="n">
        <v>6840</v>
      </c>
      <c r="O16" s="5" t="n"/>
      <c r="P16" s="7" t="n">
        <v>2110</v>
      </c>
      <c r="Q16" s="5" t="n"/>
      <c r="R16" s="7" t="n">
        <v>1190</v>
      </c>
      <c r="S16" s="5" t="n"/>
      <c r="T16" s="14">
        <f>IF(COUNT(N16,P16,R16)=0,"",N(N16)+N(P16)+N(R16))</f>
        <v/>
      </c>
      <c r="U16" s="5" t="n"/>
      <c r="V16" s="14">
        <f>IF(OR(L16="",T16=""),"",INT(ROUND(L16*T16,6)))</f>
        <v/>
      </c>
      <c r="W16" s="5" t="n"/>
      <c r="X16" s="5" t="n"/>
    </row>
    <row r="17" ht="32" customHeight="1">
      <c r="A17" s="11">
        <f>IF(C17="","",COUNTA(C12:C17))</f>
        <v/>
      </c>
      <c r="B17" s="5" t="n"/>
      <c r="C17" s="12" t="inlineStr">
        <is>
          <t>안전시설 설치·철거</t>
        </is>
      </c>
      <c r="D17" s="5" t="n"/>
      <c r="E17" s="5" t="n"/>
      <c r="F17" s="5" t="n"/>
      <c r="G17" s="12" t="inlineStr"/>
      <c r="H17" s="5" t="n"/>
      <c r="I17" s="5" t="n"/>
      <c r="J17" s="12" t="inlineStr">
        <is>
          <t>식</t>
        </is>
      </c>
      <c r="K17" s="5" t="n"/>
      <c r="L17" s="13" t="n">
        <v>1</v>
      </c>
      <c r="M17" s="5" t="n"/>
      <c r="N17" s="7" t="n">
        <v>3450000</v>
      </c>
      <c r="O17" s="5" t="n"/>
      <c r="P17" s="7" t="n">
        <v>2860000</v>
      </c>
      <c r="Q17" s="5" t="n"/>
      <c r="R17" s="7" t="n">
        <v>640000</v>
      </c>
      <c r="S17" s="5" t="n"/>
      <c r="T17" s="14">
        <f>IF(COUNT(N17,P17,R17)=0,"",N(N17)+N(P17)+N(R17))</f>
        <v/>
      </c>
      <c r="U17" s="5" t="n"/>
      <c r="V17" s="14">
        <f>IF(OR(L17="",T17=""),"",INT(ROUND(L17*T17,6)))</f>
        <v/>
      </c>
      <c r="W17" s="5" t="n"/>
      <c r="X17" s="5" t="n"/>
    </row>
    <row r="18" ht="22" customHeight="1">
      <c r="A18" s="11">
        <f>IF(C18="","",COUNTA(C12:C18))</f>
        <v/>
      </c>
      <c r="B18" s="5" t="n"/>
      <c r="C18" s="12" t="n"/>
      <c r="D18" s="5" t="n"/>
      <c r="E18" s="5" t="n"/>
      <c r="F18" s="5" t="n"/>
      <c r="G18" s="12" t="n"/>
      <c r="H18" s="5" t="n"/>
      <c r="I18" s="5" t="n"/>
      <c r="J18" s="12" t="n"/>
      <c r="K18" s="5" t="n"/>
      <c r="L18" s="13" t="n"/>
      <c r="M18" s="5" t="n"/>
      <c r="N18" s="7" t="n"/>
      <c r="O18" s="5" t="n"/>
      <c r="P18" s="7" t="n"/>
      <c r="Q18" s="5" t="n"/>
      <c r="R18" s="7" t="n"/>
      <c r="S18" s="5" t="n"/>
      <c r="T18" s="14">
        <f>IF(COUNT(N18,P18,R18)=0,"",N(N18)+N(P18)+N(R18))</f>
        <v/>
      </c>
      <c r="U18" s="5" t="n"/>
      <c r="V18" s="14">
        <f>IF(OR(L18="",T18=""),"",INT(ROUND(L18*T18,6)))</f>
        <v/>
      </c>
      <c r="W18" s="5" t="n"/>
      <c r="X18" s="5" t="n"/>
    </row>
    <row r="19" ht="22" customHeight="1">
      <c r="A19" s="11">
        <f>IF(C19="","",COUNTA(C12:C19))</f>
        <v/>
      </c>
      <c r="B19" s="5" t="n"/>
      <c r="C19" s="12" t="n"/>
      <c r="D19" s="5" t="n"/>
      <c r="E19" s="5" t="n"/>
      <c r="F19" s="5" t="n"/>
      <c r="G19" s="12" t="n"/>
      <c r="H19" s="5" t="n"/>
      <c r="I19" s="5" t="n"/>
      <c r="J19" s="12" t="n"/>
      <c r="K19" s="5" t="n"/>
      <c r="L19" s="13" t="n"/>
      <c r="M19" s="5" t="n"/>
      <c r="N19" s="7" t="n"/>
      <c r="O19" s="5" t="n"/>
      <c r="P19" s="7" t="n"/>
      <c r="Q19" s="5" t="n"/>
      <c r="R19" s="7" t="n"/>
      <c r="S19" s="5" t="n"/>
      <c r="T19" s="14">
        <f>IF(COUNT(N19,P19,R19)=0,"",N(N19)+N(P19)+N(R19))</f>
        <v/>
      </c>
      <c r="U19" s="5" t="n"/>
      <c r="V19" s="14">
        <f>IF(OR(L19="",T19=""),"",INT(ROUND(L19*T19,6)))</f>
        <v/>
      </c>
      <c r="W19" s="5" t="n"/>
      <c r="X19" s="5" t="n"/>
    </row>
    <row r="20" ht="22" customHeight="1">
      <c r="A20" s="11">
        <f>IF(C20="","",COUNTA(C12:C20))</f>
        <v/>
      </c>
      <c r="B20" s="5" t="n"/>
      <c r="C20" s="12" t="n"/>
      <c r="D20" s="5" t="n"/>
      <c r="E20" s="5" t="n"/>
      <c r="F20" s="5" t="n"/>
      <c r="G20" s="12" t="n"/>
      <c r="H20" s="5" t="n"/>
      <c r="I20" s="5" t="n"/>
      <c r="J20" s="12" t="n"/>
      <c r="K20" s="5" t="n"/>
      <c r="L20" s="13" t="n"/>
      <c r="M20" s="5" t="n"/>
      <c r="N20" s="7" t="n"/>
      <c r="O20" s="5" t="n"/>
      <c r="P20" s="7" t="n"/>
      <c r="Q20" s="5" t="n"/>
      <c r="R20" s="7" t="n"/>
      <c r="S20" s="5" t="n"/>
      <c r="T20" s="14">
        <f>IF(COUNT(N20,P20,R20)=0,"",N(N20)+N(P20)+N(R20))</f>
        <v/>
      </c>
      <c r="U20" s="5" t="n"/>
      <c r="V20" s="14">
        <f>IF(OR(L20="",T20=""),"",INT(ROUND(L20*T20,6)))</f>
        <v/>
      </c>
      <c r="W20" s="5" t="n"/>
      <c r="X20" s="5" t="n"/>
    </row>
    <row r="21" ht="22" customHeight="1">
      <c r="A21" s="11">
        <f>IF(C21="","",COUNTA(C12:C21))</f>
        <v/>
      </c>
      <c r="B21" s="5" t="n"/>
      <c r="C21" s="12" t="n"/>
      <c r="D21" s="5" t="n"/>
      <c r="E21" s="5" t="n"/>
      <c r="F21" s="5" t="n"/>
      <c r="G21" s="12" t="n"/>
      <c r="H21" s="5" t="n"/>
      <c r="I21" s="5" t="n"/>
      <c r="J21" s="12" t="n"/>
      <c r="K21" s="5" t="n"/>
      <c r="L21" s="13" t="n"/>
      <c r="M21" s="5" t="n"/>
      <c r="N21" s="7" t="n"/>
      <c r="O21" s="5" t="n"/>
      <c r="P21" s="7" t="n"/>
      <c r="Q21" s="5" t="n"/>
      <c r="R21" s="7" t="n"/>
      <c r="S21" s="5" t="n"/>
      <c r="T21" s="14">
        <f>IF(COUNT(N21,P21,R21)=0,"",N(N21)+N(P21)+N(R21))</f>
        <v/>
      </c>
      <c r="U21" s="5" t="n"/>
      <c r="V21" s="14">
        <f>IF(OR(L21="",T21=""),"",INT(ROUND(L21*T21,6)))</f>
        <v/>
      </c>
      <c r="W21" s="5" t="n"/>
      <c r="X21" s="5" t="n"/>
    </row>
    <row r="22" ht="22" customHeight="1">
      <c r="A22" s="11">
        <f>IF(C22="","",COUNTA(C12:C22))</f>
        <v/>
      </c>
      <c r="B22" s="5" t="n"/>
      <c r="C22" s="12" t="n"/>
      <c r="D22" s="5" t="n"/>
      <c r="E22" s="5" t="n"/>
      <c r="F22" s="5" t="n"/>
      <c r="G22" s="12" t="n"/>
      <c r="H22" s="5" t="n"/>
      <c r="I22" s="5" t="n"/>
      <c r="J22" s="12" t="n"/>
      <c r="K22" s="5" t="n"/>
      <c r="L22" s="13" t="n"/>
      <c r="M22" s="5" t="n"/>
      <c r="N22" s="7" t="n"/>
      <c r="O22" s="5" t="n"/>
      <c r="P22" s="7" t="n"/>
      <c r="Q22" s="5" t="n"/>
      <c r="R22" s="7" t="n"/>
      <c r="S22" s="5" t="n"/>
      <c r="T22" s="14">
        <f>IF(COUNT(N22,P22,R22)=0,"",N(N22)+N(P22)+N(R22))</f>
        <v/>
      </c>
      <c r="U22" s="5" t="n"/>
      <c r="V22" s="14">
        <f>IF(OR(L22="",T22=""),"",INT(ROUND(L22*T22,6)))</f>
        <v/>
      </c>
      <c r="W22" s="5" t="n"/>
      <c r="X22" s="5" t="n"/>
    </row>
    <row r="23" ht="22" customHeight="1">
      <c r="A23" s="11">
        <f>IF(C23="","",COUNTA(C12:C23))</f>
        <v/>
      </c>
      <c r="B23" s="5" t="n"/>
      <c r="C23" s="12" t="n"/>
      <c r="D23" s="5" t="n"/>
      <c r="E23" s="5" t="n"/>
      <c r="F23" s="5" t="n"/>
      <c r="G23" s="12" t="n"/>
      <c r="H23" s="5" t="n"/>
      <c r="I23" s="5" t="n"/>
      <c r="J23" s="12" t="n"/>
      <c r="K23" s="5" t="n"/>
      <c r="L23" s="13" t="n"/>
      <c r="M23" s="5" t="n"/>
      <c r="N23" s="7" t="n"/>
      <c r="O23" s="5" t="n"/>
      <c r="P23" s="7" t="n"/>
      <c r="Q23" s="5" t="n"/>
      <c r="R23" s="7" t="n"/>
      <c r="S23" s="5" t="n"/>
      <c r="T23" s="14">
        <f>IF(COUNT(N23,P23,R23)=0,"",N(N23)+N(P23)+N(R23))</f>
        <v/>
      </c>
      <c r="U23" s="5" t="n"/>
      <c r="V23" s="14">
        <f>IF(OR(L23="",T23=""),"",INT(ROUND(L23*T23,6)))</f>
        <v/>
      </c>
      <c r="W23" s="5" t="n"/>
      <c r="X23" s="5" t="n"/>
    </row>
    <row r="24" ht="22" customHeight="1">
      <c r="A24" s="11">
        <f>IF(C24="","",COUNTA(C12:C24))</f>
        <v/>
      </c>
      <c r="B24" s="5" t="n"/>
      <c r="C24" s="12" t="n"/>
      <c r="D24" s="5" t="n"/>
      <c r="E24" s="5" t="n"/>
      <c r="F24" s="5" t="n"/>
      <c r="G24" s="12" t="n"/>
      <c r="H24" s="5" t="n"/>
      <c r="I24" s="5" t="n"/>
      <c r="J24" s="12" t="n"/>
      <c r="K24" s="5" t="n"/>
      <c r="L24" s="13" t="n"/>
      <c r="M24" s="5" t="n"/>
      <c r="N24" s="7" t="n"/>
      <c r="O24" s="5" t="n"/>
      <c r="P24" s="7" t="n"/>
      <c r="Q24" s="5" t="n"/>
      <c r="R24" s="7" t="n"/>
      <c r="S24" s="5" t="n"/>
      <c r="T24" s="14">
        <f>IF(COUNT(N24,P24,R24)=0,"",N(N24)+N(P24)+N(R24))</f>
        <v/>
      </c>
      <c r="U24" s="5" t="n"/>
      <c r="V24" s="14">
        <f>IF(OR(L24="",T24=""),"",INT(ROUND(L24*T24,6)))</f>
        <v/>
      </c>
      <c r="W24" s="5" t="n"/>
      <c r="X24" s="5" t="n"/>
    </row>
    <row r="25" ht="22" customHeight="1">
      <c r="A25" s="11">
        <f>IF(C25="","",COUNTA(C12:C25))</f>
        <v/>
      </c>
      <c r="B25" s="5" t="n"/>
      <c r="C25" s="12" t="n"/>
      <c r="D25" s="5" t="n"/>
      <c r="E25" s="5" t="n"/>
      <c r="F25" s="5" t="n"/>
      <c r="G25" s="12" t="n"/>
      <c r="H25" s="5" t="n"/>
      <c r="I25" s="5" t="n"/>
      <c r="J25" s="12" t="n"/>
      <c r="K25" s="5" t="n"/>
      <c r="L25" s="13" t="n"/>
      <c r="M25" s="5" t="n"/>
      <c r="N25" s="7" t="n"/>
      <c r="O25" s="5" t="n"/>
      <c r="P25" s="7" t="n"/>
      <c r="Q25" s="5" t="n"/>
      <c r="R25" s="7" t="n"/>
      <c r="S25" s="5" t="n"/>
      <c r="T25" s="14">
        <f>IF(COUNT(N25,P25,R25)=0,"",N(N25)+N(P25)+N(R25))</f>
        <v/>
      </c>
      <c r="U25" s="5" t="n"/>
      <c r="V25" s="14">
        <f>IF(OR(L25="",T25=""),"",INT(ROUND(L25*T25,6)))</f>
        <v/>
      </c>
      <c r="W25" s="5" t="n"/>
      <c r="X25" s="5" t="n"/>
    </row>
    <row r="26" ht="22" customHeight="1">
      <c r="A26" s="11">
        <f>IF(C26="","",COUNTA(C12:C26))</f>
        <v/>
      </c>
      <c r="B26" s="5" t="n"/>
      <c r="C26" s="12" t="n"/>
      <c r="D26" s="5" t="n"/>
      <c r="E26" s="5" t="n"/>
      <c r="F26" s="5" t="n"/>
      <c r="G26" s="12" t="n"/>
      <c r="H26" s="5" t="n"/>
      <c r="I26" s="5" t="n"/>
      <c r="J26" s="12" t="n"/>
      <c r="K26" s="5" t="n"/>
      <c r="L26" s="13" t="n"/>
      <c r="M26" s="5" t="n"/>
      <c r="N26" s="7" t="n"/>
      <c r="O26" s="5" t="n"/>
      <c r="P26" s="7" t="n"/>
      <c r="Q26" s="5" t="n"/>
      <c r="R26" s="7" t="n"/>
      <c r="S26" s="5" t="n"/>
      <c r="T26" s="14">
        <f>IF(COUNT(N26,P26,R26)=0,"",N(N26)+N(P26)+N(R26))</f>
        <v/>
      </c>
      <c r="U26" s="5" t="n"/>
      <c r="V26" s="14">
        <f>IF(OR(L26="",T26=""),"",INT(ROUND(L26*T26,6)))</f>
        <v/>
      </c>
      <c r="W26" s="5" t="n"/>
      <c r="X26" s="5" t="n"/>
    </row>
    <row r="27" ht="22" customHeight="1">
      <c r="A27" s="11">
        <f>IF(C27="","",COUNTA(C12:C27))</f>
        <v/>
      </c>
      <c r="B27" s="5" t="n"/>
      <c r="C27" s="12" t="n"/>
      <c r="D27" s="5" t="n"/>
      <c r="E27" s="5" t="n"/>
      <c r="F27" s="5" t="n"/>
      <c r="G27" s="12" t="n"/>
      <c r="H27" s="5" t="n"/>
      <c r="I27" s="5" t="n"/>
      <c r="J27" s="12" t="n"/>
      <c r="K27" s="5" t="n"/>
      <c r="L27" s="13" t="n"/>
      <c r="M27" s="5" t="n"/>
      <c r="N27" s="7" t="n"/>
      <c r="O27" s="5" t="n"/>
      <c r="P27" s="7" t="n"/>
      <c r="Q27" s="5" t="n"/>
      <c r="R27" s="7" t="n"/>
      <c r="S27" s="5" t="n"/>
      <c r="T27" s="14">
        <f>IF(COUNT(N27,P27,R27)=0,"",N(N27)+N(P27)+N(R27))</f>
        <v/>
      </c>
      <c r="U27" s="5" t="n"/>
      <c r="V27" s="14">
        <f>IF(OR(L27="",T27=""),"",INT(ROUND(L27*T27,6)))</f>
        <v/>
      </c>
      <c r="W27" s="5" t="n"/>
      <c r="X27" s="5" t="n"/>
    </row>
    <row r="28" ht="22" customHeight="1">
      <c r="A28" s="11">
        <f>IF(C28="","",COUNTA(C12:C28))</f>
        <v/>
      </c>
      <c r="B28" s="5" t="n"/>
      <c r="C28" s="12" t="n"/>
      <c r="D28" s="5" t="n"/>
      <c r="E28" s="5" t="n"/>
      <c r="F28" s="5" t="n"/>
      <c r="G28" s="12" t="n"/>
      <c r="H28" s="5" t="n"/>
      <c r="I28" s="5" t="n"/>
      <c r="J28" s="12" t="n"/>
      <c r="K28" s="5" t="n"/>
      <c r="L28" s="13" t="n"/>
      <c r="M28" s="5" t="n"/>
      <c r="N28" s="7" t="n"/>
      <c r="O28" s="5" t="n"/>
      <c r="P28" s="7" t="n"/>
      <c r="Q28" s="5" t="n"/>
      <c r="R28" s="7" t="n"/>
      <c r="S28" s="5" t="n"/>
      <c r="T28" s="14">
        <f>IF(COUNT(N28,P28,R28)=0,"",N(N28)+N(P28)+N(R28))</f>
        <v/>
      </c>
      <c r="U28" s="5" t="n"/>
      <c r="V28" s="14">
        <f>IF(OR(L28="",T28=""),"",INT(ROUND(L28*T28,6)))</f>
        <v/>
      </c>
      <c r="W28" s="5" t="n"/>
      <c r="X28" s="5" t="n"/>
    </row>
    <row r="29" ht="22" customHeight="1">
      <c r="A29" s="11">
        <f>IF(C29="","",COUNTA(C12:C29))</f>
        <v/>
      </c>
      <c r="B29" s="5" t="n"/>
      <c r="C29" s="12" t="n"/>
      <c r="D29" s="5" t="n"/>
      <c r="E29" s="5" t="n"/>
      <c r="F29" s="5" t="n"/>
      <c r="G29" s="12" t="n"/>
      <c r="H29" s="5" t="n"/>
      <c r="I29" s="5" t="n"/>
      <c r="J29" s="12" t="n"/>
      <c r="K29" s="5" t="n"/>
      <c r="L29" s="13" t="n"/>
      <c r="M29" s="5" t="n"/>
      <c r="N29" s="7" t="n"/>
      <c r="O29" s="5" t="n"/>
      <c r="P29" s="7" t="n"/>
      <c r="Q29" s="5" t="n"/>
      <c r="R29" s="7" t="n"/>
      <c r="S29" s="5" t="n"/>
      <c r="T29" s="14">
        <f>IF(COUNT(N29,P29,R29)=0,"",N(N29)+N(P29)+N(R29))</f>
        <v/>
      </c>
      <c r="U29" s="5" t="n"/>
      <c r="V29" s="14">
        <f>IF(OR(L29="",T29=""),"",INT(ROUND(L29*T29,6)))</f>
        <v/>
      </c>
      <c r="W29" s="5" t="n"/>
      <c r="X29" s="5" t="n"/>
    </row>
    <row r="30" ht="22" customHeight="1">
      <c r="A30" s="11">
        <f>IF(C30="","",COUNTA(C12:C30))</f>
        <v/>
      </c>
      <c r="B30" s="5" t="n"/>
      <c r="C30" s="12" t="n"/>
      <c r="D30" s="5" t="n"/>
      <c r="E30" s="5" t="n"/>
      <c r="F30" s="5" t="n"/>
      <c r="G30" s="12" t="n"/>
      <c r="H30" s="5" t="n"/>
      <c r="I30" s="5" t="n"/>
      <c r="J30" s="12" t="n"/>
      <c r="K30" s="5" t="n"/>
      <c r="L30" s="13" t="n"/>
      <c r="M30" s="5" t="n"/>
      <c r="N30" s="7" t="n"/>
      <c r="O30" s="5" t="n"/>
      <c r="P30" s="7" t="n"/>
      <c r="Q30" s="5" t="n"/>
      <c r="R30" s="7" t="n"/>
      <c r="S30" s="5" t="n"/>
      <c r="T30" s="14">
        <f>IF(COUNT(N30,P30,R30)=0,"",N(N30)+N(P30)+N(R30))</f>
        <v/>
      </c>
      <c r="U30" s="5" t="n"/>
      <c r="V30" s="14">
        <f>IF(OR(L30="",T30=""),"",INT(ROUND(L30*T30,6)))</f>
        <v/>
      </c>
      <c r="W30" s="5" t="n"/>
      <c r="X30" s="5" t="n"/>
    </row>
    <row r="31" ht="22" customHeight="1">
      <c r="A31" s="11">
        <f>IF(C31="","",COUNTA(C12:C31))</f>
        <v/>
      </c>
      <c r="B31" s="5" t="n"/>
      <c r="C31" s="12" t="n"/>
      <c r="D31" s="5" t="n"/>
      <c r="E31" s="5" t="n"/>
      <c r="F31" s="5" t="n"/>
      <c r="G31" s="12" t="n"/>
      <c r="H31" s="5" t="n"/>
      <c r="I31" s="5" t="n"/>
      <c r="J31" s="12" t="n"/>
      <c r="K31" s="5" t="n"/>
      <c r="L31" s="13" t="n"/>
      <c r="M31" s="5" t="n"/>
      <c r="N31" s="7" t="n"/>
      <c r="O31" s="5" t="n"/>
      <c r="P31" s="7" t="n"/>
      <c r="Q31" s="5" t="n"/>
      <c r="R31" s="7" t="n"/>
      <c r="S31" s="5" t="n"/>
      <c r="T31" s="14">
        <f>IF(COUNT(N31,P31,R31)=0,"",N(N31)+N(P31)+N(R31))</f>
        <v/>
      </c>
      <c r="U31" s="5" t="n"/>
      <c r="V31" s="14">
        <f>IF(OR(L31="",T31=""),"",INT(ROUND(L31*T31,6)))</f>
        <v/>
      </c>
      <c r="W31" s="5" t="n"/>
      <c r="X31" s="5" t="n"/>
    </row>
    <row r="32" ht="22" customHeight="1">
      <c r="A32" s="11">
        <f>IF(C32="","",COUNTA(C12:C32))</f>
        <v/>
      </c>
      <c r="B32" s="5" t="n"/>
      <c r="C32" s="12" t="n"/>
      <c r="D32" s="5" t="n"/>
      <c r="E32" s="5" t="n"/>
      <c r="F32" s="5" t="n"/>
      <c r="G32" s="12" t="n"/>
      <c r="H32" s="5" t="n"/>
      <c r="I32" s="5" t="n"/>
      <c r="J32" s="12" t="n"/>
      <c r="K32" s="5" t="n"/>
      <c r="L32" s="13" t="n"/>
      <c r="M32" s="5" t="n"/>
      <c r="N32" s="7" t="n"/>
      <c r="O32" s="5" t="n"/>
      <c r="P32" s="7" t="n"/>
      <c r="Q32" s="5" t="n"/>
      <c r="R32" s="7" t="n"/>
      <c r="S32" s="5" t="n"/>
      <c r="T32" s="14">
        <f>IF(COUNT(N32,P32,R32)=0,"",N(N32)+N(P32)+N(R32))</f>
        <v/>
      </c>
      <c r="U32" s="5" t="n"/>
      <c r="V32" s="14">
        <f>IF(OR(L32="",T32=""),"",INT(ROUND(L32*T32,6)))</f>
        <v/>
      </c>
      <c r="W32" s="5" t="n"/>
      <c r="X32" s="5" t="n"/>
    </row>
    <row r="33" ht="22" customHeight="1">
      <c r="A33" s="11">
        <f>IF(C33="","",COUNTA(C12:C33))</f>
        <v/>
      </c>
      <c r="B33" s="5" t="n"/>
      <c r="C33" s="12" t="n"/>
      <c r="D33" s="5" t="n"/>
      <c r="E33" s="5" t="n"/>
      <c r="F33" s="5" t="n"/>
      <c r="G33" s="12" t="n"/>
      <c r="H33" s="5" t="n"/>
      <c r="I33" s="5" t="n"/>
      <c r="J33" s="12" t="n"/>
      <c r="K33" s="5" t="n"/>
      <c r="L33" s="13" t="n"/>
      <c r="M33" s="5" t="n"/>
      <c r="N33" s="7" t="n"/>
      <c r="O33" s="5" t="n"/>
      <c r="P33" s="7" t="n"/>
      <c r="Q33" s="5" t="n"/>
      <c r="R33" s="7" t="n"/>
      <c r="S33" s="5" t="n"/>
      <c r="T33" s="14">
        <f>IF(COUNT(N33,P33,R33)=0,"",N(N33)+N(P33)+N(R33))</f>
        <v/>
      </c>
      <c r="U33" s="5" t="n"/>
      <c r="V33" s="14">
        <f>IF(OR(L33="",T33=""),"",INT(ROUND(L33*T33,6)))</f>
        <v/>
      </c>
      <c r="W33" s="5" t="n"/>
      <c r="X33" s="5" t="n"/>
    </row>
    <row r="34" ht="22" customHeight="1">
      <c r="A34" s="11">
        <f>IF(C34="","",COUNTA(C12:C34))</f>
        <v/>
      </c>
      <c r="B34" s="5" t="n"/>
      <c r="C34" s="12" t="n"/>
      <c r="D34" s="5" t="n"/>
      <c r="E34" s="5" t="n"/>
      <c r="F34" s="5" t="n"/>
      <c r="G34" s="12" t="n"/>
      <c r="H34" s="5" t="n"/>
      <c r="I34" s="5" t="n"/>
      <c r="J34" s="12" t="n"/>
      <c r="K34" s="5" t="n"/>
      <c r="L34" s="13" t="n"/>
      <c r="M34" s="5" t="n"/>
      <c r="N34" s="7" t="n"/>
      <c r="O34" s="5" t="n"/>
      <c r="P34" s="7" t="n"/>
      <c r="Q34" s="5" t="n"/>
      <c r="R34" s="7" t="n"/>
      <c r="S34" s="5" t="n"/>
      <c r="T34" s="14">
        <f>IF(COUNT(N34,P34,R34)=0,"",N(N34)+N(P34)+N(R34))</f>
        <v/>
      </c>
      <c r="U34" s="5" t="n"/>
      <c r="V34" s="14">
        <f>IF(OR(L34="",T34=""),"",INT(ROUND(L34*T34,6)))</f>
        <v/>
      </c>
      <c r="W34" s="5" t="n"/>
      <c r="X34" s="5" t="n"/>
    </row>
    <row r="35" ht="22" customHeight="1">
      <c r="A35" s="11">
        <f>IF(C35="","",COUNTA(C12:C35))</f>
        <v/>
      </c>
      <c r="B35" s="5" t="n"/>
      <c r="C35" s="12" t="n"/>
      <c r="D35" s="5" t="n"/>
      <c r="E35" s="5" t="n"/>
      <c r="F35" s="5" t="n"/>
      <c r="G35" s="12" t="n"/>
      <c r="H35" s="5" t="n"/>
      <c r="I35" s="5" t="n"/>
      <c r="J35" s="12" t="n"/>
      <c r="K35" s="5" t="n"/>
      <c r="L35" s="13" t="n"/>
      <c r="M35" s="5" t="n"/>
      <c r="N35" s="7" t="n"/>
      <c r="O35" s="5" t="n"/>
      <c r="P35" s="7" t="n"/>
      <c r="Q35" s="5" t="n"/>
      <c r="R35" s="7" t="n"/>
      <c r="S35" s="5" t="n"/>
      <c r="T35" s="14">
        <f>IF(COUNT(N35,P35,R35)=0,"",N(N35)+N(P35)+N(R35))</f>
        <v/>
      </c>
      <c r="U35" s="5" t="n"/>
      <c r="V35" s="14">
        <f>IF(OR(L35="",T35=""),"",INT(ROUND(L35*T35,6)))</f>
        <v/>
      </c>
      <c r="W35" s="5" t="n"/>
      <c r="X35" s="5" t="n"/>
    </row>
    <row r="36" ht="6" customHeight="1"/>
    <row r="37" ht="24" customHeight="1">
      <c r="A37" s="4" t="inlineStr">
        <is>
          <t xml:space="preserve">  소  계</t>
        </is>
      </c>
      <c r="B37" s="5" t="n"/>
      <c r="C37" s="5" t="n"/>
      <c r="D37" s="5" t="n"/>
      <c r="E37" s="5" t="n"/>
      <c r="F37" s="5" t="n"/>
      <c r="G37" s="14">
        <f>SUM(V12:V35)</f>
        <v/>
      </c>
      <c r="H37" s="5" t="n"/>
      <c r="I37" s="5" t="n"/>
      <c r="J37" s="5" t="n"/>
      <c r="K37" s="5" t="n"/>
      <c r="L37" s="5" t="n"/>
      <c r="M37" s="5" t="n"/>
      <c r="N37" s="5" t="n"/>
      <c r="O37" s="5" t="n"/>
      <c r="P37" s="5" t="n"/>
      <c r="Q37" s="5" t="n"/>
      <c r="R37" s="5" t="n"/>
      <c r="S37" s="5" t="n"/>
      <c r="T37" s="5" t="n"/>
      <c r="U37" s="5" t="n"/>
      <c r="V37" s="5" t="n"/>
      <c r="W37" s="5" t="n"/>
      <c r="X37" s="5" t="n"/>
    </row>
    <row r="38" ht="24" customHeight="1">
      <c r="A38" s="4" t="inlineStr">
        <is>
          <t xml:space="preserve">  부가가치세</t>
        </is>
      </c>
      <c r="B38" s="5" t="n"/>
      <c r="C38" s="5" t="n"/>
      <c r="D38" s="5" t="n"/>
      <c r="E38" s="5" t="n"/>
      <c r="F38" s="5" t="n"/>
      <c r="G38" s="15" t="n">
        <v>0.1</v>
      </c>
      <c r="H38" s="5" t="n"/>
      <c r="I38" s="5" t="n"/>
      <c r="J38" s="5" t="n"/>
      <c r="K38" s="14">
        <f>INT(ROUND(G37*G38,6))</f>
        <v/>
      </c>
      <c r="L38" s="5" t="n"/>
      <c r="M38" s="5" t="n"/>
      <c r="N38" s="5" t="n"/>
      <c r="O38" s="5" t="n"/>
      <c r="P38" s="5" t="n"/>
      <c r="Q38" s="5" t="n"/>
      <c r="R38" s="5" t="n"/>
      <c r="S38" s="5" t="n"/>
      <c r="T38" s="5" t="n"/>
      <c r="U38" s="5" t="n"/>
      <c r="V38" s="5" t="n"/>
      <c r="W38" s="5" t="n"/>
      <c r="X38" s="5" t="n"/>
    </row>
    <row r="39" ht="24" customHeight="1">
      <c r="A39" s="4" t="inlineStr">
        <is>
          <t xml:space="preserve">  총  계</t>
        </is>
      </c>
      <c r="B39" s="5" t="n"/>
      <c r="C39" s="5" t="n"/>
      <c r="D39" s="5" t="n"/>
      <c r="E39" s="5" t="n"/>
      <c r="F39" s="5" t="n"/>
      <c r="G39" s="14">
        <f>G37+K38</f>
        <v/>
      </c>
      <c r="H39" s="5" t="n"/>
      <c r="I39" s="5" t="n"/>
      <c r="J39" s="5" t="n"/>
      <c r="K39" s="5" t="n"/>
      <c r="L39" s="5" t="n"/>
      <c r="M39" s="5" t="n"/>
      <c r="N39" s="5" t="n"/>
      <c r="O39" s="5" t="n"/>
      <c r="P39" s="5" t="n"/>
      <c r="Q39" s="5" t="n"/>
      <c r="R39" s="5" t="n"/>
      <c r="S39" s="5" t="n"/>
      <c r="T39" s="5" t="n"/>
      <c r="U39" s="5" t="n"/>
      <c r="V39" s="5" t="n"/>
      <c r="W39" s="5" t="n"/>
      <c r="X39" s="5" t="n"/>
    </row>
    <row r="40" ht="6" customHeight="1"/>
    <row r="41" ht="10" customHeight="1"/>
    <row r="42" ht="26" customHeight="1">
      <c r="A42" s="16" t="n">
        <v>46294</v>
      </c>
    </row>
    <row r="43" ht="24" customHeight="1">
      <c r="A43" s="17" t="inlineStr"/>
      <c r="K43" s="18" t="inlineStr">
        <is>
          <t>현장대리인</t>
        </is>
      </c>
      <c r="Q43" s="19" t="inlineStr">
        <is>
          <t>김철수</t>
        </is>
      </c>
      <c r="U43" s="20" t="inlineStr">
        <is>
          <t>(서명 또는 인)</t>
        </is>
      </c>
    </row>
    <row r="44" ht="24" customHeight="1">
      <c r="A44" s="17" t="inlineStr"/>
      <c r="K44" s="18" t="inlineStr">
        <is>
          <t>대표자</t>
        </is>
      </c>
      <c r="Q44" s="19" t="inlineStr">
        <is>
          <t>홍길동</t>
        </is>
      </c>
      <c r="U44" s="20" t="inlineStr">
        <is>
          <t>(서명 또는 인)</t>
        </is>
      </c>
    </row>
    <row r="45" ht="6" customHeight="1"/>
    <row r="47" ht="19.5" customHeight="1">
      <c r="A47" s="21" t="inlineStr">
        <is>
          <t>이 시트는 작성 예시입니다(가상의 현장 · 이름 · 금액). 실제로는 앞 시트에 적으세요.</t>
        </is>
      </c>
    </row>
  </sheetData>
  <mergeCells count="280">
    <mergeCell ref="L17:M17"/>
    <mergeCell ref="V24:X24"/>
    <mergeCell ref="A15:B15"/>
    <mergeCell ref="N11:O11"/>
    <mergeCell ref="N20:O20"/>
    <mergeCell ref="G13:I13"/>
    <mergeCell ref="P20:Q20"/>
    <mergeCell ref="K44:P44"/>
    <mergeCell ref="J19:K19"/>
    <mergeCell ref="R28:S28"/>
    <mergeCell ref="L19:M19"/>
    <mergeCell ref="J28:K28"/>
    <mergeCell ref="C32:F32"/>
    <mergeCell ref="A43:J43"/>
    <mergeCell ref="L28:M28"/>
    <mergeCell ref="N22:O22"/>
    <mergeCell ref="G15:I15"/>
    <mergeCell ref="P22:Q22"/>
    <mergeCell ref="C13:F13"/>
    <mergeCell ref="G24:I24"/>
    <mergeCell ref="A3:X3"/>
    <mergeCell ref="L12:M12"/>
    <mergeCell ref="R30:S30"/>
    <mergeCell ref="N12:O12"/>
    <mergeCell ref="A5:F5"/>
    <mergeCell ref="C15:F15"/>
    <mergeCell ref="G26:I26"/>
    <mergeCell ref="C24:F24"/>
    <mergeCell ref="L14:M14"/>
    <mergeCell ref="A27:B27"/>
    <mergeCell ref="N14:O14"/>
    <mergeCell ref="R12:S12"/>
    <mergeCell ref="A38:F38"/>
    <mergeCell ref="T12:U12"/>
    <mergeCell ref="G16:I16"/>
    <mergeCell ref="L29:M29"/>
    <mergeCell ref="V22:X22"/>
    <mergeCell ref="N29:O29"/>
    <mergeCell ref="A33:B33"/>
    <mergeCell ref="C26:F26"/>
    <mergeCell ref="P32:Q32"/>
    <mergeCell ref="R32:S32"/>
    <mergeCell ref="V12:X12"/>
    <mergeCell ref="J31:K31"/>
    <mergeCell ref="P13:Q13"/>
    <mergeCell ref="A17:B17"/>
    <mergeCell ref="V21:X21"/>
    <mergeCell ref="L31:M31"/>
    <mergeCell ref="N31:O31"/>
    <mergeCell ref="A22:B22"/>
    <mergeCell ref="A35:B35"/>
    <mergeCell ref="J21:K21"/>
    <mergeCell ref="L21:M21"/>
    <mergeCell ref="V14:X14"/>
    <mergeCell ref="N15:O15"/>
    <mergeCell ref="P15:Q15"/>
    <mergeCell ref="A19:B19"/>
    <mergeCell ref="V23:X23"/>
    <mergeCell ref="N24:O24"/>
    <mergeCell ref="P24:Q24"/>
    <mergeCell ref="A28:B28"/>
    <mergeCell ref="P33:Q33"/>
    <mergeCell ref="V13:X13"/>
    <mergeCell ref="R18:S18"/>
    <mergeCell ref="R33:S33"/>
    <mergeCell ref="J23:K23"/>
    <mergeCell ref="C27:F27"/>
    <mergeCell ref="T27:U27"/>
    <mergeCell ref="A7:F7"/>
    <mergeCell ref="N26:O26"/>
    <mergeCell ref="P26:Q26"/>
    <mergeCell ref="A30:B30"/>
    <mergeCell ref="C17:F17"/>
    <mergeCell ref="T24:U24"/>
    <mergeCell ref="G7:X7"/>
    <mergeCell ref="G28:I28"/>
    <mergeCell ref="N35:O35"/>
    <mergeCell ref="L16:M16"/>
    <mergeCell ref="T33:U33"/>
    <mergeCell ref="A11:B11"/>
    <mergeCell ref="N16:O16"/>
    <mergeCell ref="P35:Q35"/>
    <mergeCell ref="N25:O25"/>
    <mergeCell ref="P25:Q25"/>
    <mergeCell ref="R19:S19"/>
    <mergeCell ref="C19:F19"/>
    <mergeCell ref="G30:I30"/>
    <mergeCell ref="C28:F28"/>
    <mergeCell ref="T35:U35"/>
    <mergeCell ref="P34:Q34"/>
    <mergeCell ref="A44:J44"/>
    <mergeCell ref="R34:S34"/>
    <mergeCell ref="R16:S16"/>
    <mergeCell ref="J34:K34"/>
    <mergeCell ref="G14:I14"/>
    <mergeCell ref="R25:S25"/>
    <mergeCell ref="V27:X27"/>
    <mergeCell ref="T25:U25"/>
    <mergeCell ref="A42:X42"/>
    <mergeCell ref="C30:F30"/>
    <mergeCell ref="T18:U18"/>
    <mergeCell ref="P11:Q11"/>
    <mergeCell ref="J27:K27"/>
    <mergeCell ref="A47:X47"/>
    <mergeCell ref="V25:X25"/>
    <mergeCell ref="C14:F14"/>
    <mergeCell ref="L30:M30"/>
    <mergeCell ref="A26:B26"/>
    <mergeCell ref="G32:I32"/>
    <mergeCell ref="J11:K11"/>
    <mergeCell ref="J20:K20"/>
    <mergeCell ref="L20:M20"/>
    <mergeCell ref="T11:U11"/>
    <mergeCell ref="A9:F9"/>
    <mergeCell ref="N28:O28"/>
    <mergeCell ref="G38:J38"/>
    <mergeCell ref="P28:Q28"/>
    <mergeCell ref="G8:X8"/>
    <mergeCell ref="G9:X9"/>
    <mergeCell ref="V17:X17"/>
    <mergeCell ref="J22:K22"/>
    <mergeCell ref="N13:O13"/>
    <mergeCell ref="L22:M22"/>
    <mergeCell ref="T22:U22"/>
    <mergeCell ref="T31:U31"/>
    <mergeCell ref="N30:O30"/>
    <mergeCell ref="J12:K12"/>
    <mergeCell ref="G27:I27"/>
    <mergeCell ref="P30:Q30"/>
    <mergeCell ref="P14:Q14"/>
    <mergeCell ref="G17:I17"/>
    <mergeCell ref="V20:X20"/>
    <mergeCell ref="R14:S14"/>
    <mergeCell ref="U43:X43"/>
    <mergeCell ref="V29:X29"/>
    <mergeCell ref="R23:S23"/>
    <mergeCell ref="G39:X39"/>
    <mergeCell ref="A34:B34"/>
    <mergeCell ref="J29:K29"/>
    <mergeCell ref="T15:U15"/>
    <mergeCell ref="G19:I19"/>
    <mergeCell ref="T29:U29"/>
    <mergeCell ref="L32:M32"/>
    <mergeCell ref="V31:X31"/>
    <mergeCell ref="N32:O32"/>
    <mergeCell ref="G37:X37"/>
    <mergeCell ref="G34:I34"/>
    <mergeCell ref="V15:X15"/>
    <mergeCell ref="K43:P43"/>
    <mergeCell ref="C18:F18"/>
    <mergeCell ref="U44:X44"/>
    <mergeCell ref="J24:K24"/>
    <mergeCell ref="C34:F34"/>
    <mergeCell ref="L24:M24"/>
    <mergeCell ref="V32:X32"/>
    <mergeCell ref="A8:F8"/>
    <mergeCell ref="L18:M18"/>
    <mergeCell ref="V26:X26"/>
    <mergeCell ref="N18:O18"/>
    <mergeCell ref="N27:O27"/>
    <mergeCell ref="G20:I20"/>
    <mergeCell ref="P27:Q27"/>
    <mergeCell ref="L33:M33"/>
    <mergeCell ref="N33:O33"/>
    <mergeCell ref="R27:S27"/>
    <mergeCell ref="G29:I29"/>
    <mergeCell ref="J26:K26"/>
    <mergeCell ref="A12:B12"/>
    <mergeCell ref="V16:X16"/>
    <mergeCell ref="N17:O17"/>
    <mergeCell ref="L26:M26"/>
    <mergeCell ref="P17:Q17"/>
    <mergeCell ref="A21:B21"/>
    <mergeCell ref="J35:K35"/>
    <mergeCell ref="L35:M35"/>
    <mergeCell ref="R35:S35"/>
    <mergeCell ref="R20:S20"/>
    <mergeCell ref="G22:I22"/>
    <mergeCell ref="J16:K16"/>
    <mergeCell ref="C20:F20"/>
    <mergeCell ref="G31:I31"/>
    <mergeCell ref="J25:K25"/>
    <mergeCell ref="C29:F29"/>
    <mergeCell ref="A32:B32"/>
    <mergeCell ref="L25:M25"/>
    <mergeCell ref="A14:B14"/>
    <mergeCell ref="V18:X18"/>
    <mergeCell ref="N19:O19"/>
    <mergeCell ref="G12:I12"/>
    <mergeCell ref="R17:S17"/>
    <mergeCell ref="P19:Q19"/>
    <mergeCell ref="A23:B23"/>
    <mergeCell ref="T17:U17"/>
    <mergeCell ref="G21:I21"/>
    <mergeCell ref="A39:F39"/>
    <mergeCell ref="R22:S22"/>
    <mergeCell ref="V33:X33"/>
    <mergeCell ref="C22:F22"/>
    <mergeCell ref="C31:F31"/>
    <mergeCell ref="P12:Q12"/>
    <mergeCell ref="C12:F12"/>
    <mergeCell ref="T19:U19"/>
    <mergeCell ref="G23:I23"/>
    <mergeCell ref="T34:U34"/>
    <mergeCell ref="C21:F21"/>
    <mergeCell ref="L11:M11"/>
    <mergeCell ref="T28:U28"/>
    <mergeCell ref="V35:X35"/>
    <mergeCell ref="K38:X38"/>
    <mergeCell ref="V19:X19"/>
    <mergeCell ref="V34:X34"/>
    <mergeCell ref="A24:B24"/>
    <mergeCell ref="V28:X28"/>
    <mergeCell ref="C23:F23"/>
    <mergeCell ref="T30:U30"/>
    <mergeCell ref="P29:Q29"/>
    <mergeCell ref="R29:S29"/>
    <mergeCell ref="R11:S11"/>
    <mergeCell ref="J14:K14"/>
    <mergeCell ref="A37:F37"/>
    <mergeCell ref="T20:U20"/>
    <mergeCell ref="T32:U32"/>
    <mergeCell ref="T14:U14"/>
    <mergeCell ref="G18:I18"/>
    <mergeCell ref="G6:X6"/>
    <mergeCell ref="R13:S13"/>
    <mergeCell ref="V30:X30"/>
    <mergeCell ref="J13:K13"/>
    <mergeCell ref="P31:Q31"/>
    <mergeCell ref="L13:M13"/>
    <mergeCell ref="R31:S31"/>
    <mergeCell ref="G33:I33"/>
    <mergeCell ref="V11:X11"/>
    <mergeCell ref="J30:K30"/>
    <mergeCell ref="A16:B16"/>
    <mergeCell ref="N21:O21"/>
    <mergeCell ref="P21:Q21"/>
    <mergeCell ref="A25:B25"/>
    <mergeCell ref="R15:S15"/>
    <mergeCell ref="J15:K15"/>
    <mergeCell ref="R24:S24"/>
    <mergeCell ref="G5:X5"/>
    <mergeCell ref="L15:M15"/>
    <mergeCell ref="G35:I35"/>
    <mergeCell ref="Q43:T43"/>
    <mergeCell ref="C33:F33"/>
    <mergeCell ref="L23:M23"/>
    <mergeCell ref="A18:B18"/>
    <mergeCell ref="N23:O23"/>
    <mergeCell ref="R21:S21"/>
    <mergeCell ref="P23:Q23"/>
    <mergeCell ref="T21:U21"/>
    <mergeCell ref="G25:I25"/>
    <mergeCell ref="R26:S26"/>
    <mergeCell ref="T26:U26"/>
    <mergeCell ref="C35:F35"/>
    <mergeCell ref="P16:Q16"/>
    <mergeCell ref="J32:K32"/>
    <mergeCell ref="C16:F16"/>
    <mergeCell ref="T23:U23"/>
    <mergeCell ref="C25:F25"/>
    <mergeCell ref="T13:U13"/>
    <mergeCell ref="G11:I11"/>
    <mergeCell ref="P18:Q18"/>
    <mergeCell ref="A20:B20"/>
    <mergeCell ref="T16:U16"/>
    <mergeCell ref="L34:M34"/>
    <mergeCell ref="A29:B29"/>
    <mergeCell ref="N34:O34"/>
    <mergeCell ref="A1:L1"/>
    <mergeCell ref="J18:K18"/>
    <mergeCell ref="A6:F6"/>
    <mergeCell ref="A13:B13"/>
    <mergeCell ref="L27:M27"/>
    <mergeCell ref="J33:K33"/>
    <mergeCell ref="M1:X1"/>
    <mergeCell ref="C11:F11"/>
    <mergeCell ref="A31:B31"/>
    <mergeCell ref="Q44:T44"/>
    <mergeCell ref="J17:K17"/>
  </mergeCells>
  <conditionalFormatting sqref="L12:L35">
    <cfRule type="expression" priority="1" dxfId="0">
      <formula>AND(ISNUMBER(L12),MOD(L12,1)=0)</formula>
    </cfRule>
  </conditionalFormatting>
  <printOptions horizontalCentered="1"/>
  <pageMargins left="0.3" right="0.3" top="0.4" bottom="0.4" header="0.2" footer="0.2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K-건설맵 (k-conmap.com)</dc:creator>
  <dc:title xmlns:dc="http://purl.org/dc/elements/1.1/">공사 산출내역서</dc:title>
  <dcterms:created xmlns:dcterms="http://purl.org/dc/terms/" xmlns:xsi="http://www.w3.org/2001/XMLSchema-instance" xsi:type="dcterms:W3CDTF">2026-10-17T01:06:44Z</dcterms:created>
  <dcterms:modified xmlns:dcterms="http://purl.org/dc/terms/" xmlns:xsi="http://www.w3.org/2001/XMLSchema-instance" xsi:type="dcterms:W3CDTF">2026-10-17T01:06:44Z</dcterms:modified>
</cp:coreProperties>
</file>