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업일보" sheetId="1" state="visible" r:id="rId1"/>
    <sheet xmlns:r="http://schemas.openxmlformats.org/officeDocument/2006/relationships" name="예시0929" sheetId="2" state="visible" r:id="rId2"/>
    <sheet xmlns:r="http://schemas.openxmlformats.org/officeDocument/2006/relationships" name="예시0930" sheetId="3" state="visible" r:id="rId3"/>
  </sheets>
  <definedNames>
    <definedName name="_xlnm.Print_Area" localSheetId="0">'작업일보'!$A$1:$L$60</definedName>
    <definedName name="_xlnm.Print_Area" localSheetId="1">'예시0929'!$A$1:$L$60</definedName>
    <definedName name="_xlnm.Print_Area" localSheetId="2">'예시0930'!$A$1:$L$60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0.00%;[Red]-0.00%;&quot;&quot;"/>
    <numFmt numFmtId="166" formatCode="#,##0.###;[Red]-#,##0.###;&quot;&quot;"/>
    <numFmt numFmtId="167" formatCode="0.0%;[Red]-0.0%;&quot;&quot;"/>
    <numFmt numFmtId="168" formatCode="#,##0;[Red]-#,##0;&quot;&quot;"/>
    <numFmt numFmtId="169" formatCode="yyyy-mm-dd"/>
  </numFmts>
  <fonts count="12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color rgb="00000000"/>
      <sz val="10"/>
    </font>
    <font>
      <name val="맑은 고딕"/>
      <b val="1"/>
      <color rgb="001F2937"/>
      <sz val="10"/>
    </font>
    <font>
      <name val="맑은 고딕"/>
      <color rgb="001F2937"/>
      <sz val="10"/>
    </font>
    <font>
      <name val="맑은 고딕"/>
      <b val="1"/>
      <color rgb="00111827"/>
      <sz val="11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FF1B8"/>
      </patternFill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49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shrinkToFit="1"/>
    </xf>
    <xf numFmtId="0" fontId="7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 shrinkToFit="1"/>
    </xf>
    <xf numFmtId="167" fontId="4" fillId="0" borderId="1" applyAlignment="1" pivotButton="0" quotePrefix="0" xfId="0">
      <alignment horizontal="right" vertical="center" shrinkToFit="1"/>
    </xf>
    <xf numFmtId="166" fontId="6" fillId="5" borderId="1" applyAlignment="1" pivotButton="0" quotePrefix="0" xfId="0">
      <alignment horizontal="right" vertical="center" shrinkToFit="1"/>
    </xf>
    <xf numFmtId="165" fontId="6" fillId="5" borderId="1" applyAlignment="1" pivotButton="0" quotePrefix="0" xfId="0">
      <alignment horizontal="right" vertical="center" shrinkToFit="1"/>
    </xf>
    <xf numFmtId="0" fontId="5" fillId="6" borderId="1" applyAlignment="1" pivotButton="0" quotePrefix="0" xfId="0">
      <alignment horizontal="center" vertical="center" wrapText="1"/>
    </xf>
    <xf numFmtId="167" fontId="5" fillId="5" borderId="1" applyAlignment="1" pivotButton="0" quotePrefix="0" xfId="0">
      <alignment horizontal="right" vertical="center" shrinkToFit="1"/>
    </xf>
    <xf numFmtId="0" fontId="10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right" vertical="center" shrinkToFit="1"/>
    </xf>
    <xf numFmtId="168" fontId="6" fillId="5" borderId="1" applyAlignment="1" pivotButton="0" quotePrefix="0" xfId="0">
      <alignment horizontal="right" vertical="center" shrinkToFit="1"/>
    </xf>
    <xf numFmtId="168" fontId="4" fillId="0" borderId="1" applyAlignment="1" pivotButton="0" quotePrefix="0" xfId="0">
      <alignment horizontal="right" vertical="center" shrinkToFit="1"/>
    </xf>
    <xf numFmtId="168" fontId="5" fillId="5" borderId="1" applyAlignment="1" pivotButton="0" quotePrefix="0" xfId="0">
      <alignment horizontal="right" vertical="center" shrinkToFit="1"/>
    </xf>
    <xf numFmtId="0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n"/>
    </row>
    <row r="4" ht="4" customHeight="1"/>
    <row r="5" ht="20" customHeight="1">
      <c r="A5" s="6" t="inlineStr">
        <is>
          <t>공 사 명</t>
        </is>
      </c>
      <c r="B5" s="7" t="n"/>
      <c r="C5" s="8" t="n"/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/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/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n"/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n"/>
      <c r="B12" s="19" t="n"/>
      <c r="C12" s="18" t="n"/>
      <c r="D12" s="20" t="n"/>
      <c r="E12" s="21" t="n"/>
      <c r="F12" s="22">
        <f>IF(N3="","",IFERROR(INDIRECT("'"&amp;N3&amp;"'!H"&amp;ROW()),""))</f>
        <v/>
      </c>
      <c r="G12" s="20" t="n"/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n"/>
      <c r="B13" s="19" t="n"/>
      <c r="C13" s="18" t="n"/>
      <c r="D13" s="20" t="n"/>
      <c r="E13" s="21" t="n"/>
      <c r="F13" s="22">
        <f>IF(N3="","",IFERROR(INDIRECT("'"&amp;N3&amp;"'!H"&amp;ROW()),""))</f>
        <v/>
      </c>
      <c r="G13" s="20" t="n"/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n"/>
      <c r="B14" s="19" t="n"/>
      <c r="C14" s="18" t="n"/>
      <c r="D14" s="20" t="n"/>
      <c r="E14" s="21" t="n"/>
      <c r="F14" s="22">
        <f>IF(N3="","",IFERROR(INDIRECT("'"&amp;N3&amp;"'!H"&amp;ROW()),""))</f>
        <v/>
      </c>
      <c r="G14" s="20" t="n"/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n"/>
      <c r="B15" s="19" t="n"/>
      <c r="C15" s="18" t="n"/>
      <c r="D15" s="20" t="n"/>
      <c r="E15" s="21" t="n"/>
      <c r="F15" s="22">
        <f>IF(N3="","",IFERROR(INDIRECT("'"&amp;N3&amp;"'!H"&amp;ROW()),""))</f>
        <v/>
      </c>
      <c r="G15" s="20" t="n"/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n"/>
      <c r="B16" s="19" t="n"/>
      <c r="C16" s="18" t="n"/>
      <c r="D16" s="20" t="n"/>
      <c r="E16" s="21" t="n"/>
      <c r="F16" s="22">
        <f>IF(N3="","",IFERROR(INDIRECT("'"&amp;N3&amp;"'!H"&amp;ROW()),""))</f>
        <v/>
      </c>
      <c r="G16" s="20" t="n"/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n"/>
      <c r="B17" s="19" t="n"/>
      <c r="C17" s="18" t="n"/>
      <c r="D17" s="20" t="n"/>
      <c r="E17" s="21" t="n"/>
      <c r="F17" s="22">
        <f>IF(N3="","",IFERROR(INDIRECT("'"&amp;N3&amp;"'!H"&amp;ROW()),""))</f>
        <v/>
      </c>
      <c r="G17" s="20" t="n"/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n"/>
      <c r="B18" s="19" t="n"/>
      <c r="C18" s="18" t="n"/>
      <c r="D18" s="20" t="n"/>
      <c r="E18" s="21" t="n"/>
      <c r="F18" s="22">
        <f>IF(N3="","",IFERROR(INDIRECT("'"&amp;N3&amp;"'!H"&amp;ROW()),""))</f>
        <v/>
      </c>
      <c r="G18" s="20" t="n"/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n"/>
      <c r="B28" s="7" t="n"/>
      <c r="C28" s="7" t="n"/>
      <c r="D28" s="28">
        <f>IF(N3="","",IFERROR(INDIRECT("'"&amp;N3&amp;"'!F"&amp;ROW()),""))</f>
        <v/>
      </c>
      <c r="E28" s="29" t="n"/>
      <c r="F28" s="28">
        <f>N(D28)+N(E28)</f>
        <v/>
      </c>
      <c r="G28" s="19" t="n"/>
      <c r="H28" s="7" t="n"/>
      <c r="I28" s="7" t="n"/>
      <c r="J28" s="28">
        <f>IF(N3="","",IFERROR(INDIRECT("'"&amp;N3&amp;"'!L"&amp;ROW()),""))</f>
        <v/>
      </c>
      <c r="K28" s="29" t="n"/>
      <c r="L28" s="28">
        <f>N(J28)+N(K28)</f>
        <v/>
      </c>
    </row>
    <row r="29" ht="17" customHeight="1">
      <c r="A29" s="19" t="n"/>
      <c r="B29" s="7" t="n"/>
      <c r="C29" s="7" t="n"/>
      <c r="D29" s="28">
        <f>IF(N3="","",IFERROR(INDIRECT("'"&amp;N3&amp;"'!F"&amp;ROW()),""))</f>
        <v/>
      </c>
      <c r="E29" s="29" t="n"/>
      <c r="F29" s="28">
        <f>N(D29)+N(E29)</f>
        <v/>
      </c>
      <c r="G29" s="19" t="n"/>
      <c r="H29" s="7" t="n"/>
      <c r="I29" s="7" t="n"/>
      <c r="J29" s="28">
        <f>IF(N3="","",IFERROR(INDIRECT("'"&amp;N3&amp;"'!L"&amp;ROW()),""))</f>
        <v/>
      </c>
      <c r="K29" s="29" t="n"/>
      <c r="L29" s="28">
        <f>N(J29)+N(K29)</f>
        <v/>
      </c>
    </row>
    <row r="30" ht="17" customHeight="1">
      <c r="A30" s="19" t="n"/>
      <c r="B30" s="7" t="n"/>
      <c r="C30" s="7" t="n"/>
      <c r="D30" s="28">
        <f>IF(N3="","",IFERROR(INDIRECT("'"&amp;N3&amp;"'!F"&amp;ROW()),""))</f>
        <v/>
      </c>
      <c r="E30" s="29" t="n"/>
      <c r="F30" s="28">
        <f>N(D30)+N(E30)</f>
        <v/>
      </c>
      <c r="G30" s="19" t="n"/>
      <c r="H30" s="7" t="n"/>
      <c r="I30" s="7" t="n"/>
      <c r="J30" s="28">
        <f>IF(N3="","",IFERROR(INDIRECT("'"&amp;N3&amp;"'!L"&amp;ROW()),""))</f>
        <v/>
      </c>
      <c r="K30" s="29" t="n"/>
      <c r="L30" s="28">
        <f>N(J30)+N(K30)</f>
        <v/>
      </c>
    </row>
    <row r="31" ht="17" customHeight="1">
      <c r="A31" s="19" t="n"/>
      <c r="B31" s="7" t="n"/>
      <c r="C31" s="7" t="n"/>
      <c r="D31" s="28">
        <f>IF(N3="","",IFERROR(INDIRECT("'"&amp;N3&amp;"'!F"&amp;ROW()),""))</f>
        <v/>
      </c>
      <c r="E31" s="29" t="n"/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n"/>
      <c r="B32" s="7" t="n"/>
      <c r="C32" s="7" t="n"/>
      <c r="D32" s="28">
        <f>IF(N3="","",IFERROR(INDIRECT("'"&amp;N3&amp;"'!F"&amp;ROW()),""))</f>
        <v/>
      </c>
      <c r="E32" s="29" t="n"/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n"/>
      <c r="B42" s="7" t="n"/>
      <c r="C42" s="7" t="n"/>
      <c r="D42" s="28">
        <f>IF(N3="","",IFERROR(INDIRECT("'"&amp;N3&amp;"'!F"&amp;ROW()),""))</f>
        <v/>
      </c>
      <c r="E42" s="29" t="n"/>
      <c r="F42" s="28">
        <f>N(D42)+N(E42)</f>
        <v/>
      </c>
      <c r="G42" s="19" t="n"/>
      <c r="H42" s="7" t="n"/>
      <c r="I42" s="7" t="n"/>
      <c r="J42" s="28">
        <f>IF(N3="","",IFERROR(INDIRECT("'"&amp;N3&amp;"'!L"&amp;ROW()),""))</f>
        <v/>
      </c>
      <c r="K42" s="29" t="n"/>
      <c r="L42" s="28">
        <f>N(J42)+N(K42)</f>
        <v/>
      </c>
    </row>
    <row r="43" ht="17" customHeight="1">
      <c r="A43" s="19" t="n"/>
      <c r="B43" s="7" t="n"/>
      <c r="C43" s="7" t="n"/>
      <c r="D43" s="28">
        <f>IF(N3="","",IFERROR(INDIRECT("'"&amp;N3&amp;"'!F"&amp;ROW()),""))</f>
        <v/>
      </c>
      <c r="E43" s="29" t="n"/>
      <c r="F43" s="28">
        <f>N(D43)+N(E43)</f>
        <v/>
      </c>
      <c r="G43" s="19" t="n"/>
      <c r="H43" s="7" t="n"/>
      <c r="I43" s="7" t="n"/>
      <c r="J43" s="28">
        <f>IF(N3="","",IFERROR(INDIRECT("'"&amp;N3&amp;"'!L"&amp;ROW()),""))</f>
        <v/>
      </c>
      <c r="K43" s="29" t="n"/>
      <c r="L43" s="28">
        <f>N(J43)+N(K43)</f>
        <v/>
      </c>
    </row>
    <row r="44" ht="17" customHeight="1">
      <c r="A44" s="19" t="n"/>
      <c r="B44" s="7" t="n"/>
      <c r="C44" s="7" t="n"/>
      <c r="D44" s="28">
        <f>IF(N3="","",IFERROR(INDIRECT("'"&amp;N3&amp;"'!F"&amp;ROW()),""))</f>
        <v/>
      </c>
      <c r="E44" s="29" t="n"/>
      <c r="F44" s="28">
        <f>N(D44)+N(E44)</f>
        <v/>
      </c>
      <c r="G44" s="19" t="n"/>
      <c r="H44" s="7" t="n"/>
      <c r="I44" s="7" t="n"/>
      <c r="J44" s="28">
        <f>IF(N3="","",IFERROR(INDIRECT("'"&amp;N3&amp;"'!L"&amp;ROW()),""))</f>
        <v/>
      </c>
      <c r="K44" s="29" t="n"/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n"/>
      <c r="B52" s="19" t="n"/>
      <c r="C52" s="7" t="n"/>
      <c r="D52" s="7" t="n"/>
      <c r="E52" s="7" t="n"/>
      <c r="F52" s="7" t="n"/>
      <c r="G52" s="19" t="n"/>
      <c r="H52" s="7" t="n"/>
      <c r="I52" s="7" t="n"/>
      <c r="J52" s="7" t="n"/>
      <c r="K52" s="7" t="n"/>
      <c r="L52" s="7" t="n"/>
    </row>
    <row r="53" ht="30" customHeight="1">
      <c r="A53" s="18" t="n"/>
      <c r="B53" s="19" t="n"/>
      <c r="C53" s="7" t="n"/>
      <c r="D53" s="7" t="n"/>
      <c r="E53" s="7" t="n"/>
      <c r="F53" s="7" t="n"/>
      <c r="G53" s="19" t="n"/>
      <c r="H53" s="7" t="n"/>
      <c r="I53" s="7" t="n"/>
      <c r="J53" s="7" t="n"/>
      <c r="K53" s="7" t="n"/>
      <c r="L53" s="7" t="n"/>
    </row>
    <row r="54" ht="30" customHeight="1">
      <c r="A54" s="18" t="n"/>
      <c r="B54" s="19" t="n"/>
      <c r="C54" s="7" t="n"/>
      <c r="D54" s="7" t="n"/>
      <c r="E54" s="7" t="n"/>
      <c r="F54" s="7" t="n"/>
      <c r="G54" s="19" t="n"/>
      <c r="H54" s="7" t="n"/>
      <c r="I54" s="7" t="n"/>
      <c r="J54" s="7" t="n"/>
      <c r="K54" s="7" t="n"/>
      <c r="L54" s="7" t="n"/>
    </row>
    <row r="55" ht="30" customHeight="1">
      <c r="A55" s="18" t="n"/>
      <c r="B55" s="19" t="n"/>
      <c r="C55" s="7" t="n"/>
      <c r="D55" s="7" t="n"/>
      <c r="E55" s="7" t="n"/>
      <c r="F55" s="7" t="n"/>
      <c r="G55" s="19" t="n"/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n"/>
      <c r="B60" s="7" t="n"/>
      <c r="C60" s="7" t="n"/>
      <c r="D60" s="7" t="n"/>
      <c r="E60" s="7" t="n"/>
      <c r="F60" s="7" t="n"/>
      <c r="G60" s="18" t="n"/>
      <c r="H60" s="7" t="n"/>
      <c r="I60" s="7" t="n"/>
      <c r="J60" s="7" t="n"/>
      <c r="K60" s="7" t="n"/>
      <c r="L60" s="7" t="n"/>
    </row>
    <row r="62" ht="19.5" customHeight="1">
      <c r="A62" s="32" t="inlineStr">
        <is>
          <t>이어 쓰기: 이 시트를 복사(시트 탭 우클릭 → 이동/복사 → 복사본 만들기)해 이름을 날짜로(예: 0930) 바꾸고,</t>
        </is>
      </c>
    </row>
    <row r="63" ht="34" customHeight="1">
      <c r="A63" s="32" t="inlineStr">
        <is>
          <t xml:space="preserve">      맨 위 오른쪽 노란 칸 «전날 시트 이름» 에 어제 시트 이름(예: 0929)을 적으면 전일 칸이 저절로 채워집니다. 첫날은 비워 두고 전일 칸에 직접 적으세요.</t>
        </is>
      </c>
    </row>
    <row r="64" ht="19.5" customHeight="1">
      <c r="A64" s="32" t="inlineStr">
        <is>
          <t>하늘색 칸 = 자동 계산 칸(누계·진도·진도율·합계). 보할 합계가 100%가 아니면 빨간 글이 나옵니다.</t>
        </is>
      </c>
    </row>
    <row r="65" ht="19.5" customHeight="1">
      <c r="A65" s="32" t="inlineStr">
        <is>
          <t>날씨·못 한 작업과 그 이유를 꼭 적으세요 — 나중에 공기연장·설계변경의 증거가 됩니다.</t>
        </is>
      </c>
    </row>
  </sheetData>
  <mergeCells count="93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63:L63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64:L64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  <mergeCell ref="A65:L65"/>
  </mergeCells>
  <conditionalFormatting sqref="D12:D23">
    <cfRule type="expression" priority="1" dxfId="0">
      <formula>AND(ISNUMBER(D12),MOD(D12,1)=0)</formula>
    </cfRule>
  </conditionalFormatting>
  <conditionalFormatting sqref="F12:F23">
    <cfRule type="expression" priority="2" dxfId="0">
      <formula>AND(ISNUMBER(F12),MOD(F12,1)=0)</formula>
    </cfRule>
  </conditionalFormatting>
  <conditionalFormatting sqref="G12:G23">
    <cfRule type="expression" priority="3" dxfId="0">
      <formula>AND(ISNUMBER(G12),MOD(G12,1)=0)</formula>
    </cfRule>
  </conditionalFormatting>
  <conditionalFormatting sqref="H12:H23">
    <cfRule type="expression" priority="4" dxfId="0">
      <formula>AND(ISNUMBER(H12),MOD(H12,1)=0)</formula>
    </cfRule>
  </conditionalFormatting>
  <printOptions horizontalCentered="1"/>
  <pageMargins left="0.35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N62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G1" s="33" t="inlineStr">
        <is>
          <t xml:space="preserve">작성 예시 (가상의 현장)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n"/>
    </row>
    <row r="4" ht="4" customHeight="1"/>
    <row r="5" ht="20" customHeight="1">
      <c r="A5" s="6" t="inlineStr">
        <is>
          <t>공 사 명</t>
        </is>
      </c>
      <c r="B5" s="7" t="n"/>
      <c r="C5" s="8" t="inlineStr">
        <is>
          <t>가나지구 배수로 정비공사</t>
        </is>
      </c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>
        <v>46294</v>
      </c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>
        <v>0.36</v>
      </c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inlineStr">
        <is>
          <t>맑음 / 13~24℃</t>
        </is>
      </c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inlineStr">
        <is>
          <t>토공</t>
        </is>
      </c>
      <c r="B12" s="19" t="inlineStr">
        <is>
          <t>터파기</t>
        </is>
      </c>
      <c r="C12" s="18" t="inlineStr">
        <is>
          <t>m³</t>
        </is>
      </c>
      <c r="D12" s="20" t="n">
        <v>4850</v>
      </c>
      <c r="E12" s="21" t="n">
        <v>0.12</v>
      </c>
      <c r="F12" s="20" t="n">
        <v>2910</v>
      </c>
      <c r="G12" s="20" t="n">
        <v>180</v>
      </c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inlineStr">
        <is>
          <t>토공</t>
        </is>
      </c>
      <c r="B13" s="19" t="inlineStr">
        <is>
          <t>되메우기</t>
        </is>
      </c>
      <c r="C13" s="18" t="inlineStr">
        <is>
          <t>m³</t>
        </is>
      </c>
      <c r="D13" s="20" t="n">
        <v>3920</v>
      </c>
      <c r="E13" s="21" t="n">
        <v>0.08</v>
      </c>
      <c r="F13" s="20" t="n">
        <v>1960</v>
      </c>
      <c r="G13" s="20" t="n">
        <v>150</v>
      </c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inlineStr">
        <is>
          <t>배수공</t>
        </is>
      </c>
      <c r="B14" s="19" t="inlineStr">
        <is>
          <t>배수관 부설(D600)</t>
        </is>
      </c>
      <c r="C14" s="18" t="inlineStr">
        <is>
          <t>m</t>
        </is>
      </c>
      <c r="D14" s="20" t="n">
        <v>1240</v>
      </c>
      <c r="E14" s="21" t="n">
        <v>0.3</v>
      </c>
      <c r="F14" s="20" t="n">
        <v>612</v>
      </c>
      <c r="G14" s="20" t="n">
        <v>36</v>
      </c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inlineStr">
        <is>
          <t>배수공</t>
        </is>
      </c>
      <c r="B15" s="19" t="inlineStr">
        <is>
          <t>집수정 설치</t>
        </is>
      </c>
      <c r="C15" s="18" t="inlineStr">
        <is>
          <t>개소</t>
        </is>
      </c>
      <c r="D15" s="20" t="n">
        <v>42</v>
      </c>
      <c r="E15" s="21" t="n">
        <v>0.1</v>
      </c>
      <c r="F15" s="20" t="n">
        <v>18</v>
      </c>
      <c r="G15" s="20" t="n">
        <v>2</v>
      </c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inlineStr">
        <is>
          <t>구조물공</t>
        </is>
      </c>
      <c r="B16" s="19" t="inlineStr">
        <is>
          <t>암거(2.0×2.0)</t>
        </is>
      </c>
      <c r="C16" s="18" t="inlineStr">
        <is>
          <t>m</t>
        </is>
      </c>
      <c r="D16" s="20" t="n">
        <v>85</v>
      </c>
      <c r="E16" s="21" t="n">
        <v>0.2</v>
      </c>
      <c r="F16" s="20" t="n">
        <v>34</v>
      </c>
      <c r="G16" s="20" t="n">
        <v>0</v>
      </c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inlineStr">
        <is>
          <t>포장공</t>
        </is>
      </c>
      <c r="B17" s="19" t="inlineStr">
        <is>
          <t>아스팔트 포장</t>
        </is>
      </c>
      <c r="C17" s="18" t="inlineStr">
        <is>
          <t>m²</t>
        </is>
      </c>
      <c r="D17" s="20" t="n">
        <v>6300</v>
      </c>
      <c r="E17" s="21" t="n">
        <v>0.15</v>
      </c>
      <c r="F17" s="20" t="n">
        <v>0</v>
      </c>
      <c r="G17" s="20" t="n">
        <v>0</v>
      </c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inlineStr">
        <is>
          <t>부대공</t>
        </is>
      </c>
      <c r="B18" s="19" t="inlineStr">
        <is>
          <t>안전시설·정리</t>
        </is>
      </c>
      <c r="C18" s="18" t="inlineStr">
        <is>
          <t>식</t>
        </is>
      </c>
      <c r="D18" s="20" t="n">
        <v>1</v>
      </c>
      <c r="E18" s="21" t="n">
        <v>0.05</v>
      </c>
      <c r="F18" s="20" t="n">
        <v>0.4</v>
      </c>
      <c r="G18" s="20" t="n">
        <v>0</v>
      </c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inlineStr">
        <is>
          <t>보통인부</t>
        </is>
      </c>
      <c r="B28" s="7" t="n"/>
      <c r="C28" s="7" t="n"/>
      <c r="D28" s="29" t="n">
        <v>1245</v>
      </c>
      <c r="E28" s="29" t="n">
        <v>6</v>
      </c>
      <c r="F28" s="28">
        <f>N(D28)+N(E28)</f>
        <v/>
      </c>
      <c r="G28" s="19" t="inlineStr">
        <is>
          <t>콘크리트공</t>
        </is>
      </c>
      <c r="H28" s="7" t="n"/>
      <c r="I28" s="7" t="n"/>
      <c r="J28" s="29" t="n">
        <v>96</v>
      </c>
      <c r="K28" s="29" t="n">
        <v>0</v>
      </c>
      <c r="L28" s="28">
        <f>N(J28)+N(K28)</f>
        <v/>
      </c>
    </row>
    <row r="29" ht="17" customHeight="1">
      <c r="A29" s="19" t="inlineStr">
        <is>
          <t>특별인부</t>
        </is>
      </c>
      <c r="B29" s="7" t="n"/>
      <c r="C29" s="7" t="n"/>
      <c r="D29" s="29" t="n">
        <v>382</v>
      </c>
      <c r="E29" s="29" t="n">
        <v>2</v>
      </c>
      <c r="F29" s="28">
        <f>N(D29)+N(E29)</f>
        <v/>
      </c>
      <c r="G29" s="19" t="inlineStr">
        <is>
          <t>신호수</t>
        </is>
      </c>
      <c r="H29" s="7" t="n"/>
      <c r="I29" s="7" t="n"/>
      <c r="J29" s="29" t="n">
        <v>158</v>
      </c>
      <c r="K29" s="29" t="n">
        <v>1</v>
      </c>
      <c r="L29" s="28">
        <f>N(J29)+N(K29)</f>
        <v/>
      </c>
    </row>
    <row r="30" ht="17" customHeight="1">
      <c r="A30" s="19" t="inlineStr">
        <is>
          <t>배관공</t>
        </is>
      </c>
      <c r="B30" s="7" t="n"/>
      <c r="C30" s="7" t="n"/>
      <c r="D30" s="29" t="n">
        <v>296</v>
      </c>
      <c r="E30" s="29" t="n">
        <v>4</v>
      </c>
      <c r="F30" s="28">
        <f>N(D30)+N(E30)</f>
        <v/>
      </c>
      <c r="G30" s="19" t="inlineStr">
        <is>
          <t>현장 관리</t>
        </is>
      </c>
      <c r="H30" s="7" t="n"/>
      <c r="I30" s="7" t="n"/>
      <c r="J30" s="29" t="n">
        <v>520</v>
      </c>
      <c r="K30" s="29" t="n">
        <v>3</v>
      </c>
      <c r="L30" s="28">
        <f>N(J30)+N(K30)</f>
        <v/>
      </c>
    </row>
    <row r="31" ht="17" customHeight="1">
      <c r="A31" s="19" t="inlineStr">
        <is>
          <t>철근공</t>
        </is>
      </c>
      <c r="B31" s="7" t="n"/>
      <c r="C31" s="7" t="n"/>
      <c r="D31" s="29" t="n">
        <v>188</v>
      </c>
      <c r="E31" s="29" t="n">
        <v>0</v>
      </c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inlineStr">
        <is>
          <t>형틀목공</t>
        </is>
      </c>
      <c r="B32" s="7" t="n"/>
      <c r="C32" s="7" t="n"/>
      <c r="D32" s="29" t="n">
        <v>214</v>
      </c>
      <c r="E32" s="29" t="n">
        <v>0</v>
      </c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inlineStr">
        <is>
          <t>굴착기 0.6㎥</t>
        </is>
      </c>
      <c r="B42" s="7" t="n"/>
      <c r="C42" s="7" t="n"/>
      <c r="D42" s="29" t="n">
        <v>212</v>
      </c>
      <c r="E42" s="29" t="n">
        <v>2</v>
      </c>
      <c r="F42" s="28">
        <f>N(D42)+N(E42)</f>
        <v/>
      </c>
      <c r="G42" s="19" t="inlineStr">
        <is>
          <t>살수차</t>
        </is>
      </c>
      <c r="H42" s="7" t="n"/>
      <c r="I42" s="7" t="n"/>
      <c r="J42" s="29" t="n">
        <v>42</v>
      </c>
      <c r="K42" s="29" t="n">
        <v>0</v>
      </c>
      <c r="L42" s="28">
        <f>N(J42)+N(K42)</f>
        <v/>
      </c>
    </row>
    <row r="43" ht="17" customHeight="1">
      <c r="A43" s="19" t="inlineStr">
        <is>
          <t>굴착기 0.3㎥</t>
        </is>
      </c>
      <c r="B43" s="7" t="n"/>
      <c r="C43" s="7" t="n"/>
      <c r="D43" s="29" t="n">
        <v>148</v>
      </c>
      <c r="E43" s="29" t="n">
        <v>1</v>
      </c>
      <c r="F43" s="28">
        <f>N(D43)+N(E43)</f>
        <v/>
      </c>
      <c r="G43" s="19" t="inlineStr">
        <is>
          <t>진동롤러</t>
        </is>
      </c>
      <c r="H43" s="7" t="n"/>
      <c r="I43" s="7" t="n"/>
      <c r="J43" s="29" t="n">
        <v>38</v>
      </c>
      <c r="K43" s="29" t="n">
        <v>0</v>
      </c>
      <c r="L43" s="28">
        <f>N(J43)+N(K43)</f>
        <v/>
      </c>
    </row>
    <row r="44" ht="17" customHeight="1">
      <c r="A44" s="19" t="inlineStr">
        <is>
          <t>덤프트럭 15t</t>
        </is>
      </c>
      <c r="B44" s="7" t="n"/>
      <c r="C44" s="7" t="n"/>
      <c r="D44" s="29" t="n">
        <v>305</v>
      </c>
      <c r="E44" s="29" t="n">
        <v>3</v>
      </c>
      <c r="F44" s="28">
        <f>N(D44)+N(E44)</f>
        <v/>
      </c>
      <c r="G44" s="19" t="inlineStr">
        <is>
          <t>카고크레인 5t</t>
        </is>
      </c>
      <c r="H44" s="7" t="n"/>
      <c r="I44" s="7" t="n"/>
      <c r="J44" s="29" t="n">
        <v>26</v>
      </c>
      <c r="K44" s="29" t="n">
        <v>1</v>
      </c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inlineStr">
        <is>
          <t>토공</t>
        </is>
      </c>
      <c r="B52" s="19" t="inlineStr">
        <is>
          <t>3공구 터파기 L=45m, 되메우기 L=40m</t>
        </is>
      </c>
      <c r="C52" s="7" t="n"/>
      <c r="D52" s="7" t="n"/>
      <c r="E52" s="7" t="n"/>
      <c r="F52" s="7" t="n"/>
      <c r="G52" s="19" t="inlineStr">
        <is>
          <t>3공구 터파기 L=45m 이어서</t>
        </is>
      </c>
      <c r="H52" s="7" t="n"/>
      <c r="I52" s="7" t="n"/>
      <c r="J52" s="7" t="n"/>
      <c r="K52" s="7" t="n"/>
      <c r="L52" s="7" t="n"/>
    </row>
    <row r="53" ht="30" customHeight="1">
      <c r="A53" s="18" t="inlineStr">
        <is>
          <t>배수공</t>
        </is>
      </c>
      <c r="B53" s="19" t="inlineStr">
        <is>
          <t>D600 흄관 부설 36m, 집수정 2개소</t>
        </is>
      </c>
      <c r="C53" s="7" t="n"/>
      <c r="D53" s="7" t="n"/>
      <c r="E53" s="7" t="n"/>
      <c r="F53" s="7" t="n"/>
      <c r="G53" s="19" t="inlineStr">
        <is>
          <t>D600 흄관 부설 40m, 집수정 2개소</t>
        </is>
      </c>
      <c r="H53" s="7" t="n"/>
      <c r="I53" s="7" t="n"/>
      <c r="J53" s="7" t="n"/>
      <c r="K53" s="7" t="n"/>
      <c r="L53" s="7" t="n"/>
    </row>
    <row r="54" ht="30" customHeight="1">
      <c r="A54" s="18" t="inlineStr">
        <is>
          <t>구조물공</t>
        </is>
      </c>
      <c r="B54" s="19" t="inlineStr">
        <is>
          <t>암거 기초 거푸집 조립</t>
        </is>
      </c>
      <c r="C54" s="7" t="n"/>
      <c r="D54" s="7" t="n"/>
      <c r="E54" s="7" t="n"/>
      <c r="F54" s="7" t="n"/>
      <c r="G54" s="19" t="inlineStr">
        <is>
          <t>암거 기초 콘크리트 타설(3.5m)</t>
        </is>
      </c>
      <c r="H54" s="7" t="n"/>
      <c r="I54" s="7" t="n"/>
      <c r="J54" s="7" t="n"/>
      <c r="K54" s="7" t="n"/>
      <c r="L54" s="7" t="n"/>
    </row>
    <row r="55" ht="30" customHeight="1">
      <c r="A55" s="18" t="inlineStr">
        <is>
          <t>안전</t>
        </is>
      </c>
      <c r="B55" s="19" t="inlineStr">
        <is>
          <t>TBM 실시 — 굴착 사면·장비 협착 주의</t>
        </is>
      </c>
      <c r="C55" s="7" t="n"/>
      <c r="D55" s="7" t="n"/>
      <c r="E55" s="7" t="n"/>
      <c r="F55" s="7" t="n"/>
      <c r="G55" s="19" t="inlineStr">
        <is>
          <t>우천 대비 가배수로 정비</t>
        </is>
      </c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inlineStr">
        <is>
          <t>감독 현장점검 14:00 — 지적사항 없음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inlineStr">
        <is>
          <t>3공구 터파기 전경</t>
        </is>
      </c>
      <c r="B60" s="7" t="n"/>
      <c r="C60" s="7" t="n"/>
      <c r="D60" s="7" t="n"/>
      <c r="E60" s="7" t="n"/>
      <c r="F60" s="7" t="n"/>
      <c r="G60" s="18" t="inlineStr">
        <is>
          <t>D600 흄관 부설</t>
        </is>
      </c>
      <c r="H60" s="7" t="n"/>
      <c r="I60" s="7" t="n"/>
      <c r="J60" s="7" t="n"/>
      <c r="K60" s="7" t="n"/>
      <c r="L60" s="7" t="n"/>
    </row>
    <row r="62" ht="34" customHeight="1">
      <c r="A62" s="32" t="inlineStr">
        <is>
          <t>이 시트는 작성 예시입니다(가상의 공사). «예시0930» 은 전날 칸에 «예시0929» 를 적어 전일 값이 저절로 들어온 모습입니다.</t>
        </is>
      </c>
    </row>
  </sheetData>
  <mergeCells count="90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</mergeCells>
  <conditionalFormatting sqref="D12:D23">
    <cfRule type="expression" priority="1" dxfId="0">
      <formula>AND(ISNUMBER(D12),MOD(D12,1)=0)</formula>
    </cfRule>
  </conditionalFormatting>
  <conditionalFormatting sqref="F12:F23">
    <cfRule type="expression" priority="2" dxfId="0">
      <formula>AND(ISNUMBER(F12),MOD(F12,1)=0)</formula>
    </cfRule>
  </conditionalFormatting>
  <conditionalFormatting sqref="G12:G23">
    <cfRule type="expression" priority="3" dxfId="0">
      <formula>AND(ISNUMBER(G12),MOD(G12,1)=0)</formula>
    </cfRule>
  </conditionalFormatting>
  <conditionalFormatting sqref="H12:H23">
    <cfRule type="expression" priority="4" dxfId="0">
      <formula>AND(ISNUMBER(H12),MOD(H12,1)=0)</formula>
    </cfRule>
  </conditionalFormatting>
  <printOptions horizontalCentered="1"/>
  <pageMargins left="0.35" right="0.3" top="0.4" bottom="0.4" header="0.2" footer="0.2"/>
  <pageSetup orientation="portrait" paperSize="9" fitToHeight="1" fitToWidth="1"/>
</worksheet>
</file>

<file path=xl/worksheets/sheet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N62"/>
  <sheetViews>
    <sheetView showGridLines="0" zoomScale="100" workbookViewId="0">
      <selection activeCell="A1" sqref="A1"/>
    </sheetView>
  </sheetViews>
  <sheetFormatPr baseColWidth="8" defaultRowHeight="15"/>
  <cols>
    <col width="6.5" customWidth="1" min="1" max="1"/>
    <col width="17" customWidth="1" min="2" max="2"/>
    <col width="5.5" customWidth="1" min="3" max="3"/>
    <col width="9" customWidth="1" min="4" max="4"/>
    <col width="8" customWidth="1" min="5" max="5"/>
    <col width="9" customWidth="1" min="6" max="6"/>
    <col width="9" customWidth="1" min="7" max="7"/>
    <col width="9" customWidth="1" min="8" max="8"/>
    <col width="8.5" customWidth="1" min="9" max="9"/>
    <col width="8.5" customWidth="1" min="10" max="10"/>
    <col width="8.5" customWidth="1" min="11" max="11"/>
    <col width="8.5" customWidth="1" min="12" max="12"/>
    <col width="15" customWidth="1" min="13" max="13"/>
    <col width="12" customWidth="1" min="14" max="14"/>
  </cols>
  <sheetData>
    <row r="1" ht="20" customHeight="1">
      <c r="A1" s="1" t="inlineStr">
        <is>
          <t xml:space="preserve">  K-건설맵  |  k-conmap.com  무료 건설 서식</t>
        </is>
      </c>
      <c r="G1" s="33" t="inlineStr">
        <is>
          <t xml:space="preserve">작성 예시 (가상의 현장)  </t>
        </is>
      </c>
    </row>
    <row r="2" ht="2" customHeight="1"/>
    <row r="3" ht="34" customHeight="1">
      <c r="A3" s="3" t="inlineStr">
        <is>
          <t>작  업  일  보</t>
        </is>
      </c>
      <c r="M3" s="4" t="inlineStr">
        <is>
          <t>전날 시트 이름 →</t>
        </is>
      </c>
      <c r="N3" s="5" t="inlineStr">
        <is>
          <t>예시0929</t>
        </is>
      </c>
    </row>
    <row r="4" ht="4" customHeight="1"/>
    <row r="5" ht="20" customHeight="1">
      <c r="A5" s="6" t="inlineStr">
        <is>
          <t>공 사 명</t>
        </is>
      </c>
      <c r="B5" s="7" t="n"/>
      <c r="C5" s="8" t="inlineStr">
        <is>
          <t>가나지구 배수로 정비공사</t>
        </is>
      </c>
      <c r="D5" s="7" t="n"/>
      <c r="E5" s="7" t="n"/>
      <c r="F5" s="7" t="n"/>
      <c r="G5" s="9" t="inlineStr">
        <is>
          <t>계 획 / 실 적</t>
        </is>
      </c>
      <c r="H5" s="7" t="n"/>
      <c r="I5" s="7" t="n"/>
      <c r="J5" s="6" t="inlineStr">
        <is>
          <t>결
재</t>
        </is>
      </c>
      <c r="K5" s="9" t="inlineStr">
        <is>
          <t>담 당</t>
        </is>
      </c>
      <c r="L5" s="9" t="inlineStr">
        <is>
          <t>소 장</t>
        </is>
      </c>
    </row>
    <row r="6" ht="22" customHeight="1">
      <c r="A6" s="6" t="inlineStr">
        <is>
          <t>일    자</t>
        </is>
      </c>
      <c r="B6" s="7" t="n"/>
      <c r="C6" s="10" t="n">
        <v>46295</v>
      </c>
      <c r="D6" s="7" t="n"/>
      <c r="E6" s="11">
        <f>IF(ISNUMBER(C6),"("&amp;CHOOSE(WEEKDAY(C6),"일","월","화","수","목","금","토")&amp;")","")</f>
        <v/>
      </c>
      <c r="F6" s="7" t="n"/>
      <c r="G6" s="6" t="inlineStr">
        <is>
          <t>계  획</t>
        </is>
      </c>
      <c r="H6" s="12" t="n">
        <v>0.365</v>
      </c>
      <c r="I6" s="7" t="n"/>
      <c r="J6" s="7" t="n"/>
      <c r="K6" s="13" t="inlineStr"/>
      <c r="L6" s="13" t="inlineStr"/>
    </row>
    <row r="7" ht="22" customHeight="1">
      <c r="A7" s="6" t="inlineStr">
        <is>
          <t>날씨 · 기온</t>
        </is>
      </c>
      <c r="B7" s="7" t="n"/>
      <c r="C7" s="14" t="inlineStr">
        <is>
          <t>구름 조금 / 14~23℃</t>
        </is>
      </c>
      <c r="D7" s="7" t="n"/>
      <c r="E7" s="7" t="n"/>
      <c r="F7" s="7" t="n"/>
      <c r="G7" s="6" t="inlineStr">
        <is>
          <t>실  적</t>
        </is>
      </c>
      <c r="H7" s="15">
        <f>K24</f>
        <v/>
      </c>
      <c r="I7" s="7" t="n"/>
      <c r="J7" s="7" t="n"/>
      <c r="K7" s="7" t="n"/>
      <c r="L7" s="7" t="n"/>
    </row>
    <row r="8" ht="6" customHeight="1"/>
    <row r="9" ht="18" customHeight="1">
      <c r="A9" s="16" t="inlineStr">
        <is>
          <t>1. 공 사 물 량</t>
        </is>
      </c>
      <c r="G9" s="4" t="inlineStr">
        <is>
          <t>진도(%) = 작업량 ÷ 총량 × 보할</t>
        </is>
      </c>
    </row>
    <row r="10" ht="18" customHeight="1">
      <c r="A10" s="9" t="inlineStr">
        <is>
          <t>구분</t>
        </is>
      </c>
      <c r="B10" s="9" t="inlineStr">
        <is>
          <t>공    종</t>
        </is>
      </c>
      <c r="C10" s="9" t="inlineStr">
        <is>
          <t>단위</t>
        </is>
      </c>
      <c r="D10" s="9" t="inlineStr">
        <is>
          <t>총  량</t>
        </is>
      </c>
      <c r="E10" s="9" t="inlineStr">
        <is>
          <t>보할</t>
        </is>
      </c>
      <c r="F10" s="9" t="inlineStr">
        <is>
          <t>작 업 량</t>
        </is>
      </c>
      <c r="G10" s="7" t="n"/>
      <c r="H10" s="7" t="n"/>
      <c r="I10" s="9" t="inlineStr">
        <is>
          <t>진  도 (%)</t>
        </is>
      </c>
      <c r="J10" s="7" t="n"/>
      <c r="K10" s="7" t="n"/>
      <c r="L10" s="17" t="inlineStr">
        <is>
          <t>진도율
(공종)</t>
        </is>
      </c>
    </row>
    <row r="11" ht="18" customHeight="1">
      <c r="A11" s="7" t="n"/>
      <c r="B11" s="7" t="n"/>
      <c r="C11" s="7" t="n"/>
      <c r="D11" s="7" t="n"/>
      <c r="E11" s="7" t="n"/>
      <c r="F11" s="9" t="inlineStr">
        <is>
          <t>전 일</t>
        </is>
      </c>
      <c r="G11" s="9" t="inlineStr">
        <is>
          <t>금 일</t>
        </is>
      </c>
      <c r="H11" s="9" t="inlineStr">
        <is>
          <t>누 계</t>
        </is>
      </c>
      <c r="I11" s="9" t="inlineStr">
        <is>
          <t>전 일</t>
        </is>
      </c>
      <c r="J11" s="9" t="inlineStr">
        <is>
          <t>금 일</t>
        </is>
      </c>
      <c r="K11" s="9" t="inlineStr">
        <is>
          <t>누 계</t>
        </is>
      </c>
      <c r="L11" s="7" t="n"/>
    </row>
    <row r="12" ht="17" customHeight="1">
      <c r="A12" s="18" t="inlineStr">
        <is>
          <t>토공</t>
        </is>
      </c>
      <c r="B12" s="19" t="inlineStr">
        <is>
          <t>터파기</t>
        </is>
      </c>
      <c r="C12" s="18" t="inlineStr">
        <is>
          <t>m³</t>
        </is>
      </c>
      <c r="D12" s="20" t="n">
        <v>4850</v>
      </c>
      <c r="E12" s="21" t="n">
        <v>0.12</v>
      </c>
      <c r="F12" s="22">
        <f>IF(N3="","",IFERROR(INDIRECT("'"&amp;N3&amp;"'!H"&amp;ROW()),""))</f>
        <v/>
      </c>
      <c r="G12" s="20" t="n">
        <v>175</v>
      </c>
      <c r="H12" s="22">
        <f>N(F12)+N(G12)</f>
        <v/>
      </c>
      <c r="I12" s="23">
        <f>IF(N(D12)=0,"",N(F12)/D12*N(E12))</f>
        <v/>
      </c>
      <c r="J12" s="23">
        <f>IF(N(D12)=0,"",N(G12)/D12*N(E12))</f>
        <v/>
      </c>
      <c r="K12" s="23">
        <f>IF(N(D12)=0,"",N(H12)/D12*N(E12))</f>
        <v/>
      </c>
      <c r="L12" s="23">
        <f>IF(N(D12)=0,"",N(H12)/D12)</f>
        <v/>
      </c>
    </row>
    <row r="13" ht="17" customHeight="1">
      <c r="A13" s="18" t="inlineStr">
        <is>
          <t>토공</t>
        </is>
      </c>
      <c r="B13" s="19" t="inlineStr">
        <is>
          <t>되메우기</t>
        </is>
      </c>
      <c r="C13" s="18" t="inlineStr">
        <is>
          <t>m³</t>
        </is>
      </c>
      <c r="D13" s="20" t="n">
        <v>3920</v>
      </c>
      <c r="E13" s="21" t="n">
        <v>0.08</v>
      </c>
      <c r="F13" s="22">
        <f>IF(N3="","",IFERROR(INDIRECT("'"&amp;N3&amp;"'!H"&amp;ROW()),""))</f>
        <v/>
      </c>
      <c r="G13" s="20" t="n">
        <v>160</v>
      </c>
      <c r="H13" s="22">
        <f>N(F13)+N(G13)</f>
        <v/>
      </c>
      <c r="I13" s="23">
        <f>IF(N(D13)=0,"",N(F13)/D13*N(E13))</f>
        <v/>
      </c>
      <c r="J13" s="23">
        <f>IF(N(D13)=0,"",N(G13)/D13*N(E13))</f>
        <v/>
      </c>
      <c r="K13" s="23">
        <f>IF(N(D13)=0,"",N(H13)/D13*N(E13))</f>
        <v/>
      </c>
      <c r="L13" s="23">
        <f>IF(N(D13)=0,"",N(H13)/D13)</f>
        <v/>
      </c>
    </row>
    <row r="14" ht="17" customHeight="1">
      <c r="A14" s="18" t="inlineStr">
        <is>
          <t>배수공</t>
        </is>
      </c>
      <c r="B14" s="19" t="inlineStr">
        <is>
          <t>배수관 부설(D600)</t>
        </is>
      </c>
      <c r="C14" s="18" t="inlineStr">
        <is>
          <t>m</t>
        </is>
      </c>
      <c r="D14" s="20" t="n">
        <v>1240</v>
      </c>
      <c r="E14" s="21" t="n">
        <v>0.3</v>
      </c>
      <c r="F14" s="22">
        <f>IF(N3="","",IFERROR(INDIRECT("'"&amp;N3&amp;"'!H"&amp;ROW()),""))</f>
        <v/>
      </c>
      <c r="G14" s="20" t="n">
        <v>40</v>
      </c>
      <c r="H14" s="22">
        <f>N(F14)+N(G14)</f>
        <v/>
      </c>
      <c r="I14" s="23">
        <f>IF(N(D14)=0,"",N(F14)/D14*N(E14))</f>
        <v/>
      </c>
      <c r="J14" s="23">
        <f>IF(N(D14)=0,"",N(G14)/D14*N(E14))</f>
        <v/>
      </c>
      <c r="K14" s="23">
        <f>IF(N(D14)=0,"",N(H14)/D14*N(E14))</f>
        <v/>
      </c>
      <c r="L14" s="23">
        <f>IF(N(D14)=0,"",N(H14)/D14)</f>
        <v/>
      </c>
    </row>
    <row r="15" ht="17" customHeight="1">
      <c r="A15" s="18" t="inlineStr">
        <is>
          <t>배수공</t>
        </is>
      </c>
      <c r="B15" s="19" t="inlineStr">
        <is>
          <t>집수정 설치</t>
        </is>
      </c>
      <c r="C15" s="18" t="inlineStr">
        <is>
          <t>개소</t>
        </is>
      </c>
      <c r="D15" s="20" t="n">
        <v>42</v>
      </c>
      <c r="E15" s="21" t="n">
        <v>0.1</v>
      </c>
      <c r="F15" s="22">
        <f>IF(N3="","",IFERROR(INDIRECT("'"&amp;N3&amp;"'!H"&amp;ROW()),""))</f>
        <v/>
      </c>
      <c r="G15" s="20" t="n">
        <v>2</v>
      </c>
      <c r="H15" s="22">
        <f>N(F15)+N(G15)</f>
        <v/>
      </c>
      <c r="I15" s="23">
        <f>IF(N(D15)=0,"",N(F15)/D15*N(E15))</f>
        <v/>
      </c>
      <c r="J15" s="23">
        <f>IF(N(D15)=0,"",N(G15)/D15*N(E15))</f>
        <v/>
      </c>
      <c r="K15" s="23">
        <f>IF(N(D15)=0,"",N(H15)/D15*N(E15))</f>
        <v/>
      </c>
      <c r="L15" s="23">
        <f>IF(N(D15)=0,"",N(H15)/D15)</f>
        <v/>
      </c>
    </row>
    <row r="16" ht="17" customHeight="1">
      <c r="A16" s="18" t="inlineStr">
        <is>
          <t>구조물공</t>
        </is>
      </c>
      <c r="B16" s="19" t="inlineStr">
        <is>
          <t>암거(2.0×2.0)</t>
        </is>
      </c>
      <c r="C16" s="18" t="inlineStr">
        <is>
          <t>m</t>
        </is>
      </c>
      <c r="D16" s="20" t="n">
        <v>85</v>
      </c>
      <c r="E16" s="21" t="n">
        <v>0.2</v>
      </c>
      <c r="F16" s="22">
        <f>IF(N3="","",IFERROR(INDIRECT("'"&amp;N3&amp;"'!H"&amp;ROW()),""))</f>
        <v/>
      </c>
      <c r="G16" s="20" t="n">
        <v>3.5</v>
      </c>
      <c r="H16" s="22">
        <f>N(F16)+N(G16)</f>
        <v/>
      </c>
      <c r="I16" s="23">
        <f>IF(N(D16)=0,"",N(F16)/D16*N(E16))</f>
        <v/>
      </c>
      <c r="J16" s="23">
        <f>IF(N(D16)=0,"",N(G16)/D16*N(E16))</f>
        <v/>
      </c>
      <c r="K16" s="23">
        <f>IF(N(D16)=0,"",N(H16)/D16*N(E16))</f>
        <v/>
      </c>
      <c r="L16" s="23">
        <f>IF(N(D16)=0,"",N(H16)/D16)</f>
        <v/>
      </c>
    </row>
    <row r="17" ht="17" customHeight="1">
      <c r="A17" s="18" t="inlineStr">
        <is>
          <t>포장공</t>
        </is>
      </c>
      <c r="B17" s="19" t="inlineStr">
        <is>
          <t>아스팔트 포장</t>
        </is>
      </c>
      <c r="C17" s="18" t="inlineStr">
        <is>
          <t>m²</t>
        </is>
      </c>
      <c r="D17" s="20" t="n">
        <v>6300</v>
      </c>
      <c r="E17" s="21" t="n">
        <v>0.15</v>
      </c>
      <c r="F17" s="22">
        <f>IF(N3="","",IFERROR(INDIRECT("'"&amp;N3&amp;"'!H"&amp;ROW()),""))</f>
        <v/>
      </c>
      <c r="G17" s="20" t="n">
        <v>0</v>
      </c>
      <c r="H17" s="22">
        <f>N(F17)+N(G17)</f>
        <v/>
      </c>
      <c r="I17" s="23">
        <f>IF(N(D17)=0,"",N(F17)/D17*N(E17))</f>
        <v/>
      </c>
      <c r="J17" s="23">
        <f>IF(N(D17)=0,"",N(G17)/D17*N(E17))</f>
        <v/>
      </c>
      <c r="K17" s="23">
        <f>IF(N(D17)=0,"",N(H17)/D17*N(E17))</f>
        <v/>
      </c>
      <c r="L17" s="23">
        <f>IF(N(D17)=0,"",N(H17)/D17)</f>
        <v/>
      </c>
    </row>
    <row r="18" ht="17" customHeight="1">
      <c r="A18" s="18" t="inlineStr">
        <is>
          <t>부대공</t>
        </is>
      </c>
      <c r="B18" s="19" t="inlineStr">
        <is>
          <t>안전시설·정리</t>
        </is>
      </c>
      <c r="C18" s="18" t="inlineStr">
        <is>
          <t>식</t>
        </is>
      </c>
      <c r="D18" s="20" t="n">
        <v>1</v>
      </c>
      <c r="E18" s="21" t="n">
        <v>0.05</v>
      </c>
      <c r="F18" s="22">
        <f>IF(N3="","",IFERROR(INDIRECT("'"&amp;N3&amp;"'!H"&amp;ROW()),""))</f>
        <v/>
      </c>
      <c r="G18" s="20" t="n">
        <v>0.02</v>
      </c>
      <c r="H18" s="22">
        <f>N(F18)+N(G18)</f>
        <v/>
      </c>
      <c r="I18" s="23">
        <f>IF(N(D18)=0,"",N(F18)/D18*N(E18))</f>
        <v/>
      </c>
      <c r="J18" s="23">
        <f>IF(N(D18)=0,"",N(G18)/D18*N(E18))</f>
        <v/>
      </c>
      <c r="K18" s="23">
        <f>IF(N(D18)=0,"",N(H18)/D18*N(E18))</f>
        <v/>
      </c>
      <c r="L18" s="23">
        <f>IF(N(D18)=0,"",N(H18)/D18)</f>
        <v/>
      </c>
    </row>
    <row r="19" ht="17" customHeight="1">
      <c r="A19" s="18" t="n"/>
      <c r="B19" s="19" t="n"/>
      <c r="C19" s="18" t="n"/>
      <c r="D19" s="20" t="n"/>
      <c r="E19" s="21" t="n"/>
      <c r="F19" s="22">
        <f>IF(N3="","",IFERROR(INDIRECT("'"&amp;N3&amp;"'!H"&amp;ROW()),""))</f>
        <v/>
      </c>
      <c r="G19" s="20" t="n"/>
      <c r="H19" s="22">
        <f>N(F19)+N(G19)</f>
        <v/>
      </c>
      <c r="I19" s="23">
        <f>IF(N(D19)=0,"",N(F19)/D19*N(E19))</f>
        <v/>
      </c>
      <c r="J19" s="23">
        <f>IF(N(D19)=0,"",N(G19)/D19*N(E19))</f>
        <v/>
      </c>
      <c r="K19" s="23">
        <f>IF(N(D19)=0,"",N(H19)/D19*N(E19))</f>
        <v/>
      </c>
      <c r="L19" s="23">
        <f>IF(N(D19)=0,"",N(H19)/D19)</f>
        <v/>
      </c>
    </row>
    <row r="20" ht="17" customHeight="1">
      <c r="A20" s="18" t="n"/>
      <c r="B20" s="19" t="n"/>
      <c r="C20" s="18" t="n"/>
      <c r="D20" s="20" t="n"/>
      <c r="E20" s="21" t="n"/>
      <c r="F20" s="22">
        <f>IF(N3="","",IFERROR(INDIRECT("'"&amp;N3&amp;"'!H"&amp;ROW()),""))</f>
        <v/>
      </c>
      <c r="G20" s="20" t="n"/>
      <c r="H20" s="22">
        <f>N(F20)+N(G20)</f>
        <v/>
      </c>
      <c r="I20" s="23">
        <f>IF(N(D20)=0,"",N(F20)/D20*N(E20))</f>
        <v/>
      </c>
      <c r="J20" s="23">
        <f>IF(N(D20)=0,"",N(G20)/D20*N(E20))</f>
        <v/>
      </c>
      <c r="K20" s="23">
        <f>IF(N(D20)=0,"",N(H20)/D20*N(E20))</f>
        <v/>
      </c>
      <c r="L20" s="23">
        <f>IF(N(D20)=0,"",N(H20)/D20)</f>
        <v/>
      </c>
    </row>
    <row r="21" ht="17" customHeight="1">
      <c r="A21" s="18" t="n"/>
      <c r="B21" s="19" t="n"/>
      <c r="C21" s="18" t="n"/>
      <c r="D21" s="20" t="n"/>
      <c r="E21" s="21" t="n"/>
      <c r="F21" s="22">
        <f>IF(N3="","",IFERROR(INDIRECT("'"&amp;N3&amp;"'!H"&amp;ROW()),""))</f>
        <v/>
      </c>
      <c r="G21" s="20" t="n"/>
      <c r="H21" s="22">
        <f>N(F21)+N(G21)</f>
        <v/>
      </c>
      <c r="I21" s="23">
        <f>IF(N(D21)=0,"",N(F21)/D21*N(E21))</f>
        <v/>
      </c>
      <c r="J21" s="23">
        <f>IF(N(D21)=0,"",N(G21)/D21*N(E21))</f>
        <v/>
      </c>
      <c r="K21" s="23">
        <f>IF(N(D21)=0,"",N(H21)/D21*N(E21))</f>
        <v/>
      </c>
      <c r="L21" s="23">
        <f>IF(N(D21)=0,"",N(H21)/D21)</f>
        <v/>
      </c>
    </row>
    <row r="22" ht="17" customHeight="1">
      <c r="A22" s="18" t="n"/>
      <c r="B22" s="19" t="n"/>
      <c r="C22" s="18" t="n"/>
      <c r="D22" s="20" t="n"/>
      <c r="E22" s="21" t="n"/>
      <c r="F22" s="22">
        <f>IF(N3="","",IFERROR(INDIRECT("'"&amp;N3&amp;"'!H"&amp;ROW()),""))</f>
        <v/>
      </c>
      <c r="G22" s="20" t="n"/>
      <c r="H22" s="22">
        <f>N(F22)+N(G22)</f>
        <v/>
      </c>
      <c r="I22" s="23">
        <f>IF(N(D22)=0,"",N(F22)/D22*N(E22))</f>
        <v/>
      </c>
      <c r="J22" s="23">
        <f>IF(N(D22)=0,"",N(G22)/D22*N(E22))</f>
        <v/>
      </c>
      <c r="K22" s="23">
        <f>IF(N(D22)=0,"",N(H22)/D22*N(E22))</f>
        <v/>
      </c>
      <c r="L22" s="23">
        <f>IF(N(D22)=0,"",N(H22)/D22)</f>
        <v/>
      </c>
    </row>
    <row r="23" ht="17" customHeight="1">
      <c r="A23" s="18" t="n"/>
      <c r="B23" s="19" t="n"/>
      <c r="C23" s="18" t="n"/>
      <c r="D23" s="20" t="n"/>
      <c r="E23" s="21" t="n"/>
      <c r="F23" s="22">
        <f>IF(N3="","",IFERROR(INDIRECT("'"&amp;N3&amp;"'!H"&amp;ROW()),""))</f>
        <v/>
      </c>
      <c r="G23" s="20" t="n"/>
      <c r="H23" s="22">
        <f>N(F23)+N(G23)</f>
        <v/>
      </c>
      <c r="I23" s="23">
        <f>IF(N(D23)=0,"",N(F23)/D23*N(E23))</f>
        <v/>
      </c>
      <c r="J23" s="23">
        <f>IF(N(D23)=0,"",N(G23)/D23*N(E23))</f>
        <v/>
      </c>
      <c r="K23" s="23">
        <f>IF(N(D23)=0,"",N(H23)/D23*N(E23))</f>
        <v/>
      </c>
      <c r="L23" s="23">
        <f>IF(N(D23)=0,"",N(H23)/D23)</f>
        <v/>
      </c>
    </row>
    <row r="24" ht="19" customHeight="1">
      <c r="A24" s="24" t="inlineStr">
        <is>
          <t>합        계</t>
        </is>
      </c>
      <c r="B24" s="7" t="n"/>
      <c r="C24" s="7" t="n"/>
      <c r="D24" s="7" t="n"/>
      <c r="E24" s="25">
        <f>SUM(E12:E23)</f>
        <v/>
      </c>
      <c r="F24" s="26">
        <f>IF(COUNT(E12:E23)=0,"",IF(ROUND(SUM(E12:E23),6)=1,"","⚠ 보할 합계가 100%가 아닙니다"))</f>
        <v/>
      </c>
      <c r="G24" s="7" t="n"/>
      <c r="H24" s="7" t="n"/>
      <c r="I24" s="27">
        <f>SUM(I12:I23)</f>
        <v/>
      </c>
      <c r="J24" s="27">
        <f>SUM(J12:J23)</f>
        <v/>
      </c>
      <c r="K24" s="27">
        <f>SUM(K12:K23)</f>
        <v/>
      </c>
      <c r="L24" s="24" t="inlineStr"/>
    </row>
    <row r="25" ht="6" customHeight="1"/>
    <row r="26" ht="18" customHeight="1">
      <c r="A26" s="16" t="inlineStr">
        <is>
          <t>2. 인 원 동 원</t>
        </is>
      </c>
      <c r="J26" s="4" t="inlineStr">
        <is>
          <t>(단위: 명)</t>
        </is>
      </c>
    </row>
    <row r="27" ht="18" customHeight="1">
      <c r="A27" s="9" t="inlineStr">
        <is>
          <t>직    종</t>
        </is>
      </c>
      <c r="B27" s="7" t="n"/>
      <c r="C27" s="7" t="n"/>
      <c r="D27" s="9" t="inlineStr">
        <is>
          <t>전일누계</t>
        </is>
      </c>
      <c r="E27" s="9" t="inlineStr">
        <is>
          <t>금 일</t>
        </is>
      </c>
      <c r="F27" s="9" t="inlineStr">
        <is>
          <t>누 계</t>
        </is>
      </c>
      <c r="G27" s="9" t="inlineStr">
        <is>
          <t>직    종</t>
        </is>
      </c>
      <c r="H27" s="7" t="n"/>
      <c r="I27" s="7" t="n"/>
      <c r="J27" s="9" t="inlineStr">
        <is>
          <t>전일누계</t>
        </is>
      </c>
      <c r="K27" s="9" t="inlineStr">
        <is>
          <t>금 일</t>
        </is>
      </c>
      <c r="L27" s="9" t="inlineStr">
        <is>
          <t>누 계</t>
        </is>
      </c>
    </row>
    <row r="28" ht="17" customHeight="1">
      <c r="A28" s="19" t="inlineStr">
        <is>
          <t>보통인부</t>
        </is>
      </c>
      <c r="B28" s="7" t="n"/>
      <c r="C28" s="7" t="n"/>
      <c r="D28" s="28">
        <f>IF(N3="","",IFERROR(INDIRECT("'"&amp;N3&amp;"'!F"&amp;ROW()),""))</f>
        <v/>
      </c>
      <c r="E28" s="29" t="n">
        <v>7</v>
      </c>
      <c r="F28" s="28">
        <f>N(D28)+N(E28)</f>
        <v/>
      </c>
      <c r="G28" s="19" t="inlineStr">
        <is>
          <t>콘크리트공</t>
        </is>
      </c>
      <c r="H28" s="7" t="n"/>
      <c r="I28" s="7" t="n"/>
      <c r="J28" s="28">
        <f>IF(N3="","",IFERROR(INDIRECT("'"&amp;N3&amp;"'!L"&amp;ROW()),""))</f>
        <v/>
      </c>
      <c r="K28" s="29" t="n">
        <v>0</v>
      </c>
      <c r="L28" s="28">
        <f>N(J28)+N(K28)</f>
        <v/>
      </c>
    </row>
    <row r="29" ht="17" customHeight="1">
      <c r="A29" s="19" t="inlineStr">
        <is>
          <t>특별인부</t>
        </is>
      </c>
      <c r="B29" s="7" t="n"/>
      <c r="C29" s="7" t="n"/>
      <c r="D29" s="28">
        <f>IF(N3="","",IFERROR(INDIRECT("'"&amp;N3&amp;"'!F"&amp;ROW()),""))</f>
        <v/>
      </c>
      <c r="E29" s="29" t="n">
        <v>2</v>
      </c>
      <c r="F29" s="28">
        <f>N(D29)+N(E29)</f>
        <v/>
      </c>
      <c r="G29" s="19" t="inlineStr">
        <is>
          <t>신호수</t>
        </is>
      </c>
      <c r="H29" s="7" t="n"/>
      <c r="I29" s="7" t="n"/>
      <c r="J29" s="28">
        <f>IF(N3="","",IFERROR(INDIRECT("'"&amp;N3&amp;"'!L"&amp;ROW()),""))</f>
        <v/>
      </c>
      <c r="K29" s="29" t="n">
        <v>1</v>
      </c>
      <c r="L29" s="28">
        <f>N(J29)+N(K29)</f>
        <v/>
      </c>
    </row>
    <row r="30" ht="17" customHeight="1">
      <c r="A30" s="19" t="inlineStr">
        <is>
          <t>배관공</t>
        </is>
      </c>
      <c r="B30" s="7" t="n"/>
      <c r="C30" s="7" t="n"/>
      <c r="D30" s="28">
        <f>IF(N3="","",IFERROR(INDIRECT("'"&amp;N3&amp;"'!F"&amp;ROW()),""))</f>
        <v/>
      </c>
      <c r="E30" s="29" t="n">
        <v>4</v>
      </c>
      <c r="F30" s="28">
        <f>N(D30)+N(E30)</f>
        <v/>
      </c>
      <c r="G30" s="19" t="inlineStr">
        <is>
          <t>현장 관리</t>
        </is>
      </c>
      <c r="H30" s="7" t="n"/>
      <c r="I30" s="7" t="n"/>
      <c r="J30" s="28">
        <f>IF(N3="","",IFERROR(INDIRECT("'"&amp;N3&amp;"'!L"&amp;ROW()),""))</f>
        <v/>
      </c>
      <c r="K30" s="29" t="n">
        <v>3</v>
      </c>
      <c r="L30" s="28">
        <f>N(J30)+N(K30)</f>
        <v/>
      </c>
    </row>
    <row r="31" ht="17" customHeight="1">
      <c r="A31" s="19" t="inlineStr">
        <is>
          <t>철근공</t>
        </is>
      </c>
      <c r="B31" s="7" t="n"/>
      <c r="C31" s="7" t="n"/>
      <c r="D31" s="28">
        <f>IF(N3="","",IFERROR(INDIRECT("'"&amp;N3&amp;"'!F"&amp;ROW()),""))</f>
        <v/>
      </c>
      <c r="E31" s="29" t="n">
        <v>2</v>
      </c>
      <c r="F31" s="28">
        <f>N(D31)+N(E31)</f>
        <v/>
      </c>
      <c r="G31" s="19" t="n"/>
      <c r="H31" s="7" t="n"/>
      <c r="I31" s="7" t="n"/>
      <c r="J31" s="28">
        <f>IF(N3="","",IFERROR(INDIRECT("'"&amp;N3&amp;"'!L"&amp;ROW()),""))</f>
        <v/>
      </c>
      <c r="K31" s="29" t="n"/>
      <c r="L31" s="28">
        <f>N(J31)+N(K31)</f>
        <v/>
      </c>
    </row>
    <row r="32" ht="17" customHeight="1">
      <c r="A32" s="19" t="inlineStr">
        <is>
          <t>형틀목공</t>
        </is>
      </c>
      <c r="B32" s="7" t="n"/>
      <c r="C32" s="7" t="n"/>
      <c r="D32" s="28">
        <f>IF(N3="","",IFERROR(INDIRECT("'"&amp;N3&amp;"'!F"&amp;ROW()),""))</f>
        <v/>
      </c>
      <c r="E32" s="29" t="n">
        <v>3</v>
      </c>
      <c r="F32" s="28">
        <f>N(D32)+N(E32)</f>
        <v/>
      </c>
      <c r="G32" s="19" t="n"/>
      <c r="H32" s="7" t="n"/>
      <c r="I32" s="7" t="n"/>
      <c r="J32" s="28">
        <f>IF(N3="","",IFERROR(INDIRECT("'"&amp;N3&amp;"'!L"&amp;ROW()),""))</f>
        <v/>
      </c>
      <c r="K32" s="29" t="n"/>
      <c r="L32" s="28">
        <f>N(J32)+N(K32)</f>
        <v/>
      </c>
    </row>
    <row r="33" ht="17" customHeight="1">
      <c r="A33" s="19" t="n"/>
      <c r="B33" s="7" t="n"/>
      <c r="C33" s="7" t="n"/>
      <c r="D33" s="28">
        <f>IF(N3="","",IFERROR(INDIRECT("'"&amp;N3&amp;"'!F"&amp;ROW()),""))</f>
        <v/>
      </c>
      <c r="E33" s="29" t="n"/>
      <c r="F33" s="28">
        <f>N(D33)+N(E33)</f>
        <v/>
      </c>
      <c r="G33" s="19" t="n"/>
      <c r="H33" s="7" t="n"/>
      <c r="I33" s="7" t="n"/>
      <c r="J33" s="28">
        <f>IF(N3="","",IFERROR(INDIRECT("'"&amp;N3&amp;"'!L"&amp;ROW()),""))</f>
        <v/>
      </c>
      <c r="K33" s="29" t="n"/>
      <c r="L33" s="28">
        <f>N(J33)+N(K33)</f>
        <v/>
      </c>
    </row>
    <row r="34" ht="17" customHeight="1">
      <c r="A34" s="19" t="n"/>
      <c r="B34" s="7" t="n"/>
      <c r="C34" s="7" t="n"/>
      <c r="D34" s="28">
        <f>IF(N3="","",IFERROR(INDIRECT("'"&amp;N3&amp;"'!F"&amp;ROW()),""))</f>
        <v/>
      </c>
      <c r="E34" s="29" t="n"/>
      <c r="F34" s="28">
        <f>N(D34)+N(E34)</f>
        <v/>
      </c>
      <c r="G34" s="19" t="n"/>
      <c r="H34" s="7" t="n"/>
      <c r="I34" s="7" t="n"/>
      <c r="J34" s="28">
        <f>IF(N3="","",IFERROR(INDIRECT("'"&amp;N3&amp;"'!L"&amp;ROW()),""))</f>
        <v/>
      </c>
      <c r="K34" s="29" t="n"/>
      <c r="L34" s="28">
        <f>N(J34)+N(K34)</f>
        <v/>
      </c>
    </row>
    <row r="35" ht="17" customHeight="1">
      <c r="A35" s="19" t="n"/>
      <c r="B35" s="7" t="n"/>
      <c r="C35" s="7" t="n"/>
      <c r="D35" s="28">
        <f>IF(N3="","",IFERROR(INDIRECT("'"&amp;N3&amp;"'!F"&amp;ROW()),""))</f>
        <v/>
      </c>
      <c r="E35" s="29" t="n"/>
      <c r="F35" s="28">
        <f>N(D35)+N(E35)</f>
        <v/>
      </c>
      <c r="G35" s="19" t="n"/>
      <c r="H35" s="7" t="n"/>
      <c r="I35" s="7" t="n"/>
      <c r="J35" s="28">
        <f>IF(N3="","",IFERROR(INDIRECT("'"&amp;N3&amp;"'!L"&amp;ROW()),""))</f>
        <v/>
      </c>
      <c r="K35" s="29" t="n"/>
      <c r="L35" s="28">
        <f>N(J35)+N(K35)</f>
        <v/>
      </c>
    </row>
    <row r="36" ht="17" customHeight="1">
      <c r="A36" s="19" t="n"/>
      <c r="B36" s="7" t="n"/>
      <c r="C36" s="7" t="n"/>
      <c r="D36" s="28">
        <f>IF(N3="","",IFERROR(INDIRECT("'"&amp;N3&amp;"'!F"&amp;ROW()),""))</f>
        <v/>
      </c>
      <c r="E36" s="29" t="n"/>
      <c r="F36" s="28">
        <f>N(D36)+N(E36)</f>
        <v/>
      </c>
      <c r="G36" s="19" t="n"/>
      <c r="H36" s="7" t="n"/>
      <c r="I36" s="7" t="n"/>
      <c r="J36" s="28">
        <f>IF(N3="","",IFERROR(INDIRECT("'"&amp;N3&amp;"'!L"&amp;ROW()),""))</f>
        <v/>
      </c>
      <c r="K36" s="29" t="n"/>
      <c r="L36" s="28">
        <f>N(J36)+N(K36)</f>
        <v/>
      </c>
    </row>
    <row r="37" ht="17" customHeight="1">
      <c r="A37" s="19" t="n"/>
      <c r="B37" s="7" t="n"/>
      <c r="C37" s="7" t="n"/>
      <c r="D37" s="28">
        <f>IF(N3="","",IFERROR(INDIRECT("'"&amp;N3&amp;"'!F"&amp;ROW()),""))</f>
        <v/>
      </c>
      <c r="E37" s="29" t="n"/>
      <c r="F37" s="28">
        <f>N(D37)+N(E37)</f>
        <v/>
      </c>
      <c r="G37" s="19" t="n"/>
      <c r="H37" s="7" t="n"/>
      <c r="I37" s="7" t="n"/>
      <c r="J37" s="28">
        <f>IF(N3="","",IFERROR(INDIRECT("'"&amp;N3&amp;"'!L"&amp;ROW()),""))</f>
        <v/>
      </c>
      <c r="K37" s="29" t="n"/>
      <c r="L37" s="28">
        <f>N(J37)+N(K37)</f>
        <v/>
      </c>
    </row>
    <row r="38" ht="19" customHeight="1">
      <c r="A38" s="24" t="inlineStr">
        <is>
          <t>합   계 (왼쪽 + 오른쪽)</t>
        </is>
      </c>
      <c r="B38" s="7" t="n"/>
      <c r="C38" s="7" t="n"/>
      <c r="D38" s="30">
        <f>SUM(D28:D37)+SUM(J28:J37)</f>
        <v/>
      </c>
      <c r="E38" s="30">
        <f>SUM(E28:E37)+SUM(K28:K37)</f>
        <v/>
      </c>
      <c r="F38" s="30">
        <f>SUM(F28:F37)+SUM(L28:L37)</f>
        <v/>
      </c>
      <c r="G38" s="24" t="inlineStr"/>
      <c r="H38" s="7" t="n"/>
      <c r="I38" s="7" t="n"/>
      <c r="J38" s="7" t="n"/>
      <c r="K38" s="7" t="n"/>
      <c r="L38" s="7" t="n"/>
    </row>
    <row r="39" ht="6" customHeight="1"/>
    <row r="40" ht="18" customHeight="1">
      <c r="A40" s="16" t="inlineStr">
        <is>
          <t>3. 장 비 동 원</t>
        </is>
      </c>
      <c r="J40" s="4" t="inlineStr">
        <is>
          <t>(단위: 대)</t>
        </is>
      </c>
    </row>
    <row r="41" ht="18" customHeight="1">
      <c r="A41" s="9" t="inlineStr">
        <is>
          <t>장  비  명</t>
        </is>
      </c>
      <c r="B41" s="7" t="n"/>
      <c r="C41" s="7" t="n"/>
      <c r="D41" s="9" t="inlineStr">
        <is>
          <t>전일누계</t>
        </is>
      </c>
      <c r="E41" s="9" t="inlineStr">
        <is>
          <t>금 일</t>
        </is>
      </c>
      <c r="F41" s="9" t="inlineStr">
        <is>
          <t>누 계</t>
        </is>
      </c>
      <c r="G41" s="9" t="inlineStr">
        <is>
          <t>장  비  명</t>
        </is>
      </c>
      <c r="H41" s="7" t="n"/>
      <c r="I41" s="7" t="n"/>
      <c r="J41" s="9" t="inlineStr">
        <is>
          <t>전일누계</t>
        </is>
      </c>
      <c r="K41" s="9" t="inlineStr">
        <is>
          <t>금 일</t>
        </is>
      </c>
      <c r="L41" s="9" t="inlineStr">
        <is>
          <t>누 계</t>
        </is>
      </c>
    </row>
    <row r="42" ht="17" customHeight="1">
      <c r="A42" s="19" t="inlineStr">
        <is>
          <t>굴착기 0.6㎥</t>
        </is>
      </c>
      <c r="B42" s="7" t="n"/>
      <c r="C42" s="7" t="n"/>
      <c r="D42" s="28">
        <f>IF(N3="","",IFERROR(INDIRECT("'"&amp;N3&amp;"'!F"&amp;ROW()),""))</f>
        <v/>
      </c>
      <c r="E42" s="29" t="n">
        <v>2</v>
      </c>
      <c r="F42" s="28">
        <f>N(D42)+N(E42)</f>
        <v/>
      </c>
      <c r="G42" s="19" t="inlineStr">
        <is>
          <t>살수차</t>
        </is>
      </c>
      <c r="H42" s="7" t="n"/>
      <c r="I42" s="7" t="n"/>
      <c r="J42" s="28">
        <f>IF(N3="","",IFERROR(INDIRECT("'"&amp;N3&amp;"'!L"&amp;ROW()),""))</f>
        <v/>
      </c>
      <c r="K42" s="29" t="n">
        <v>1</v>
      </c>
      <c r="L42" s="28">
        <f>N(J42)+N(K42)</f>
        <v/>
      </c>
    </row>
    <row r="43" ht="17" customHeight="1">
      <c r="A43" s="19" t="inlineStr">
        <is>
          <t>굴착기 0.3㎥</t>
        </is>
      </c>
      <c r="B43" s="7" t="n"/>
      <c r="C43" s="7" t="n"/>
      <c r="D43" s="28">
        <f>IF(N3="","",IFERROR(INDIRECT("'"&amp;N3&amp;"'!F"&amp;ROW()),""))</f>
        <v/>
      </c>
      <c r="E43" s="29" t="n">
        <v>1</v>
      </c>
      <c r="F43" s="28">
        <f>N(D43)+N(E43)</f>
        <v/>
      </c>
      <c r="G43" s="19" t="inlineStr">
        <is>
          <t>진동롤러</t>
        </is>
      </c>
      <c r="H43" s="7" t="n"/>
      <c r="I43" s="7" t="n"/>
      <c r="J43" s="28">
        <f>IF(N3="","",IFERROR(INDIRECT("'"&amp;N3&amp;"'!L"&amp;ROW()),""))</f>
        <v/>
      </c>
      <c r="K43" s="29" t="n">
        <v>0</v>
      </c>
      <c r="L43" s="28">
        <f>N(J43)+N(K43)</f>
        <v/>
      </c>
    </row>
    <row r="44" ht="17" customHeight="1">
      <c r="A44" s="19" t="inlineStr">
        <is>
          <t>덤프트럭 15t</t>
        </is>
      </c>
      <c r="B44" s="7" t="n"/>
      <c r="C44" s="7" t="n"/>
      <c r="D44" s="28">
        <f>IF(N3="","",IFERROR(INDIRECT("'"&amp;N3&amp;"'!F"&amp;ROW()),""))</f>
        <v/>
      </c>
      <c r="E44" s="29" t="n">
        <v>2</v>
      </c>
      <c r="F44" s="28">
        <f>N(D44)+N(E44)</f>
        <v/>
      </c>
      <c r="G44" s="19" t="inlineStr">
        <is>
          <t>카고크레인 5t</t>
        </is>
      </c>
      <c r="H44" s="7" t="n"/>
      <c r="I44" s="7" t="n"/>
      <c r="J44" s="28">
        <f>IF(N3="","",IFERROR(INDIRECT("'"&amp;N3&amp;"'!L"&amp;ROW()),""))</f>
        <v/>
      </c>
      <c r="K44" s="29" t="n">
        <v>0</v>
      </c>
      <c r="L44" s="28">
        <f>N(J44)+N(K44)</f>
        <v/>
      </c>
    </row>
    <row r="45" ht="17" customHeight="1">
      <c r="A45" s="19" t="n"/>
      <c r="B45" s="7" t="n"/>
      <c r="C45" s="7" t="n"/>
      <c r="D45" s="28">
        <f>IF(N3="","",IFERROR(INDIRECT("'"&amp;N3&amp;"'!F"&amp;ROW()),""))</f>
        <v/>
      </c>
      <c r="E45" s="29" t="n"/>
      <c r="F45" s="28">
        <f>N(D45)+N(E45)</f>
        <v/>
      </c>
      <c r="G45" s="19" t="n"/>
      <c r="H45" s="7" t="n"/>
      <c r="I45" s="7" t="n"/>
      <c r="J45" s="28">
        <f>IF(N3="","",IFERROR(INDIRECT("'"&amp;N3&amp;"'!L"&amp;ROW()),""))</f>
        <v/>
      </c>
      <c r="K45" s="29" t="n"/>
      <c r="L45" s="28">
        <f>N(J45)+N(K45)</f>
        <v/>
      </c>
    </row>
    <row r="46" ht="17" customHeight="1">
      <c r="A46" s="19" t="n"/>
      <c r="B46" s="7" t="n"/>
      <c r="C46" s="7" t="n"/>
      <c r="D46" s="28">
        <f>IF(N3="","",IFERROR(INDIRECT("'"&amp;N3&amp;"'!F"&amp;ROW()),""))</f>
        <v/>
      </c>
      <c r="E46" s="29" t="n"/>
      <c r="F46" s="28">
        <f>N(D46)+N(E46)</f>
        <v/>
      </c>
      <c r="G46" s="19" t="n"/>
      <c r="H46" s="7" t="n"/>
      <c r="I46" s="7" t="n"/>
      <c r="J46" s="28">
        <f>IF(N3="","",IFERROR(INDIRECT("'"&amp;N3&amp;"'!L"&amp;ROW()),""))</f>
        <v/>
      </c>
      <c r="K46" s="29" t="n"/>
      <c r="L46" s="28">
        <f>N(J46)+N(K46)</f>
        <v/>
      </c>
    </row>
    <row r="47" ht="17" customHeight="1">
      <c r="A47" s="19" t="n"/>
      <c r="B47" s="7" t="n"/>
      <c r="C47" s="7" t="n"/>
      <c r="D47" s="28">
        <f>IF(N3="","",IFERROR(INDIRECT("'"&amp;N3&amp;"'!F"&amp;ROW()),""))</f>
        <v/>
      </c>
      <c r="E47" s="29" t="n"/>
      <c r="F47" s="28">
        <f>N(D47)+N(E47)</f>
        <v/>
      </c>
      <c r="G47" s="19" t="n"/>
      <c r="H47" s="7" t="n"/>
      <c r="I47" s="7" t="n"/>
      <c r="J47" s="28">
        <f>IF(N3="","",IFERROR(INDIRECT("'"&amp;N3&amp;"'!L"&amp;ROW()),""))</f>
        <v/>
      </c>
      <c r="K47" s="29" t="n"/>
      <c r="L47" s="28">
        <f>N(J47)+N(K47)</f>
        <v/>
      </c>
    </row>
    <row r="48" ht="19" customHeight="1">
      <c r="A48" s="24" t="inlineStr">
        <is>
          <t>합   계 (왼쪽 + 오른쪽)</t>
        </is>
      </c>
      <c r="B48" s="7" t="n"/>
      <c r="C48" s="7" t="n"/>
      <c r="D48" s="30">
        <f>SUM(D42:D47)+SUM(J42:J47)</f>
        <v/>
      </c>
      <c r="E48" s="30">
        <f>SUM(E42:E47)+SUM(K42:K47)</f>
        <v/>
      </c>
      <c r="F48" s="30">
        <f>SUM(F42:F47)+SUM(L42:L47)</f>
        <v/>
      </c>
      <c r="G48" s="24" t="inlineStr"/>
      <c r="H48" s="7" t="n"/>
      <c r="I48" s="7" t="n"/>
      <c r="J48" s="7" t="n"/>
      <c r="K48" s="7" t="n"/>
      <c r="L48" s="7" t="n"/>
    </row>
    <row r="49" ht="6" customHeight="1"/>
    <row r="50" ht="18" customHeight="1">
      <c r="A50" s="16" t="inlineStr">
        <is>
          <t>4. 작 업 내 용</t>
        </is>
      </c>
    </row>
    <row r="51" ht="18" customHeight="1">
      <c r="A51" s="9" t="inlineStr">
        <is>
          <t>구 분</t>
        </is>
      </c>
      <c r="B51" s="9" t="inlineStr">
        <is>
          <t>금  일  작  업</t>
        </is>
      </c>
      <c r="C51" s="7" t="n"/>
      <c r="D51" s="7" t="n"/>
      <c r="E51" s="7" t="n"/>
      <c r="F51" s="7" t="n"/>
      <c r="G51" s="9" t="inlineStr">
        <is>
          <t>명  일  작  업</t>
        </is>
      </c>
      <c r="H51" s="7" t="n"/>
      <c r="I51" s="7" t="n"/>
      <c r="J51" s="7" t="n"/>
      <c r="K51" s="7" t="n"/>
      <c r="L51" s="7" t="n"/>
    </row>
    <row r="52" ht="30" customHeight="1">
      <c r="A52" s="18" t="inlineStr">
        <is>
          <t>토공</t>
        </is>
      </c>
      <c r="B52" s="19" t="inlineStr">
        <is>
          <t>3공구 터파기 L=45m 이어서</t>
        </is>
      </c>
      <c r="C52" s="7" t="n"/>
      <c r="D52" s="7" t="n"/>
      <c r="E52" s="7" t="n"/>
      <c r="F52" s="7" t="n"/>
      <c r="G52" s="19" t="n"/>
      <c r="H52" s="7" t="n"/>
      <c r="I52" s="7" t="n"/>
      <c r="J52" s="7" t="n"/>
      <c r="K52" s="7" t="n"/>
      <c r="L52" s="7" t="n"/>
    </row>
    <row r="53" ht="30" customHeight="1">
      <c r="A53" s="18" t="inlineStr">
        <is>
          <t>배수공</t>
        </is>
      </c>
      <c r="B53" s="19" t="inlineStr">
        <is>
          <t>D600 흄관 부설 40m, 집수정 2개소</t>
        </is>
      </c>
      <c r="C53" s="7" t="n"/>
      <c r="D53" s="7" t="n"/>
      <c r="E53" s="7" t="n"/>
      <c r="F53" s="7" t="n"/>
      <c r="G53" s="19" t="n"/>
      <c r="H53" s="7" t="n"/>
      <c r="I53" s="7" t="n"/>
      <c r="J53" s="7" t="n"/>
      <c r="K53" s="7" t="n"/>
      <c r="L53" s="7" t="n"/>
    </row>
    <row r="54" ht="30" customHeight="1">
      <c r="A54" s="18" t="inlineStr">
        <is>
          <t>구조물공</t>
        </is>
      </c>
      <c r="B54" s="19" t="inlineStr">
        <is>
          <t>암거 기초 콘크리트 타설(3.5m)</t>
        </is>
      </c>
      <c r="C54" s="7" t="n"/>
      <c r="D54" s="7" t="n"/>
      <c r="E54" s="7" t="n"/>
      <c r="F54" s="7" t="n"/>
      <c r="G54" s="19" t="n"/>
      <c r="H54" s="7" t="n"/>
      <c r="I54" s="7" t="n"/>
      <c r="J54" s="7" t="n"/>
      <c r="K54" s="7" t="n"/>
      <c r="L54" s="7" t="n"/>
    </row>
    <row r="55" ht="30" customHeight="1">
      <c r="A55" s="18" t="inlineStr">
        <is>
          <t>안전</t>
        </is>
      </c>
      <c r="B55" s="19" t="inlineStr">
        <is>
          <t>우천 대비 가배수로 정비</t>
        </is>
      </c>
      <c r="C55" s="7" t="n"/>
      <c r="D55" s="7" t="n"/>
      <c r="E55" s="7" t="n"/>
      <c r="F55" s="7" t="n"/>
      <c r="G55" s="19" t="n"/>
      <c r="H55" s="7" t="n"/>
      <c r="I55" s="7" t="n"/>
      <c r="J55" s="7" t="n"/>
      <c r="K55" s="7" t="n"/>
      <c r="L55" s="7" t="n"/>
    </row>
    <row r="56" ht="30" customHeight="1">
      <c r="A56" s="31" t="inlineStr">
        <is>
          <t>특기사항</t>
        </is>
      </c>
      <c r="B56" s="19" t="inlineStr">
        <is>
          <t>레미콘 07:30 반입 확인(24-21-150), 슬럼프 시험 합격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 ht="6" customHeight="1"/>
    <row r="58" ht="18" customHeight="1">
      <c r="A58" s="16" t="inlineStr">
        <is>
          <t>5. 현 장 사 진</t>
        </is>
      </c>
    </row>
    <row r="59" ht="120" customHeight="1">
      <c r="A59" s="13" t="inlineStr"/>
      <c r="B59" s="7" t="n"/>
      <c r="C59" s="7" t="n"/>
      <c r="D59" s="7" t="n"/>
      <c r="E59" s="7" t="n"/>
      <c r="F59" s="7" t="n"/>
      <c r="G59" s="13" t="inlineStr"/>
      <c r="H59" s="7" t="n"/>
      <c r="I59" s="7" t="n"/>
      <c r="J59" s="7" t="n"/>
      <c r="K59" s="7" t="n"/>
      <c r="L59" s="7" t="n"/>
    </row>
    <row r="60" ht="18" customHeight="1">
      <c r="A60" s="18" t="inlineStr">
        <is>
          <t>3공구 터파기 전경</t>
        </is>
      </c>
      <c r="B60" s="7" t="n"/>
      <c r="C60" s="7" t="n"/>
      <c r="D60" s="7" t="n"/>
      <c r="E60" s="7" t="n"/>
      <c r="F60" s="7" t="n"/>
      <c r="G60" s="18" t="inlineStr">
        <is>
          <t>D600 흄관 부설</t>
        </is>
      </c>
      <c r="H60" s="7" t="n"/>
      <c r="I60" s="7" t="n"/>
      <c r="J60" s="7" t="n"/>
      <c r="K60" s="7" t="n"/>
      <c r="L60" s="7" t="n"/>
    </row>
    <row r="62" ht="34" customHeight="1">
      <c r="A62" s="32" t="inlineStr">
        <is>
          <t>이 시트는 작성 예시입니다(가상의 공사). «예시0930» 은 전날 칸에 «예시0929» 를 적어 전일 값이 저절로 들어온 모습입니다.</t>
        </is>
      </c>
    </row>
  </sheetData>
  <mergeCells count="90">
    <mergeCell ref="C6:D6"/>
    <mergeCell ref="A37:C37"/>
    <mergeCell ref="A46:C46"/>
    <mergeCell ref="C10:C11"/>
    <mergeCell ref="E10:E11"/>
    <mergeCell ref="B52:F52"/>
    <mergeCell ref="A7:B7"/>
    <mergeCell ref="A24:D24"/>
    <mergeCell ref="G55:L55"/>
    <mergeCell ref="J5:J7"/>
    <mergeCell ref="A43:C43"/>
    <mergeCell ref="B53:F53"/>
    <mergeCell ref="I10:K10"/>
    <mergeCell ref="A34:C34"/>
    <mergeCell ref="D10:D11"/>
    <mergeCell ref="G36:I36"/>
    <mergeCell ref="G42:I42"/>
    <mergeCell ref="A60:F60"/>
    <mergeCell ref="K6:K7"/>
    <mergeCell ref="J40:L40"/>
    <mergeCell ref="G28:I28"/>
    <mergeCell ref="B54:F54"/>
    <mergeCell ref="G37:I37"/>
    <mergeCell ref="G53:L53"/>
    <mergeCell ref="J26:L26"/>
    <mergeCell ref="A3:L3"/>
    <mergeCell ref="G30:I30"/>
    <mergeCell ref="A26:I26"/>
    <mergeCell ref="A32:C32"/>
    <mergeCell ref="A29:C29"/>
    <mergeCell ref="C5:F5"/>
    <mergeCell ref="A38:C38"/>
    <mergeCell ref="G32:I32"/>
    <mergeCell ref="A44:C44"/>
    <mergeCell ref="G41:I41"/>
    <mergeCell ref="A31:C31"/>
    <mergeCell ref="A9:F9"/>
    <mergeCell ref="L6:L7"/>
    <mergeCell ref="A58:L58"/>
    <mergeCell ref="A10:A11"/>
    <mergeCell ref="G43:I43"/>
    <mergeCell ref="A59:F59"/>
    <mergeCell ref="G27:I27"/>
    <mergeCell ref="G48:L48"/>
    <mergeCell ref="G38:L38"/>
    <mergeCell ref="F24:H24"/>
    <mergeCell ref="G34:I34"/>
    <mergeCell ref="A50:L50"/>
    <mergeCell ref="B56:L56"/>
    <mergeCell ref="A42:C42"/>
    <mergeCell ref="A47:C47"/>
    <mergeCell ref="G5:I5"/>
    <mergeCell ref="G45:I45"/>
    <mergeCell ref="G29:I29"/>
    <mergeCell ref="A28:C28"/>
    <mergeCell ref="G47:I47"/>
    <mergeCell ref="E6:F6"/>
    <mergeCell ref="G44:I44"/>
    <mergeCell ref="G31:I31"/>
    <mergeCell ref="G46:I46"/>
    <mergeCell ref="A5:B5"/>
    <mergeCell ref="G9:L9"/>
    <mergeCell ref="A40:I40"/>
    <mergeCell ref="G60:L60"/>
    <mergeCell ref="A30:C30"/>
    <mergeCell ref="G59:L59"/>
    <mergeCell ref="A1:F1"/>
    <mergeCell ref="A41:C41"/>
    <mergeCell ref="C7:F7"/>
    <mergeCell ref="A27:C27"/>
    <mergeCell ref="A6:B6"/>
    <mergeCell ref="G33:I33"/>
    <mergeCell ref="A33:C33"/>
    <mergeCell ref="H6:I6"/>
    <mergeCell ref="G35:I35"/>
    <mergeCell ref="G51:L51"/>
    <mergeCell ref="B10:B11"/>
    <mergeCell ref="A35:C35"/>
    <mergeCell ref="L10:L11"/>
    <mergeCell ref="G54:L54"/>
    <mergeCell ref="A62:L62"/>
    <mergeCell ref="G1:L1"/>
    <mergeCell ref="H7:I7"/>
    <mergeCell ref="A48:C48"/>
    <mergeCell ref="G52:L52"/>
    <mergeCell ref="F10:H10"/>
    <mergeCell ref="A36:C36"/>
    <mergeCell ref="B55:F55"/>
    <mergeCell ref="A45:C45"/>
    <mergeCell ref="B51:F51"/>
  </mergeCells>
  <conditionalFormatting sqref="D12:D23">
    <cfRule type="expression" priority="1" dxfId="0">
      <formula>AND(ISNUMBER(D12),MOD(D12,1)=0)</formula>
    </cfRule>
  </conditionalFormatting>
  <conditionalFormatting sqref="F12:F23">
    <cfRule type="expression" priority="2" dxfId="0">
      <formula>AND(ISNUMBER(F12),MOD(F12,1)=0)</formula>
    </cfRule>
  </conditionalFormatting>
  <conditionalFormatting sqref="G12:G23">
    <cfRule type="expression" priority="3" dxfId="0">
      <formula>AND(ISNUMBER(G12),MOD(G12,1)=0)</formula>
    </cfRule>
  </conditionalFormatting>
  <conditionalFormatting sqref="H12:H23">
    <cfRule type="expression" priority="4" dxfId="0">
      <formula>AND(ISNUMBER(H12),MOD(H12,1)=0)</formula>
    </cfRule>
  </conditionalFormatting>
  <printOptions horizontalCentered="1"/>
  <pageMargins left="0.35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작업일보</dc:title>
  <dcterms:created xmlns:dcterms="http://purl.org/dc/terms/" xmlns:xsi="http://www.w3.org/2001/XMLSchema-instance" xsi:type="dcterms:W3CDTF">2026-09-29T06:20:36Z</dcterms:created>
  <dcterms:modified xmlns:dcterms="http://purl.org/dc/terms/" xmlns:xsi="http://www.w3.org/2001/XMLSchema-instance" xsi:type="dcterms:W3CDTF">2026-09-29T06:20:36Z</dcterms:modified>
</cp:coreProperties>
</file>