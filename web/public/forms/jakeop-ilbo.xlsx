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국도 17호선\"/>
    </mc:Choice>
  </mc:AlternateContent>
  <xr:revisionPtr revIDLastSave="0" documentId="13_ncr:1_{D9F32187-BB28-49FB-AAE0-B2EE456DA10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0819" sheetId="105" r:id="rId1"/>
    <sheet name="0820" sheetId="104" r:id="rId2"/>
    <sheet name="0822 " sheetId="106" r:id="rId3"/>
    <sheet name="0823" sheetId="107" r:id="rId4"/>
    <sheet name="0825" sheetId="108" r:id="rId5"/>
  </sheets>
  <externalReferences>
    <externalReference r:id="rId6"/>
    <externalReference r:id="rId7"/>
  </externalReferences>
  <definedNames>
    <definedName name="_xlnm.Print_Area" localSheetId="0">'0819'!$A$1:$N$26</definedName>
    <definedName name="_xlnm.Print_Area" localSheetId="1">'0820'!$A$1:$N$25</definedName>
    <definedName name="_xlnm.Print_Area" localSheetId="2">'0822 '!$A$1:$N$25</definedName>
    <definedName name="_xlnm.Print_Area" localSheetId="3">'0823'!$A$1:$N$25</definedName>
    <definedName name="_xlnm.Print_Area" localSheetId="4">'0825'!$A$1:$N$65</definedName>
    <definedName name="_xlnm.Print_Area">#REF!</definedName>
    <definedName name="_xlnm.Print_Titles" localSheetId="0">'[1]공정별계획(생산,발송)'!#REF!</definedName>
    <definedName name="_xlnm.Print_Titles" localSheetId="1">'[1]공정별계획(생산,발송)'!#REF!</definedName>
    <definedName name="_xlnm.Print_Titles" localSheetId="2">'[1]공정별계획(생산,발송)'!#REF!</definedName>
    <definedName name="_xlnm.Print_Titles" localSheetId="3">'[1]공정별계획(생산,발송)'!#REF!</definedName>
    <definedName name="_xlnm.Print_Titles" localSheetId="4">'[1]공정별계획(생산,발송)'!#REF!</definedName>
    <definedName name="_xlnm.Print_Titles">'[1]공정별계획(생산,발송)'!#REF!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105" l="1"/>
  <c r="L18" i="105"/>
  <c r="J18" i="105"/>
  <c r="M18" i="105" s="1"/>
  <c r="N18" i="105" s="1"/>
  <c r="L17" i="105"/>
  <c r="J17" i="105"/>
  <c r="M17" i="105" s="1"/>
  <c r="N17" i="105" s="1"/>
  <c r="H16" i="105"/>
  <c r="H17" i="105"/>
  <c r="H18" i="105"/>
  <c r="H19" i="105"/>
  <c r="H20" i="105"/>
  <c r="H21" i="105"/>
  <c r="AB12" i="105"/>
  <c r="AB11" i="105"/>
  <c r="AB10" i="105"/>
  <c r="AB9" i="105"/>
  <c r="AB8" i="105"/>
  <c r="X21" i="105"/>
  <c r="V22" i="105"/>
  <c r="X18" i="105"/>
  <c r="X17" i="105"/>
  <c r="X15" i="105"/>
  <c r="X14" i="105"/>
  <c r="X13" i="105"/>
  <c r="X12" i="105"/>
  <c r="X10" i="105"/>
  <c r="X9" i="105"/>
  <c r="V17" i="105"/>
  <c r="V13" i="105"/>
  <c r="D10" i="104"/>
  <c r="H55" i="108" l="1"/>
  <c r="L51" i="108"/>
  <c r="L41" i="108"/>
  <c r="F41" i="108"/>
  <c r="R37" i="108"/>
  <c r="S36" i="108"/>
  <c r="Q35" i="108"/>
  <c r="S35" i="108" s="1"/>
  <c r="Q34" i="108"/>
  <c r="S34" i="108" s="1"/>
  <c r="S33" i="108"/>
  <c r="Q32" i="108"/>
  <c r="S32" i="108" s="1"/>
  <c r="R31" i="108"/>
  <c r="Q31" i="108"/>
  <c r="S30" i="108"/>
  <c r="R29" i="108"/>
  <c r="Q29" i="108"/>
  <c r="S29" i="108" s="1"/>
  <c r="A29" i="108"/>
  <c r="Q28" i="108"/>
  <c r="Q37" i="108" s="1"/>
  <c r="S37" i="108" s="1"/>
  <c r="A28" i="108"/>
  <c r="K25" i="108"/>
  <c r="E25" i="108"/>
  <c r="H24" i="108"/>
  <c r="H23" i="108"/>
  <c r="H22" i="108"/>
  <c r="H21" i="108"/>
  <c r="H20" i="108"/>
  <c r="H19" i="108"/>
  <c r="H18" i="108"/>
  <c r="H17" i="108"/>
  <c r="H16" i="108"/>
  <c r="D15" i="108"/>
  <c r="L15" i="108" s="1"/>
  <c r="C15" i="108"/>
  <c r="B15" i="108"/>
  <c r="D14" i="108"/>
  <c r="L14" i="108" s="1"/>
  <c r="C14" i="108"/>
  <c r="B14" i="108"/>
  <c r="D13" i="108"/>
  <c r="L13" i="108" s="1"/>
  <c r="C13" i="108"/>
  <c r="B13" i="108"/>
  <c r="D12" i="108"/>
  <c r="L12" i="108" s="1"/>
  <c r="C12" i="108"/>
  <c r="B12" i="108"/>
  <c r="D11" i="108"/>
  <c r="L11" i="108" s="1"/>
  <c r="C11" i="108"/>
  <c r="B11" i="108"/>
  <c r="D10" i="108"/>
  <c r="L10" i="108" s="1"/>
  <c r="C10" i="108"/>
  <c r="B10" i="108"/>
  <c r="N51" i="108" l="1"/>
  <c r="S28" i="108"/>
  <c r="S31" i="108"/>
  <c r="L25" i="108"/>
  <c r="H55" i="107"/>
  <c r="L51" i="107"/>
  <c r="L41" i="107"/>
  <c r="F41" i="107"/>
  <c r="S36" i="107"/>
  <c r="Q35" i="107"/>
  <c r="S35" i="107" s="1"/>
  <c r="Q34" i="107"/>
  <c r="S34" i="107" s="1"/>
  <c r="S33" i="107"/>
  <c r="S32" i="107"/>
  <c r="Q32" i="107"/>
  <c r="R31" i="107"/>
  <c r="Q31" i="107"/>
  <c r="S30" i="107"/>
  <c r="R29" i="107"/>
  <c r="R37" i="107" s="1"/>
  <c r="Q29" i="107"/>
  <c r="A29" i="107"/>
  <c r="Q28" i="107"/>
  <c r="S28" i="107" s="1"/>
  <c r="A28" i="107"/>
  <c r="K25" i="107"/>
  <c r="E25" i="107"/>
  <c r="H24" i="107"/>
  <c r="H23" i="107"/>
  <c r="H22" i="107"/>
  <c r="H21" i="107"/>
  <c r="H20" i="107"/>
  <c r="H19" i="107"/>
  <c r="H18" i="107"/>
  <c r="H17" i="107"/>
  <c r="H16" i="107"/>
  <c r="D15" i="107"/>
  <c r="L15" i="107" s="1"/>
  <c r="C15" i="107"/>
  <c r="B15" i="107"/>
  <c r="D14" i="107"/>
  <c r="L14" i="107" s="1"/>
  <c r="C14" i="107"/>
  <c r="B14" i="107"/>
  <c r="D13" i="107"/>
  <c r="L13" i="107" s="1"/>
  <c r="C13" i="107"/>
  <c r="B13" i="107"/>
  <c r="D12" i="107"/>
  <c r="L12" i="107" s="1"/>
  <c r="C12" i="107"/>
  <c r="B12" i="107"/>
  <c r="D11" i="107"/>
  <c r="L11" i="107" s="1"/>
  <c r="C11" i="107"/>
  <c r="B11" i="107"/>
  <c r="D10" i="107"/>
  <c r="L10" i="107" s="1"/>
  <c r="C10" i="107"/>
  <c r="B10" i="107"/>
  <c r="Q37" i="107" l="1"/>
  <c r="S37" i="107" s="1"/>
  <c r="S31" i="107"/>
  <c r="L25" i="107"/>
  <c r="S29" i="107"/>
  <c r="H55" i="106"/>
  <c r="L51" i="106"/>
  <c r="L41" i="106"/>
  <c r="F41" i="106"/>
  <c r="S36" i="106"/>
  <c r="Q35" i="106"/>
  <c r="S35" i="106" s="1"/>
  <c r="Q34" i="106"/>
  <c r="S34" i="106" s="1"/>
  <c r="S33" i="106"/>
  <c r="Q32" i="106"/>
  <c r="S32" i="106" s="1"/>
  <c r="R31" i="106"/>
  <c r="Q31" i="106"/>
  <c r="S31" i="106" s="1"/>
  <c r="S30" i="106"/>
  <c r="R29" i="106"/>
  <c r="S29" i="106" s="1"/>
  <c r="Q29" i="106"/>
  <c r="A29" i="106"/>
  <c r="Q28" i="106"/>
  <c r="A28" i="106"/>
  <c r="K25" i="106"/>
  <c r="E25" i="106"/>
  <c r="H24" i="106"/>
  <c r="H23" i="106"/>
  <c r="H22" i="106"/>
  <c r="H21" i="106"/>
  <c r="H20" i="106"/>
  <c r="H19" i="106"/>
  <c r="H18" i="106"/>
  <c r="H17" i="106"/>
  <c r="H16" i="106"/>
  <c r="D15" i="106"/>
  <c r="L15" i="106" s="1"/>
  <c r="C15" i="106"/>
  <c r="B15" i="106"/>
  <c r="D14" i="106"/>
  <c r="L14" i="106" s="1"/>
  <c r="C14" i="106"/>
  <c r="B14" i="106"/>
  <c r="D13" i="106"/>
  <c r="L13" i="106" s="1"/>
  <c r="C13" i="106"/>
  <c r="B13" i="106"/>
  <c r="D12" i="106"/>
  <c r="L12" i="106" s="1"/>
  <c r="C12" i="106"/>
  <c r="B12" i="106"/>
  <c r="D11" i="106"/>
  <c r="L11" i="106" s="1"/>
  <c r="C11" i="106"/>
  <c r="B11" i="106"/>
  <c r="D10" i="106"/>
  <c r="C10" i="106"/>
  <c r="B10" i="106"/>
  <c r="L10" i="106" l="1"/>
  <c r="L25" i="106" s="1"/>
  <c r="U10" i="106"/>
  <c r="U11" i="106" s="1"/>
  <c r="U12" i="106" s="1"/>
  <c r="Q37" i="106"/>
  <c r="R37" i="106"/>
  <c r="S28" i="106"/>
  <c r="S37" i="106" l="1"/>
  <c r="H55" i="105"/>
  <c r="D11" i="104" l="1"/>
  <c r="D12" i="104"/>
  <c r="D13" i="104"/>
  <c r="D14" i="104"/>
  <c r="D15" i="104"/>
  <c r="C11" i="104"/>
  <c r="C12" i="104"/>
  <c r="C13" i="104"/>
  <c r="C14" i="104"/>
  <c r="C15" i="104"/>
  <c r="C10" i="104"/>
  <c r="B11" i="104"/>
  <c r="B12" i="104"/>
  <c r="B13" i="104"/>
  <c r="B14" i="104"/>
  <c r="B15" i="104"/>
  <c r="B10" i="104"/>
  <c r="A29" i="104"/>
  <c r="A28" i="104"/>
  <c r="E26" i="105" l="1"/>
  <c r="F42" i="105" l="1"/>
  <c r="F33" i="105"/>
  <c r="D32" i="104" s="1"/>
  <c r="F32" i="104" s="1"/>
  <c r="D32" i="106" s="1"/>
  <c r="F32" i="106" s="1"/>
  <c r="D32" i="107" s="1"/>
  <c r="F32" i="107" s="1"/>
  <c r="D32" i="108" s="1"/>
  <c r="F32" i="108" s="1"/>
  <c r="F37" i="105"/>
  <c r="F41" i="105"/>
  <c r="F40" i="105"/>
  <c r="F39" i="105"/>
  <c r="R38" i="105"/>
  <c r="F38" i="105"/>
  <c r="S37" i="105"/>
  <c r="S36" i="105"/>
  <c r="F36" i="105"/>
  <c r="S35" i="105"/>
  <c r="F35" i="105"/>
  <c r="D34" i="104" s="1"/>
  <c r="F34" i="104" s="1"/>
  <c r="D34" i="106" s="1"/>
  <c r="F34" i="106" s="1"/>
  <c r="D34" i="107" s="1"/>
  <c r="F34" i="107" s="1"/>
  <c r="D34" i="108" s="1"/>
  <c r="F34" i="108" s="1"/>
  <c r="S34" i="105"/>
  <c r="L42" i="105"/>
  <c r="F34" i="105"/>
  <c r="D33" i="104" s="1"/>
  <c r="F33" i="104" s="1"/>
  <c r="D33" i="106" s="1"/>
  <c r="F33" i="106" s="1"/>
  <c r="D33" i="107" s="1"/>
  <c r="F33" i="107" s="1"/>
  <c r="D33" i="108" s="1"/>
  <c r="F33" i="108" s="1"/>
  <c r="S33" i="105"/>
  <c r="S32" i="105"/>
  <c r="F32" i="105"/>
  <c r="D31" i="104" s="1"/>
  <c r="F31" i="104" s="1"/>
  <c r="D31" i="106" s="1"/>
  <c r="F31" i="106" s="1"/>
  <c r="D31" i="107" s="1"/>
  <c r="F31" i="107" s="1"/>
  <c r="D31" i="108" s="1"/>
  <c r="F31" i="108" s="1"/>
  <c r="S31" i="105"/>
  <c r="F31" i="105"/>
  <c r="D30" i="104" s="1"/>
  <c r="F30" i="104" s="1"/>
  <c r="D30" i="106" s="1"/>
  <c r="F30" i="106" s="1"/>
  <c r="D30" i="107" s="1"/>
  <c r="F30" i="107" s="1"/>
  <c r="D30" i="108" s="1"/>
  <c r="F30" i="108" s="1"/>
  <c r="S30" i="105"/>
  <c r="F30" i="105"/>
  <c r="Q38" i="105"/>
  <c r="F29" i="105"/>
  <c r="D28" i="104" s="1"/>
  <c r="F28" i="104" s="1"/>
  <c r="D28" i="106" s="1"/>
  <c r="K26" i="105"/>
  <c r="L15" i="105"/>
  <c r="J15" i="105"/>
  <c r="H15" i="105"/>
  <c r="F15" i="104" s="1"/>
  <c r="L14" i="105"/>
  <c r="J14" i="105"/>
  <c r="H14" i="105"/>
  <c r="F14" i="104" s="1"/>
  <c r="L13" i="105"/>
  <c r="J13" i="105"/>
  <c r="H13" i="105"/>
  <c r="F13" i="104" s="1"/>
  <c r="L12" i="105"/>
  <c r="J12" i="105"/>
  <c r="M12" i="105" s="1"/>
  <c r="N12" i="105" s="1"/>
  <c r="H12" i="105"/>
  <c r="F12" i="104" s="1"/>
  <c r="H11" i="105"/>
  <c r="F11" i="104" s="1"/>
  <c r="L10" i="105"/>
  <c r="J10" i="105"/>
  <c r="H10" i="105"/>
  <c r="F10" i="104" s="1"/>
  <c r="D37" i="107" l="1"/>
  <c r="F37" i="107" s="1"/>
  <c r="D37" i="108" s="1"/>
  <c r="F37" i="108" s="1"/>
  <c r="D37" i="104"/>
  <c r="F37" i="104" s="1"/>
  <c r="D37" i="106" s="1"/>
  <c r="F37" i="106" s="1"/>
  <c r="D38" i="107"/>
  <c r="F38" i="107" s="1"/>
  <c r="D38" i="108" s="1"/>
  <c r="F38" i="108" s="1"/>
  <c r="D38" i="104"/>
  <c r="F38" i="104" s="1"/>
  <c r="D38" i="106" s="1"/>
  <c r="F38" i="106" s="1"/>
  <c r="D39" i="107"/>
  <c r="F39" i="107" s="1"/>
  <c r="D39" i="108" s="1"/>
  <c r="F39" i="108" s="1"/>
  <c r="D39" i="104"/>
  <c r="F39" i="104" s="1"/>
  <c r="D39" i="106" s="1"/>
  <c r="F39" i="106" s="1"/>
  <c r="D40" i="107"/>
  <c r="F40" i="107" s="1"/>
  <c r="D40" i="108" s="1"/>
  <c r="F40" i="108" s="1"/>
  <c r="D40" i="104"/>
  <c r="F40" i="104" s="1"/>
  <c r="D40" i="106" s="1"/>
  <c r="F40" i="106" s="1"/>
  <c r="D35" i="107"/>
  <c r="F35" i="107" s="1"/>
  <c r="D35" i="108" s="1"/>
  <c r="F35" i="108" s="1"/>
  <c r="D35" i="104"/>
  <c r="F35" i="104" s="1"/>
  <c r="D35" i="106" s="1"/>
  <c r="F35" i="106" s="1"/>
  <c r="D36" i="107"/>
  <c r="F36" i="107" s="1"/>
  <c r="D36" i="108" s="1"/>
  <c r="F36" i="108" s="1"/>
  <c r="D36" i="104"/>
  <c r="F36" i="104" s="1"/>
  <c r="D36" i="106" s="1"/>
  <c r="F36" i="106" s="1"/>
  <c r="F28" i="106"/>
  <c r="M13" i="105"/>
  <c r="N13" i="105" s="1"/>
  <c r="M14" i="105"/>
  <c r="N14" i="105" s="1"/>
  <c r="J26" i="105"/>
  <c r="M15" i="105"/>
  <c r="N15" i="105" s="1"/>
  <c r="L26" i="105"/>
  <c r="S38" i="105"/>
  <c r="M10" i="105"/>
  <c r="L52" i="105"/>
  <c r="S29" i="105"/>
  <c r="R31" i="104"/>
  <c r="Q31" i="104"/>
  <c r="D28" i="107" l="1"/>
  <c r="M26" i="105"/>
  <c r="N10" i="105"/>
  <c r="N26" i="105" s="1"/>
  <c r="Q28" i="104"/>
  <c r="Q35" i="104"/>
  <c r="F28" i="107" l="1"/>
  <c r="Q34" i="104"/>
  <c r="D28" i="108" l="1"/>
  <c r="Q32" i="104"/>
  <c r="F28" i="108" l="1"/>
  <c r="R29" i="104"/>
  <c r="Q29" i="104"/>
  <c r="L51" i="104" l="1"/>
  <c r="F41" i="104"/>
  <c r="S36" i="104"/>
  <c r="S35" i="104"/>
  <c r="S34" i="104"/>
  <c r="Q37" i="104"/>
  <c r="S32" i="104"/>
  <c r="S31" i="104"/>
  <c r="S30" i="104"/>
  <c r="S29" i="104"/>
  <c r="R37" i="104"/>
  <c r="S28" i="104"/>
  <c r="K25" i="104"/>
  <c r="E25" i="104"/>
  <c r="H24" i="104"/>
  <c r="H23" i="104"/>
  <c r="H22" i="104"/>
  <c r="H21" i="104"/>
  <c r="H20" i="104"/>
  <c r="H19" i="104"/>
  <c r="H18" i="104"/>
  <c r="H17" i="104"/>
  <c r="H16" i="104"/>
  <c r="L15" i="104"/>
  <c r="J15" i="104"/>
  <c r="H15" i="104"/>
  <c r="F15" i="106" s="1"/>
  <c r="L14" i="104"/>
  <c r="J14" i="104"/>
  <c r="H14" i="104"/>
  <c r="F14" i="106" s="1"/>
  <c r="L13" i="104"/>
  <c r="J13" i="104"/>
  <c r="H13" i="104"/>
  <c r="F13" i="106" s="1"/>
  <c r="L12" i="104"/>
  <c r="J12" i="104"/>
  <c r="H12" i="104"/>
  <c r="F12" i="106" s="1"/>
  <c r="L11" i="104"/>
  <c r="J11" i="104"/>
  <c r="H11" i="104"/>
  <c r="F11" i="106" s="1"/>
  <c r="L10" i="104"/>
  <c r="J10" i="104"/>
  <c r="H10" i="104"/>
  <c r="F10" i="106" s="1"/>
  <c r="J11" i="106" l="1"/>
  <c r="M11" i="106" s="1"/>
  <c r="N11" i="106" s="1"/>
  <c r="H11" i="106"/>
  <c r="J14" i="106"/>
  <c r="M14" i="106" s="1"/>
  <c r="N14" i="106" s="1"/>
  <c r="H14" i="106"/>
  <c r="J15" i="106"/>
  <c r="M15" i="106" s="1"/>
  <c r="N15" i="106" s="1"/>
  <c r="H15" i="106"/>
  <c r="H10" i="106"/>
  <c r="J10" i="106"/>
  <c r="H12" i="106"/>
  <c r="J12" i="106"/>
  <c r="M12" i="106" s="1"/>
  <c r="N12" i="106" s="1"/>
  <c r="J13" i="106"/>
  <c r="M13" i="106" s="1"/>
  <c r="N13" i="106" s="1"/>
  <c r="H13" i="106"/>
  <c r="M11" i="104"/>
  <c r="N11" i="104" s="1"/>
  <c r="M13" i="104"/>
  <c r="N13" i="104" s="1"/>
  <c r="M12" i="104"/>
  <c r="N12" i="104" s="1"/>
  <c r="J25" i="104"/>
  <c r="M15" i="104"/>
  <c r="N15" i="104" s="1"/>
  <c r="M14" i="104"/>
  <c r="N14" i="104" s="1"/>
  <c r="L25" i="104"/>
  <c r="S37" i="104"/>
  <c r="M10" i="104"/>
  <c r="S33" i="104"/>
  <c r="L41" i="104"/>
  <c r="J25" i="106" l="1"/>
  <c r="M10" i="106"/>
  <c r="F15" i="108"/>
  <c r="H15" i="108" s="1"/>
  <c r="F15" i="107"/>
  <c r="F10" i="108"/>
  <c r="H10" i="108" s="1"/>
  <c r="F10" i="107"/>
  <c r="F14" i="108"/>
  <c r="H14" i="108" s="1"/>
  <c r="F14" i="107"/>
  <c r="F13" i="108"/>
  <c r="F13" i="107"/>
  <c r="F11" i="108"/>
  <c r="H11" i="108" s="1"/>
  <c r="F11" i="107"/>
  <c r="F12" i="108"/>
  <c r="H12" i="108" s="1"/>
  <c r="F12" i="107"/>
  <c r="M25" i="104"/>
  <c r="N10" i="104"/>
  <c r="N25" i="104" s="1"/>
  <c r="J10" i="107" l="1"/>
  <c r="H10" i="107"/>
  <c r="J14" i="107"/>
  <c r="M14" i="107" s="1"/>
  <c r="H14" i="107"/>
  <c r="J15" i="107"/>
  <c r="M15" i="107" s="1"/>
  <c r="H15" i="107"/>
  <c r="J11" i="107"/>
  <c r="M11" i="107" s="1"/>
  <c r="H11" i="107"/>
  <c r="J13" i="107"/>
  <c r="M13" i="107" s="1"/>
  <c r="H13" i="107"/>
  <c r="M25" i="106"/>
  <c r="N10" i="106"/>
  <c r="N25" i="106" s="1"/>
  <c r="H12" i="107"/>
  <c r="J12" i="107"/>
  <c r="M12" i="107" s="1"/>
  <c r="H13" i="108"/>
  <c r="J46" i="105"/>
  <c r="M46" i="105" s="1"/>
  <c r="J47" i="105"/>
  <c r="M47" i="105" s="1"/>
  <c r="J51" i="105"/>
  <c r="M51" i="105" s="1"/>
  <c r="J32" i="105"/>
  <c r="M32" i="105" s="1"/>
  <c r="J33" i="105"/>
  <c r="M33" i="105" s="1"/>
  <c r="J35" i="105"/>
  <c r="M35" i="105" s="1"/>
  <c r="J36" i="105"/>
  <c r="M36" i="105" s="1"/>
  <c r="J37" i="105"/>
  <c r="M37" i="105" s="1"/>
  <c r="J38" i="105"/>
  <c r="M38" i="105" s="1"/>
  <c r="J40" i="105"/>
  <c r="M40" i="105" s="1"/>
  <c r="J50" i="105"/>
  <c r="M50" i="105" s="1"/>
  <c r="J49" i="105"/>
  <c r="M49" i="105" s="1"/>
  <c r="J48" i="105"/>
  <c r="M48" i="105" s="1"/>
  <c r="J39" i="105"/>
  <c r="M39" i="105" s="1"/>
  <c r="J34" i="105"/>
  <c r="M34" i="105" s="1"/>
  <c r="J31" i="105"/>
  <c r="M31" i="105" s="1"/>
  <c r="J30" i="105"/>
  <c r="M30" i="105" s="1"/>
  <c r="F29" i="104"/>
  <c r="D29" i="106" s="1"/>
  <c r="N11" i="107" l="1"/>
  <c r="J11" i="108"/>
  <c r="M11" i="108" s="1"/>
  <c r="N11" i="108" s="1"/>
  <c r="N12" i="107"/>
  <c r="J12" i="108"/>
  <c r="M12" i="108" s="1"/>
  <c r="N12" i="108" s="1"/>
  <c r="N14" i="107"/>
  <c r="J14" i="108"/>
  <c r="M14" i="108" s="1"/>
  <c r="N14" i="108" s="1"/>
  <c r="F29" i="106"/>
  <c r="J41" i="106"/>
  <c r="J15" i="108"/>
  <c r="M15" i="108" s="1"/>
  <c r="N15" i="108" s="1"/>
  <c r="N15" i="107"/>
  <c r="N13" i="107"/>
  <c r="J13" i="108"/>
  <c r="M13" i="108" s="1"/>
  <c r="N13" i="108" s="1"/>
  <c r="M10" i="107"/>
  <c r="J25" i="107"/>
  <c r="D29" i="107" l="1"/>
  <c r="M41" i="106"/>
  <c r="J10" i="108"/>
  <c r="N10" i="107"/>
  <c r="N25" i="107" s="1"/>
  <c r="M25" i="107"/>
  <c r="J45" i="105"/>
  <c r="M10" i="108" l="1"/>
  <c r="J25" i="108"/>
  <c r="F29" i="107"/>
  <c r="J41" i="107"/>
  <c r="J41" i="104"/>
  <c r="J52" i="105"/>
  <c r="M45" i="105"/>
  <c r="D29" i="108" l="1"/>
  <c r="M41" i="107"/>
  <c r="M25" i="108"/>
  <c r="N10" i="108"/>
  <c r="N25" i="108" s="1"/>
  <c r="M41" i="104"/>
  <c r="J29" i="105"/>
  <c r="F29" i="108" l="1"/>
  <c r="M41" i="108" s="1"/>
  <c r="J41" i="108"/>
  <c r="M29" i="105"/>
  <c r="M42" i="105" s="1"/>
  <c r="J42" i="105"/>
  <c r="F45" i="105"/>
  <c r="F46" i="105"/>
  <c r="F47" i="105"/>
  <c r="F48" i="105"/>
  <c r="F49" i="105"/>
  <c r="F50" i="105"/>
  <c r="F51" i="105"/>
  <c r="F52" i="105"/>
  <c r="M52" i="105"/>
  <c r="Q53" i="105"/>
  <c r="O52" i="105"/>
  <c r="D44" i="104"/>
  <c r="F44" i="104"/>
  <c r="D45" i="104"/>
  <c r="F45" i="104"/>
  <c r="D46" i="104"/>
  <c r="F46" i="104"/>
  <c r="D47" i="104"/>
  <c r="F47" i="104"/>
  <c r="D48" i="104"/>
  <c r="F48" i="104"/>
  <c r="D49" i="104"/>
  <c r="F49" i="104"/>
  <c r="D50" i="104"/>
  <c r="F50" i="104"/>
  <c r="D51" i="104"/>
  <c r="F51" i="104"/>
  <c r="M51" i="104"/>
  <c r="O51" i="104"/>
  <c r="Q52" i="104"/>
  <c r="D44" i="106"/>
  <c r="F44" i="106"/>
  <c r="D45" i="106"/>
  <c r="F45" i="106"/>
  <c r="D46" i="106"/>
  <c r="F46" i="106"/>
  <c r="D47" i="106"/>
  <c r="F47" i="106"/>
  <c r="D48" i="106"/>
  <c r="F48" i="106"/>
  <c r="D49" i="106"/>
  <c r="F49" i="106"/>
  <c r="D50" i="106"/>
  <c r="F50" i="106"/>
  <c r="D51" i="106"/>
  <c r="F51" i="106"/>
  <c r="M51" i="106"/>
  <c r="Q52" i="106"/>
  <c r="O51" i="106"/>
  <c r="J51" i="104"/>
  <c r="D44" i="107"/>
  <c r="F44" i="107"/>
  <c r="D45" i="107"/>
  <c r="F45" i="107"/>
  <c r="D46" i="107"/>
  <c r="F46" i="107"/>
  <c r="D47" i="107"/>
  <c r="F47" i="107"/>
  <c r="D48" i="107"/>
  <c r="F48" i="107"/>
  <c r="D49" i="107"/>
  <c r="F49" i="107"/>
  <c r="D50" i="107"/>
  <c r="F50" i="107"/>
  <c r="D51" i="107"/>
  <c r="F51" i="107"/>
  <c r="M51" i="107"/>
  <c r="Q52" i="107"/>
  <c r="O51" i="107"/>
  <c r="J51" i="106"/>
  <c r="D44" i="108"/>
  <c r="F44" i="108"/>
  <c r="D45" i="108"/>
  <c r="F45" i="108"/>
  <c r="D46" i="108"/>
  <c r="F46" i="108"/>
  <c r="D47" i="108"/>
  <c r="F47" i="108"/>
  <c r="D48" i="108"/>
  <c r="F48" i="108"/>
  <c r="D49" i="108"/>
  <c r="F49" i="108"/>
  <c r="D50" i="108"/>
  <c r="F50" i="108"/>
  <c r="D51" i="108"/>
  <c r="F51" i="108"/>
  <c r="M51" i="108"/>
  <c r="Q52" i="108"/>
  <c r="O51" i="108"/>
  <c r="J51" i="107"/>
  <c r="J51" i="108"/>
</calcChain>
</file>

<file path=xl/sharedStrings.xml><?xml version="1.0" encoding="utf-8"?>
<sst xmlns="http://schemas.openxmlformats.org/spreadsheetml/2006/main" count="418" uniqueCount="92">
  <si>
    <t>소 장</t>
  </si>
  <si>
    <t>전 일</t>
  </si>
  <si>
    <t>총 량</t>
  </si>
  <si>
    <t>구분</t>
  </si>
  <si>
    <t>비 고</t>
  </si>
  <si>
    <t>과 장</t>
  </si>
  <si>
    <t>에스티</t>
  </si>
  <si>
    <t>진도율</t>
  </si>
  <si>
    <t>재</t>
  </si>
  <si>
    <t xml:space="preserve"> </t>
  </si>
  <si>
    <t>토목</t>
  </si>
  <si>
    <t>(%)</t>
  </si>
  <si>
    <t>성운</t>
  </si>
  <si>
    <t>금 일</t>
  </si>
  <si>
    <t>동남</t>
  </si>
  <si>
    <t>전결</t>
  </si>
  <si>
    <t>보 할</t>
  </si>
  <si>
    <t>합계</t>
  </si>
  <si>
    <t>담 당</t>
  </si>
  <si>
    <t>인원</t>
  </si>
  <si>
    <t>대혁</t>
  </si>
  <si>
    <t>누 계</t>
  </si>
  <si>
    <t>단 위</t>
  </si>
  <si>
    <t>장비</t>
  </si>
  <si>
    <t>결</t>
  </si>
  <si>
    <t xml:space="preserve"> 1. 공 사 물 량</t>
  </si>
  <si>
    <t>합       계</t>
  </si>
  <si>
    <t>구       분</t>
  </si>
  <si>
    <t xml:space="preserve"> 4. 작 업 내 용</t>
  </si>
  <si>
    <t xml:space="preserve"> 3. 장 비 동 원</t>
  </si>
  <si>
    <t>작   업   량</t>
  </si>
  <si>
    <t xml:space="preserve"> 2. 인 원 동 원</t>
  </si>
  <si>
    <t xml:space="preserve">진    도(%) </t>
  </si>
  <si>
    <t>직       종</t>
  </si>
  <si>
    <t>금  일</t>
  </si>
  <si>
    <t>(단위:대)</t>
  </si>
  <si>
    <t>전일누계</t>
  </si>
  <si>
    <t>현장사진</t>
  </si>
  <si>
    <t>장  비  명</t>
  </si>
  <si>
    <t>공  종</t>
  </si>
  <si>
    <t>작 업 일 보</t>
  </si>
  <si>
    <t>(단위:명)</t>
  </si>
  <si>
    <r>
      <t>계획/</t>
    </r>
    <r>
      <rPr>
        <sz val="13"/>
        <color rgb="FFFF0000"/>
        <rFont val="맑은 고딕"/>
        <family val="3"/>
        <charset val="129"/>
      </rPr>
      <t>실적</t>
    </r>
  </si>
  <si>
    <t>세진건설</t>
    <phoneticPr fontId="13" type="noConversion"/>
  </si>
  <si>
    <t>대기건설</t>
    <phoneticPr fontId="13" type="noConversion"/>
  </si>
  <si>
    <t>혁성실업</t>
    <phoneticPr fontId="13" type="noConversion"/>
  </si>
  <si>
    <t>한려기계산업</t>
    <phoneticPr fontId="13" type="noConversion"/>
  </si>
  <si>
    <t>라인이엔지</t>
    <phoneticPr fontId="13" type="noConversion"/>
  </si>
  <si>
    <t>명    일   작   업</t>
    <phoneticPr fontId="13" type="noConversion"/>
  </si>
  <si>
    <t xml:space="preserve">금    일   작   업 </t>
    <phoneticPr fontId="13" type="noConversion"/>
  </si>
  <si>
    <t>일     자  :  2022년  08월  19일  금요일  (날씨 : 맑음)</t>
    <phoneticPr fontId="13" type="noConversion"/>
  </si>
  <si>
    <t>㈜에스케이건설</t>
    <phoneticPr fontId="13" type="noConversion"/>
  </si>
  <si>
    <t>공 사 명  :  포스코HY클린메탈공장㈜폐수관로신설공사</t>
    <phoneticPr fontId="13" type="noConversion"/>
  </si>
  <si>
    <t>공     기  :  2022. 08. 19 ~ 2022. 10 .10.</t>
    <phoneticPr fontId="17" type="noConversion"/>
  </si>
  <si>
    <t>토공사</t>
    <phoneticPr fontId="13" type="noConversion"/>
  </si>
  <si>
    <t>배수공사</t>
    <phoneticPr fontId="13" type="noConversion"/>
  </si>
  <si>
    <t>배관공</t>
    <phoneticPr fontId="13" type="noConversion"/>
  </si>
  <si>
    <t>신호수</t>
    <phoneticPr fontId="13" type="noConversion"/>
  </si>
  <si>
    <t>- 율촌산단7로 컷팅구간 측량 및 컷팅 작업</t>
    <phoneticPr fontId="13" type="noConversion"/>
  </si>
  <si>
    <t>명    일   작   업(토)</t>
    <phoneticPr fontId="13" type="noConversion"/>
  </si>
  <si>
    <t>율촌산단7로 측량 및 도로 컷팅 작업</t>
    <phoneticPr fontId="13" type="noConversion"/>
  </si>
  <si>
    <t>휴무(일)</t>
    <phoneticPr fontId="13" type="noConversion"/>
  </si>
  <si>
    <t>1%/0.08%</t>
    <phoneticPr fontId="13" type="noConversion"/>
  </si>
  <si>
    <t>관리</t>
    <phoneticPr fontId="13" type="noConversion"/>
  </si>
  <si>
    <t>우천시 작업취소</t>
    <phoneticPr fontId="13" type="noConversion"/>
  </si>
  <si>
    <t>일     자  :  2022년  08월  20일  토요일  (날씨 : 흐림,비)</t>
    <phoneticPr fontId="13" type="noConversion"/>
  </si>
  <si>
    <t>일     자  :  2022년  08월  22일  월요일  (날씨 : 맑음)</t>
    <phoneticPr fontId="13" type="noConversion"/>
  </si>
  <si>
    <t>06W</t>
    <phoneticPr fontId="13" type="noConversion"/>
  </si>
  <si>
    <t>율촌산단7로 측량 및 굴착 작업</t>
    <phoneticPr fontId="13" type="noConversion"/>
  </si>
  <si>
    <t>26%/23.76%</t>
    <phoneticPr fontId="13" type="noConversion"/>
  </si>
  <si>
    <t>30%/29.76%</t>
    <phoneticPr fontId="13" type="noConversion"/>
  </si>
  <si>
    <t>율촌산단7로 측량, 굴착 및 배관공사</t>
    <phoneticPr fontId="13" type="noConversion"/>
  </si>
  <si>
    <t>일     자  :  2022년  08월  23일  화요일  (날씨 : 흐림)</t>
    <phoneticPr fontId="13" type="noConversion"/>
  </si>
  <si>
    <t>공     기  :  2022. 08. 01 ~ 2022. 11 .15.</t>
    <phoneticPr fontId="17" type="noConversion"/>
  </si>
  <si>
    <t>35%/35.97%</t>
    <phoneticPr fontId="13" type="noConversion"/>
  </si>
  <si>
    <t>소 장</t>
    <phoneticPr fontId="13" type="noConversion"/>
  </si>
  <si>
    <t>공 사 명  :  서면 선평마을 하수관로 정비사업</t>
    <phoneticPr fontId="13" type="noConversion"/>
  </si>
  <si>
    <t>공     기  :  2022. 11 ~ 2024. 10</t>
    <phoneticPr fontId="17" type="noConversion"/>
  </si>
  <si>
    <t>보통인부</t>
    <phoneticPr fontId="13" type="noConversion"/>
  </si>
  <si>
    <t>08W</t>
    <phoneticPr fontId="13" type="noConversion"/>
  </si>
  <si>
    <t>15T</t>
    <phoneticPr fontId="13" type="noConversion"/>
  </si>
  <si>
    <t>태선종합건설㈜</t>
    <phoneticPr fontId="13" type="noConversion"/>
  </si>
  <si>
    <t>일     자  :  2023년  02월  09일  목요일  (날씨 : 맑음, 10℃)</t>
    <phoneticPr fontId="13" type="noConversion"/>
  </si>
  <si>
    <t>1. 측구공</t>
    <phoneticPr fontId="13" type="noConversion"/>
  </si>
  <si>
    <t>2. 옹벽공</t>
    <phoneticPr fontId="13" type="noConversion"/>
  </si>
  <si>
    <t>3. J형개거</t>
    <phoneticPr fontId="13" type="noConversion"/>
  </si>
  <si>
    <t>포장공</t>
    <phoneticPr fontId="13" type="noConversion"/>
  </si>
  <si>
    <t>부대공</t>
    <phoneticPr fontId="13" type="noConversion"/>
  </si>
  <si>
    <t>가. 교통표지판</t>
    <phoneticPr fontId="13" type="noConversion"/>
  </si>
  <si>
    <t>나. 가설사무소</t>
    <phoneticPr fontId="13" type="noConversion"/>
  </si>
  <si>
    <t>%</t>
    <phoneticPr fontId="13" type="noConversion"/>
  </si>
  <si>
    <t>실적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</si>
</sst>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1" formatCode="_-* #,##0_-;\-* #,##0_-;_-* &quot;-&quot;_-;_-@_-"/>
    <numFmt numFmtId="43" formatCode="_-* #,##0.00_-;\-* #,##0.00_-;_-* &quot;-&quot;??_-;_-@_-"/>
    <numFmt numFmtId="176" formatCode="_ * #,##0.00_ ;_ * \-#,##0.00_ ;_ * &quot;-&quot;_ ;_ @_ "/>
    <numFmt numFmtId="177" formatCode="#,##0.000_ "/>
    <numFmt numFmtId="178" formatCode="_-* #,##0.000_-;\-* #,##0.000_-;_-* &quot;-&quot;_-;_-@_-"/>
    <numFmt numFmtId="179" formatCode="0.000%"/>
    <numFmt numFmtId="180" formatCode="0.0%"/>
    <numFmt numFmtId="181" formatCode="#,##0_ "/>
    <numFmt numFmtId="182" formatCode="_-* #,##0.000_-;\-* #,##0.000_-;_-* &quot;-&quot;???_-;_-@_-"/>
    <numFmt numFmtId="183" formatCode="0.00;[Red]0.00"/>
    <numFmt numFmtId="184" formatCode="0;[Red]0"/>
    <numFmt numFmtId="185" formatCode="_-* #,##0.0_-;\-* #,##0.0_-;_-* &quot;-&quot;?_-;_-@_-"/>
  </numFmts>
  <fonts count="20" x14ac:knownFonts="1">
    <font>
      <sz val="11"/>
      <color rgb="FF000000"/>
      <name val="맑은 고딕"/>
    </font>
    <font>
      <sz val="13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2"/>
      <color rgb="FF0070C0"/>
      <name val="맑은 고딕"/>
      <family val="3"/>
      <charset val="129"/>
    </font>
    <font>
      <b/>
      <u/>
      <sz val="28"/>
      <color rgb="FF000000"/>
      <name val="맑은 고딕"/>
      <family val="3"/>
      <charset val="129"/>
    </font>
    <font>
      <sz val="13"/>
      <color rgb="FFFF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sz val="12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10"/>
      <name val="맑은 고딕"/>
      <family val="3"/>
      <charset val="129"/>
    </font>
    <font>
      <sz val="11"/>
      <color rgb="FF00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6">
    <xf numFmtId="0" fontId="0" fillId="0" borderId="0">
      <alignment vertical="center"/>
    </xf>
    <xf numFmtId="0" fontId="12" fillId="0" borderId="0">
      <alignment vertical="center"/>
    </xf>
    <xf numFmtId="41" fontId="12" fillId="0" borderId="0">
      <alignment vertical="center"/>
    </xf>
    <xf numFmtId="9" fontId="12" fillId="0" borderId="0">
      <alignment vertical="center"/>
    </xf>
    <xf numFmtId="41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</cellStyleXfs>
  <cellXfs count="345">
    <xf numFmtId="0" fontId="0" fillId="0" borderId="0" xfId="0">
      <alignment vertical="center"/>
    </xf>
    <xf numFmtId="9" fontId="12" fillId="2" borderId="0" xfId="1" applyNumberFormat="1" applyFill="1">
      <alignment vertical="center"/>
    </xf>
    <xf numFmtId="0" fontId="12" fillId="0" borderId="0" xfId="1">
      <alignment vertical="center"/>
    </xf>
    <xf numFmtId="0" fontId="1" fillId="0" borderId="0" xfId="1" applyFont="1">
      <alignment vertical="center"/>
    </xf>
    <xf numFmtId="176" fontId="1" fillId="0" borderId="0" xfId="1" applyNumberFormat="1" applyFont="1">
      <alignment vertical="center"/>
    </xf>
    <xf numFmtId="10" fontId="1" fillId="0" borderId="0" xfId="1" applyNumberFormat="1" applyFont="1">
      <alignment vertical="center"/>
    </xf>
    <xf numFmtId="0" fontId="2" fillId="0" borderId="0" xfId="1" quotePrefix="1" applyFont="1" applyAlignment="1">
      <alignment horizontal="left" vertical="center"/>
    </xf>
    <xf numFmtId="0" fontId="1" fillId="0" borderId="0" xfId="1" quotePrefix="1" applyFont="1" applyAlignment="1">
      <alignment horizontal="left" vertical="center"/>
    </xf>
    <xf numFmtId="0" fontId="1" fillId="0" borderId="1" xfId="1" applyFont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10" fontId="1" fillId="3" borderId="3" xfId="1" applyNumberFormat="1" applyFont="1" applyFill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3" fillId="2" borderId="0" xfId="1" applyFont="1" applyFill="1" applyAlignment="1">
      <alignment horizontal="left" vertical="center"/>
    </xf>
    <xf numFmtId="0" fontId="2" fillId="2" borderId="0" xfId="1" applyFont="1" applyFill="1" applyAlignment="1">
      <alignment horizontal="left" vertical="center"/>
    </xf>
    <xf numFmtId="0" fontId="1" fillId="2" borderId="0" xfId="1" applyFont="1" applyFill="1">
      <alignment vertical="center"/>
    </xf>
    <xf numFmtId="176" fontId="1" fillId="2" borderId="0" xfId="1" applyNumberFormat="1" applyFont="1" applyFill="1">
      <alignment vertical="center"/>
    </xf>
    <xf numFmtId="0" fontId="1" fillId="0" borderId="5" xfId="1" applyFont="1" applyBorder="1" applyAlignment="1">
      <alignment horizontal="center" vertical="center"/>
    </xf>
    <xf numFmtId="0" fontId="12" fillId="2" borderId="0" xfId="1" applyFill="1">
      <alignment vertical="center"/>
    </xf>
    <xf numFmtId="0" fontId="4" fillId="0" borderId="6" xfId="1" applyFont="1" applyBorder="1">
      <alignment vertical="center"/>
    </xf>
    <xf numFmtId="0" fontId="4" fillId="0" borderId="7" xfId="1" applyFont="1" applyBorder="1">
      <alignment vertical="center"/>
    </xf>
    <xf numFmtId="0" fontId="1" fillId="0" borderId="7" xfId="1" applyFont="1" applyBorder="1">
      <alignment vertical="center"/>
    </xf>
    <xf numFmtId="176" fontId="1" fillId="0" borderId="7" xfId="1" applyNumberFormat="1" applyFont="1" applyBorder="1">
      <alignment vertical="center"/>
    </xf>
    <xf numFmtId="10" fontId="1" fillId="0" borderId="8" xfId="1" applyNumberFormat="1" applyFont="1" applyBorder="1">
      <alignment vertical="center"/>
    </xf>
    <xf numFmtId="0" fontId="5" fillId="3" borderId="9" xfId="1" applyFont="1" applyFill="1" applyBorder="1" applyAlignment="1">
      <alignment horizontal="center" vertical="center"/>
    </xf>
    <xf numFmtId="10" fontId="5" fillId="3" borderId="10" xfId="1" applyNumberFormat="1" applyFont="1" applyFill="1" applyBorder="1" applyAlignment="1">
      <alignment horizontal="center" vertical="center"/>
    </xf>
    <xf numFmtId="176" fontId="5" fillId="3" borderId="11" xfId="1" applyNumberFormat="1" applyFont="1" applyFill="1" applyBorder="1" applyAlignment="1">
      <alignment horizontal="center" vertical="center"/>
    </xf>
    <xf numFmtId="0" fontId="5" fillId="3" borderId="11" xfId="1" applyFont="1" applyFill="1" applyBorder="1" applyAlignment="1">
      <alignment horizontal="center" vertical="center"/>
    </xf>
    <xf numFmtId="10" fontId="5" fillId="3" borderId="12" xfId="1" applyNumberFormat="1" applyFont="1" applyFill="1" applyBorder="1" applyAlignment="1">
      <alignment horizontal="center" vertical="center"/>
    </xf>
    <xf numFmtId="0" fontId="12" fillId="2" borderId="13" xfId="1" applyFill="1" applyBorder="1">
      <alignment vertical="center"/>
    </xf>
    <xf numFmtId="0" fontId="12" fillId="2" borderId="14" xfId="1" applyFill="1" applyBorder="1" applyAlignment="1">
      <alignment horizontal="center" vertical="center"/>
    </xf>
    <xf numFmtId="177" fontId="12" fillId="2" borderId="15" xfId="1" applyNumberFormat="1" applyFill="1" applyBorder="1" applyAlignment="1">
      <alignment horizontal="right" vertical="center"/>
    </xf>
    <xf numFmtId="10" fontId="12" fillId="2" borderId="14" xfId="1" applyNumberFormat="1" applyFill="1" applyBorder="1" applyAlignment="1">
      <alignment horizontal="center" vertical="center"/>
    </xf>
    <xf numFmtId="178" fontId="12" fillId="0" borderId="15" xfId="1" applyNumberFormat="1" applyBorder="1">
      <alignment vertical="center"/>
    </xf>
    <xf numFmtId="178" fontId="12" fillId="2" borderId="11" xfId="1" applyNumberFormat="1" applyFill="1" applyBorder="1">
      <alignment vertical="center"/>
    </xf>
    <xf numFmtId="10" fontId="14" fillId="0" borderId="11" xfId="1" applyNumberFormat="1" applyFont="1" applyBorder="1" applyAlignment="1">
      <alignment horizontal="center" vertical="center"/>
    </xf>
    <xf numFmtId="10" fontId="14" fillId="2" borderId="11" xfId="1" applyNumberFormat="1" applyFont="1" applyFill="1" applyBorder="1" applyAlignment="1">
      <alignment horizontal="center" vertical="center"/>
    </xf>
    <xf numFmtId="10" fontId="14" fillId="2" borderId="16" xfId="1" applyNumberFormat="1" applyFont="1" applyFill="1" applyBorder="1" applyAlignment="1">
      <alignment horizontal="center" vertical="center"/>
    </xf>
    <xf numFmtId="177" fontId="3" fillId="2" borderId="0" xfId="1" applyNumberFormat="1" applyFont="1" applyFill="1">
      <alignment vertical="center"/>
    </xf>
    <xf numFmtId="0" fontId="3" fillId="0" borderId="0" xfId="1" applyFont="1">
      <alignment vertical="center"/>
    </xf>
    <xf numFmtId="0" fontId="12" fillId="0" borderId="14" xfId="1" applyBorder="1">
      <alignment vertical="center"/>
    </xf>
    <xf numFmtId="178" fontId="12" fillId="0" borderId="11" xfId="1" applyNumberFormat="1" applyBorder="1">
      <alignment vertical="center"/>
    </xf>
    <xf numFmtId="10" fontId="3" fillId="2" borderId="0" xfId="1" applyNumberFormat="1" applyFont="1" applyFill="1">
      <alignment vertical="center"/>
    </xf>
    <xf numFmtId="0" fontId="3" fillId="2" borderId="0" xfId="1" applyFont="1" applyFill="1">
      <alignment vertical="center"/>
    </xf>
    <xf numFmtId="0" fontId="12" fillId="2" borderId="13" xfId="1" applyFill="1" applyBorder="1" applyAlignment="1">
      <alignment horizontal="center" vertical="center"/>
    </xf>
    <xf numFmtId="177" fontId="12" fillId="2" borderId="21" xfId="1" applyNumberFormat="1" applyFill="1" applyBorder="1" applyAlignment="1">
      <alignment horizontal="right" vertical="center"/>
    </xf>
    <xf numFmtId="10" fontId="12" fillId="0" borderId="11" xfId="1" applyNumberFormat="1" applyBorder="1" applyAlignment="1">
      <alignment horizontal="center" vertical="center"/>
    </xf>
    <xf numFmtId="10" fontId="12" fillId="0" borderId="27" xfId="1" applyNumberFormat="1" applyBorder="1" applyAlignment="1">
      <alignment horizontal="center" vertical="center"/>
    </xf>
    <xf numFmtId="10" fontId="12" fillId="2" borderId="11" xfId="1" applyNumberFormat="1" applyFill="1" applyBorder="1" applyAlignment="1">
      <alignment horizontal="center" vertical="center"/>
    </xf>
    <xf numFmtId="10" fontId="12" fillId="2" borderId="50" xfId="1" applyNumberFormat="1" applyFill="1" applyBorder="1" applyAlignment="1">
      <alignment horizontal="center" vertical="center"/>
    </xf>
    <xf numFmtId="10" fontId="12" fillId="0" borderId="17" xfId="1" applyNumberFormat="1" applyBorder="1" applyAlignment="1">
      <alignment horizontal="center" vertical="center"/>
    </xf>
    <xf numFmtId="178" fontId="12" fillId="0" borderId="18" xfId="1" applyNumberFormat="1" applyBorder="1">
      <alignment vertical="center"/>
    </xf>
    <xf numFmtId="10" fontId="15" fillId="2" borderId="19" xfId="1" applyNumberFormat="1" applyFont="1" applyFill="1" applyBorder="1" applyAlignment="1">
      <alignment horizontal="center" vertical="center"/>
    </xf>
    <xf numFmtId="9" fontId="3" fillId="2" borderId="0" xfId="1" applyNumberFormat="1" applyFont="1" applyFill="1">
      <alignment vertical="center"/>
    </xf>
    <xf numFmtId="0" fontId="6" fillId="0" borderId="7" xfId="1" applyFont="1" applyBorder="1">
      <alignment vertical="center"/>
    </xf>
    <xf numFmtId="0" fontId="5" fillId="0" borderId="7" xfId="1" applyFont="1" applyBorder="1">
      <alignment vertical="center"/>
    </xf>
    <xf numFmtId="10" fontId="5" fillId="0" borderId="7" xfId="1" applyNumberFormat="1" applyFont="1" applyBorder="1" applyAlignment="1">
      <alignment horizontal="center" vertical="center"/>
    </xf>
    <xf numFmtId="176" fontId="5" fillId="0" borderId="7" xfId="1" applyNumberFormat="1" applyFont="1" applyBorder="1">
      <alignment vertical="center"/>
    </xf>
    <xf numFmtId="180" fontId="5" fillId="0" borderId="7" xfId="1" applyNumberFormat="1" applyFont="1" applyBorder="1">
      <alignment vertical="center"/>
    </xf>
    <xf numFmtId="10" fontId="5" fillId="0" borderId="8" xfId="1" applyNumberFormat="1" applyFont="1" applyBorder="1" applyAlignment="1">
      <alignment horizontal="right" vertical="center"/>
    </xf>
    <xf numFmtId="0" fontId="7" fillId="2" borderId="0" xfId="1" applyFont="1" applyFill="1">
      <alignment vertical="center"/>
    </xf>
    <xf numFmtId="0" fontId="7" fillId="0" borderId="0" xfId="1" applyFont="1">
      <alignment vertical="center"/>
    </xf>
    <xf numFmtId="176" fontId="5" fillId="3" borderId="20" xfId="1" applyNumberFormat="1" applyFont="1" applyFill="1" applyBorder="1" applyAlignment="1">
      <alignment horizontal="center" vertical="center"/>
    </xf>
    <xf numFmtId="10" fontId="5" fillId="3" borderId="3" xfId="1" applyNumberFormat="1" applyFont="1" applyFill="1" applyBorder="1" applyAlignment="1">
      <alignment horizontal="center" vertical="center"/>
    </xf>
    <xf numFmtId="9" fontId="7" fillId="2" borderId="0" xfId="1" applyNumberFormat="1" applyFont="1" applyFill="1">
      <alignment vertical="center"/>
    </xf>
    <xf numFmtId="0" fontId="3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41" fontId="5" fillId="0" borderId="14" xfId="1" applyNumberFormat="1" applyFont="1" applyBorder="1" applyAlignment="1">
      <alignment horizontal="center" vertical="center"/>
    </xf>
    <xf numFmtId="41" fontId="5" fillId="0" borderId="21" xfId="1" applyNumberFormat="1" applyFont="1" applyBorder="1" applyAlignment="1">
      <alignment horizontal="center" vertical="center"/>
    </xf>
    <xf numFmtId="41" fontId="5" fillId="0" borderId="22" xfId="1" applyNumberFormat="1" applyFont="1" applyBorder="1" applyAlignment="1">
      <alignment horizontal="center" vertical="center"/>
    </xf>
    <xf numFmtId="10" fontId="5" fillId="0" borderId="12" xfId="1" applyNumberFormat="1" applyFont="1" applyBorder="1" applyAlignment="1">
      <alignment horizontal="left" vertical="center"/>
    </xf>
    <xf numFmtId="41" fontId="5" fillId="0" borderId="11" xfId="1" quotePrefix="1" applyNumberFormat="1" applyFont="1" applyBorder="1" applyAlignment="1">
      <alignment horizontal="center" vertical="center"/>
    </xf>
    <xf numFmtId="10" fontId="8" fillId="0" borderId="12" xfId="1" applyNumberFormat="1" applyFont="1" applyBorder="1" applyAlignment="1">
      <alignment horizontal="left" vertical="center"/>
    </xf>
    <xf numFmtId="41" fontId="3" fillId="0" borderId="0" xfId="1" applyNumberFormat="1" applyFont="1">
      <alignment vertical="center"/>
    </xf>
    <xf numFmtId="41" fontId="3" fillId="2" borderId="0" xfId="1" applyNumberFormat="1" applyFont="1" applyFill="1">
      <alignment vertical="center"/>
    </xf>
    <xf numFmtId="0" fontId="3" fillId="4" borderId="0" xfId="1" applyFont="1" applyFill="1">
      <alignment vertical="center"/>
    </xf>
    <xf numFmtId="10" fontId="5" fillId="0" borderId="12" xfId="1" applyNumberFormat="1" applyFont="1" applyBorder="1" applyAlignment="1">
      <alignment horizontal="center" vertical="center"/>
    </xf>
    <xf numFmtId="41" fontId="5" fillId="0" borderId="17" xfId="1" applyNumberFormat="1" applyFont="1" applyBorder="1" applyAlignment="1">
      <alignment horizontal="center" vertical="center"/>
    </xf>
    <xf numFmtId="41" fontId="5" fillId="0" borderId="28" xfId="1" applyNumberFormat="1" applyFont="1" applyBorder="1" applyAlignment="1">
      <alignment horizontal="center" vertical="center"/>
    </xf>
    <xf numFmtId="41" fontId="5" fillId="4" borderId="17" xfId="1" applyNumberFormat="1" applyFont="1" applyFill="1" applyBorder="1" applyAlignment="1">
      <alignment horizontal="center" vertical="center"/>
    </xf>
    <xf numFmtId="181" fontId="8" fillId="0" borderId="29" xfId="1" applyNumberFormat="1" applyFont="1" applyBorder="1" applyAlignment="1">
      <alignment horizontal="left" vertical="center"/>
    </xf>
    <xf numFmtId="181" fontId="3" fillId="2" borderId="0" xfId="1" applyNumberFormat="1" applyFont="1" applyFill="1">
      <alignment vertical="center"/>
    </xf>
    <xf numFmtId="0" fontId="4" fillId="0" borderId="30" xfId="1" applyFont="1" applyBorder="1">
      <alignment vertical="center"/>
    </xf>
    <xf numFmtId="0" fontId="6" fillId="0" borderId="31" xfId="1" applyFont="1" applyBorder="1">
      <alignment vertical="center"/>
    </xf>
    <xf numFmtId="0" fontId="5" fillId="0" borderId="31" xfId="1" applyFont="1" applyBorder="1">
      <alignment vertical="center"/>
    </xf>
    <xf numFmtId="176" fontId="5" fillId="0" borderId="31" xfId="1" applyNumberFormat="1" applyFont="1" applyBorder="1">
      <alignment vertical="center"/>
    </xf>
    <xf numFmtId="10" fontId="5" fillId="0" borderId="32" xfId="1" quotePrefix="1" applyNumberFormat="1" applyFont="1" applyBorder="1" applyAlignment="1">
      <alignment horizontal="right" vertical="center"/>
    </xf>
    <xf numFmtId="0" fontId="5" fillId="3" borderId="33" xfId="1" applyFont="1" applyFill="1" applyBorder="1" applyAlignment="1">
      <alignment horizontal="center" vertical="center"/>
    </xf>
    <xf numFmtId="176" fontId="5" fillId="3" borderId="20" xfId="1" quotePrefix="1" applyNumberFormat="1" applyFont="1" applyFill="1" applyBorder="1" applyAlignment="1">
      <alignment horizontal="center" vertical="center"/>
    </xf>
    <xf numFmtId="0" fontId="5" fillId="3" borderId="34" xfId="1" applyFont="1" applyFill="1" applyBorder="1" applyAlignment="1">
      <alignment horizontal="center" vertical="center"/>
    </xf>
    <xf numFmtId="10" fontId="5" fillId="3" borderId="3" xfId="1" quotePrefix="1" applyNumberFormat="1" applyFont="1" applyFill="1" applyBorder="1" applyAlignment="1">
      <alignment horizontal="center" vertical="center"/>
    </xf>
    <xf numFmtId="10" fontId="5" fillId="0" borderId="35" xfId="1" applyNumberFormat="1" applyFont="1" applyBorder="1">
      <alignment vertical="center"/>
    </xf>
    <xf numFmtId="10" fontId="5" fillId="0" borderId="35" xfId="1" applyNumberFormat="1" applyFont="1" applyBorder="1" applyAlignment="1">
      <alignment horizontal="center" vertical="center"/>
    </xf>
    <xf numFmtId="181" fontId="5" fillId="0" borderId="35" xfId="1" applyNumberFormat="1" applyFont="1" applyBorder="1">
      <alignment vertical="center"/>
    </xf>
    <xf numFmtId="181" fontId="5" fillId="0" borderId="36" xfId="1" applyNumberFormat="1" applyFont="1" applyBorder="1">
      <alignment vertical="center"/>
    </xf>
    <xf numFmtId="0" fontId="5" fillId="0" borderId="0" xfId="1" applyFont="1">
      <alignment vertical="center"/>
    </xf>
    <xf numFmtId="176" fontId="5" fillId="0" borderId="0" xfId="1" applyNumberFormat="1" applyFont="1">
      <alignment vertical="center"/>
    </xf>
    <xf numFmtId="10" fontId="5" fillId="0" borderId="0" xfId="1" applyNumberFormat="1" applyFont="1">
      <alignment vertical="center"/>
    </xf>
    <xf numFmtId="41" fontId="0" fillId="0" borderId="0" xfId="2" applyFont="1">
      <alignment vertical="center"/>
    </xf>
    <xf numFmtId="41" fontId="3" fillId="0" borderId="0" xfId="2" applyFont="1">
      <alignment vertical="center"/>
    </xf>
    <xf numFmtId="41" fontId="3" fillId="2" borderId="0" xfId="2" applyFont="1" applyFill="1">
      <alignment vertical="center"/>
    </xf>
    <xf numFmtId="179" fontId="3" fillId="2" borderId="0" xfId="3" applyNumberFormat="1" applyFont="1" applyFill="1">
      <alignment vertical="center"/>
    </xf>
    <xf numFmtId="41" fontId="7" fillId="0" borderId="0" xfId="2" applyFont="1">
      <alignment vertical="center"/>
    </xf>
    <xf numFmtId="0" fontId="18" fillId="0" borderId="0" xfId="1" applyFont="1">
      <alignment vertical="center"/>
    </xf>
    <xf numFmtId="181" fontId="8" fillId="0" borderId="12" xfId="1" applyNumberFormat="1" applyFont="1" applyBorder="1" applyAlignment="1">
      <alignment horizontal="left" vertical="center"/>
    </xf>
    <xf numFmtId="0" fontId="3" fillId="0" borderId="25" xfId="1" applyFont="1" applyBorder="1">
      <alignment vertical="center"/>
    </xf>
    <xf numFmtId="41" fontId="5" fillId="0" borderId="60" xfId="1" applyNumberFormat="1" applyFont="1" applyBorder="1" applyAlignment="1">
      <alignment horizontal="center" vertical="center"/>
    </xf>
    <xf numFmtId="0" fontId="5" fillId="0" borderId="24" xfId="1" applyFont="1" applyBorder="1">
      <alignment vertical="center"/>
    </xf>
    <xf numFmtId="41" fontId="5" fillId="0" borderId="11" xfId="1" applyNumberFormat="1" applyFont="1" applyBorder="1" applyAlignment="1">
      <alignment horizontal="center" vertical="center"/>
    </xf>
    <xf numFmtId="41" fontId="5" fillId="0" borderId="27" xfId="1" applyNumberFormat="1" applyFont="1" applyBorder="1" applyAlignment="1">
      <alignment horizontal="center" vertical="center"/>
    </xf>
    <xf numFmtId="0" fontId="5" fillId="0" borderId="27" xfId="1" quotePrefix="1" applyFont="1" applyBorder="1" applyAlignment="1">
      <alignment horizontal="left" vertical="center" indent="2"/>
    </xf>
    <xf numFmtId="176" fontId="12" fillId="2" borderId="0" xfId="1" quotePrefix="1" applyNumberFormat="1" applyFill="1" applyAlignment="1">
      <alignment vertical="center" shrinkToFit="1"/>
    </xf>
    <xf numFmtId="41" fontId="5" fillId="0" borderId="13" xfId="1" applyNumberFormat="1" applyFont="1" applyBorder="1">
      <alignment vertical="center"/>
    </xf>
    <xf numFmtId="0" fontId="5" fillId="0" borderId="21" xfId="1" applyFont="1" applyBorder="1">
      <alignment vertical="center"/>
    </xf>
    <xf numFmtId="0" fontId="3" fillId="0" borderId="27" xfId="1" applyFont="1" applyBorder="1">
      <alignment vertical="center"/>
    </xf>
    <xf numFmtId="41" fontId="5" fillId="0" borderId="14" xfId="1" applyNumberFormat="1" applyFont="1" applyBorder="1">
      <alignment vertical="center"/>
    </xf>
    <xf numFmtId="0" fontId="5" fillId="0" borderId="24" xfId="1" applyFont="1" applyBorder="1" applyAlignment="1">
      <alignment horizontal="left" vertical="center"/>
    </xf>
    <xf numFmtId="0" fontId="5" fillId="0" borderId="26" xfId="1" applyFont="1" applyBorder="1" applyAlignment="1">
      <alignment horizontal="left" vertical="center" indent="2"/>
    </xf>
    <xf numFmtId="0" fontId="5" fillId="0" borderId="21" xfId="1" applyFont="1" applyBorder="1" applyAlignment="1">
      <alignment horizontal="left" vertical="center" indent="2"/>
    </xf>
    <xf numFmtId="0" fontId="5" fillId="0" borderId="27" xfId="1" applyFont="1" applyBorder="1" applyAlignment="1">
      <alignment horizontal="left" vertical="center" indent="2"/>
    </xf>
    <xf numFmtId="0" fontId="5" fillId="0" borderId="40" xfId="1" applyFont="1" applyBorder="1" applyAlignment="1">
      <alignment horizontal="left" vertical="center" indent="2"/>
    </xf>
    <xf numFmtId="0" fontId="5" fillId="0" borderId="24" xfId="1" applyFont="1" applyBorder="1" applyAlignment="1">
      <alignment horizontal="left" vertical="center" indent="2"/>
    </xf>
    <xf numFmtId="0" fontId="5" fillId="0" borderId="25" xfId="1" applyFont="1" applyBorder="1" applyAlignment="1">
      <alignment horizontal="left" vertical="center" indent="2"/>
    </xf>
    <xf numFmtId="10" fontId="14" fillId="4" borderId="18" xfId="1" applyNumberFormat="1" applyFont="1" applyFill="1" applyBorder="1" applyAlignment="1">
      <alignment horizontal="center" vertical="center"/>
    </xf>
    <xf numFmtId="0" fontId="5" fillId="3" borderId="41" xfId="1" applyFont="1" applyFill="1" applyBorder="1" applyAlignment="1">
      <alignment horizontal="center" vertical="center"/>
    </xf>
    <xf numFmtId="0" fontId="5" fillId="3" borderId="42" xfId="1" applyFont="1" applyFill="1" applyBorder="1" applyAlignment="1">
      <alignment horizontal="center" vertical="center"/>
    </xf>
    <xf numFmtId="179" fontId="12" fillId="2" borderId="14" xfId="5" applyNumberFormat="1" applyFont="1" applyFill="1" applyBorder="1" applyAlignment="1">
      <alignment horizontal="center" vertical="center"/>
    </xf>
    <xf numFmtId="41" fontId="3" fillId="0" borderId="0" xfId="4" applyFont="1">
      <alignment vertical="center"/>
    </xf>
    <xf numFmtId="41" fontId="3" fillId="2" borderId="0" xfId="4" applyFont="1" applyFill="1">
      <alignment vertical="center"/>
    </xf>
    <xf numFmtId="182" fontId="3" fillId="0" borderId="0" xfId="4" applyNumberFormat="1" applyFont="1">
      <alignment vertical="center"/>
    </xf>
    <xf numFmtId="179" fontId="12" fillId="0" borderId="14" xfId="1" applyNumberFormat="1" applyBorder="1" applyAlignment="1">
      <alignment horizontal="center" vertical="center"/>
    </xf>
    <xf numFmtId="179" fontId="12" fillId="2" borderId="14" xfId="1" applyNumberFormat="1" applyFill="1" applyBorder="1" applyAlignment="1">
      <alignment horizontal="center" vertical="center"/>
    </xf>
    <xf numFmtId="182" fontId="3" fillId="0" borderId="0" xfId="5" applyNumberFormat="1" applyFont="1">
      <alignment vertical="center"/>
    </xf>
    <xf numFmtId="182" fontId="3" fillId="2" borderId="0" xfId="1" applyNumberFormat="1" applyFont="1" applyFill="1">
      <alignment vertical="center"/>
    </xf>
    <xf numFmtId="183" fontId="3" fillId="2" borderId="0" xfId="1" applyNumberFormat="1" applyFont="1" applyFill="1">
      <alignment vertical="center"/>
    </xf>
    <xf numFmtId="182" fontId="12" fillId="2" borderId="13" xfId="4" applyNumberFormat="1" applyFont="1" applyFill="1" applyBorder="1">
      <alignment vertical="center"/>
    </xf>
    <xf numFmtId="10" fontId="1" fillId="0" borderId="32" xfId="1" applyNumberFormat="1" applyFont="1" applyBorder="1">
      <alignment vertical="center"/>
    </xf>
    <xf numFmtId="0" fontId="1" fillId="0" borderId="30" xfId="1" applyFont="1" applyBorder="1" applyAlignment="1">
      <alignment horizontal="center" vertical="center"/>
    </xf>
    <xf numFmtId="0" fontId="1" fillId="0" borderId="31" xfId="1" applyFont="1" applyBorder="1">
      <alignment vertical="center"/>
    </xf>
    <xf numFmtId="0" fontId="1" fillId="0" borderId="63" xfId="1" applyFont="1" applyBorder="1">
      <alignment vertical="center"/>
    </xf>
    <xf numFmtId="0" fontId="1" fillId="0" borderId="63" xfId="1" applyFont="1" applyBorder="1" applyAlignment="1">
      <alignment horizontal="center" vertical="center"/>
    </xf>
    <xf numFmtId="182" fontId="3" fillId="0" borderId="0" xfId="1" applyNumberFormat="1" applyFont="1">
      <alignment vertical="center"/>
    </xf>
    <xf numFmtId="43" fontId="3" fillId="0" borderId="0" xfId="1" applyNumberFormat="1" applyFont="1">
      <alignment vertical="center"/>
    </xf>
    <xf numFmtId="0" fontId="5" fillId="3" borderId="43" xfId="1" applyFont="1" applyFill="1" applyBorder="1" applyAlignment="1">
      <alignment horizontal="center" vertical="center"/>
    </xf>
    <xf numFmtId="0" fontId="5" fillId="3" borderId="44" xfId="1" applyFont="1" applyFill="1" applyBorder="1" applyAlignment="1">
      <alignment horizontal="center" vertical="center"/>
    </xf>
    <xf numFmtId="0" fontId="5" fillId="3" borderId="41" xfId="1" applyFont="1" applyFill="1" applyBorder="1" applyAlignment="1">
      <alignment horizontal="center" vertical="center"/>
    </xf>
    <xf numFmtId="0" fontId="5" fillId="3" borderId="42" xfId="1" applyFont="1" applyFill="1" applyBorder="1" applyAlignment="1">
      <alignment horizontal="center" vertical="center"/>
    </xf>
    <xf numFmtId="176" fontId="5" fillId="3" borderId="2" xfId="1" applyNumberFormat="1" applyFont="1" applyFill="1" applyBorder="1" applyAlignment="1">
      <alignment horizontal="center" vertical="center"/>
    </xf>
    <xf numFmtId="176" fontId="5" fillId="3" borderId="45" xfId="1" applyNumberFormat="1" applyFont="1" applyFill="1" applyBorder="1" applyAlignment="1">
      <alignment horizontal="center" vertical="center"/>
    </xf>
    <xf numFmtId="176" fontId="5" fillId="3" borderId="46" xfId="1" applyNumberFormat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45" xfId="1" applyFont="1" applyFill="1" applyBorder="1" applyAlignment="1">
      <alignment horizontal="center" vertical="center"/>
    </xf>
    <xf numFmtId="0" fontId="5" fillId="3" borderId="46" xfId="1" applyFont="1" applyFill="1" applyBorder="1" applyAlignment="1">
      <alignment horizontal="center" vertical="center"/>
    </xf>
    <xf numFmtId="176" fontId="5" fillId="3" borderId="15" xfId="1" quotePrefix="1" applyNumberFormat="1" applyFont="1" applyFill="1" applyBorder="1" applyAlignment="1">
      <alignment horizontal="center" vertical="center"/>
    </xf>
    <xf numFmtId="176" fontId="5" fillId="3" borderId="25" xfId="1" quotePrefix="1" applyNumberFormat="1" applyFont="1" applyFill="1" applyBorder="1" applyAlignment="1">
      <alignment horizontal="center" vertical="center"/>
    </xf>
    <xf numFmtId="0" fontId="5" fillId="3" borderId="15" xfId="1" applyFont="1" applyFill="1" applyBorder="1" applyAlignment="1">
      <alignment horizontal="center" vertical="center"/>
    </xf>
    <xf numFmtId="0" fontId="5" fillId="3" borderId="25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176" fontId="1" fillId="0" borderId="1" xfId="1" applyNumberFormat="1" applyFont="1" applyBorder="1" applyAlignment="1">
      <alignment horizontal="center" vertical="center"/>
    </xf>
    <xf numFmtId="176" fontId="1" fillId="0" borderId="34" xfId="1" applyNumberFormat="1" applyFont="1" applyBorder="1" applyAlignment="1">
      <alignment horizontal="center" vertical="center"/>
    </xf>
    <xf numFmtId="176" fontId="1" fillId="0" borderId="47" xfId="1" applyNumberFormat="1" applyFont="1" applyBorder="1" applyAlignment="1">
      <alignment horizontal="center" vertical="center"/>
    </xf>
    <xf numFmtId="176" fontId="1" fillId="0" borderId="30" xfId="1" applyNumberFormat="1" applyFont="1" applyBorder="1" applyAlignment="1">
      <alignment horizontal="center" vertical="center"/>
    </xf>
    <xf numFmtId="176" fontId="1" fillId="0" borderId="31" xfId="1" applyNumberFormat="1" applyFont="1" applyBorder="1" applyAlignment="1">
      <alignment horizontal="center" vertical="center"/>
    </xf>
    <xf numFmtId="176" fontId="1" fillId="0" borderId="32" xfId="1" applyNumberFormat="1" applyFont="1" applyBorder="1" applyAlignment="1">
      <alignment horizontal="center" vertical="center"/>
    </xf>
    <xf numFmtId="10" fontId="10" fillId="0" borderId="14" xfId="1" applyNumberFormat="1" applyFont="1" applyBorder="1" applyAlignment="1">
      <alignment horizontal="left" vertical="top"/>
    </xf>
    <xf numFmtId="10" fontId="10" fillId="0" borderId="48" xfId="1" applyNumberFormat="1" applyFont="1" applyBorder="1" applyAlignment="1">
      <alignment horizontal="left" vertical="top"/>
    </xf>
    <xf numFmtId="10" fontId="10" fillId="0" borderId="49" xfId="1" applyNumberFormat="1" applyFont="1" applyBorder="1" applyAlignment="1">
      <alignment horizontal="left" vertical="top"/>
    </xf>
    <xf numFmtId="10" fontId="10" fillId="0" borderId="14" xfId="1" applyNumberFormat="1" applyFont="1" applyBorder="1" applyAlignment="1">
      <alignment horizontal="center" vertical="center"/>
    </xf>
    <xf numFmtId="10" fontId="10" fillId="0" borderId="48" xfId="1" applyNumberFormat="1" applyFont="1" applyBorder="1" applyAlignment="1">
      <alignment horizontal="center" vertical="center"/>
    </xf>
    <xf numFmtId="10" fontId="10" fillId="0" borderId="49" xfId="1" applyNumberFormat="1" applyFont="1" applyBorder="1" applyAlignment="1">
      <alignment horizontal="center" vertical="center"/>
    </xf>
    <xf numFmtId="10" fontId="10" fillId="0" borderId="50" xfId="1" applyNumberFormat="1" applyFont="1" applyBorder="1" applyAlignment="1">
      <alignment horizontal="left" vertical="top"/>
    </xf>
    <xf numFmtId="10" fontId="10" fillId="0" borderId="12" xfId="1" applyNumberFormat="1" applyFont="1" applyBorder="1" applyAlignment="1">
      <alignment horizontal="left" vertical="top"/>
    </xf>
    <xf numFmtId="10" fontId="10" fillId="0" borderId="29" xfId="1" applyNumberFormat="1" applyFont="1" applyBorder="1" applyAlignment="1">
      <alignment horizontal="left" vertical="top"/>
    </xf>
    <xf numFmtId="10" fontId="6" fillId="0" borderId="1" xfId="1" applyNumberFormat="1" applyFont="1" applyBorder="1" applyAlignment="1">
      <alignment horizontal="center" vertical="center"/>
    </xf>
    <xf numFmtId="10" fontId="6" fillId="0" borderId="34" xfId="1" applyNumberFormat="1" applyFont="1" applyBorder="1" applyAlignment="1">
      <alignment horizontal="center" vertical="center"/>
    </xf>
    <xf numFmtId="10" fontId="6" fillId="0" borderId="47" xfId="1" applyNumberFormat="1" applyFont="1" applyBorder="1" applyAlignment="1">
      <alignment horizontal="center" vertical="center"/>
    </xf>
    <xf numFmtId="10" fontId="6" fillId="0" borderId="30" xfId="1" applyNumberFormat="1" applyFont="1" applyBorder="1" applyAlignment="1">
      <alignment horizontal="center" vertical="center"/>
    </xf>
    <xf numFmtId="10" fontId="6" fillId="0" borderId="31" xfId="1" applyNumberFormat="1" applyFont="1" applyBorder="1" applyAlignment="1">
      <alignment horizontal="center" vertical="center"/>
    </xf>
    <xf numFmtId="10" fontId="6" fillId="0" borderId="32" xfId="1" applyNumberFormat="1" applyFont="1" applyBorder="1" applyAlignment="1">
      <alignment horizontal="center" vertical="center"/>
    </xf>
    <xf numFmtId="0" fontId="11" fillId="0" borderId="53" xfId="1" applyFont="1" applyBorder="1" applyAlignment="1">
      <alignment horizontal="center" vertical="center"/>
    </xf>
    <xf numFmtId="0" fontId="11" fillId="0" borderId="54" xfId="1" applyFont="1" applyBorder="1" applyAlignment="1">
      <alignment horizontal="center" vertical="center"/>
    </xf>
    <xf numFmtId="0" fontId="11" fillId="0" borderId="55" xfId="1" applyFont="1" applyBorder="1" applyAlignment="1">
      <alignment horizontal="center" vertical="center"/>
    </xf>
    <xf numFmtId="178" fontId="12" fillId="0" borderId="18" xfId="1" applyNumberFormat="1" applyBorder="1" applyAlignment="1">
      <alignment horizontal="center" vertical="center"/>
    </xf>
    <xf numFmtId="178" fontId="12" fillId="0" borderId="55" xfId="1" applyNumberFormat="1" applyBorder="1" applyAlignment="1">
      <alignment horizontal="center" vertical="center"/>
    </xf>
    <xf numFmtId="10" fontId="14" fillId="4" borderId="18" xfId="1" applyNumberFormat="1" applyFont="1" applyFill="1" applyBorder="1" applyAlignment="1">
      <alignment horizontal="center" vertical="center"/>
    </xf>
    <xf numFmtId="10" fontId="14" fillId="4" borderId="55" xfId="1" applyNumberFormat="1" applyFont="1" applyFill="1" applyBorder="1" applyAlignment="1">
      <alignment horizontal="center" vertical="center"/>
    </xf>
    <xf numFmtId="0" fontId="12" fillId="0" borderId="51" xfId="1" applyBorder="1" applyAlignment="1">
      <alignment horizontal="center" vertical="center" wrapText="1"/>
    </xf>
    <xf numFmtId="0" fontId="12" fillId="0" borderId="44" xfId="1" applyBorder="1" applyAlignment="1">
      <alignment horizontal="center" vertical="center" wrapText="1"/>
    </xf>
    <xf numFmtId="178" fontId="12" fillId="0" borderId="15" xfId="1" applyNumberFormat="1" applyBorder="1" applyAlignment="1">
      <alignment horizontal="center" vertical="center"/>
    </xf>
    <xf numFmtId="178" fontId="12" fillId="0" borderId="25" xfId="1" applyNumberFormat="1" applyBorder="1" applyAlignment="1">
      <alignment horizontal="center" vertical="center"/>
    </xf>
    <xf numFmtId="10" fontId="14" fillId="0" borderId="15" xfId="1" applyNumberFormat="1" applyFont="1" applyBorder="1" applyAlignment="1">
      <alignment horizontal="center" vertical="center"/>
    </xf>
    <xf numFmtId="10" fontId="14" fillId="0" borderId="25" xfId="1" applyNumberFormat="1" applyFont="1" applyBorder="1" applyAlignment="1">
      <alignment horizontal="center" vertical="center"/>
    </xf>
    <xf numFmtId="0" fontId="5" fillId="3" borderId="56" xfId="1" applyFont="1" applyFill="1" applyBorder="1" applyAlignment="1">
      <alignment horizontal="center" vertical="center"/>
    </xf>
    <xf numFmtId="176" fontId="5" fillId="3" borderId="57" xfId="1" applyNumberFormat="1" applyFont="1" applyFill="1" applyBorder="1" applyAlignment="1">
      <alignment horizontal="center" vertical="center"/>
    </xf>
    <xf numFmtId="0" fontId="12" fillId="0" borderId="52" xfId="1" applyBorder="1" applyAlignment="1">
      <alignment horizontal="center" vertical="center" wrapText="1"/>
    </xf>
    <xf numFmtId="0" fontId="12" fillId="0" borderId="13" xfId="1" applyBorder="1" applyAlignment="1">
      <alignment horizontal="center" vertical="center" wrapText="1"/>
    </xf>
    <xf numFmtId="0" fontId="5" fillId="0" borderId="40" xfId="1" applyFont="1" applyBorder="1" applyAlignment="1">
      <alignment horizontal="left" vertical="center" indent="2"/>
    </xf>
    <xf numFmtId="0" fontId="5" fillId="0" borderId="24" xfId="1" applyFont="1" applyBorder="1" applyAlignment="1">
      <alignment horizontal="left" vertical="center" indent="2"/>
    </xf>
    <xf numFmtId="0" fontId="5" fillId="0" borderId="25" xfId="1" applyFont="1" applyBorder="1" applyAlignment="1">
      <alignment horizontal="left" vertical="center" indent="2"/>
    </xf>
    <xf numFmtId="41" fontId="5" fillId="0" borderId="15" xfId="1" applyNumberFormat="1" applyFont="1" applyBorder="1" applyAlignment="1">
      <alignment horizontal="center" vertical="center"/>
    </xf>
    <xf numFmtId="41" fontId="5" fillId="0" borderId="25" xfId="1" applyNumberFormat="1" applyFont="1" applyBorder="1" applyAlignment="1">
      <alignment horizontal="center" vertical="center"/>
    </xf>
    <xf numFmtId="0" fontId="5" fillId="0" borderId="26" xfId="1" applyFont="1" applyBorder="1" applyAlignment="1">
      <alignment horizontal="left" vertical="center" indent="2"/>
    </xf>
    <xf numFmtId="0" fontId="5" fillId="0" borderId="21" xfId="1" applyFont="1" applyBorder="1" applyAlignment="1">
      <alignment horizontal="left" vertical="center" indent="2"/>
    </xf>
    <xf numFmtId="0" fontId="5" fillId="0" borderId="27" xfId="1" applyFont="1" applyBorder="1" applyAlignment="1">
      <alignment horizontal="left" vertical="center" indent="2"/>
    </xf>
    <xf numFmtId="0" fontId="5" fillId="0" borderId="40" xfId="1" quotePrefix="1" applyFont="1" applyBorder="1" applyAlignment="1">
      <alignment horizontal="left" vertical="center" indent="2"/>
    </xf>
    <xf numFmtId="0" fontId="5" fillId="0" borderId="24" xfId="1" quotePrefix="1" applyFont="1" applyBorder="1" applyAlignment="1">
      <alignment horizontal="left" vertical="center" indent="2"/>
    </xf>
    <xf numFmtId="0" fontId="5" fillId="0" borderId="25" xfId="1" quotePrefix="1" applyFont="1" applyBorder="1" applyAlignment="1">
      <alignment horizontal="left" vertical="center" indent="2"/>
    </xf>
    <xf numFmtId="41" fontId="5" fillId="0" borderId="23" xfId="1" quotePrefix="1" applyNumberFormat="1" applyFont="1" applyBorder="1" applyAlignment="1">
      <alignment horizontal="left" vertical="center" wrapText="1" indent="2"/>
    </xf>
    <xf numFmtId="0" fontId="5" fillId="0" borderId="24" xfId="1" quotePrefix="1" applyFont="1" applyBorder="1" applyAlignment="1">
      <alignment horizontal="left" vertical="center" wrapText="1" indent="2"/>
    </xf>
    <xf numFmtId="0" fontId="5" fillId="0" borderId="25" xfId="1" quotePrefix="1" applyFont="1" applyBorder="1" applyAlignment="1">
      <alignment horizontal="left" vertical="center" wrapText="1" indent="2"/>
    </xf>
    <xf numFmtId="0" fontId="5" fillId="0" borderId="53" xfId="1" applyFont="1" applyBorder="1" applyAlignment="1">
      <alignment horizontal="left" vertical="center" indent="2"/>
    </xf>
    <xf numFmtId="0" fontId="5" fillId="0" borderId="54" xfId="1" applyFont="1" applyBorder="1" applyAlignment="1">
      <alignment horizontal="left" vertical="center" indent="2"/>
    </xf>
    <xf numFmtId="0" fontId="5" fillId="0" borderId="55" xfId="1" applyFont="1" applyBorder="1" applyAlignment="1">
      <alignment horizontal="left" vertical="center" indent="2"/>
    </xf>
    <xf numFmtId="41" fontId="6" fillId="0" borderId="58" xfId="1" applyNumberFormat="1" applyFont="1" applyBorder="1" applyAlignment="1">
      <alignment horizontal="center" vertical="center"/>
    </xf>
    <xf numFmtId="41" fontId="6" fillId="0" borderId="54" xfId="1" applyNumberFormat="1" applyFont="1" applyBorder="1" applyAlignment="1">
      <alignment horizontal="center" vertical="center"/>
    </xf>
    <xf numFmtId="41" fontId="6" fillId="0" borderId="55" xfId="1" applyNumberFormat="1" applyFont="1" applyBorder="1" applyAlignment="1">
      <alignment horizontal="center" vertical="center"/>
    </xf>
    <xf numFmtId="41" fontId="5" fillId="4" borderId="18" xfId="1" applyNumberFormat="1" applyFont="1" applyFill="1" applyBorder="1" applyAlignment="1">
      <alignment horizontal="center" vertical="center"/>
    </xf>
    <xf numFmtId="41" fontId="5" fillId="4" borderId="55" xfId="1" applyNumberFormat="1" applyFont="1" applyFill="1" applyBorder="1" applyAlignment="1">
      <alignment horizontal="center" vertical="center"/>
    </xf>
    <xf numFmtId="0" fontId="5" fillId="3" borderId="1" xfId="1" quotePrefix="1" applyFont="1" applyFill="1" applyBorder="1" applyAlignment="1">
      <alignment horizontal="center" vertical="center"/>
    </xf>
    <xf numFmtId="0" fontId="5" fillId="3" borderId="34" xfId="1" quotePrefix="1" applyFont="1" applyFill="1" applyBorder="1" applyAlignment="1">
      <alignment horizontal="center" vertical="center"/>
    </xf>
    <xf numFmtId="176" fontId="5" fillId="3" borderId="59" xfId="1" applyNumberFormat="1" applyFont="1" applyFill="1" applyBorder="1" applyAlignment="1">
      <alignment horizontal="center" vertical="center"/>
    </xf>
    <xf numFmtId="0" fontId="5" fillId="0" borderId="23" xfId="1" quotePrefix="1" applyFont="1" applyBorder="1" applyAlignment="1">
      <alignment horizontal="center" vertical="center" wrapText="1"/>
    </xf>
    <xf numFmtId="0" fontId="5" fillId="0" borderId="24" xfId="1" quotePrefix="1" applyFont="1" applyBorder="1" applyAlignment="1">
      <alignment horizontal="center" vertical="center" wrapText="1"/>
    </xf>
    <xf numFmtId="0" fontId="5" fillId="0" borderId="26" xfId="1" applyFont="1" applyBorder="1" applyAlignment="1">
      <alignment horizontal="center" vertical="center"/>
    </xf>
    <xf numFmtId="0" fontId="5" fillId="0" borderId="27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176" fontId="16" fillId="0" borderId="11" xfId="1" quotePrefix="1" applyNumberFormat="1" applyFont="1" applyBorder="1" applyAlignment="1">
      <alignment horizontal="left" vertical="center" wrapText="1" shrinkToFit="1"/>
    </xf>
    <xf numFmtId="176" fontId="16" fillId="0" borderId="21" xfId="1" quotePrefix="1" applyNumberFormat="1" applyFont="1" applyBorder="1" applyAlignment="1">
      <alignment horizontal="left" vertical="center" wrapText="1" shrinkToFit="1"/>
    </xf>
    <xf numFmtId="176" fontId="16" fillId="0" borderId="27" xfId="1" quotePrefix="1" applyNumberFormat="1" applyFont="1" applyBorder="1" applyAlignment="1">
      <alignment horizontal="left" vertical="center" wrapText="1" shrinkToFit="1"/>
    </xf>
    <xf numFmtId="176" fontId="16" fillId="0" borderId="11" xfId="1" quotePrefix="1" applyNumberFormat="1" applyFont="1" applyBorder="1" applyAlignment="1">
      <alignment vertical="center" wrapText="1" shrinkToFit="1"/>
    </xf>
    <xf numFmtId="176" fontId="16" fillId="0" borderId="21" xfId="1" quotePrefix="1" applyNumberFormat="1" applyFont="1" applyBorder="1" applyAlignment="1">
      <alignment vertical="center" wrapText="1" shrinkToFit="1"/>
    </xf>
    <xf numFmtId="176" fontId="16" fillId="0" borderId="37" xfId="1" quotePrefix="1" applyNumberFormat="1" applyFont="1" applyBorder="1" applyAlignment="1">
      <alignment vertical="center" wrapText="1" shrinkToFit="1"/>
    </xf>
    <xf numFmtId="176" fontId="16" fillId="0" borderId="38" xfId="1" quotePrefix="1" applyNumberFormat="1" applyFont="1" applyBorder="1" applyAlignment="1">
      <alignment horizontal="left" vertical="center" wrapText="1" shrinkToFit="1"/>
    </xf>
    <xf numFmtId="176" fontId="16" fillId="0" borderId="0" xfId="1" quotePrefix="1" applyNumberFormat="1" applyFont="1" applyAlignment="1">
      <alignment horizontal="left" vertical="center" wrapText="1" shrinkToFit="1"/>
    </xf>
    <xf numFmtId="176" fontId="16" fillId="0" borderId="39" xfId="1" quotePrefix="1" applyNumberFormat="1" applyFont="1" applyBorder="1" applyAlignment="1">
      <alignment horizontal="left" vertical="center" wrapText="1" shrinkToFit="1"/>
    </xf>
    <xf numFmtId="176" fontId="16" fillId="0" borderId="38" xfId="1" quotePrefix="1" applyNumberFormat="1" applyFont="1" applyBorder="1" applyAlignment="1">
      <alignment vertical="center" wrapText="1" shrinkToFit="1"/>
    </xf>
    <xf numFmtId="176" fontId="16" fillId="0" borderId="0" xfId="1" quotePrefix="1" applyNumberFormat="1" applyFont="1" applyAlignment="1">
      <alignment vertical="center" wrapText="1" shrinkToFit="1"/>
    </xf>
    <xf numFmtId="176" fontId="16" fillId="0" borderId="35" xfId="1" quotePrefix="1" applyNumberFormat="1" applyFont="1" applyBorder="1" applyAlignment="1">
      <alignment vertical="center" wrapText="1" shrinkToFit="1"/>
    </xf>
    <xf numFmtId="176" fontId="14" fillId="0" borderId="11" xfId="1" quotePrefix="1" applyNumberFormat="1" applyFont="1" applyBorder="1" applyAlignment="1">
      <alignment horizontal="center" vertical="center"/>
    </xf>
    <xf numFmtId="176" fontId="14" fillId="0" borderId="21" xfId="1" quotePrefix="1" applyNumberFormat="1" applyFont="1" applyBorder="1" applyAlignment="1">
      <alignment horizontal="center" vertical="center"/>
    </xf>
    <xf numFmtId="176" fontId="14" fillId="0" borderId="27" xfId="1" quotePrefix="1" applyNumberFormat="1" applyFont="1" applyBorder="1" applyAlignment="1">
      <alignment horizontal="center" vertical="center"/>
    </xf>
    <xf numFmtId="176" fontId="14" fillId="0" borderId="38" xfId="1" quotePrefix="1" applyNumberFormat="1" applyFont="1" applyBorder="1" applyAlignment="1">
      <alignment horizontal="center" vertical="center"/>
    </xf>
    <xf numFmtId="176" fontId="14" fillId="0" borderId="0" xfId="1" quotePrefix="1" applyNumberFormat="1" applyFont="1" applyAlignment="1">
      <alignment horizontal="center" vertical="center"/>
    </xf>
    <xf numFmtId="176" fontId="14" fillId="0" borderId="39" xfId="1" quotePrefix="1" applyNumberFormat="1" applyFont="1" applyBorder="1" applyAlignment="1">
      <alignment horizontal="center" vertical="center"/>
    </xf>
    <xf numFmtId="176" fontId="14" fillId="0" borderId="61" xfId="1" quotePrefix="1" applyNumberFormat="1" applyFont="1" applyBorder="1" applyAlignment="1">
      <alignment horizontal="center" vertical="center"/>
    </xf>
    <xf numFmtId="176" fontId="14" fillId="0" borderId="31" xfId="1" quotePrefix="1" applyNumberFormat="1" applyFont="1" applyBorder="1" applyAlignment="1">
      <alignment horizontal="center" vertical="center"/>
    </xf>
    <xf numFmtId="176" fontId="14" fillId="0" borderId="62" xfId="1" quotePrefix="1" applyNumberFormat="1" applyFont="1" applyBorder="1" applyAlignment="1">
      <alignment horizontal="center" vertical="center"/>
    </xf>
    <xf numFmtId="176" fontId="14" fillId="0" borderId="37" xfId="1" quotePrefix="1" applyNumberFormat="1" applyFont="1" applyBorder="1" applyAlignment="1">
      <alignment horizontal="center" vertical="center"/>
    </xf>
    <xf numFmtId="176" fontId="14" fillId="0" borderId="35" xfId="1" quotePrefix="1" applyNumberFormat="1" applyFont="1" applyBorder="1" applyAlignment="1">
      <alignment horizontal="center" vertical="center"/>
    </xf>
    <xf numFmtId="176" fontId="14" fillId="0" borderId="32" xfId="1" quotePrefix="1" applyNumberFormat="1" applyFont="1" applyBorder="1" applyAlignment="1">
      <alignment horizontal="center" vertical="center"/>
    </xf>
    <xf numFmtId="184" fontId="3" fillId="0" borderId="0" xfId="5" applyNumberFormat="1" applyFont="1">
      <alignment vertical="center"/>
    </xf>
    <xf numFmtId="41" fontId="3" fillId="4" borderId="0" xfId="4" applyFont="1" applyFill="1">
      <alignment vertical="center"/>
    </xf>
    <xf numFmtId="182" fontId="3" fillId="4" borderId="0" xfId="2" applyNumberFormat="1" applyFont="1" applyFill="1">
      <alignment vertical="center"/>
    </xf>
    <xf numFmtId="41" fontId="3" fillId="4" borderId="0" xfId="2" applyFont="1" applyFill="1">
      <alignment vertical="center"/>
    </xf>
    <xf numFmtId="182" fontId="12" fillId="0" borderId="0" xfId="1" applyNumberFormat="1">
      <alignment vertical="center"/>
    </xf>
    <xf numFmtId="181" fontId="12" fillId="2" borderId="15" xfId="1" applyNumberFormat="1" applyFill="1" applyBorder="1" applyAlignment="1">
      <alignment horizontal="right" vertical="center"/>
    </xf>
    <xf numFmtId="181" fontId="12" fillId="0" borderId="15" xfId="1" applyNumberFormat="1" applyBorder="1" applyAlignment="1">
      <alignment horizontal="right" vertical="center"/>
    </xf>
    <xf numFmtId="182" fontId="3" fillId="2" borderId="0" xfId="2" applyNumberFormat="1" applyFont="1" applyFill="1">
      <alignment vertical="center"/>
    </xf>
    <xf numFmtId="185" fontId="12" fillId="0" borderId="0" xfId="1" applyNumberFormat="1">
      <alignment vertical="center"/>
    </xf>
    <xf numFmtId="185" fontId="3" fillId="0" borderId="0" xfId="1" applyNumberFormat="1" applyFont="1">
      <alignment vertical="center"/>
    </xf>
    <xf numFmtId="9" fontId="12" fillId="0" borderId="0" xfId="1" applyNumberFormat="1" applyFill="0">
      <alignment vertical="center"/>
    </xf>
    <xf numFmtId="0" fontId="1" fillId="0" borderId="2" xfId="1" applyFont="1" applyFill="0" applyBorder="1" applyAlignment="1">
      <alignment horizontal="center" vertical="center"/>
    </xf>
    <xf numFmtId="10" fontId="1" fillId="0" borderId="3" xfId="1" applyNumberFormat="1" applyFont="1" applyFill="0" applyBorder="1" applyAlignment="1">
      <alignment horizontal="center" vertical="center"/>
    </xf>
    <xf numFmtId="0" fontId="3" fillId="0" borderId="0" xfId="1" applyFont="1" applyFill="0" applyAlignment="1">
      <alignment horizontal="left" vertical="center"/>
    </xf>
    <xf numFmtId="0" fontId="2" fillId="0" borderId="0" xfId="1" applyFont="1" applyFill="0" applyAlignment="1">
      <alignment horizontal="left" vertical="center"/>
    </xf>
    <xf numFmtId="0" fontId="1" fillId="0" borderId="0" xfId="1" applyFont="1" applyFill="0">
      <alignment vertical="center"/>
    </xf>
    <xf numFmtId="176" fontId="1" fillId="0" borderId="0" xfId="1" applyNumberFormat="1" applyFont="1" applyFill="0">
      <alignment vertical="center"/>
    </xf>
    <xf numFmtId="0" fontId="12" fillId="0" borderId="0" xfId="1" applyFill="0">
      <alignment vertical="center"/>
    </xf>
    <xf numFmtId="0" fontId="5" fillId="0" borderId="9" xfId="1" applyFont="1" applyFill="0" applyBorder="1" applyAlignment="1">
      <alignment horizontal="center" vertical="center"/>
    </xf>
    <xf numFmtId="10" fontId="5" fillId="0" borderId="10" xfId="1" applyNumberFormat="1" applyFont="1" applyFill="0" applyBorder="1" applyAlignment="1">
      <alignment horizontal="center" vertical="center"/>
    </xf>
    <xf numFmtId="176" fontId="5" fillId="0" borderId="11" xfId="1" applyNumberFormat="1" applyFont="1" applyFill="0" applyBorder="1" applyAlignment="1">
      <alignment horizontal="center" vertical="center"/>
    </xf>
    <xf numFmtId="0" fontId="5" fillId="0" borderId="11" xfId="1" applyFont="1" applyFill="0" applyBorder="1" applyAlignment="1">
      <alignment horizontal="center" vertical="center"/>
    </xf>
    <xf numFmtId="10" fontId="5" fillId="0" borderId="12" xfId="1" applyNumberFormat="1" applyFont="1" applyFill="0" applyBorder="1" applyAlignment="1">
      <alignment horizontal="center" vertical="center"/>
    </xf>
    <xf numFmtId="0" fontId="12" fillId="0" borderId="13" xfId="1" applyFill="0" applyBorder="1">
      <alignment vertical="center"/>
    </xf>
    <xf numFmtId="0" fontId="12" fillId="0" borderId="14" xfId="1" applyFill="0" applyBorder="1" applyAlignment="1">
      <alignment horizontal="center" vertical="center"/>
    </xf>
    <xf numFmtId="177" fontId="12" fillId="0" borderId="15" xfId="1" applyNumberFormat="1" applyFill="0" applyBorder="1" applyAlignment="1">
      <alignment horizontal="right" vertical="center"/>
    </xf>
    <xf numFmtId="10" fontId="12" fillId="0" borderId="14" xfId="1" applyNumberFormat="1" applyFill="0" applyBorder="1" applyAlignment="1">
      <alignment horizontal="center" vertical="center"/>
    </xf>
    <xf numFmtId="178" fontId="12" fillId="0" borderId="11" xfId="1" applyNumberFormat="1" applyFill="0" applyBorder="1">
      <alignment vertical="center"/>
    </xf>
    <xf numFmtId="10" fontId="14" fillId="0" borderId="11" xfId="1" applyNumberFormat="1" applyFont="1" applyFill="0" applyBorder="1" applyAlignment="1">
      <alignment horizontal="center" vertical="center"/>
    </xf>
    <xf numFmtId="10" fontId="14" fillId="0" borderId="16" xfId="1" applyNumberFormat="1" applyFont="1" applyFill="0" applyBorder="1" applyAlignment="1">
      <alignment horizontal="center" vertical="center"/>
    </xf>
    <xf numFmtId="177" fontId="3" fillId="0" borderId="0" xfId="1" applyNumberFormat="1" applyFont="1" applyFill="0">
      <alignment vertical="center"/>
    </xf>
    <xf numFmtId="10" fontId="3" fillId="0" borderId="0" xfId="1" applyNumberFormat="1" applyFont="1" applyFill="0">
      <alignment vertical="center"/>
    </xf>
    <xf numFmtId="0" fontId="3" fillId="0" borderId="0" xfId="1" applyFont="1" applyFill="0">
      <alignment vertical="center"/>
    </xf>
    <xf numFmtId="0" fontId="12" fillId="0" borderId="13" xfId="1" applyFill="0" applyBorder="1" applyAlignment="1">
      <alignment horizontal="center" vertical="center"/>
    </xf>
    <xf numFmtId="177" fontId="12" fillId="0" borderId="21" xfId="1" applyNumberFormat="1" applyFill="0" applyBorder="1" applyAlignment="1">
      <alignment horizontal="right" vertical="center"/>
    </xf>
    <xf numFmtId="10" fontId="12" fillId="0" borderId="11" xfId="1" applyNumberFormat="1" applyFill="0" applyBorder="1" applyAlignment="1">
      <alignment horizontal="center" vertical="center"/>
    </xf>
    <xf numFmtId="10" fontId="12" fillId="0" borderId="50" xfId="1" applyNumberFormat="1" applyFill="0" applyBorder="1" applyAlignment="1">
      <alignment horizontal="center" vertical="center"/>
    </xf>
    <xf numFmtId="10" fontId="15" fillId="0" borderId="19" xfId="1" applyNumberFormat="1" applyFont="1" applyFill="0" applyBorder="1" applyAlignment="1">
      <alignment horizontal="center" vertical="center"/>
    </xf>
    <xf numFmtId="9" fontId="3" fillId="0" borderId="0" xfId="1" applyNumberFormat="1" applyFont="1" applyFill="0">
      <alignment vertical="center"/>
    </xf>
    <xf numFmtId="0" fontId="7" fillId="0" borderId="0" xfId="1" applyFont="1" applyFill="0">
      <alignment vertical="center"/>
    </xf>
    <xf numFmtId="176" fontId="5" fillId="0" borderId="20" xfId="1" applyNumberFormat="1" applyFont="1" applyFill="0" applyBorder="1" applyAlignment="1">
      <alignment horizontal="center" vertical="center"/>
    </xf>
    <xf numFmtId="10" fontId="5" fillId="0" borderId="3" xfId="1" applyNumberFormat="1" applyFont="1" applyFill="0" applyBorder="1" applyAlignment="1">
      <alignment horizontal="center" vertical="center"/>
    </xf>
    <xf numFmtId="9" fontId="7" fillId="0" borderId="0" xfId="1" applyNumberFormat="1" applyFont="1" applyFill="0">
      <alignment vertical="center"/>
    </xf>
    <xf numFmtId="41" fontId="3" fillId="0" borderId="0" xfId="1" applyNumberFormat="1" applyFont="1" applyFill="0">
      <alignment vertical="center"/>
    </xf>
    <xf numFmtId="0" fontId="3" fillId="0" borderId="0" xfId="1" applyFont="1" applyFill="0">
      <alignment vertical="center"/>
    </xf>
    <xf numFmtId="41" fontId="5" fillId="0" borderId="17" xfId="1" applyNumberFormat="1" applyFont="1" applyFill="0" applyBorder="1" applyAlignment="1">
      <alignment horizontal="center" vertical="center"/>
    </xf>
    <xf numFmtId="181" fontId="3" fillId="0" borderId="0" xfId="1" applyNumberFormat="1" applyFont="1" applyFill="0">
      <alignment vertical="center"/>
    </xf>
    <xf numFmtId="0" fontId="5" fillId="0" borderId="33" xfId="1" applyFont="1" applyFill="0" applyBorder="1" applyAlignment="1">
      <alignment horizontal="center" vertical="center"/>
    </xf>
    <xf numFmtId="176" fontId="5" fillId="0" borderId="20" xfId="1" quotePrefix="1" applyNumberFormat="1" applyFont="1" applyFill="0" applyBorder="1" applyAlignment="1">
      <alignment horizontal="center" vertical="center"/>
    </xf>
    <xf numFmtId="0" fontId="5" fillId="0" borderId="34" xfId="1" applyFont="1" applyFill="0" applyBorder="1" applyAlignment="1">
      <alignment horizontal="center" vertical="center"/>
    </xf>
    <xf numFmtId="10" fontId="5" fillId="0" borderId="3" xfId="1" quotePrefix="1" applyNumberFormat="1" applyFont="1" applyFill="0" applyBorder="1" applyAlignment="1">
      <alignment horizontal="center" vertical="center"/>
    </xf>
    <xf numFmtId="41" fontId="3" fillId="0" borderId="0" xfId="2" applyFont="1" applyFill="0">
      <alignment vertical="center"/>
    </xf>
    <xf numFmtId="179" fontId="3" fillId="0" borderId="0" xfId="3" applyNumberFormat="1" applyFont="1" applyFill="0">
      <alignment vertical="center"/>
    </xf>
    <xf numFmtId="176" fontId="12" fillId="0" borderId="0" xfId="1" quotePrefix="1" applyNumberFormat="1" applyFill="0" applyAlignment="1">
      <alignment vertical="center" shrinkToFit="1"/>
    </xf>
    <xf numFmtId="10" fontId="14" fillId="0" borderId="18" xfId="1" applyNumberFormat="1" applyFont="1" applyFill="0" applyBorder="1" applyAlignment="1">
      <alignment horizontal="center" vertical="center"/>
    </xf>
    <xf numFmtId="0" fontId="5" fillId="0" borderId="41" xfId="1" applyFont="1" applyFill="0" applyBorder="1" applyAlignment="1">
      <alignment horizontal="center" vertical="center"/>
    </xf>
    <xf numFmtId="0" fontId="5" fillId="0" borderId="42" xfId="1" applyFont="1" applyFill="0" applyBorder="1" applyAlignment="1">
      <alignment horizontal="center" vertical="center"/>
    </xf>
    <xf numFmtId="179" fontId="12" fillId="0" borderId="14" xfId="5" applyNumberFormat="1" applyFont="1" applyFill="0" applyBorder="1" applyAlignment="1">
      <alignment horizontal="center" vertical="center"/>
    </xf>
    <xf numFmtId="41" fontId="3" fillId="0" borderId="0" xfId="4" applyFont="1" applyFill="0">
      <alignment vertical="center"/>
    </xf>
    <xf numFmtId="179" fontId="12" fillId="0" borderId="14" xfId="1" applyNumberFormat="1" applyFill="0" applyBorder="1" applyAlignment="1">
      <alignment horizontal="center" vertical="center"/>
    </xf>
    <xf numFmtId="182" fontId="3" fillId="0" borderId="0" xfId="1" applyNumberFormat="1" applyFont="1" applyFill="0">
      <alignment vertical="center"/>
    </xf>
    <xf numFmtId="183" fontId="3" fillId="0" borderId="0" xfId="1" applyNumberFormat="1" applyFont="1" applyFill="0">
      <alignment vertical="center"/>
    </xf>
    <xf numFmtId="182" fontId="12" fillId="0" borderId="13" xfId="4" applyNumberFormat="1" applyFont="1" applyFill="0" applyBorder="1">
      <alignment vertical="center"/>
    </xf>
    <xf numFmtId="0" fontId="5" fillId="0" borderId="43" xfId="1" applyFont="1" applyFill="0" applyBorder="1" applyAlignment="1">
      <alignment horizontal="center" vertical="center"/>
    </xf>
    <xf numFmtId="0" fontId="5" fillId="0" borderId="44" xfId="1" applyFont="1" applyFill="0" applyBorder="1" applyAlignment="1">
      <alignment horizontal="center" vertical="center"/>
    </xf>
    <xf numFmtId="0" fontId="5" fillId="0" borderId="41" xfId="1" applyFont="1" applyFill="0" applyBorder="1" applyAlignment="1">
      <alignment horizontal="center" vertical="center"/>
    </xf>
    <xf numFmtId="0" fontId="5" fillId="0" borderId="42" xfId="1" applyFont="1" applyFill="0" applyBorder="1" applyAlignment="1">
      <alignment horizontal="center" vertical="center"/>
    </xf>
    <xf numFmtId="176" fontId="5" fillId="0" borderId="2" xfId="1" applyNumberFormat="1" applyFont="1" applyFill="0" applyBorder="1" applyAlignment="1">
      <alignment horizontal="center" vertical="center"/>
    </xf>
    <xf numFmtId="176" fontId="5" fillId="0" borderId="45" xfId="1" applyNumberFormat="1" applyFont="1" applyFill="0" applyBorder="1" applyAlignment="1">
      <alignment horizontal="center" vertical="center"/>
    </xf>
    <xf numFmtId="176" fontId="5" fillId="0" borderId="46" xfId="1" applyNumberFormat="1" applyFont="1" applyFill="0" applyBorder="1" applyAlignment="1">
      <alignment horizontal="center" vertical="center"/>
    </xf>
    <xf numFmtId="0" fontId="5" fillId="0" borderId="2" xfId="1" applyFont="1" applyFill="0" applyBorder="1" applyAlignment="1">
      <alignment horizontal="center" vertical="center"/>
    </xf>
    <xf numFmtId="0" fontId="5" fillId="0" borderId="45" xfId="1" applyFont="1" applyFill="0" applyBorder="1" applyAlignment="1">
      <alignment horizontal="center" vertical="center"/>
    </xf>
    <xf numFmtId="0" fontId="5" fillId="0" borderId="46" xfId="1" applyFont="1" applyFill="0" applyBorder="1" applyAlignment="1">
      <alignment horizontal="center" vertical="center"/>
    </xf>
    <xf numFmtId="176" fontId="5" fillId="0" borderId="15" xfId="1" quotePrefix="1" applyNumberFormat="1" applyFont="1" applyFill="0" applyBorder="1" applyAlignment="1">
      <alignment horizontal="center" vertical="center"/>
    </xf>
    <xf numFmtId="176" fontId="5" fillId="0" borderId="25" xfId="1" quotePrefix="1" applyNumberFormat="1" applyFont="1" applyFill="0" applyBorder="1" applyAlignment="1">
      <alignment horizontal="center" vertical="center"/>
    </xf>
    <xf numFmtId="0" fontId="5" fillId="0" borderId="15" xfId="1" applyFont="1" applyFill="0" applyBorder="1" applyAlignment="1">
      <alignment horizontal="center" vertical="center"/>
    </xf>
    <xf numFmtId="0" fontId="5" fillId="0" borderId="25" xfId="1" applyFont="1" applyFill="0" applyBorder="1" applyAlignment="1">
      <alignment horizontal="center" vertical="center"/>
    </xf>
    <xf numFmtId="10" fontId="14" fillId="0" borderId="18" xfId="1" applyNumberFormat="1" applyFont="1" applyFill="0" applyBorder="1" applyAlignment="1">
      <alignment horizontal="center" vertical="center"/>
    </xf>
    <xf numFmtId="10" fontId="14" fillId="0" borderId="55" xfId="1" applyNumberFormat="1" applyFont="1" applyFill="0" applyBorder="1" applyAlignment="1">
      <alignment horizontal="center" vertical="center"/>
    </xf>
    <xf numFmtId="0" fontId="5" fillId="0" borderId="56" xfId="1" applyFont="1" applyFill="0" applyBorder="1" applyAlignment="1">
      <alignment horizontal="center" vertical="center"/>
    </xf>
    <xf numFmtId="176" fontId="5" fillId="0" borderId="57" xfId="1" applyNumberFormat="1" applyFont="1" applyFill="0" applyBorder="1" applyAlignment="1">
      <alignment horizontal="center" vertical="center"/>
    </xf>
    <xf numFmtId="41" fontId="5" fillId="0" borderId="18" xfId="1" applyNumberFormat="1" applyFont="1" applyFill="0" applyBorder="1" applyAlignment="1">
      <alignment horizontal="center" vertical="center"/>
    </xf>
    <xf numFmtId="41" fontId="5" fillId="0" borderId="55" xfId="1" applyNumberFormat="1" applyFont="1" applyFill="0" applyBorder="1" applyAlignment="1">
      <alignment horizontal="center" vertical="center"/>
    </xf>
    <xf numFmtId="0" fontId="5" fillId="0" borderId="1" xfId="1" quotePrefix="1" applyFont="1" applyFill="0" applyBorder="1" applyAlignment="1">
      <alignment horizontal="center" vertical="center"/>
    </xf>
    <xf numFmtId="0" fontId="5" fillId="0" borderId="34" xfId="1" quotePrefix="1" applyFont="1" applyFill="0" applyBorder="1" applyAlignment="1">
      <alignment horizontal="center" vertical="center"/>
    </xf>
    <xf numFmtId="176" fontId="5" fillId="0" borderId="59" xfId="1" applyNumberFormat="1" applyFont="1" applyFill="0" applyBorder="1" applyAlignment="1">
      <alignment horizontal="center" vertical="center"/>
    </xf>
    <xf numFmtId="41" fontId="3" fillId="0" borderId="0" xfId="4" applyFont="1" applyFill="0">
      <alignment vertical="center"/>
    </xf>
    <xf numFmtId="182" fontId="3" fillId="0" borderId="0" xfId="2" applyNumberFormat="1" applyFont="1" applyFill="0">
      <alignment vertical="center"/>
    </xf>
    <xf numFmtId="41" fontId="3" fillId="0" borderId="0" xfId="2" applyFont="1" applyFill="0">
      <alignment vertical="center"/>
    </xf>
    <xf numFmtId="181" fontId="12" fillId="0" borderId="15" xfId="1" applyNumberFormat="1" applyFill="0" applyBorder="1" applyAlignment="1">
      <alignment horizontal="right" vertical="center"/>
    </xf>
    <xf numFmtId="182" fontId="3" fillId="0" borderId="0" xfId="2" applyNumberFormat="1" applyFont="1" applyFill="0">
      <alignment vertical="center"/>
    </xf>
  </cellXfs>
  <cellStyles count="6">
    <cellStyle name="백분율" xfId="5" builtinId="5"/>
    <cellStyle name="백분율 2" xfId="3" xr:uid="{00000000-0005-0000-0000-000001000000}"/>
    <cellStyle name="쉼표 [0]" xfId="4" builtinId="6"/>
    <cellStyle name="쉼표 [0] 2" xfId="2" xr:uid="{00000000-0005-0000-0000-000003000000}"/>
    <cellStyle name="표준" xfId="0" builtinId="0"/>
    <cellStyle name="표준 2" xfId="1" xr:uid="{00000000-0005-0000-0000-000005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33616</xdr:colOff>
      <xdr:row>57</xdr:row>
      <xdr:rowOff>44823</xdr:rowOff>
    </xdr:from>
    <xdr:to>
      <xdr:col>6</xdr:col>
      <xdr:colOff>592230</xdr:colOff>
      <xdr:row>65</xdr:row>
      <xdr:rowOff>440617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2751042" y="15402486"/>
          <a:ext cx="2577355" cy="41349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89647</xdr:colOff>
      <xdr:row>56</xdr:row>
      <xdr:rowOff>44823</xdr:rowOff>
    </xdr:from>
    <xdr:to>
      <xdr:col>6</xdr:col>
      <xdr:colOff>784411</xdr:colOff>
      <xdr:row>64</xdr:row>
      <xdr:rowOff>168088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28265" y="15677029"/>
          <a:ext cx="3989293" cy="18265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56029</xdr:colOff>
      <xdr:row>56</xdr:row>
      <xdr:rowOff>44823</xdr:rowOff>
    </xdr:from>
    <xdr:to>
      <xdr:col>6</xdr:col>
      <xdr:colOff>859043</xdr:colOff>
      <xdr:row>64</xdr:row>
      <xdr:rowOff>169769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94647" y="15677029"/>
          <a:ext cx="4101353" cy="1837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81239</xdr:colOff>
      <xdr:row>56</xdr:row>
      <xdr:rowOff>33619</xdr:rowOff>
    </xdr:from>
    <xdr:to>
      <xdr:col>6</xdr:col>
      <xdr:colOff>840439</xdr:colOff>
      <xdr:row>64</xdr:row>
      <xdr:rowOff>168091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3127839" y="14557843"/>
          <a:ext cx="1837766" cy="405372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89647</xdr:colOff>
      <xdr:row>56</xdr:row>
      <xdr:rowOff>56031</xdr:rowOff>
    </xdr:from>
    <xdr:to>
      <xdr:col>6</xdr:col>
      <xdr:colOff>851647</xdr:colOff>
      <xdr:row>64</xdr:row>
      <xdr:rowOff>156883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28265" y="15688237"/>
          <a:ext cx="4056529" cy="180414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053;&#49457;&#48124;\C\My%20Documents\&#44305;&#50577;NO.2EGL&#45236;&#51648;&#47928;&#49444;&#48708;\&#51456;&#48708;&#51088;&#47308;\&#44228;&#50557;&#49324;&#50577;&#49436;\NKT\CCL\&#50672;&#54633;&#52384;~1.5CC\&#50868;&#51204;&#48169;&#50504;\CCLLIS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wnloads\220715_&#51089;&#50629;&#51068;&#48372;(&#54252;&#49828;&#53076;HY&#53364;&#47536;&#47700;&#53448;%20&#44277;&#51109;&#12828;%201&#44277;&#51109;%20&#53664;&#47785;.&#44148;&#52629;%20&#44277;&#49324;_1&#52264;)_&#46041;&#45224;&#51333;&#54633;&#44148;&#4944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OR LIST"/>
      <sheetName val="공정별계획(생산,발송)"/>
      <sheetName val="가열로SW"/>
      <sheetName val="Sheet2"/>
      <sheetName val="정부노임단가"/>
      <sheetName val="산#3-2-2"/>
      <sheetName val="예산서"/>
      <sheetName val="품종별-이름"/>
      <sheetName val="배수내역 (2)"/>
      <sheetName val="CCLLIST"/>
      <sheetName val="COVER"/>
      <sheetName val="투입인력"/>
      <sheetName val="Sheet5"/>
      <sheetName val="JUCKEYK"/>
      <sheetName val="OD5000"/>
      <sheetName val="Total"/>
      <sheetName val="충주"/>
      <sheetName val="#REF"/>
      <sheetName val="Sheet6"/>
      <sheetName val="과천MAIN"/>
      <sheetName val="환율-LIBOR"/>
      <sheetName val="Piping Design Data"/>
      <sheetName val="MACRO(전선관)"/>
      <sheetName val="도"/>
      <sheetName val="사기도장"/>
      <sheetName val="POL설치공정"/>
      <sheetName val="indirect"/>
      <sheetName val="계약ITEM"/>
      <sheetName val=" "/>
      <sheetName val="Sheet1"/>
      <sheetName val="대공종"/>
      <sheetName val="PROCESS"/>
      <sheetName val="BEND LOSS"/>
      <sheetName val="HARIMA"/>
      <sheetName val="내역서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715"/>
      <sheetName val="0714"/>
      <sheetName val="0713"/>
      <sheetName val="0712"/>
      <sheetName val="0711"/>
      <sheetName val="0710"/>
      <sheetName val="0709"/>
      <sheetName val="0708"/>
      <sheetName val="0707"/>
      <sheetName val="0706"/>
      <sheetName val="0705"/>
      <sheetName val="0704"/>
      <sheetName val="0703"/>
      <sheetName val="0702"/>
      <sheetName val="0701"/>
      <sheetName val="0630"/>
      <sheetName val="0629"/>
      <sheetName val="0628"/>
      <sheetName val="0627"/>
      <sheetName val="0626"/>
      <sheetName val="0625"/>
      <sheetName val="0624"/>
      <sheetName val="0623"/>
      <sheetName val="0622"/>
      <sheetName val="0621"/>
      <sheetName val="0620"/>
      <sheetName val="0619"/>
      <sheetName val="0618"/>
      <sheetName val="0617"/>
      <sheetName val="0616"/>
      <sheetName val="0615"/>
      <sheetName val="0614"/>
      <sheetName val="0613"/>
      <sheetName val="0612"/>
      <sheetName val="0611"/>
      <sheetName val="0610"/>
      <sheetName val="0609"/>
      <sheetName val="0608"/>
      <sheetName val="0607"/>
      <sheetName val="0606"/>
      <sheetName val="0604"/>
      <sheetName val="0603"/>
      <sheetName val="0602"/>
      <sheetName val="0601"/>
      <sheetName val="0531"/>
      <sheetName val="0530"/>
      <sheetName val="0529"/>
      <sheetName val="0528"/>
      <sheetName val="0527"/>
      <sheetName val="0526"/>
      <sheetName val="0525"/>
      <sheetName val="0524"/>
      <sheetName val="0523"/>
      <sheetName val="0522"/>
      <sheetName val="0521"/>
      <sheetName val="0520"/>
      <sheetName val="0519"/>
      <sheetName val="0518"/>
      <sheetName val="0517"/>
      <sheetName val="0516"/>
      <sheetName val="0514"/>
      <sheetName val="0513"/>
      <sheetName val="0512"/>
      <sheetName val="0511"/>
      <sheetName val="0510"/>
      <sheetName val="0509"/>
      <sheetName val="0507"/>
      <sheetName val="0506"/>
      <sheetName val="0504"/>
      <sheetName val="0503"/>
      <sheetName val="0502"/>
      <sheetName val="0501"/>
      <sheetName val="0430"/>
      <sheetName val="0429"/>
      <sheetName val="0428"/>
      <sheetName val="0427"/>
      <sheetName val="0426"/>
      <sheetName val="0425"/>
      <sheetName val="0424"/>
      <sheetName val="0423"/>
      <sheetName val="0422"/>
      <sheetName val="0421"/>
      <sheetName val="0420"/>
      <sheetName val="0419"/>
      <sheetName val="0418"/>
      <sheetName val="0416"/>
      <sheetName val="0415"/>
      <sheetName val="0414"/>
      <sheetName val="0413"/>
      <sheetName val="0412"/>
      <sheetName val="0411"/>
      <sheetName val="0409"/>
      <sheetName val="0408"/>
      <sheetName val="0407"/>
      <sheetName val="0406"/>
      <sheetName val="0405"/>
      <sheetName val="0404"/>
      <sheetName val="0402"/>
      <sheetName val="0401"/>
      <sheetName val="0331"/>
      <sheetName val="0330"/>
      <sheetName val="0329"/>
      <sheetName val="0328"/>
      <sheetName val="0326"/>
      <sheetName val="0325"/>
      <sheetName val="0324"/>
      <sheetName val="0323"/>
      <sheetName val="0322"/>
      <sheetName val="0321"/>
      <sheetName val="0318"/>
      <sheetName val="0317"/>
      <sheetName val="0316"/>
      <sheetName val="0315"/>
      <sheetName val="0314"/>
      <sheetName val="0312"/>
      <sheetName val="0311"/>
      <sheetName val="0310"/>
      <sheetName val="0309"/>
      <sheetName val="0308"/>
      <sheetName val="0307"/>
      <sheetName val="0305"/>
      <sheetName val="0304"/>
      <sheetName val="0303"/>
      <sheetName val="0302"/>
      <sheetName val="0228"/>
      <sheetName val="0227"/>
      <sheetName val="0226"/>
      <sheetName val="0225"/>
      <sheetName val="0224"/>
      <sheetName val="0223"/>
      <sheetName val="0222"/>
      <sheetName val="0221"/>
      <sheetName val="0219"/>
      <sheetName val="0218"/>
      <sheetName val="0217"/>
      <sheetName val="0216"/>
      <sheetName val="0215"/>
      <sheetName val="0214"/>
      <sheetName val="0212"/>
      <sheetName val="0211"/>
      <sheetName val="0210"/>
      <sheetName val="0209"/>
      <sheetName val="0208"/>
      <sheetName val="0207"/>
      <sheetName val="0129"/>
      <sheetName val="0128"/>
      <sheetName val="0127"/>
      <sheetName val="0126"/>
      <sheetName val="0125"/>
      <sheetName val="01224"/>
      <sheetName val="0122"/>
      <sheetName val="0121"/>
      <sheetName val="0120"/>
      <sheetName val="0119"/>
      <sheetName val="0118"/>
      <sheetName val="0117"/>
      <sheetName val="0115"/>
      <sheetName val="0114"/>
      <sheetName val="0113"/>
      <sheetName val="0112"/>
      <sheetName val="0111"/>
      <sheetName val="0110"/>
      <sheetName val="0109"/>
      <sheetName val="0108"/>
      <sheetName val="0107"/>
      <sheetName val="0106"/>
      <sheetName val="0105"/>
      <sheetName val="0104"/>
      <sheetName val="0103"/>
    </sheetNames>
    <sheetDataSet>
      <sheetData sheetId="0">
        <row r="37">
          <cell r="M37">
            <v>14546</v>
          </cell>
        </row>
        <row r="48">
          <cell r="M48">
            <v>2018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66"/>
  <sheetViews>
    <sheetView showGridLines="0" tabSelected="1" zoomScale="85" zoomScaleNormal="85" zoomScaleSheetLayoutView="70" workbookViewId="0">
      <selection activeCell="T23" sqref="T23"/>
    </sheetView>
  </sheetViews>
  <sheetFormatPr defaultColWidth="9" defaultRowHeight="19.2" x14ac:dyDescent="0.4"/>
  <cols>
    <col min="1" max="1" width="8.59765625" style="94" customWidth="1"/>
    <col min="2" max="2" width="16.69921875" style="94" customWidth="1"/>
    <col min="3" max="3" width="6" style="94" customWidth="1"/>
    <col min="4" max="4" width="16.69921875" style="94" bestFit="1" customWidth="1"/>
    <col min="5" max="5" width="11.3984375" style="94" customWidth="1"/>
    <col min="6" max="6" width="12.8984375" style="95" customWidth="1"/>
    <col min="7" max="7" width="11.69921875" style="95" customWidth="1"/>
    <col min="8" max="8" width="6.69921875" style="95" customWidth="1"/>
    <col min="9" max="9" width="6.19921875" style="95" customWidth="1"/>
    <col min="10" max="10" width="5" style="95" customWidth="1"/>
    <col min="11" max="11" width="5.59765625" style="94" customWidth="1"/>
    <col min="12" max="13" width="10.59765625" style="94" customWidth="1"/>
    <col min="14" max="14" width="13.5" style="96" customWidth="1"/>
    <col min="15" max="15" width="17.69921875" style="1" hidden="1" customWidth="1"/>
    <col min="16" max="19" width="12.69921875" style="2" hidden="1" customWidth="1"/>
    <col min="20" max="20" width="16.19921875" style="2" customWidth="1"/>
    <col min="21" max="21" width="10.09765625" style="2" bestFit="1" customWidth="1"/>
    <col min="22" max="22" width="15.19921875" style="97" bestFit="1" customWidth="1"/>
    <col min="23" max="23" width="10" style="97" bestFit="1" customWidth="1"/>
    <col min="24" max="24" width="17.59765625" style="2" bestFit="1" customWidth="1"/>
    <col min="25" max="25" width="14.19921875" style="2" bestFit="1" customWidth="1"/>
    <col min="26" max="27" width="9" style="2"/>
    <col min="28" max="28" width="10.19921875" style="2" bestFit="1" customWidth="1"/>
    <col min="29" max="16384" width="9" style="2"/>
  </cols>
  <sheetData>
    <row r="1" spans="1:28" ht="40.200000000000003" x14ac:dyDescent="0.4">
      <c r="A1" s="156" t="s">
        <v>40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28" ht="21" thickBot="1" x14ac:dyDescent="0.45">
      <c r="A2" s="3"/>
      <c r="B2" s="3"/>
      <c r="C2" s="3"/>
      <c r="D2" s="3"/>
      <c r="E2" s="3"/>
      <c r="F2" s="4"/>
      <c r="G2" s="4"/>
      <c r="H2" s="4"/>
      <c r="I2" s="4"/>
      <c r="J2" s="4"/>
      <c r="K2" s="3"/>
      <c r="L2" s="3"/>
      <c r="M2" s="3"/>
      <c r="N2" s="5"/>
    </row>
    <row r="3" spans="1:28" ht="21" customHeight="1" x14ac:dyDescent="0.4">
      <c r="A3" s="6"/>
      <c r="B3" s="6"/>
      <c r="C3" s="7"/>
      <c r="D3" s="3"/>
      <c r="E3" s="3"/>
      <c r="F3" s="4"/>
      <c r="G3" s="4"/>
      <c r="H3" s="157" t="s">
        <v>91</v>
      </c>
      <c r="I3" s="158"/>
      <c r="J3" s="159"/>
      <c r="K3" s="8" t="s">
        <v>9</v>
      </c>
      <c r="L3" s="9" t="s">
        <v>18</v>
      </c>
      <c r="M3" s="9" t="s">
        <v>5</v>
      </c>
      <c r="N3" s="10" t="s">
        <v>0</v>
      </c>
    </row>
    <row r="4" spans="1:28" ht="21" customHeight="1" thickBot="1" x14ac:dyDescent="0.45">
      <c r="A4" s="6"/>
      <c r="B4" s="6"/>
      <c r="C4" s="7"/>
      <c r="D4" s="3"/>
      <c r="E4" s="3"/>
      <c r="F4" s="4"/>
      <c r="G4" s="4"/>
      <c r="H4" s="160"/>
      <c r="I4" s="161"/>
      <c r="J4" s="162"/>
      <c r="K4" s="11" t="s">
        <v>24</v>
      </c>
      <c r="L4" s="163"/>
      <c r="M4" s="166" t="s">
        <v>15</v>
      </c>
      <c r="N4" s="169"/>
      <c r="V4" s="97"/>
    </row>
    <row r="5" spans="1:28" ht="21" customHeight="1" x14ac:dyDescent="0.4">
      <c r="A5" s="6"/>
      <c r="B5" s="6"/>
      <c r="C5" s="7"/>
      <c r="D5" s="3"/>
      <c r="E5" s="3"/>
      <c r="F5" s="4"/>
      <c r="G5" s="4"/>
      <c r="H5" s="172">
        <f>IFERROR(N26,"")</f>
      </c>
      <c r="I5" s="173"/>
      <c r="J5" s="174"/>
      <c r="K5" s="11" t="s">
        <v>8</v>
      </c>
      <c r="L5" s="164"/>
      <c r="M5" s="167"/>
      <c r="N5" s="170"/>
    </row>
    <row r="6" spans="1:28" ht="21" customHeight="1" thickBot="1" x14ac:dyDescent="0.45">
      <c r="A6" s="267"/>
      <c r="B6" s="268"/>
      <c r="C6" s="269"/>
      <c r="D6" s="269"/>
      <c r="E6" s="269"/>
      <c r="F6" s="270"/>
      <c r="G6" s="4"/>
      <c r="H6" s="175"/>
      <c r="I6" s="176"/>
      <c r="J6" s="177"/>
      <c r="K6" s="16" t="s">
        <v>9</v>
      </c>
      <c r="L6" s="165"/>
      <c r="M6" s="168"/>
      <c r="N6" s="171"/>
      <c r="O6" s="271"/>
    </row>
    <row r="7" spans="1:28" ht="21" customHeight="1" thickBot="1" x14ac:dyDescent="0.45">
      <c r="A7" s="18" t="s">
        <v>25</v>
      </c>
      <c r="B7" s="19"/>
      <c r="C7" s="20"/>
      <c r="D7" s="20"/>
      <c r="E7" s="20"/>
      <c r="F7" s="21"/>
      <c r="G7" s="21"/>
      <c r="H7" s="21"/>
      <c r="I7" s="21"/>
      <c r="J7" s="21"/>
      <c r="K7" s="20"/>
      <c r="L7" s="20"/>
      <c r="M7" s="20"/>
      <c r="N7" s="22"/>
      <c r="O7" s="271"/>
    </row>
    <row r="8" spans="1:28" ht="21.75" customHeight="1" x14ac:dyDescent="0.4">
      <c r="A8" s="142" t="s">
        <v>3</v>
      </c>
      <c r="B8" s="144" t="s">
        <v>39</v>
      </c>
      <c r="C8" s="144" t="s">
        <v>22</v>
      </c>
      <c r="D8" s="144" t="s">
        <v>2</v>
      </c>
      <c r="E8" s="23" t="s">
        <v>16</v>
      </c>
      <c r="F8" s="146" t="s">
        <v>30</v>
      </c>
      <c r="G8" s="322"/>
      <c r="H8" s="322"/>
      <c r="I8" s="323"/>
      <c r="J8" s="149" t="s">
        <v>32</v>
      </c>
      <c r="K8" s="325"/>
      <c r="L8" s="325"/>
      <c r="M8" s="326"/>
      <c r="N8" s="24" t="s">
        <v>7</v>
      </c>
      <c r="O8" s="271"/>
      <c r="AB8" s="262">
        <f>IFERROR(V4*25.8%,"")</f>
      </c>
    </row>
    <row r="9" spans="1:28" ht="21.75" customHeight="1" x14ac:dyDescent="0.4">
      <c r="A9" s="318"/>
      <c r="B9" s="320"/>
      <c r="C9" s="320"/>
      <c r="D9" s="320"/>
      <c r="E9" s="124" t="s">
        <v>11</v>
      </c>
      <c r="F9" s="25" t="s">
        <v>1</v>
      </c>
      <c r="G9" s="25" t="s">
        <v>13</v>
      </c>
      <c r="H9" s="152" t="s">
        <v>21</v>
      </c>
      <c r="I9" s="328"/>
      <c r="J9" s="154" t="s">
        <v>1</v>
      </c>
      <c r="K9" s="330"/>
      <c r="L9" s="26" t="s">
        <v>13</v>
      </c>
      <c r="M9" s="26" t="s">
        <v>21</v>
      </c>
      <c r="N9" s="27" t="s">
        <v>11</v>
      </c>
      <c r="O9" s="271"/>
      <c r="X9" s="258">
        <f>IFERROR(T10+T12+V13+T14+T15+V17+T18,"")</f>
      </c>
      <c r="AB9" s="262">
        <f>IFERROR(V4*9.4%,"")</f>
      </c>
    </row>
    <row r="10" spans="1:28" s="38" customFormat="1" ht="21.75" customHeight="1" x14ac:dyDescent="0.4">
      <c r="A10" s="185" t="s">
        <v>10</v>
      </c>
      <c r="B10" s="28" t="s">
        <v>54</v>
      </c>
      <c r="C10" s="29" t="s">
        <v>90</v>
      </c>
      <c r="D10" s="343"/>
      <c r="E10" s="311"/>
      <c r="F10" s="32"/>
      <c r="G10" s="281"/>
      <c r="H10" s="187">
        <f t="shared" ref="H10:H15" si="0">IFERROR(G10+F10,"")</f>
      </c>
      <c r="I10" s="188"/>
      <c r="J10" s="189">
        <f t="shared" ref="J10:J15" si="1">IFERROR(F10/D10*E10,"")</f>
      </c>
      <c r="K10" s="190"/>
      <c r="L10" s="34">
        <f t="shared" ref="L10:L15" si="2">IFERROR((G10/D10)*E10,"")</f>
      </c>
      <c r="M10" s="35">
        <f t="shared" ref="M10:M15" si="3">IFERROR(J10+L10,"")</f>
      </c>
      <c r="N10" s="36">
        <f t="shared" ref="N10:N15" si="4">IFERROR(M10,"")</f>
      </c>
      <c r="O10" s="284"/>
      <c r="T10" s="340"/>
      <c r="U10" s="131"/>
      <c r="V10" s="98"/>
      <c r="W10" s="98"/>
      <c r="X10" s="38">
        <f>IFERROR(T10/X9*100,"")</f>
      </c>
      <c r="AB10" s="263">
        <f>IFERROR(V4*25.6%,"")</f>
      </c>
    </row>
    <row r="11" spans="1:28" s="38" customFormat="1" ht="21.75" customHeight="1" x14ac:dyDescent="0.4">
      <c r="A11" s="186"/>
      <c r="B11" s="39" t="s">
        <v>55</v>
      </c>
      <c r="C11" s="278"/>
      <c r="D11" s="260"/>
      <c r="E11" s="129"/>
      <c r="F11" s="32"/>
      <c r="G11" s="40"/>
      <c r="H11" s="187">
        <f t="shared" si="0"/>
      </c>
      <c r="I11" s="188"/>
      <c r="J11" s="189"/>
      <c r="K11" s="190"/>
      <c r="L11" s="34"/>
      <c r="M11" s="282"/>
      <c r="N11" s="283"/>
      <c r="O11" s="284"/>
      <c r="T11" s="126"/>
      <c r="U11" s="126"/>
      <c r="V11" s="98"/>
      <c r="W11" s="98"/>
      <c r="AB11" s="72">
        <f>IFERROR(V4*5%,"")</f>
      </c>
    </row>
    <row r="12" spans="1:28" s="38" customFormat="1" ht="21.75" customHeight="1" x14ac:dyDescent="0.4">
      <c r="A12" s="186"/>
      <c r="B12" s="28" t="s">
        <v>83</v>
      </c>
      <c r="C12" s="29" t="s">
        <v>90</v>
      </c>
      <c r="D12" s="260"/>
      <c r="E12" s="129"/>
      <c r="F12" s="32"/>
      <c r="G12" s="40"/>
      <c r="H12" s="187">
        <f t="shared" si="0"/>
      </c>
      <c r="I12" s="188"/>
      <c r="J12" s="189">
        <f t="shared" si="1"/>
      </c>
      <c r="K12" s="190"/>
      <c r="L12" s="34">
        <f t="shared" si="2"/>
      </c>
      <c r="M12" s="35">
        <f t="shared" si="3"/>
      </c>
      <c r="N12" s="36">
        <f t="shared" si="4"/>
      </c>
      <c r="O12" s="284"/>
      <c r="T12" s="340"/>
      <c r="U12" s="128"/>
      <c r="V12" s="98"/>
      <c r="W12" s="98"/>
      <c r="X12" s="38">
        <f>IFERROR(T12/X9*100,"")</f>
      </c>
      <c r="AB12" s="263">
        <f>IFERROR(V4*3.2%,"")</f>
      </c>
    </row>
    <row r="13" spans="1:28" s="38" customFormat="1" ht="21.75" customHeight="1" x14ac:dyDescent="0.4">
      <c r="A13" s="186"/>
      <c r="B13" s="28" t="s">
        <v>84</v>
      </c>
      <c r="C13" s="29" t="s">
        <v>90</v>
      </c>
      <c r="D13" s="343"/>
      <c r="E13" s="313"/>
      <c r="F13" s="40"/>
      <c r="G13" s="281"/>
      <c r="H13" s="187">
        <f t="shared" si="0"/>
      </c>
      <c r="I13" s="188"/>
      <c r="J13" s="189">
        <f t="shared" si="1"/>
      </c>
      <c r="K13" s="190"/>
      <c r="L13" s="34">
        <f t="shared" si="2"/>
      </c>
      <c r="M13" s="35">
        <f t="shared" si="3"/>
      </c>
      <c r="N13" s="36">
        <f t="shared" si="4"/>
      </c>
      <c r="O13" s="285"/>
      <c r="T13" s="126"/>
      <c r="U13" s="254"/>
      <c r="V13" s="256">
        <f>IFERROR(T13+U13,"")</f>
      </c>
      <c r="W13" s="98"/>
      <c r="X13" s="38">
        <f>IFERROR(V13/X9*100,"")</f>
      </c>
      <c r="Y13" s="38"/>
    </row>
    <row r="14" spans="1:28" s="42" customFormat="1" ht="21.75" customHeight="1" x14ac:dyDescent="0.4">
      <c r="A14" s="186"/>
      <c r="B14" s="28" t="s">
        <v>85</v>
      </c>
      <c r="C14" s="29" t="s">
        <v>90</v>
      </c>
      <c r="D14" s="343"/>
      <c r="E14" s="313"/>
      <c r="F14" s="281"/>
      <c r="G14" s="281"/>
      <c r="H14" s="187">
        <f t="shared" si="0"/>
      </c>
      <c r="I14" s="188"/>
      <c r="J14" s="189">
        <f t="shared" si="1"/>
      </c>
      <c r="K14" s="190"/>
      <c r="L14" s="34">
        <f t="shared" si="2"/>
      </c>
      <c r="M14" s="35">
        <f t="shared" si="3"/>
      </c>
      <c r="N14" s="36">
        <f t="shared" si="4"/>
      </c>
      <c r="O14" s="285"/>
      <c r="T14" s="340"/>
      <c r="U14" s="314"/>
      <c r="V14" s="305"/>
      <c r="W14" s="305"/>
      <c r="X14" s="42">
        <f>IFERROR(T14/X9*100,"")</f>
      </c>
    </row>
    <row r="15" spans="1:28" s="42" customFormat="1" ht="21.75" customHeight="1" x14ac:dyDescent="0.4">
      <c r="A15" s="186"/>
      <c r="B15" s="28" t="s">
        <v>86</v>
      </c>
      <c r="C15" s="29" t="s">
        <v>90</v>
      </c>
      <c r="D15" s="343"/>
      <c r="E15" s="280"/>
      <c r="F15" s="281"/>
      <c r="G15" s="281"/>
      <c r="H15" s="187">
        <f t="shared" si="0"/>
      </c>
      <c r="I15" s="188"/>
      <c r="J15" s="189">
        <f t="shared" si="1"/>
      </c>
      <c r="K15" s="190"/>
      <c r="L15" s="34">
        <f t="shared" si="2"/>
      </c>
      <c r="M15" s="35">
        <f t="shared" si="3"/>
      </c>
      <c r="N15" s="36">
        <f t="shared" si="4"/>
      </c>
      <c r="O15" s="285"/>
      <c r="T15" s="340"/>
      <c r="V15" s="305"/>
      <c r="W15" s="305"/>
      <c r="X15" s="42">
        <f>IFERROR(T15/X9,"")</f>
      </c>
    </row>
    <row r="16" spans="1:28" s="42" customFormat="1" ht="21.75" customHeight="1" x14ac:dyDescent="0.4">
      <c r="A16" s="185"/>
      <c r="B16" s="28" t="s">
        <v>87</v>
      </c>
      <c r="C16" s="278"/>
      <c r="D16" s="343"/>
      <c r="E16" s="280"/>
      <c r="F16" s="281"/>
      <c r="G16" s="281"/>
      <c r="H16" s="187">
        <f t="shared" ref="H16:H21" si="5">IFERROR(G16+F16,"")</f>
      </c>
      <c r="I16" s="188"/>
      <c r="J16" s="189"/>
      <c r="K16" s="190"/>
      <c r="L16" s="34"/>
      <c r="M16" s="282"/>
      <c r="N16" s="283"/>
      <c r="O16" s="285"/>
      <c r="T16" s="312"/>
      <c r="U16" s="314"/>
      <c r="V16" s="305"/>
      <c r="W16" s="305"/>
    </row>
    <row r="17" spans="1:25" s="42" customFormat="1" ht="21.75" customHeight="1" x14ac:dyDescent="0.4">
      <c r="A17" s="186"/>
      <c r="B17" s="28" t="s">
        <v>88</v>
      </c>
      <c r="C17" s="29" t="s">
        <v>90</v>
      </c>
      <c r="D17" s="343"/>
      <c r="E17" s="280"/>
      <c r="F17" s="281"/>
      <c r="G17" s="281"/>
      <c r="H17" s="187">
        <f t="shared" si="5"/>
      </c>
      <c r="I17" s="188"/>
      <c r="J17" s="189">
        <f t="shared" ref="J16:J18" si="6">IFERROR(F17/D17*E17,"")</f>
      </c>
      <c r="K17" s="190"/>
      <c r="L17" s="34">
        <f t="shared" ref="L16:L18" si="7">IFERROR((G17/D17)*E17,"")</f>
      </c>
      <c r="M17" s="35">
        <f t="shared" ref="M16:M18" si="8">IFERROR(J17+L17,"")</f>
      </c>
      <c r="N17" s="36">
        <f t="shared" ref="N16:N18" si="9">IFERROR(M17,"")</f>
      </c>
      <c r="O17" s="285"/>
      <c r="T17" s="286"/>
      <c r="U17" s="286"/>
      <c r="V17" s="257">
        <f>IFERROR(U17+T17,"")</f>
      </c>
      <c r="W17" s="305"/>
      <c r="X17" s="42">
        <f>IFERROR(V17/X9*100,"")</f>
      </c>
    </row>
    <row r="18" spans="1:25" s="42" customFormat="1" ht="21.75" customHeight="1" x14ac:dyDescent="0.4">
      <c r="A18" s="186"/>
      <c r="B18" s="28" t="s">
        <v>89</v>
      </c>
      <c r="C18" s="29" t="s">
        <v>90</v>
      </c>
      <c r="D18" s="343"/>
      <c r="E18" s="280"/>
      <c r="F18" s="281"/>
      <c r="G18" s="281"/>
      <c r="H18" s="187">
        <f t="shared" si="5"/>
      </c>
      <c r="I18" s="188"/>
      <c r="J18" s="189">
        <f t="shared" si="6"/>
      </c>
      <c r="K18" s="190"/>
      <c r="L18" s="34">
        <f t="shared" si="7"/>
      </c>
      <c r="M18" s="35">
        <f t="shared" si="8"/>
      </c>
      <c r="N18" s="36">
        <f t="shared" si="9"/>
      </c>
      <c r="O18" s="285"/>
      <c r="T18" s="340"/>
      <c r="V18" s="305"/>
      <c r="W18" s="305"/>
      <c r="X18" s="42">
        <f>IFERROR(T18/X9*100,"")</f>
      </c>
      <c r="Y18" s="306"/>
    </row>
    <row r="19" spans="1:25" s="42" customFormat="1" ht="21.75" customHeight="1" x14ac:dyDescent="0.4">
      <c r="A19" s="186"/>
      <c r="B19" s="277"/>
      <c r="C19" s="278"/>
      <c r="D19" s="279"/>
      <c r="E19" s="280"/>
      <c r="F19" s="281"/>
      <c r="G19" s="281"/>
      <c r="H19" s="187">
        <f t="shared" si="5"/>
      </c>
      <c r="I19" s="188"/>
      <c r="J19" s="189"/>
      <c r="K19" s="190"/>
      <c r="L19" s="34"/>
      <c r="M19" s="282"/>
      <c r="N19" s="283"/>
      <c r="O19" s="285"/>
      <c r="V19" s="305"/>
      <c r="W19" s="305"/>
      <c r="Y19" s="305"/>
    </row>
    <row r="20" spans="1:25" s="42" customFormat="1" ht="21.75" customHeight="1" x14ac:dyDescent="0.4">
      <c r="A20" s="186"/>
      <c r="B20" s="277"/>
      <c r="C20" s="278"/>
      <c r="D20" s="279"/>
      <c r="E20" s="280"/>
      <c r="F20" s="281"/>
      <c r="G20" s="281"/>
      <c r="H20" s="187">
        <f t="shared" si="5"/>
      </c>
      <c r="I20" s="188"/>
      <c r="J20" s="189"/>
      <c r="K20" s="190"/>
      <c r="L20" s="34"/>
      <c r="M20" s="282"/>
      <c r="N20" s="283"/>
      <c r="O20" s="285"/>
      <c r="V20" s="305"/>
      <c r="W20" s="305"/>
    </row>
    <row r="21" spans="1:25" s="42" customFormat="1" ht="21.75" customHeight="1" x14ac:dyDescent="0.4">
      <c r="A21" s="186"/>
      <c r="B21" s="277"/>
      <c r="C21" s="278"/>
      <c r="D21" s="279"/>
      <c r="E21" s="280"/>
      <c r="F21" s="281"/>
      <c r="G21" s="281"/>
      <c r="H21" s="187">
        <f t="shared" si="5"/>
      </c>
      <c r="I21" s="188"/>
      <c r="J21" s="189"/>
      <c r="K21" s="190"/>
      <c r="L21" s="34"/>
      <c r="M21" s="282"/>
      <c r="N21" s="283"/>
      <c r="O21" s="285"/>
      <c r="T21" s="315"/>
      <c r="V21" s="305"/>
      <c r="W21" s="305"/>
      <c r="X21" s="42">
        <f>IFERROR(5-1.8,"")</f>
      </c>
      <c r="Y21" s="306"/>
    </row>
    <row r="22" spans="1:25" s="42" customFormat="1" ht="21.75" customHeight="1" x14ac:dyDescent="0.4">
      <c r="A22" s="186"/>
      <c r="B22" s="277"/>
      <c r="C22" s="278"/>
      <c r="D22" s="279"/>
      <c r="E22" s="280"/>
      <c r="F22" s="281"/>
      <c r="G22" s="281"/>
      <c r="H22" s="187"/>
      <c r="I22" s="188"/>
      <c r="J22" s="189"/>
      <c r="K22" s="190"/>
      <c r="L22" s="34"/>
      <c r="M22" s="282"/>
      <c r="N22" s="283"/>
      <c r="O22" s="285"/>
      <c r="V22" s="261">
        <f>IFERROR(101.8-100,"")</f>
      </c>
      <c r="W22" s="305"/>
      <c r="Y22" s="305"/>
    </row>
    <row r="23" spans="1:25" s="42" customFormat="1" ht="21.75" customHeight="1" x14ac:dyDescent="0.4">
      <c r="A23" s="186"/>
      <c r="B23" s="277"/>
      <c r="C23" s="278"/>
      <c r="D23" s="279"/>
      <c r="E23" s="280"/>
      <c r="F23" s="281"/>
      <c r="G23" s="281"/>
      <c r="H23" s="187"/>
      <c r="I23" s="188"/>
      <c r="J23" s="189"/>
      <c r="K23" s="190"/>
      <c r="L23" s="34"/>
      <c r="M23" s="282"/>
      <c r="N23" s="283"/>
      <c r="O23" s="285"/>
      <c r="V23" s="305"/>
      <c r="W23" s="305"/>
    </row>
    <row r="24" spans="1:25" s="42" customFormat="1" ht="21.75" customHeight="1" x14ac:dyDescent="0.4">
      <c r="A24" s="193"/>
      <c r="B24" s="277"/>
      <c r="C24" s="278"/>
      <c r="D24" s="279"/>
      <c r="E24" s="280"/>
      <c r="F24" s="281"/>
      <c r="G24" s="281"/>
      <c r="H24" s="187"/>
      <c r="I24" s="188"/>
      <c r="J24" s="189"/>
      <c r="K24" s="190"/>
      <c r="L24" s="34"/>
      <c r="M24" s="282"/>
      <c r="N24" s="283"/>
      <c r="O24" s="285"/>
      <c r="V24" s="305"/>
      <c r="W24" s="305"/>
    </row>
    <row r="25" spans="1:25" s="42" customFormat="1" ht="21.75" customHeight="1" x14ac:dyDescent="0.4">
      <c r="A25" s="194"/>
      <c r="B25" s="194"/>
      <c r="C25" s="287"/>
      <c r="D25" s="288"/>
      <c r="E25" s="280"/>
      <c r="F25" s="281"/>
      <c r="G25" s="281"/>
      <c r="H25" s="187"/>
      <c r="I25" s="188"/>
      <c r="J25" s="45"/>
      <c r="K25" s="46"/>
      <c r="L25" s="45"/>
      <c r="M25" s="289"/>
      <c r="N25" s="290"/>
      <c r="O25" s="285"/>
      <c r="V25" s="305"/>
      <c r="W25" s="305"/>
    </row>
    <row r="26" spans="1:25" s="38" customFormat="1" ht="21.75" customHeight="1" thickBot="1" x14ac:dyDescent="0.45">
      <c r="A26" s="178" t="s">
        <v>26</v>
      </c>
      <c r="B26" s="179"/>
      <c r="C26" s="179"/>
      <c r="D26" s="180"/>
      <c r="E26" s="49">
        <f>IFERROR(SUM(E10:E25),"")</f>
      </c>
      <c r="F26" s="50"/>
      <c r="G26" s="50"/>
      <c r="H26" s="181"/>
      <c r="I26" s="182"/>
      <c r="J26" s="183">
        <f>IFERROR(SUM(J10:K24),"")</f>
      </c>
      <c r="K26" s="184">
        <f>IFERROR(SUM(#REF!),"")</f>
      </c>
      <c r="L26" s="122">
        <f>IFERROR(SUM(L10:L24),"")</f>
      </c>
      <c r="M26" s="122">
        <f>IFERROR(SUM(M10:M24),"")</f>
      </c>
      <c r="N26" s="51">
        <f>IFERROR(SUM(N10:N24),"")</f>
      </c>
      <c r="O26" s="292"/>
      <c r="V26" s="98"/>
      <c r="W26" s="98"/>
    </row>
    <row r="27" spans="1:25" s="60" customFormat="1" ht="21.75" customHeight="1" thickBot="1" x14ac:dyDescent="0.45">
      <c r="A27" s="18" t="s">
        <v>31</v>
      </c>
      <c r="B27" s="53"/>
      <c r="C27" s="54"/>
      <c r="D27" s="54"/>
      <c r="E27" s="55"/>
      <c r="F27" s="56"/>
      <c r="G27" s="56"/>
      <c r="H27" s="56"/>
      <c r="I27" s="56"/>
      <c r="J27" s="56"/>
      <c r="K27" s="57"/>
      <c r="L27" s="57"/>
      <c r="M27" s="57"/>
      <c r="N27" s="58" t="inlineStr">
        <is>
          <t xml:space="preserve">(단위: </t>
        </is>
      </c>
      <c r="O27" s="293"/>
      <c r="V27" s="101"/>
      <c r="W27" s="101"/>
    </row>
    <row r="28" spans="1:25" s="60" customFormat="1" ht="21.75" customHeight="1" x14ac:dyDescent="0.4">
      <c r="A28" s="191" t="s">
        <v>33</v>
      </c>
      <c r="B28" s="325"/>
      <c r="C28" s="326"/>
      <c r="D28" s="23" t="s">
        <v>36</v>
      </c>
      <c r="E28" s="23" t="s">
        <v>13</v>
      </c>
      <c r="F28" s="61" t="s">
        <v>21</v>
      </c>
      <c r="G28" s="192" t="s">
        <v>33</v>
      </c>
      <c r="H28" s="322"/>
      <c r="I28" s="323"/>
      <c r="J28" s="149" t="s">
        <v>36</v>
      </c>
      <c r="K28" s="326"/>
      <c r="L28" s="23" t="s">
        <v>13</v>
      </c>
      <c r="M28" s="23" t="s">
        <v>21</v>
      </c>
      <c r="N28" s="62" t="s">
        <v>4</v>
      </c>
      <c r="O28" s="296"/>
      <c r="Q28" s="64" t="s">
        <v>19</v>
      </c>
      <c r="R28" s="64" t="s">
        <v>23</v>
      </c>
      <c r="S28" s="65" t="s">
        <v>17</v>
      </c>
      <c r="V28" s="101"/>
      <c r="W28" s="101"/>
    </row>
    <row r="29" spans="1:25" s="38" customFormat="1" ht="21.75" customHeight="1" x14ac:dyDescent="0.4">
      <c r="A29" s="195" t="s">
        <v>56</v>
      </c>
      <c r="B29" s="196"/>
      <c r="C29" s="197"/>
      <c r="D29" s="66"/>
      <c r="E29" s="67"/>
      <c r="F29" s="68">
        <f t="shared" ref="F29:F40" si="10">IFERROR(D29+E29,"")</f>
      </c>
      <c r="G29" s="119"/>
      <c r="H29" s="120"/>
      <c r="I29" s="121"/>
      <c r="J29" s="198">
        <f>IFERROR('0820'!M28,"")</f>
      </c>
      <c r="K29" s="199"/>
      <c r="L29" s="107"/>
      <c r="M29" s="66">
        <f t="shared" ref="M29:M38" si="11">IFERROR(J29+L29,"")</f>
      </c>
      <c r="N29" s="69"/>
      <c r="O29" s="292"/>
      <c r="P29" s="292"/>
      <c r="Q29" s="102"/>
      <c r="R29" s="102"/>
      <c r="S29" s="102">
        <f t="shared" ref="S29:S38" si="12">IFERROR(SUM(Q29:R29),"")</f>
      </c>
      <c r="V29" s="98"/>
      <c r="W29" s="98"/>
    </row>
    <row r="30" spans="1:25" s="38" customFormat="1" ht="21.75" customHeight="1" x14ac:dyDescent="0.4">
      <c r="A30" s="195" t="s">
        <v>57</v>
      </c>
      <c r="B30" s="196"/>
      <c r="C30" s="197"/>
      <c r="D30" s="66"/>
      <c r="E30" s="67"/>
      <c r="F30" s="68">
        <f t="shared" si="10"/>
      </c>
      <c r="G30" s="119"/>
      <c r="H30" s="120"/>
      <c r="I30" s="121"/>
      <c r="J30" s="198">
        <f>IFERROR('0820'!M29,"")</f>
      </c>
      <c r="K30" s="199"/>
      <c r="L30" s="70"/>
      <c r="M30" s="66">
        <f t="shared" si="11"/>
      </c>
      <c r="N30" s="71"/>
      <c r="O30" s="292"/>
      <c r="P30" s="292"/>
      <c r="Q30" s="102"/>
      <c r="R30" s="102"/>
      <c r="S30" s="102">
        <f t="shared" si="12"/>
      </c>
      <c r="V30" s="98"/>
      <c r="W30" s="98"/>
    </row>
    <row r="31" spans="1:25" s="38" customFormat="1" ht="21.75" customHeight="1" x14ac:dyDescent="0.4">
      <c r="A31" s="195"/>
      <c r="B31" s="196"/>
      <c r="C31" s="197"/>
      <c r="D31" s="66"/>
      <c r="E31" s="67"/>
      <c r="F31" s="68">
        <f t="shared" si="10"/>
      </c>
      <c r="G31" s="119"/>
      <c r="H31" s="120"/>
      <c r="I31" s="121"/>
      <c r="J31" s="198">
        <f>IFERROR('0820'!M30,"")</f>
      </c>
      <c r="K31" s="199"/>
      <c r="L31" s="107"/>
      <c r="M31" s="66">
        <f t="shared" si="11"/>
      </c>
      <c r="N31" s="69"/>
      <c r="O31" s="292"/>
      <c r="P31" s="292"/>
      <c r="Q31" s="102"/>
      <c r="R31" s="102"/>
      <c r="S31" s="102">
        <f t="shared" si="12"/>
      </c>
      <c r="V31" s="98"/>
      <c r="W31" s="98"/>
      <c r="X31" s="72"/>
    </row>
    <row r="32" spans="1:25" s="38" customFormat="1" ht="21.75" customHeight="1" x14ac:dyDescent="0.4">
      <c r="A32" s="195"/>
      <c r="B32" s="196"/>
      <c r="C32" s="197"/>
      <c r="D32" s="66"/>
      <c r="E32" s="67"/>
      <c r="F32" s="68">
        <f t="shared" si="10"/>
      </c>
      <c r="G32" s="119"/>
      <c r="H32" s="120"/>
      <c r="I32" s="121"/>
      <c r="J32" s="198">
        <f>IFERROR('0820'!M31,"")</f>
      </c>
      <c r="K32" s="199"/>
      <c r="L32" s="107"/>
      <c r="M32" s="66">
        <f t="shared" si="11"/>
      </c>
      <c r="N32" s="71"/>
      <c r="O32" s="292"/>
      <c r="P32" s="292"/>
      <c r="Q32" s="102"/>
      <c r="R32" s="102"/>
      <c r="S32" s="102">
        <f t="shared" si="12"/>
      </c>
      <c r="V32" s="98"/>
      <c r="W32" s="98"/>
    </row>
    <row r="33" spans="1:23" s="38" customFormat="1" ht="21.75" customHeight="1" x14ac:dyDescent="0.4">
      <c r="A33" s="195" t="s">
        <v>63</v>
      </c>
      <c r="B33" s="196"/>
      <c r="C33" s="197"/>
      <c r="D33" s="66"/>
      <c r="E33" s="67"/>
      <c r="F33" s="68">
        <f t="shared" si="10"/>
      </c>
      <c r="G33" s="119"/>
      <c r="H33" s="120"/>
      <c r="I33" s="121"/>
      <c r="J33" s="198">
        <f>IFERROR('0820'!M32,"")</f>
      </c>
      <c r="K33" s="199"/>
      <c r="L33" s="107"/>
      <c r="M33" s="66">
        <f t="shared" si="11"/>
      </c>
      <c r="N33" s="71"/>
      <c r="O33" s="292"/>
      <c r="P33" s="292"/>
      <c r="Q33" s="102"/>
      <c r="R33" s="102"/>
      <c r="S33" s="102">
        <f t="shared" si="12"/>
      </c>
      <c r="V33" s="98"/>
      <c r="W33" s="98"/>
    </row>
    <row r="34" spans="1:23" s="38" customFormat="1" ht="21.75" customHeight="1" x14ac:dyDescent="0.4">
      <c r="A34" s="195"/>
      <c r="B34" s="196"/>
      <c r="C34" s="197"/>
      <c r="D34" s="66"/>
      <c r="E34" s="67"/>
      <c r="F34" s="68">
        <f t="shared" si="10"/>
      </c>
      <c r="G34" s="119"/>
      <c r="H34" s="120"/>
      <c r="I34" s="121"/>
      <c r="J34" s="198">
        <f>IFERROR('0820'!M33,"")</f>
      </c>
      <c r="K34" s="199"/>
      <c r="L34" s="107"/>
      <c r="M34" s="66">
        <f t="shared" si="11"/>
      </c>
      <c r="N34" s="69"/>
      <c r="O34" s="297"/>
      <c r="P34" s="38"/>
      <c r="Q34" s="102"/>
      <c r="R34" s="102"/>
      <c r="S34" s="102">
        <f t="shared" si="12"/>
      </c>
      <c r="V34" s="98"/>
      <c r="W34" s="98"/>
    </row>
    <row r="35" spans="1:23" s="38" customFormat="1" ht="21.75" customHeight="1" x14ac:dyDescent="0.4">
      <c r="A35" s="195"/>
      <c r="B35" s="196"/>
      <c r="C35" s="197"/>
      <c r="D35" s="66"/>
      <c r="E35" s="107"/>
      <c r="F35" s="68">
        <f t="shared" si="10"/>
      </c>
      <c r="G35" s="119"/>
      <c r="H35" s="120"/>
      <c r="I35" s="121"/>
      <c r="J35" s="198">
        <f>IFERROR('0820'!M34,"")</f>
      </c>
      <c r="K35" s="199"/>
      <c r="L35" s="107"/>
      <c r="M35" s="66">
        <f t="shared" si="11"/>
      </c>
      <c r="N35" s="69"/>
      <c r="O35" s="297"/>
      <c r="P35" s="38"/>
      <c r="Q35" s="102"/>
      <c r="R35" s="102"/>
      <c r="S35" s="102">
        <f t="shared" si="12"/>
      </c>
      <c r="V35" s="98"/>
      <c r="W35" s="98"/>
    </row>
    <row r="36" spans="1:23" s="38" customFormat="1" ht="21.75" customHeight="1" x14ac:dyDescent="0.4">
      <c r="A36" s="195"/>
      <c r="B36" s="196"/>
      <c r="C36" s="197"/>
      <c r="D36" s="66"/>
      <c r="E36" s="107"/>
      <c r="F36" s="68">
        <f t="shared" si="10"/>
      </c>
      <c r="G36" s="119"/>
      <c r="H36" s="120"/>
      <c r="I36" s="121"/>
      <c r="J36" s="198">
        <f>IFERROR('0820'!M35,"")</f>
      </c>
      <c r="K36" s="199"/>
      <c r="L36" s="107"/>
      <c r="M36" s="66">
        <f t="shared" si="11"/>
      </c>
      <c r="N36" s="75"/>
      <c r="O36" s="297"/>
      <c r="P36" s="38"/>
      <c r="Q36" s="102"/>
      <c r="R36" s="102"/>
      <c r="S36" s="102">
        <f t="shared" si="12"/>
      </c>
      <c r="V36" s="98"/>
      <c r="W36" s="98"/>
    </row>
    <row r="37" spans="1:23" s="38" customFormat="1" ht="21.75" customHeight="1" x14ac:dyDescent="0.4">
      <c r="A37" s="195"/>
      <c r="B37" s="196"/>
      <c r="C37" s="197"/>
      <c r="D37" s="66"/>
      <c r="E37" s="107"/>
      <c r="F37" s="68">
        <f t="shared" si="10"/>
      </c>
      <c r="G37" s="119"/>
      <c r="H37" s="120"/>
      <c r="I37" s="121"/>
      <c r="J37" s="198">
        <f>IFERROR('0820'!M36,"")</f>
      </c>
      <c r="K37" s="199"/>
      <c r="L37" s="107"/>
      <c r="M37" s="66">
        <f t="shared" si="11"/>
      </c>
      <c r="N37" s="69"/>
      <c r="O37" s="297"/>
      <c r="P37" s="38"/>
      <c r="Q37" s="102"/>
      <c r="R37" s="102"/>
      <c r="S37" s="102">
        <f t="shared" si="12"/>
      </c>
      <c r="V37" s="98"/>
      <c r="W37" s="98"/>
    </row>
    <row r="38" spans="1:23" s="38" customFormat="1" ht="21.75" customHeight="1" x14ac:dyDescent="0.4">
      <c r="A38" s="195"/>
      <c r="B38" s="196"/>
      <c r="C38" s="197"/>
      <c r="D38" s="66"/>
      <c r="E38" s="107"/>
      <c r="F38" s="68">
        <f t="shared" si="10"/>
      </c>
      <c r="G38" s="119"/>
      <c r="H38" s="120"/>
      <c r="I38" s="121"/>
      <c r="J38" s="198">
        <f>IFERROR('0820'!M37,"")</f>
      </c>
      <c r="K38" s="199"/>
      <c r="L38" s="107"/>
      <c r="M38" s="66">
        <f t="shared" si="11"/>
      </c>
      <c r="N38" s="69"/>
      <c r="O38" s="297"/>
      <c r="Q38" s="74">
        <f>IFERROR(SUM(Q29:Q37),"")</f>
      </c>
      <c r="R38" s="74">
        <f>IFERROR(SUM(R29:R37),"")</f>
      </c>
      <c r="S38" s="74">
        <f t="shared" si="12"/>
      </c>
      <c r="V38" s="98"/>
      <c r="W38" s="98"/>
    </row>
    <row r="39" spans="1:23" s="38" customFormat="1" ht="21.75" customHeight="1" x14ac:dyDescent="0.4">
      <c r="A39" s="195"/>
      <c r="B39" s="196"/>
      <c r="C39" s="197"/>
      <c r="D39" s="66"/>
      <c r="E39" s="107"/>
      <c r="F39" s="68">
        <f t="shared" si="10"/>
      </c>
      <c r="G39" s="116"/>
      <c r="H39" s="117"/>
      <c r="I39" s="118"/>
      <c r="J39" s="198">
        <f>IFERROR('0820'!M38,"")</f>
      </c>
      <c r="K39" s="199"/>
      <c r="L39" s="107"/>
      <c r="M39" s="66">
        <f>IFERROR(J39+L39,"")</f>
      </c>
      <c r="N39" s="69"/>
      <c r="O39" s="297"/>
      <c r="V39" s="98"/>
      <c r="W39" s="98"/>
    </row>
    <row r="40" spans="1:23" s="38" customFormat="1" ht="21.75" customHeight="1" x14ac:dyDescent="0.4">
      <c r="A40" s="200"/>
      <c r="B40" s="201"/>
      <c r="C40" s="202"/>
      <c r="D40" s="66"/>
      <c r="E40" s="66"/>
      <c r="F40" s="105">
        <f t="shared" si="10"/>
      </c>
      <c r="G40" s="115"/>
      <c r="H40" s="106"/>
      <c r="I40" s="104"/>
      <c r="J40" s="198">
        <f>IFERROR('0820'!M39,"")</f>
      </c>
      <c r="K40" s="199"/>
      <c r="L40" s="107"/>
      <c r="M40" s="111">
        <f>IFERROR(J40+L40,"")</f>
      </c>
      <c r="N40" s="103"/>
      <c r="O40" s="300"/>
      <c r="V40" s="98"/>
      <c r="W40" s="98"/>
    </row>
    <row r="41" spans="1:23" s="38" customFormat="1" ht="21.75" customHeight="1" x14ac:dyDescent="0.4">
      <c r="A41" s="200"/>
      <c r="B41" s="201"/>
      <c r="C41" s="202"/>
      <c r="D41" s="66"/>
      <c r="E41" s="66"/>
      <c r="F41" s="68">
        <f>IFERROR(D41+E41,"")</f>
      </c>
      <c r="G41" s="112"/>
      <c r="H41" s="112"/>
      <c r="I41" s="113"/>
      <c r="J41" s="107"/>
      <c r="K41" s="108"/>
      <c r="L41" s="107"/>
      <c r="M41" s="114"/>
      <c r="N41" s="103"/>
      <c r="O41" s="300"/>
      <c r="V41" s="98"/>
      <c r="W41" s="98"/>
    </row>
    <row r="42" spans="1:23" s="38" customFormat="1" ht="21.75" customHeight="1" thickBot="1" x14ac:dyDescent="0.45">
      <c r="A42" s="209"/>
      <c r="B42" s="210"/>
      <c r="C42" s="211"/>
      <c r="D42" s="76"/>
      <c r="E42" s="76"/>
      <c r="F42" s="77">
        <f>IFERROR(D42+E42,"")</f>
      </c>
      <c r="G42" s="212" t="s">
        <v>26</v>
      </c>
      <c r="H42" s="213"/>
      <c r="I42" s="214"/>
      <c r="J42" s="215">
        <f>IFERROR(SUM(J29:K40,D29:D42),"")</f>
      </c>
      <c r="K42" s="336"/>
      <c r="L42" s="78">
        <f>IFERROR(SUM(E29:E42,L29:L40),"")</f>
      </c>
      <c r="M42" s="78">
        <f>IFERROR(SUM(M29:M40,F29:F42),"")</f>
      </c>
      <c r="N42" s="79"/>
      <c r="O42" s="300"/>
      <c r="V42" s="98"/>
      <c r="W42" s="98"/>
    </row>
    <row r="43" spans="1:23" s="60" customFormat="1" ht="21.75" customHeight="1" thickBot="1" x14ac:dyDescent="0.45">
      <c r="A43" s="81" t="s">
        <v>29</v>
      </c>
      <c r="B43" s="82"/>
      <c r="C43" s="83"/>
      <c r="D43" s="83"/>
      <c r="E43" s="83"/>
      <c r="F43" s="84"/>
      <c r="G43" s="84"/>
      <c r="H43" s="84"/>
      <c r="I43" s="84"/>
      <c r="J43" s="84"/>
      <c r="K43" s="83" t="s">
        <v>9</v>
      </c>
      <c r="L43" s="83" t="s">
        <v>9</v>
      </c>
      <c r="M43" s="83"/>
      <c r="N43" s="85" t="inlineStr">
        <is>
          <t xml:space="preserve">(단위: </t>
        </is>
      </c>
      <c r="O43" s="296"/>
      <c r="P43" s="38"/>
      <c r="Q43" s="38"/>
      <c r="R43" s="38"/>
      <c r="S43" s="38"/>
      <c r="V43" s="101"/>
      <c r="W43" s="101"/>
    </row>
    <row r="44" spans="1:23" s="60" customFormat="1" ht="21.75" customHeight="1" x14ac:dyDescent="0.4">
      <c r="A44" s="191" t="s">
        <v>38</v>
      </c>
      <c r="B44" s="325"/>
      <c r="C44" s="326"/>
      <c r="D44" s="23" t="s">
        <v>36</v>
      </c>
      <c r="E44" s="86" t="s">
        <v>13</v>
      </c>
      <c r="F44" s="87" t="s">
        <v>21</v>
      </c>
      <c r="G44" s="192" t="s">
        <v>38</v>
      </c>
      <c r="H44" s="322"/>
      <c r="I44" s="323"/>
      <c r="J44" s="149" t="s">
        <v>36</v>
      </c>
      <c r="K44" s="326"/>
      <c r="L44" s="88" t="s">
        <v>34</v>
      </c>
      <c r="M44" s="123" t="s">
        <v>21</v>
      </c>
      <c r="N44" s="89" t="s">
        <v>4</v>
      </c>
      <c r="O44" s="296"/>
      <c r="P44" s="38"/>
      <c r="Q44" s="38"/>
      <c r="R44" s="38"/>
      <c r="S44" s="38"/>
      <c r="V44" s="101"/>
      <c r="W44" s="101"/>
    </row>
    <row r="45" spans="1:23" s="38" customFormat="1" ht="21.75" customHeight="1" x14ac:dyDescent="0.4">
      <c r="A45" s="203"/>
      <c r="B45" s="204"/>
      <c r="C45" s="205"/>
      <c r="D45" s="66"/>
      <c r="E45" s="66"/>
      <c r="F45" s="66">
        <f t="shared" ref="F45:F52" si="13">IFERROR(D45+E45,"")</f>
      </c>
      <c r="G45" s="206"/>
      <c r="H45" s="207"/>
      <c r="I45" s="208"/>
      <c r="J45" s="198">
        <f>IFERROR('0820'!M44,"")</f>
      </c>
      <c r="K45" s="199"/>
      <c r="L45" s="66"/>
      <c r="M45" s="66">
        <f t="shared" ref="M45:M51" si="14">IFERROR(J45+L45,"")</f>
      </c>
      <c r="N45" s="90"/>
      <c r="O45" s="292"/>
      <c r="V45" s="98"/>
      <c r="W45" s="98"/>
    </row>
    <row r="46" spans="1:23" s="38" customFormat="1" ht="21.75" customHeight="1" x14ac:dyDescent="0.4">
      <c r="A46" s="203"/>
      <c r="B46" s="204"/>
      <c r="C46" s="205"/>
      <c r="D46" s="66"/>
      <c r="E46" s="108"/>
      <c r="F46" s="68">
        <f t="shared" si="13"/>
      </c>
      <c r="G46" s="206"/>
      <c r="H46" s="207"/>
      <c r="I46" s="208"/>
      <c r="J46" s="198">
        <f>IFERROR('0820'!M45,"")</f>
      </c>
      <c r="K46" s="199"/>
      <c r="L46" s="66"/>
      <c r="M46" s="66">
        <f t="shared" si="14"/>
      </c>
      <c r="N46" s="90"/>
      <c r="O46" s="292"/>
      <c r="P46" s="60"/>
      <c r="Q46" s="60"/>
      <c r="R46" s="60"/>
      <c r="S46" s="60"/>
      <c r="V46" s="98"/>
      <c r="W46" s="98"/>
    </row>
    <row r="47" spans="1:23" s="38" customFormat="1" ht="21.75" customHeight="1" x14ac:dyDescent="0.4">
      <c r="A47" s="203"/>
      <c r="B47" s="204"/>
      <c r="C47" s="205"/>
      <c r="D47" s="66"/>
      <c r="E47" s="108"/>
      <c r="F47" s="68">
        <f t="shared" si="13"/>
      </c>
      <c r="G47" s="206"/>
      <c r="H47" s="207"/>
      <c r="I47" s="208"/>
      <c r="J47" s="198">
        <f>IFERROR('0820'!M46,"")</f>
      </c>
      <c r="K47" s="199"/>
      <c r="L47" s="66"/>
      <c r="M47" s="66">
        <f t="shared" si="14"/>
      </c>
      <c r="N47" s="90"/>
      <c r="O47" s="292"/>
      <c r="P47" s="60"/>
      <c r="Q47" s="60"/>
      <c r="R47" s="60"/>
      <c r="S47" s="60"/>
      <c r="V47" s="98"/>
      <c r="W47" s="98"/>
    </row>
    <row r="48" spans="1:23" s="38" customFormat="1" ht="21.75" customHeight="1" x14ac:dyDescent="0.4">
      <c r="A48" s="203"/>
      <c r="B48" s="204"/>
      <c r="C48" s="205"/>
      <c r="D48" s="66"/>
      <c r="E48" s="66"/>
      <c r="F48" s="68">
        <f t="shared" si="13"/>
      </c>
      <c r="G48" s="206"/>
      <c r="H48" s="207"/>
      <c r="I48" s="208"/>
      <c r="J48" s="198">
        <f>IFERROR('0820'!M47,"")</f>
      </c>
      <c r="K48" s="199"/>
      <c r="L48" s="66"/>
      <c r="M48" s="66">
        <f t="shared" si="14"/>
      </c>
      <c r="N48" s="90"/>
      <c r="O48" s="292"/>
      <c r="V48" s="98"/>
      <c r="W48" s="98"/>
    </row>
    <row r="49" spans="1:23" s="38" customFormat="1" ht="21.75" customHeight="1" x14ac:dyDescent="0.4">
      <c r="A49" s="203"/>
      <c r="B49" s="204"/>
      <c r="C49" s="205"/>
      <c r="D49" s="66"/>
      <c r="E49" s="66"/>
      <c r="F49" s="68">
        <f t="shared" si="13"/>
      </c>
      <c r="G49" s="206"/>
      <c r="H49" s="207"/>
      <c r="I49" s="208"/>
      <c r="J49" s="198">
        <f>IFERROR('0820'!M48,"")</f>
      </c>
      <c r="K49" s="199"/>
      <c r="L49" s="66"/>
      <c r="M49" s="66">
        <f t="shared" si="14"/>
      </c>
      <c r="N49" s="91"/>
      <c r="O49" s="292"/>
      <c r="V49" s="98"/>
      <c r="W49" s="98"/>
    </row>
    <row r="50" spans="1:23" s="38" customFormat="1" ht="21.75" customHeight="1" x14ac:dyDescent="0.4">
      <c r="A50" s="203"/>
      <c r="B50" s="204"/>
      <c r="C50" s="205"/>
      <c r="D50" s="66"/>
      <c r="E50" s="66"/>
      <c r="F50" s="68">
        <f t="shared" si="13"/>
      </c>
      <c r="G50" s="206"/>
      <c r="H50" s="207"/>
      <c r="I50" s="208"/>
      <c r="J50" s="198">
        <f>IFERROR('0820'!M49,"")</f>
      </c>
      <c r="K50" s="199"/>
      <c r="L50" s="66"/>
      <c r="M50" s="66">
        <f t="shared" si="14"/>
      </c>
      <c r="N50" s="92"/>
      <c r="O50" s="300"/>
      <c r="V50" s="98"/>
      <c r="W50" s="98"/>
    </row>
    <row r="51" spans="1:23" s="38" customFormat="1" ht="21.75" customHeight="1" x14ac:dyDescent="0.4">
      <c r="A51" s="203"/>
      <c r="B51" s="204"/>
      <c r="C51" s="205"/>
      <c r="D51" s="66"/>
      <c r="E51" s="66"/>
      <c r="F51" s="68">
        <f t="shared" si="13"/>
      </c>
      <c r="G51" s="220"/>
      <c r="H51" s="221"/>
      <c r="I51" s="109"/>
      <c r="J51" s="198">
        <f>IFERROR('0820'!M50,"")</f>
      </c>
      <c r="K51" s="199"/>
      <c r="L51" s="66"/>
      <c r="M51" s="66">
        <f t="shared" si="14"/>
      </c>
      <c r="N51" s="92"/>
      <c r="O51" s="300"/>
      <c r="V51" s="98"/>
      <c r="W51" s="98"/>
    </row>
    <row r="52" spans="1:23" s="38" customFormat="1" ht="21.75" customHeight="1" thickBot="1" x14ac:dyDescent="0.45">
      <c r="A52" s="203"/>
      <c r="B52" s="204"/>
      <c r="C52" s="205"/>
      <c r="D52" s="66"/>
      <c r="E52" s="76"/>
      <c r="F52" s="77">
        <f t="shared" si="13"/>
      </c>
      <c r="G52" s="212" t="s">
        <v>26</v>
      </c>
      <c r="H52" s="213"/>
      <c r="I52" s="214"/>
      <c r="J52" s="215">
        <f>IFERROR(SUM(J45:K51,D45:D52),"")</f>
      </c>
      <c r="K52" s="336"/>
      <c r="L52" s="78">
        <f>IFERROR(SUM(L45:L51,E45:E52),"")</f>
      </c>
      <c r="M52" s="78">
        <f>IFERROR(SUM(M45:M51,F45:F52),"")</f>
      </c>
      <c r="N52" s="93"/>
      <c r="O52" s="80">
        <f>IFERROR(M52+M42+'[2]0715'!$M$37+'[2]0715'!$M$48,"")</f>
      </c>
      <c r="V52" s="98"/>
      <c r="W52" s="98"/>
    </row>
    <row r="53" spans="1:23" s="60" customFormat="1" ht="21.75" customHeight="1" thickBot="1" x14ac:dyDescent="0.45">
      <c r="A53" s="18" t="s">
        <v>28</v>
      </c>
      <c r="B53" s="19"/>
      <c r="C53" s="20"/>
      <c r="D53" s="20"/>
      <c r="E53" s="20"/>
      <c r="F53" s="21"/>
      <c r="G53" s="21"/>
      <c r="H53" s="21"/>
      <c r="I53" s="21"/>
      <c r="J53" s="21"/>
      <c r="K53" s="20"/>
      <c r="L53" s="20"/>
      <c r="M53" s="20"/>
      <c r="N53" s="22"/>
      <c r="O53" s="297"/>
      <c r="P53" s="38"/>
      <c r="Q53" s="72">
        <f>IFERROR(M42+M52,"")</f>
      </c>
      <c r="R53" s="38"/>
      <c r="S53" s="38"/>
      <c r="V53" s="101"/>
      <c r="W53" s="101"/>
    </row>
    <row r="54" spans="1:23" s="60" customFormat="1" ht="21.75" customHeight="1" x14ac:dyDescent="0.4">
      <c r="A54" s="217" t="s">
        <v>27</v>
      </c>
      <c r="B54" s="338"/>
      <c r="C54" s="146" t="s">
        <v>49</v>
      </c>
      <c r="D54" s="322"/>
      <c r="E54" s="322"/>
      <c r="F54" s="322"/>
      <c r="G54" s="323"/>
      <c r="H54" s="146" t="s">
        <v>59</v>
      </c>
      <c r="I54" s="322"/>
      <c r="J54" s="322"/>
      <c r="K54" s="322"/>
      <c r="L54" s="322"/>
      <c r="M54" s="322"/>
      <c r="N54" s="339"/>
      <c r="O54" s="296"/>
      <c r="P54" s="38"/>
      <c r="Q54" s="38"/>
      <c r="R54" s="38"/>
      <c r="S54" s="38"/>
      <c r="V54" s="101"/>
      <c r="W54" s="101"/>
    </row>
    <row r="55" spans="1:23" s="38" customFormat="1" ht="21.75" customHeight="1" x14ac:dyDescent="0.4">
      <c r="A55" s="228"/>
      <c r="B55" s="223"/>
      <c r="C55" s="230"/>
      <c r="D55" s="231"/>
      <c r="E55" s="231"/>
      <c r="F55" s="231"/>
      <c r="G55" s="232"/>
      <c r="H55" s="233">
        <f>IFERROR(C55,"")</f>
      </c>
      <c r="I55" s="234"/>
      <c r="J55" s="234"/>
      <c r="K55" s="234"/>
      <c r="L55" s="234"/>
      <c r="M55" s="234"/>
      <c r="N55" s="235"/>
      <c r="O55" s="307"/>
      <c r="P55" s="307"/>
      <c r="Q55" s="307"/>
      <c r="R55" s="307"/>
      <c r="S55" s="307"/>
      <c r="T55" s="286"/>
      <c r="U55" s="286"/>
    </row>
    <row r="56" spans="1:23" s="38" customFormat="1" ht="21.75" customHeight="1" x14ac:dyDescent="0.4">
      <c r="A56" s="229"/>
      <c r="B56" s="225"/>
      <c r="C56" s="236"/>
      <c r="D56" s="237"/>
      <c r="E56" s="237"/>
      <c r="F56" s="237"/>
      <c r="G56" s="238"/>
      <c r="H56" s="239"/>
      <c r="I56" s="240"/>
      <c r="J56" s="240"/>
      <c r="K56" s="240"/>
      <c r="L56" s="240"/>
      <c r="M56" s="240"/>
      <c r="N56" s="241"/>
      <c r="O56" s="307"/>
      <c r="P56" s="307"/>
      <c r="Q56" s="307"/>
      <c r="R56" s="307"/>
      <c r="S56" s="307"/>
      <c r="T56" s="286"/>
      <c r="U56" s="286"/>
    </row>
    <row r="57" spans="1:23" s="38" customFormat="1" ht="21.75" customHeight="1" x14ac:dyDescent="0.4">
      <c r="A57" s="229"/>
      <c r="B57" s="225"/>
      <c r="C57" s="236"/>
      <c r="D57" s="237"/>
      <c r="E57" s="237"/>
      <c r="F57" s="237"/>
      <c r="G57" s="238"/>
      <c r="H57" s="239"/>
      <c r="I57" s="240"/>
      <c r="J57" s="240"/>
      <c r="K57" s="240"/>
      <c r="L57" s="240"/>
      <c r="M57" s="240"/>
      <c r="N57" s="241"/>
      <c r="O57" s="307"/>
      <c r="P57" s="307"/>
      <c r="Q57" s="307"/>
      <c r="R57" s="307"/>
      <c r="S57" s="307"/>
      <c r="T57" s="286"/>
      <c r="U57" s="286"/>
    </row>
    <row r="58" spans="1:23" s="38" customFormat="1" ht="21.75" customHeight="1" x14ac:dyDescent="0.4">
      <c r="A58" s="222" t="s">
        <v>37</v>
      </c>
      <c r="B58" s="223"/>
      <c r="C58" s="242"/>
      <c r="D58" s="243"/>
      <c r="E58" s="243"/>
      <c r="F58" s="243"/>
      <c r="G58" s="244"/>
      <c r="H58" s="242"/>
      <c r="I58" s="243"/>
      <c r="J58" s="243"/>
      <c r="K58" s="243"/>
      <c r="L58" s="243"/>
      <c r="M58" s="243"/>
      <c r="N58" s="251"/>
      <c r="O58" s="292"/>
      <c r="P58" s="307"/>
      <c r="Q58" s="307"/>
      <c r="R58" s="307"/>
      <c r="S58" s="307"/>
      <c r="V58" s="98"/>
      <c r="W58" s="98"/>
    </row>
    <row r="59" spans="1:23" s="38" customFormat="1" ht="21.75" customHeight="1" x14ac:dyDescent="0.4">
      <c r="A59" s="224"/>
      <c r="B59" s="225"/>
      <c r="C59" s="245"/>
      <c r="D59" s="246"/>
      <c r="E59" s="246"/>
      <c r="F59" s="246"/>
      <c r="G59" s="247"/>
      <c r="H59" s="245"/>
      <c r="I59" s="246"/>
      <c r="J59" s="246"/>
      <c r="K59" s="246"/>
      <c r="L59" s="246"/>
      <c r="M59" s="246"/>
      <c r="N59" s="252"/>
      <c r="O59" s="292"/>
      <c r="P59" s="307"/>
      <c r="Q59" s="307"/>
      <c r="R59" s="307"/>
      <c r="S59" s="307"/>
      <c r="V59" s="98"/>
      <c r="W59" s="98"/>
    </row>
    <row r="60" spans="1:23" s="38" customFormat="1" ht="21.75" customHeight="1" x14ac:dyDescent="0.4">
      <c r="A60" s="224"/>
      <c r="B60" s="225"/>
      <c r="C60" s="245"/>
      <c r="D60" s="246"/>
      <c r="E60" s="246"/>
      <c r="F60" s="246"/>
      <c r="G60" s="247"/>
      <c r="H60" s="245"/>
      <c r="I60" s="246"/>
      <c r="J60" s="246"/>
      <c r="K60" s="246"/>
      <c r="L60" s="246"/>
      <c r="M60" s="246"/>
      <c r="N60" s="252"/>
      <c r="O60" s="292"/>
      <c r="P60" s="307"/>
      <c r="Q60" s="307"/>
      <c r="R60" s="307"/>
      <c r="S60" s="307"/>
      <c r="V60" s="98"/>
      <c r="W60" s="98"/>
    </row>
    <row r="61" spans="1:23" s="38" customFormat="1" ht="21.75" customHeight="1" x14ac:dyDescent="0.4">
      <c r="A61" s="224"/>
      <c r="B61" s="225"/>
      <c r="C61" s="245"/>
      <c r="D61" s="246"/>
      <c r="E61" s="246"/>
      <c r="F61" s="246"/>
      <c r="G61" s="247"/>
      <c r="H61" s="245"/>
      <c r="I61" s="246"/>
      <c r="J61" s="246"/>
      <c r="K61" s="246"/>
      <c r="L61" s="246"/>
      <c r="M61" s="246"/>
      <c r="N61" s="252"/>
      <c r="O61" s="292"/>
      <c r="Q61" s="94"/>
      <c r="V61" s="98"/>
      <c r="W61" s="98"/>
    </row>
    <row r="62" spans="1:23" s="38" customFormat="1" ht="21.75" customHeight="1" x14ac:dyDescent="0.4">
      <c r="A62" s="224"/>
      <c r="B62" s="225"/>
      <c r="C62" s="245"/>
      <c r="D62" s="246"/>
      <c r="E62" s="246"/>
      <c r="F62" s="246"/>
      <c r="G62" s="247"/>
      <c r="H62" s="245"/>
      <c r="I62" s="246"/>
      <c r="J62" s="246"/>
      <c r="K62" s="246"/>
      <c r="L62" s="246"/>
      <c r="M62" s="246"/>
      <c r="N62" s="252"/>
      <c r="O62" s="292"/>
      <c r="Q62" s="94"/>
      <c r="V62" s="98"/>
      <c r="W62" s="98"/>
    </row>
    <row r="63" spans="1:23" s="38" customFormat="1" ht="21.75" customHeight="1" x14ac:dyDescent="0.4">
      <c r="A63" s="224"/>
      <c r="B63" s="225"/>
      <c r="C63" s="245"/>
      <c r="D63" s="246"/>
      <c r="E63" s="246"/>
      <c r="F63" s="246"/>
      <c r="G63" s="247"/>
      <c r="H63" s="245"/>
      <c r="I63" s="246"/>
      <c r="J63" s="246"/>
      <c r="K63" s="246"/>
      <c r="L63" s="246"/>
      <c r="M63" s="246"/>
      <c r="N63" s="252"/>
      <c r="O63" s="292"/>
      <c r="Q63" s="94"/>
      <c r="V63" s="98"/>
      <c r="W63" s="98"/>
    </row>
    <row r="64" spans="1:23" s="38" customFormat="1" ht="21.75" customHeight="1" x14ac:dyDescent="0.4">
      <c r="A64" s="224"/>
      <c r="B64" s="225"/>
      <c r="C64" s="245"/>
      <c r="D64" s="246"/>
      <c r="E64" s="246"/>
      <c r="F64" s="246"/>
      <c r="G64" s="247"/>
      <c r="H64" s="245"/>
      <c r="I64" s="246"/>
      <c r="J64" s="246"/>
      <c r="K64" s="246"/>
      <c r="L64" s="246"/>
      <c r="M64" s="246"/>
      <c r="N64" s="252"/>
      <c r="O64" s="292"/>
      <c r="Q64" s="94"/>
      <c r="V64" s="98"/>
      <c r="W64" s="98"/>
    </row>
    <row r="65" spans="1:23" s="38" customFormat="1" ht="16.5" customHeight="1" x14ac:dyDescent="0.4">
      <c r="A65" s="224"/>
      <c r="B65" s="225"/>
      <c r="C65" s="245"/>
      <c r="D65" s="246"/>
      <c r="E65" s="246"/>
      <c r="F65" s="246"/>
      <c r="G65" s="247"/>
      <c r="H65" s="245"/>
      <c r="I65" s="246"/>
      <c r="J65" s="246"/>
      <c r="K65" s="246"/>
      <c r="L65" s="246"/>
      <c r="M65" s="246"/>
      <c r="N65" s="252"/>
      <c r="O65" s="292"/>
      <c r="Q65" s="94"/>
      <c r="V65" s="98"/>
      <c r="W65" s="98"/>
    </row>
    <row r="66" spans="1:23" s="38" customFormat="1" ht="36.75" customHeight="1" thickBot="1" x14ac:dyDescent="0.45">
      <c r="A66" s="226"/>
      <c r="B66" s="227"/>
      <c r="C66" s="248"/>
      <c r="D66" s="249"/>
      <c r="E66" s="249"/>
      <c r="F66" s="249"/>
      <c r="G66" s="250"/>
      <c r="H66" s="248"/>
      <c r="I66" s="249"/>
      <c r="J66" s="249"/>
      <c r="K66" s="249"/>
      <c r="L66" s="249"/>
      <c r="M66" s="249"/>
      <c r="N66" s="253"/>
      <c r="O66" s="292"/>
      <c r="Q66" s="94"/>
      <c r="V66" s="98"/>
      <c r="W66" s="98"/>
    </row>
  </sheetData>
  <mergeCells count="122">
    <mergeCell ref="A58:B66"/>
    <mergeCell ref="A55:B57"/>
    <mergeCell ref="C55:G55"/>
    <mergeCell ref="H55:N55"/>
    <mergeCell ref="C56:G56"/>
    <mergeCell ref="H56:N56"/>
    <mergeCell ref="C57:G57"/>
    <mergeCell ref="H57:N57"/>
    <mergeCell ref="C58:G66"/>
    <mergeCell ref="H58:N66"/>
    <mergeCell ref="A54:B54"/>
    <mergeCell ref="C54:G54"/>
    <mergeCell ref="H54:N54"/>
    <mergeCell ref="A51:C51"/>
    <mergeCell ref="G51:H51"/>
    <mergeCell ref="J51:K51"/>
    <mergeCell ref="A52:C52"/>
    <mergeCell ref="G52:I52"/>
    <mergeCell ref="J52:K52"/>
    <mergeCell ref="A49:C49"/>
    <mergeCell ref="G49:I49"/>
    <mergeCell ref="J49:K49"/>
    <mergeCell ref="A50:C50"/>
    <mergeCell ref="G50:I50"/>
    <mergeCell ref="J50:K50"/>
    <mergeCell ref="A47:C47"/>
    <mergeCell ref="G47:I47"/>
    <mergeCell ref="J47:K47"/>
    <mergeCell ref="A48:C48"/>
    <mergeCell ref="G48:I48"/>
    <mergeCell ref="J48:K48"/>
    <mergeCell ref="A45:C45"/>
    <mergeCell ref="G45:I45"/>
    <mergeCell ref="J45:K45"/>
    <mergeCell ref="A46:C46"/>
    <mergeCell ref="G46:I46"/>
    <mergeCell ref="J46:K46"/>
    <mergeCell ref="A41:C41"/>
    <mergeCell ref="A42:C42"/>
    <mergeCell ref="G42:I42"/>
    <mergeCell ref="J42:K42"/>
    <mergeCell ref="A44:C44"/>
    <mergeCell ref="G44:I44"/>
    <mergeCell ref="J44:K44"/>
    <mergeCell ref="A38:C38"/>
    <mergeCell ref="J38:K38"/>
    <mergeCell ref="A39:C39"/>
    <mergeCell ref="J39:K39"/>
    <mergeCell ref="A40:C40"/>
    <mergeCell ref="J40:K40"/>
    <mergeCell ref="A35:C35"/>
    <mergeCell ref="J35:K35"/>
    <mergeCell ref="A36:C36"/>
    <mergeCell ref="J36:K36"/>
    <mergeCell ref="A37:C37"/>
    <mergeCell ref="J37:K37"/>
    <mergeCell ref="A32:C32"/>
    <mergeCell ref="J32:K32"/>
    <mergeCell ref="A33:C33"/>
    <mergeCell ref="J33:K33"/>
    <mergeCell ref="A34:C34"/>
    <mergeCell ref="J34:K34"/>
    <mergeCell ref="A29:C29"/>
    <mergeCell ref="J29:K29"/>
    <mergeCell ref="A30:C30"/>
    <mergeCell ref="J30:K30"/>
    <mergeCell ref="A31:C31"/>
    <mergeCell ref="J31:K31"/>
    <mergeCell ref="A28:C28"/>
    <mergeCell ref="G28:I28"/>
    <mergeCell ref="J28:K28"/>
    <mergeCell ref="H22:I22"/>
    <mergeCell ref="J22:K22"/>
    <mergeCell ref="H23:I23"/>
    <mergeCell ref="J23:K23"/>
    <mergeCell ref="H24:I24"/>
    <mergeCell ref="J24:K24"/>
    <mergeCell ref="A16:A24"/>
    <mergeCell ref="H19:I19"/>
    <mergeCell ref="J19:K19"/>
    <mergeCell ref="H20:I20"/>
    <mergeCell ref="J20:K20"/>
    <mergeCell ref="H21:I21"/>
    <mergeCell ref="J21:K21"/>
    <mergeCell ref="H16:I16"/>
    <mergeCell ref="J16:K16"/>
    <mergeCell ref="H17:I17"/>
    <mergeCell ref="J17:K17"/>
    <mergeCell ref="H18:I18"/>
    <mergeCell ref="J18:K18"/>
    <mergeCell ref="A25:B25"/>
    <mergeCell ref="H25:I25"/>
    <mergeCell ref="A26:D26"/>
    <mergeCell ref="H26:I26"/>
    <mergeCell ref="J26:K26"/>
    <mergeCell ref="A10:A15"/>
    <mergeCell ref="H10:I10"/>
    <mergeCell ref="J10:K10"/>
    <mergeCell ref="H11:I11"/>
    <mergeCell ref="J11:K11"/>
    <mergeCell ref="H12:I12"/>
    <mergeCell ref="J12:K12"/>
    <mergeCell ref="H13:I13"/>
    <mergeCell ref="J13:K13"/>
    <mergeCell ref="H14:I14"/>
    <mergeCell ref="J14:K14"/>
    <mergeCell ref="H15:I15"/>
    <mergeCell ref="J15:K15"/>
    <mergeCell ref="A8:A9"/>
    <mergeCell ref="B8:B9"/>
    <mergeCell ref="C8:C9"/>
    <mergeCell ref="D8:D9"/>
    <mergeCell ref="F8:I8"/>
    <mergeCell ref="J8:M8"/>
    <mergeCell ref="H9:I9"/>
    <mergeCell ref="J9:K9"/>
    <mergeCell ref="A1:N1"/>
    <mergeCell ref="H3:J4"/>
    <mergeCell ref="L4:L6"/>
    <mergeCell ref="M4:M6"/>
    <mergeCell ref="N4:N6"/>
    <mergeCell ref="H5:J6"/>
  </mergeCells>
  <phoneticPr fontId="13" type="noConversion"/>
  <printOptions horizontalCentered="1" verticalCentered="1"/>
  <pageMargins left="0.19666667282581329" right="0.19666667282581329" top="0.74750000238418579" bottom="0.55097222328186035" header="0.31486111879348755" footer="0.31486111879348755"/>
  <pageSetup paperSize="9" scale="58" orientation="portrait" r:id="rId1"/>
  <rowBreaks count="1" manualBreakCount="1">
    <brk id="45" max="1048575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5"/>
  <sheetViews>
    <sheetView showGridLines="0" topLeftCell="A4" zoomScale="85" zoomScaleNormal="85" zoomScaleSheetLayoutView="70" workbookViewId="0">
      <selection activeCell="E10" sqref="E10"/>
    </sheetView>
  </sheetViews>
  <sheetFormatPr defaultColWidth="9" defaultRowHeight="19.2" x14ac:dyDescent="0.4"/>
  <cols>
    <col min="1" max="1" width="8.59765625" style="94" customWidth="1"/>
    <col min="2" max="2" width="16.69921875" style="94" customWidth="1"/>
    <col min="3" max="3" width="6" style="94" customWidth="1"/>
    <col min="4" max="4" width="13" style="94" customWidth="1"/>
    <col min="5" max="5" width="11.3984375" style="94" customWidth="1"/>
    <col min="6" max="6" width="12.8984375" style="95" customWidth="1"/>
    <col min="7" max="7" width="11.69921875" style="95" customWidth="1"/>
    <col min="8" max="8" width="6.69921875" style="95" customWidth="1"/>
    <col min="9" max="9" width="6.19921875" style="95" customWidth="1"/>
    <col min="10" max="10" width="5" style="95" customWidth="1"/>
    <col min="11" max="11" width="5.59765625" style="94" customWidth="1"/>
    <col min="12" max="13" width="10.59765625" style="94" customWidth="1"/>
    <col min="14" max="14" width="13.5" style="96" customWidth="1"/>
    <col min="15" max="15" width="17.69921875" style="1" hidden="1" customWidth="1"/>
    <col min="16" max="19" width="12.69921875" style="2" hidden="1" customWidth="1"/>
    <col min="20" max="20" width="10.19921875" style="2" customWidth="1"/>
    <col min="21" max="21" width="9" style="2" customWidth="1"/>
    <col min="22" max="22" width="10.8984375" style="97" customWidth="1"/>
    <col min="23" max="23" width="10" style="97" bestFit="1" customWidth="1"/>
    <col min="24" max="24" width="10.8984375" style="2" bestFit="1" customWidth="1"/>
    <col min="25" max="25" width="14.19921875" style="2" bestFit="1" customWidth="1"/>
    <col min="26" max="16384" width="9" style="2"/>
  </cols>
  <sheetData>
    <row r="1" spans="1:23" ht="40.200000000000003" x14ac:dyDescent="0.4">
      <c r="A1" s="156" t="s">
        <v>40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23" ht="21" thickBot="1" x14ac:dyDescent="0.45">
      <c r="A2" s="3"/>
      <c r="B2" s="3"/>
      <c r="C2" s="3"/>
      <c r="D2" s="3"/>
      <c r="E2" s="3"/>
      <c r="F2" s="4"/>
      <c r="G2" s="4"/>
      <c r="H2" s="4"/>
      <c r="I2" s="4"/>
      <c r="J2" s="4"/>
      <c r="K2" s="3"/>
      <c r="L2" s="3"/>
      <c r="M2" s="3"/>
      <c r="N2" s="5"/>
    </row>
    <row r="3" spans="1:23" ht="21" customHeight="1" x14ac:dyDescent="0.4">
      <c r="A3" s="6"/>
      <c r="B3" s="6"/>
      <c r="C3" s="7"/>
      <c r="D3" s="3"/>
      <c r="E3" s="3"/>
      <c r="F3" s="4"/>
      <c r="G3" s="4"/>
      <c r="H3" s="157" t="s">
        <v>42</v>
      </c>
      <c r="I3" s="158"/>
      <c r="J3" s="159"/>
      <c r="K3" s="8" t="s">
        <v>9</v>
      </c>
      <c r="L3" s="9" t="s">
        <v>18</v>
      </c>
      <c r="M3" s="9" t="s">
        <v>5</v>
      </c>
      <c r="N3" s="10" t="s">
        <v>0</v>
      </c>
    </row>
    <row r="4" spans="1:23" ht="21" customHeight="1" thickBot="1" x14ac:dyDescent="0.45">
      <c r="A4" s="6"/>
      <c r="B4" s="6"/>
      <c r="C4" s="7"/>
      <c r="D4" s="3"/>
      <c r="E4" s="3"/>
      <c r="F4" s="4"/>
      <c r="G4" s="4"/>
      <c r="H4" s="160"/>
      <c r="I4" s="161"/>
      <c r="J4" s="162"/>
      <c r="K4" s="11" t="s">
        <v>24</v>
      </c>
      <c r="L4" s="163"/>
      <c r="M4" s="166" t="s">
        <v>15</v>
      </c>
      <c r="N4" s="169"/>
    </row>
    <row r="5" spans="1:23" ht="21" customHeight="1" x14ac:dyDescent="0.4">
      <c r="A5" s="6"/>
      <c r="B5" s="6"/>
      <c r="C5" s="7"/>
      <c r="D5" s="3"/>
      <c r="E5" s="3"/>
      <c r="F5" s="4"/>
      <c r="G5" s="4"/>
      <c r="H5" s="172" t="s">
        <v>62</v>
      </c>
      <c r="I5" s="173"/>
      <c r="J5" s="174"/>
      <c r="K5" s="11" t="s">
        <v>8</v>
      </c>
      <c r="L5" s="164"/>
      <c r="M5" s="167"/>
      <c r="N5" s="170"/>
    </row>
    <row r="6" spans="1:23" ht="21" customHeight="1" thickBot="1" x14ac:dyDescent="0.45">
      <c r="A6" s="267"/>
      <c r="B6" s="268"/>
      <c r="C6" s="269"/>
      <c r="D6" s="269"/>
      <c r="E6" s="269"/>
      <c r="F6" s="270"/>
      <c r="G6" s="4"/>
      <c r="H6" s="175"/>
      <c r="I6" s="176"/>
      <c r="J6" s="177"/>
      <c r="K6" s="16" t="s">
        <v>9</v>
      </c>
      <c r="L6" s="165"/>
      <c r="M6" s="168"/>
      <c r="N6" s="171"/>
      <c r="O6" s="271"/>
    </row>
    <row r="7" spans="1:23" ht="21" customHeight="1" thickBot="1" x14ac:dyDescent="0.45">
      <c r="A7" s="18" t="s">
        <v>25</v>
      </c>
      <c r="B7" s="19"/>
      <c r="C7" s="20"/>
      <c r="D7" s="20"/>
      <c r="E7" s="20"/>
      <c r="F7" s="21"/>
      <c r="G7" s="21"/>
      <c r="H7" s="21"/>
      <c r="I7" s="21"/>
      <c r="J7" s="21"/>
      <c r="K7" s="20"/>
      <c r="L7" s="20"/>
      <c r="M7" s="20"/>
      <c r="N7" s="22"/>
      <c r="O7" s="271"/>
    </row>
    <row r="8" spans="1:23" ht="21.75" customHeight="1" x14ac:dyDescent="0.4">
      <c r="A8" s="142" t="s">
        <v>3</v>
      </c>
      <c r="B8" s="144" t="s">
        <v>39</v>
      </c>
      <c r="C8" s="144" t="s">
        <v>22</v>
      </c>
      <c r="D8" s="144" t="s">
        <v>2</v>
      </c>
      <c r="E8" s="23" t="s">
        <v>16</v>
      </c>
      <c r="F8" s="146" t="s">
        <v>30</v>
      </c>
      <c r="G8" s="322"/>
      <c r="H8" s="322"/>
      <c r="I8" s="323"/>
      <c r="J8" s="149" t="s">
        <v>32</v>
      </c>
      <c r="K8" s="325"/>
      <c r="L8" s="325"/>
      <c r="M8" s="326"/>
      <c r="N8" s="24" t="s">
        <v>7</v>
      </c>
      <c r="O8" s="271"/>
    </row>
    <row r="9" spans="1:23" ht="21.75" customHeight="1" x14ac:dyDescent="0.4">
      <c r="A9" s="318"/>
      <c r="B9" s="320"/>
      <c r="C9" s="320"/>
      <c r="D9" s="320"/>
      <c r="E9" s="124" t="s">
        <v>11</v>
      </c>
      <c r="F9" s="25" t="s">
        <v>1</v>
      </c>
      <c r="G9" s="25" t="s">
        <v>13</v>
      </c>
      <c r="H9" s="152" t="s">
        <v>21</v>
      </c>
      <c r="I9" s="328"/>
      <c r="J9" s="154" t="s">
        <v>1</v>
      </c>
      <c r="K9" s="330"/>
      <c r="L9" s="26" t="s">
        <v>13</v>
      </c>
      <c r="M9" s="26" t="s">
        <v>21</v>
      </c>
      <c r="N9" s="27" t="s">
        <v>11</v>
      </c>
      <c r="O9" s="271"/>
    </row>
    <row r="10" spans="1:23" s="38" customFormat="1" ht="21.75" customHeight="1" x14ac:dyDescent="0.4">
      <c r="A10" s="185" t="s">
        <v>10</v>
      </c>
      <c r="B10" s="28" t="str">
        <f>IFERROR('0819'!B10,"")</f>
        <v>토공사</v>
      </c>
      <c r="C10" s="28" t="str">
        <f>IFERROR('0819'!C10,"")</f>
        <v>%</v>
      </c>
      <c r="D10" s="134">
        <f>IFERROR('0819'!D10,"")</f>
      </c>
      <c r="E10" s="311"/>
      <c r="F10" s="32">
        <f>IFERROR(SUM('0819'!H10:I10),"")</f>
      </c>
      <c r="G10" s="281"/>
      <c r="H10" s="187">
        <f t="shared" ref="H10:H24" si="0">IFERROR(G10+F10,"")</f>
      </c>
      <c r="I10" s="188"/>
      <c r="J10" s="189">
        <f t="shared" ref="J10:J15" si="1">IFERROR(F10/D10*E10,"")</f>
      </c>
      <c r="K10" s="190"/>
      <c r="L10" s="34">
        <f t="shared" ref="L10:L15" si="2">IFERROR((G10/D10)*E10,"")</f>
      </c>
      <c r="M10" s="35">
        <f t="shared" ref="M10:M15" si="3">IFERROR(J10+L10,"")</f>
      </c>
      <c r="N10" s="36">
        <f t="shared" ref="N10:N15" si="4">IFERROR(M10,"")</f>
      </c>
      <c r="O10" s="284"/>
      <c r="V10" s="98"/>
      <c r="W10" s="98"/>
    </row>
    <row r="11" spans="1:23" s="38" customFormat="1" ht="21.75" customHeight="1" x14ac:dyDescent="0.4">
      <c r="A11" s="186"/>
      <c r="B11" s="28" t="str">
        <f>IFERROR('0819'!B11,"")</f>
        <v>배수공사</v>
      </c>
      <c r="C11" s="28">
        <f>IFERROR('0819'!C11,"")</f>
      </c>
      <c r="D11" s="134">
        <f>IFERROR('0819'!D11,"")</f>
      </c>
      <c r="E11" s="129"/>
      <c r="F11" s="32">
        <f>IFERROR(SUM('0819'!H11:I11),"")</f>
      </c>
      <c r="G11" s="40"/>
      <c r="H11" s="187">
        <f t="shared" si="0"/>
      </c>
      <c r="I11" s="188"/>
      <c r="J11" s="189">
        <f t="shared" si="1"/>
      </c>
      <c r="K11" s="190"/>
      <c r="L11" s="34">
        <f t="shared" si="2"/>
      </c>
      <c r="M11" s="35">
        <f t="shared" si="3"/>
      </c>
      <c r="N11" s="36">
        <f t="shared" si="4"/>
      </c>
      <c r="O11" s="284"/>
      <c r="V11" s="98"/>
      <c r="W11" s="98"/>
    </row>
    <row r="12" spans="1:23" s="38" customFormat="1" ht="21.75" customHeight="1" x14ac:dyDescent="0.4">
      <c r="A12" s="186"/>
      <c r="B12" s="28" t="str">
        <f>IFERROR('0819'!B12,"")</f>
        <v>1. 측구공</v>
      </c>
      <c r="C12" s="28" t="str">
        <f>IFERROR('0819'!C12,"")</f>
        <v>%</v>
      </c>
      <c r="D12" s="134">
        <f>IFERROR('0819'!D12,"")</f>
      </c>
      <c r="E12" s="129"/>
      <c r="F12" s="32">
        <f>IFERROR(SUM('0819'!H12:I12),"")</f>
      </c>
      <c r="G12" s="40"/>
      <c r="H12" s="187">
        <f t="shared" si="0"/>
      </c>
      <c r="I12" s="188"/>
      <c r="J12" s="189">
        <f t="shared" si="1"/>
      </c>
      <c r="K12" s="190"/>
      <c r="L12" s="34">
        <f t="shared" si="2"/>
      </c>
      <c r="M12" s="35">
        <f t="shared" si="3"/>
      </c>
      <c r="N12" s="36">
        <f t="shared" si="4"/>
      </c>
      <c r="O12" s="284"/>
      <c r="V12" s="98"/>
      <c r="W12" s="98"/>
    </row>
    <row r="13" spans="1:23" s="38" customFormat="1" ht="21.75" customHeight="1" x14ac:dyDescent="0.4">
      <c r="A13" s="186"/>
      <c r="B13" s="28" t="str">
        <f>IFERROR('0819'!B13,"")</f>
        <v>2. 옹벽공</v>
      </c>
      <c r="C13" s="28" t="str">
        <f>IFERROR('0819'!C13,"")</f>
        <v>%</v>
      </c>
      <c r="D13" s="134">
        <f>IFERROR('0819'!D13,"")</f>
      </c>
      <c r="E13" s="313"/>
      <c r="F13" s="32">
        <f>IFERROR(SUM('0819'!H13:I13),"")</f>
      </c>
      <c r="G13" s="281"/>
      <c r="H13" s="187">
        <f t="shared" si="0"/>
      </c>
      <c r="I13" s="188"/>
      <c r="J13" s="189">
        <f t="shared" si="1"/>
      </c>
      <c r="K13" s="190"/>
      <c r="L13" s="34">
        <f t="shared" si="2"/>
      </c>
      <c r="M13" s="35">
        <f t="shared" si="3"/>
      </c>
      <c r="N13" s="36">
        <f t="shared" si="4"/>
      </c>
      <c r="O13" s="285"/>
      <c r="V13" s="98"/>
      <c r="W13" s="98"/>
    </row>
    <row r="14" spans="1:23" s="42" customFormat="1" ht="21.75" customHeight="1" x14ac:dyDescent="0.4">
      <c r="A14" s="186"/>
      <c r="B14" s="28" t="str">
        <f>IFERROR('0819'!B14,"")</f>
        <v>3. J형개거</v>
      </c>
      <c r="C14" s="28" t="str">
        <f>IFERROR('0819'!C14,"")</f>
        <v>%</v>
      </c>
      <c r="D14" s="134">
        <f>IFERROR('0819'!D14,"")</f>
      </c>
      <c r="E14" s="313"/>
      <c r="F14" s="32">
        <f>IFERROR(SUM('0819'!H14:I14),"")</f>
      </c>
      <c r="G14" s="281"/>
      <c r="H14" s="187">
        <f t="shared" si="0"/>
      </c>
      <c r="I14" s="188"/>
      <c r="J14" s="189">
        <f t="shared" si="1"/>
      </c>
      <c r="K14" s="190"/>
      <c r="L14" s="34">
        <f t="shared" si="2"/>
      </c>
      <c r="M14" s="35">
        <f t="shared" si="3"/>
      </c>
      <c r="N14" s="36">
        <f t="shared" si="4"/>
      </c>
      <c r="O14" s="285"/>
      <c r="V14" s="305"/>
      <c r="W14" s="305"/>
    </row>
    <row r="15" spans="1:23" s="42" customFormat="1" ht="21.75" customHeight="1" x14ac:dyDescent="0.4">
      <c r="A15" s="186"/>
      <c r="B15" s="28" t="str">
        <f>IFERROR('0819'!B15,"")</f>
        <v>포장공</v>
      </c>
      <c r="C15" s="28" t="str">
        <f>IFERROR('0819'!C15,"")</f>
        <v>%</v>
      </c>
      <c r="D15" s="134">
        <f>IFERROR('0819'!D15,"")</f>
      </c>
      <c r="E15" s="280"/>
      <c r="F15" s="32">
        <f>IFERROR(SUM('0819'!H15:I15),"")</f>
      </c>
      <c r="G15" s="281"/>
      <c r="H15" s="187">
        <f t="shared" si="0"/>
      </c>
      <c r="I15" s="188"/>
      <c r="J15" s="189">
        <f t="shared" si="1"/>
      </c>
      <c r="K15" s="190"/>
      <c r="L15" s="34">
        <f t="shared" si="2"/>
      </c>
      <c r="M15" s="35">
        <f t="shared" si="3"/>
      </c>
      <c r="N15" s="36">
        <f t="shared" si="4"/>
      </c>
      <c r="O15" s="285"/>
      <c r="V15" s="305"/>
      <c r="W15" s="305"/>
    </row>
    <row r="16" spans="1:23" s="42" customFormat="1" ht="21.75" customHeight="1" x14ac:dyDescent="0.4">
      <c r="A16" s="185"/>
      <c r="B16" s="277"/>
      <c r="C16" s="278"/>
      <c r="D16" s="279"/>
      <c r="E16" s="280"/>
      <c r="F16" s="281"/>
      <c r="G16" s="281"/>
      <c r="H16" s="187">
        <f t="shared" si="0"/>
      </c>
      <c r="I16" s="188"/>
      <c r="J16" s="189"/>
      <c r="K16" s="190"/>
      <c r="L16" s="34"/>
      <c r="M16" s="282"/>
      <c r="N16" s="283"/>
      <c r="O16" s="285"/>
      <c r="V16" s="305"/>
      <c r="W16" s="305"/>
    </row>
    <row r="17" spans="1:25" s="42" customFormat="1" ht="21.75" customHeight="1" x14ac:dyDescent="0.4">
      <c r="A17" s="186"/>
      <c r="B17" s="277"/>
      <c r="C17" s="278"/>
      <c r="D17" s="279"/>
      <c r="E17" s="280"/>
      <c r="F17" s="281"/>
      <c r="G17" s="281"/>
      <c r="H17" s="187">
        <f t="shared" si="0"/>
      </c>
      <c r="I17" s="188"/>
      <c r="J17" s="189"/>
      <c r="K17" s="190"/>
      <c r="L17" s="34"/>
      <c r="M17" s="282"/>
      <c r="N17" s="283"/>
      <c r="O17" s="285"/>
      <c r="V17" s="305"/>
      <c r="W17" s="305"/>
    </row>
    <row r="18" spans="1:25" s="42" customFormat="1" ht="21.75" customHeight="1" x14ac:dyDescent="0.4">
      <c r="A18" s="186"/>
      <c r="B18" s="277"/>
      <c r="C18" s="278"/>
      <c r="D18" s="279"/>
      <c r="E18" s="280"/>
      <c r="F18" s="281"/>
      <c r="G18" s="281"/>
      <c r="H18" s="187">
        <f t="shared" si="0"/>
      </c>
      <c r="I18" s="188"/>
      <c r="J18" s="189"/>
      <c r="K18" s="190"/>
      <c r="L18" s="34"/>
      <c r="M18" s="282"/>
      <c r="N18" s="283"/>
      <c r="O18" s="285"/>
      <c r="V18" s="305"/>
      <c r="W18" s="305"/>
      <c r="Y18" s="306"/>
    </row>
    <row r="19" spans="1:25" s="42" customFormat="1" ht="21.75" customHeight="1" x14ac:dyDescent="0.4">
      <c r="A19" s="186"/>
      <c r="B19" s="277"/>
      <c r="C19" s="278"/>
      <c r="D19" s="279"/>
      <c r="E19" s="280"/>
      <c r="F19" s="281"/>
      <c r="G19" s="281"/>
      <c r="H19" s="187">
        <f t="shared" si="0"/>
      </c>
      <c r="I19" s="188"/>
      <c r="J19" s="189"/>
      <c r="K19" s="190"/>
      <c r="L19" s="34"/>
      <c r="M19" s="282"/>
      <c r="N19" s="283"/>
      <c r="O19" s="285"/>
      <c r="V19" s="305"/>
      <c r="W19" s="305"/>
      <c r="Y19" s="305"/>
    </row>
    <row r="20" spans="1:25" s="42" customFormat="1" ht="21.75" customHeight="1" x14ac:dyDescent="0.4">
      <c r="A20" s="186"/>
      <c r="B20" s="277"/>
      <c r="C20" s="278"/>
      <c r="D20" s="279"/>
      <c r="E20" s="280"/>
      <c r="F20" s="281"/>
      <c r="G20" s="281"/>
      <c r="H20" s="187">
        <f t="shared" si="0"/>
      </c>
      <c r="I20" s="188"/>
      <c r="J20" s="189"/>
      <c r="K20" s="190"/>
      <c r="L20" s="34"/>
      <c r="M20" s="282"/>
      <c r="N20" s="283"/>
      <c r="O20" s="285"/>
      <c r="V20" s="305"/>
      <c r="W20" s="305"/>
    </row>
    <row r="21" spans="1:25" s="42" customFormat="1" ht="21.75" customHeight="1" x14ac:dyDescent="0.4">
      <c r="A21" s="186"/>
      <c r="B21" s="277"/>
      <c r="C21" s="278"/>
      <c r="D21" s="279"/>
      <c r="E21" s="280"/>
      <c r="F21" s="281"/>
      <c r="G21" s="281"/>
      <c r="H21" s="187">
        <f t="shared" si="0"/>
      </c>
      <c r="I21" s="188"/>
      <c r="J21" s="189"/>
      <c r="K21" s="190"/>
      <c r="L21" s="34"/>
      <c r="M21" s="282"/>
      <c r="N21" s="283"/>
      <c r="O21" s="285"/>
      <c r="V21" s="305"/>
      <c r="W21" s="305"/>
      <c r="Y21" s="306"/>
    </row>
    <row r="22" spans="1:25" s="42" customFormat="1" ht="21.75" customHeight="1" x14ac:dyDescent="0.4">
      <c r="A22" s="186"/>
      <c r="B22" s="277"/>
      <c r="C22" s="278"/>
      <c r="D22" s="279"/>
      <c r="E22" s="280"/>
      <c r="F22" s="281"/>
      <c r="G22" s="281"/>
      <c r="H22" s="187">
        <f t="shared" si="0"/>
      </c>
      <c r="I22" s="188"/>
      <c r="J22" s="189"/>
      <c r="K22" s="190"/>
      <c r="L22" s="34"/>
      <c r="M22" s="282"/>
      <c r="N22" s="283"/>
      <c r="O22" s="285"/>
      <c r="V22" s="305"/>
      <c r="W22" s="305"/>
      <c r="Y22" s="305"/>
    </row>
    <row r="23" spans="1:25" s="42" customFormat="1" ht="21.75" customHeight="1" x14ac:dyDescent="0.4">
      <c r="A23" s="186"/>
      <c r="B23" s="277"/>
      <c r="C23" s="278"/>
      <c r="D23" s="279"/>
      <c r="E23" s="280"/>
      <c r="F23" s="281"/>
      <c r="G23" s="281"/>
      <c r="H23" s="187">
        <f t="shared" si="0"/>
      </c>
      <c r="I23" s="188"/>
      <c r="J23" s="189"/>
      <c r="K23" s="190"/>
      <c r="L23" s="34"/>
      <c r="M23" s="282"/>
      <c r="N23" s="283"/>
      <c r="O23" s="285"/>
      <c r="V23" s="305"/>
      <c r="W23" s="305"/>
    </row>
    <row r="24" spans="1:25" s="42" customFormat="1" ht="21.75" customHeight="1" x14ac:dyDescent="0.4">
      <c r="A24" s="193"/>
      <c r="B24" s="277"/>
      <c r="C24" s="278"/>
      <c r="D24" s="279"/>
      <c r="E24" s="280"/>
      <c r="F24" s="281"/>
      <c r="G24" s="281"/>
      <c r="H24" s="187">
        <f t="shared" si="0"/>
      </c>
      <c r="I24" s="188"/>
      <c r="J24" s="189"/>
      <c r="K24" s="190"/>
      <c r="L24" s="34"/>
      <c r="M24" s="282"/>
      <c r="N24" s="283"/>
      <c r="O24" s="285"/>
      <c r="V24" s="305"/>
      <c r="W24" s="305"/>
    </row>
    <row r="25" spans="1:25" s="38" customFormat="1" ht="21.75" customHeight="1" thickBot="1" x14ac:dyDescent="0.45">
      <c r="A25" s="178" t="s">
        <v>26</v>
      </c>
      <c r="B25" s="179"/>
      <c r="C25" s="179"/>
      <c r="D25" s="180"/>
      <c r="E25" s="49">
        <f>IFERROR(SUM(E10:E24),"")</f>
      </c>
      <c r="F25" s="50"/>
      <c r="G25" s="50"/>
      <c r="H25" s="181"/>
      <c r="I25" s="182"/>
      <c r="J25" s="183">
        <f>IFERROR(SUM(J10:K24),"")</f>
      </c>
      <c r="K25" s="184">
        <f>IFERROR(SUM(#REF!),"")</f>
      </c>
      <c r="L25" s="122">
        <f>IFERROR(SUM(L10:L24),"")</f>
      </c>
      <c r="M25" s="122">
        <f>IFERROR(SUM(M10:M24),"")</f>
      </c>
      <c r="N25" s="51">
        <f>IFERROR(SUM(N10:N24),"")</f>
      </c>
      <c r="O25" s="292"/>
      <c r="V25" s="98"/>
      <c r="W25" s="98"/>
    </row>
    <row r="26" spans="1:25" s="60" customFormat="1" ht="21.75" customHeight="1" thickBot="1" x14ac:dyDescent="0.45">
      <c r="A26" s="18" t="s">
        <v>31</v>
      </c>
      <c r="B26" s="53"/>
      <c r="C26" s="54"/>
      <c r="D26" s="54"/>
      <c r="E26" s="55"/>
      <c r="F26" s="56"/>
      <c r="G26" s="56"/>
      <c r="H26" s="56"/>
      <c r="I26" s="56"/>
      <c r="J26" s="56"/>
      <c r="K26" s="57"/>
      <c r="L26" s="57"/>
      <c r="M26" s="57"/>
      <c r="N26" s="58" t="inlineStr">
        <is>
          <t xml:space="preserve">(단위: </t>
        </is>
      </c>
      <c r="O26" s="293"/>
      <c r="V26" s="101"/>
      <c r="W26" s="101"/>
    </row>
    <row r="27" spans="1:25" s="60" customFormat="1" ht="21.75" customHeight="1" x14ac:dyDescent="0.4">
      <c r="A27" s="191" t="s">
        <v>33</v>
      </c>
      <c r="B27" s="325"/>
      <c r="C27" s="326"/>
      <c r="D27" s="23" t="s">
        <v>36</v>
      </c>
      <c r="E27" s="23" t="s">
        <v>13</v>
      </c>
      <c r="F27" s="61" t="s">
        <v>21</v>
      </c>
      <c r="G27" s="192" t="s">
        <v>33</v>
      </c>
      <c r="H27" s="322"/>
      <c r="I27" s="323"/>
      <c r="J27" s="149" t="s">
        <v>36</v>
      </c>
      <c r="K27" s="326"/>
      <c r="L27" s="23" t="s">
        <v>13</v>
      </c>
      <c r="M27" s="23" t="s">
        <v>21</v>
      </c>
      <c r="N27" s="62" t="s">
        <v>4</v>
      </c>
      <c r="O27" s="296"/>
      <c r="Q27" s="64" t="s">
        <v>19</v>
      </c>
      <c r="R27" s="64" t="s">
        <v>23</v>
      </c>
      <c r="S27" s="65" t="s">
        <v>17</v>
      </c>
      <c r="V27" s="101"/>
      <c r="W27" s="101"/>
    </row>
    <row r="28" spans="1:25" s="38" customFormat="1" ht="21.75" customHeight="1" x14ac:dyDescent="0.4">
      <c r="A28" s="195" t="str">
        <f>IFERROR('0819'!A29:C29,"")</f>
        <v>배관공</v>
      </c>
      <c r="B28" s="196"/>
      <c r="C28" s="197"/>
      <c r="D28" s="66">
        <f>IFERROR('0819'!F29,"")</f>
      </c>
      <c r="E28" s="67"/>
      <c r="F28" s="68">
        <f>IFERROR(D28+E28,"")</f>
      </c>
      <c r="G28" s="119"/>
      <c r="H28" s="120"/>
      <c r="I28" s="121"/>
      <c r="J28" s="198"/>
      <c r="K28" s="199"/>
      <c r="L28" s="107"/>
      <c r="M28" s="66"/>
      <c r="N28" s="69"/>
      <c r="O28" s="292"/>
      <c r="P28" s="292"/>
      <c r="Q28" s="102">
        <f>IFERROR(3+2+6,"")</f>
      </c>
      <c r="R28" s="102"/>
      <c r="S28" s="102">
        <f t="shared" ref="S28:S37" si="5">IFERROR(SUM(Q28:R28),"")</f>
      </c>
      <c r="V28" s="98"/>
      <c r="W28" s="98"/>
    </row>
    <row r="29" spans="1:25" s="38" customFormat="1" ht="21.75" customHeight="1" x14ac:dyDescent="0.4">
      <c r="A29" s="195" t="str">
        <f>IFERROR('0819'!A30:C30,"")</f>
        <v>신호수</v>
      </c>
      <c r="B29" s="196"/>
      <c r="C29" s="197"/>
      <c r="D29" s="66"/>
      <c r="E29" s="67"/>
      <c r="F29" s="68">
        <f t="shared" ref="F29:F40" si="6">IFERROR(D29+E29,"")</f>
      </c>
      <c r="G29" s="119"/>
      <c r="H29" s="120"/>
      <c r="I29" s="121"/>
      <c r="J29" s="198"/>
      <c r="K29" s="199"/>
      <c r="L29" s="70"/>
      <c r="M29" s="66"/>
      <c r="N29" s="71"/>
      <c r="O29" s="292"/>
      <c r="P29" s="292"/>
      <c r="Q29" s="102">
        <f>IFERROR(4+4+3+2+13+23+1,"")</f>
      </c>
      <c r="R29" s="102">
        <f>IFERROR(1+2+1+1,"")</f>
      </c>
      <c r="S29" s="102">
        <f t="shared" si="5"/>
      </c>
      <c r="V29" s="98"/>
      <c r="W29" s="98"/>
    </row>
    <row r="30" spans="1:25" s="38" customFormat="1" ht="21.75" customHeight="1" x14ac:dyDescent="0.4">
      <c r="A30" s="195"/>
      <c r="B30" s="196"/>
      <c r="C30" s="197"/>
      <c r="D30" s="66">
        <f>IFERROR('0819'!F31,"")</f>
      </c>
      <c r="E30" s="67"/>
      <c r="F30" s="68">
        <f t="shared" si="6"/>
      </c>
      <c r="G30" s="119"/>
      <c r="H30" s="120"/>
      <c r="I30" s="121"/>
      <c r="J30" s="198"/>
      <c r="K30" s="199"/>
      <c r="L30" s="107"/>
      <c r="M30" s="66"/>
      <c r="N30" s="69"/>
      <c r="O30" s="292"/>
      <c r="P30" s="292"/>
      <c r="Q30" s="102"/>
      <c r="R30" s="102"/>
      <c r="S30" s="102">
        <f t="shared" si="5"/>
      </c>
      <c r="V30" s="98"/>
      <c r="W30" s="98"/>
      <c r="X30" s="72"/>
    </row>
    <row r="31" spans="1:25" s="38" customFormat="1" ht="21.75" customHeight="1" x14ac:dyDescent="0.4">
      <c r="A31" s="195"/>
      <c r="B31" s="196"/>
      <c r="C31" s="197"/>
      <c r="D31" s="66">
        <f>IFERROR('0819'!F32,"")</f>
      </c>
      <c r="E31" s="67"/>
      <c r="F31" s="68">
        <f t="shared" si="6"/>
      </c>
      <c r="G31" s="119"/>
      <c r="H31" s="120"/>
      <c r="I31" s="121"/>
      <c r="J31" s="198"/>
      <c r="K31" s="199"/>
      <c r="L31" s="107"/>
      <c r="M31" s="66"/>
      <c r="N31" s="71"/>
      <c r="O31" s="292"/>
      <c r="P31" s="292"/>
      <c r="Q31" s="102">
        <f>IFERROR(3+3+3+26+13,"")</f>
      </c>
      <c r="R31" s="102">
        <f>IFERROR(3+1+1+1+2+3,"")</f>
      </c>
      <c r="S31" s="102">
        <f t="shared" si="5"/>
      </c>
      <c r="V31" s="98"/>
      <c r="W31" s="98"/>
    </row>
    <row r="32" spans="1:25" s="38" customFormat="1" ht="21.75" customHeight="1" x14ac:dyDescent="0.4">
      <c r="A32" s="195" t="s">
        <v>63</v>
      </c>
      <c r="B32" s="196"/>
      <c r="C32" s="197"/>
      <c r="D32" s="66">
        <f>IFERROR('0819'!F33,"")</f>
      </c>
      <c r="E32" s="67"/>
      <c r="F32" s="68">
        <f t="shared" si="6"/>
      </c>
      <c r="G32" s="119"/>
      <c r="H32" s="120"/>
      <c r="I32" s="121"/>
      <c r="J32" s="198"/>
      <c r="K32" s="199"/>
      <c r="L32" s="107"/>
      <c r="M32" s="66"/>
      <c r="N32" s="71"/>
      <c r="O32" s="292"/>
      <c r="P32" s="292"/>
      <c r="Q32" s="102">
        <f>IFERROR(2+7+8,"")</f>
      </c>
      <c r="R32" s="102"/>
      <c r="S32" s="102">
        <f t="shared" si="5"/>
      </c>
      <c r="V32" s="98"/>
      <c r="W32" s="98"/>
    </row>
    <row r="33" spans="1:23" s="38" customFormat="1" ht="21.75" customHeight="1" x14ac:dyDescent="0.4">
      <c r="A33" s="195"/>
      <c r="B33" s="196"/>
      <c r="C33" s="197"/>
      <c r="D33" s="66">
        <f>IFERROR('0819'!F34,"")</f>
      </c>
      <c r="E33" s="67"/>
      <c r="F33" s="68">
        <f t="shared" si="6"/>
      </c>
      <c r="G33" s="119"/>
      <c r="H33" s="120"/>
      <c r="I33" s="121"/>
      <c r="J33" s="198"/>
      <c r="K33" s="199"/>
      <c r="L33" s="107"/>
      <c r="M33" s="66"/>
      <c r="N33" s="69"/>
      <c r="O33" s="297"/>
      <c r="P33" s="38"/>
      <c r="Q33" s="102"/>
      <c r="R33" s="102"/>
      <c r="S33" s="102">
        <f t="shared" si="5"/>
      </c>
      <c r="V33" s="98"/>
      <c r="W33" s="98"/>
    </row>
    <row r="34" spans="1:23" s="38" customFormat="1" ht="21.75" customHeight="1" x14ac:dyDescent="0.4">
      <c r="A34" s="195"/>
      <c r="B34" s="196"/>
      <c r="C34" s="197"/>
      <c r="D34" s="66">
        <f>IFERROR('0819'!F35,"")</f>
      </c>
      <c r="E34" s="107"/>
      <c r="F34" s="68">
        <f t="shared" si="6"/>
      </c>
      <c r="G34" s="119"/>
      <c r="H34" s="120"/>
      <c r="I34" s="121"/>
      <c r="J34" s="198"/>
      <c r="K34" s="199"/>
      <c r="L34" s="107"/>
      <c r="M34" s="66"/>
      <c r="N34" s="69"/>
      <c r="O34" s="297"/>
      <c r="P34" s="38"/>
      <c r="Q34" s="102">
        <f>IFERROR(1+4,"")</f>
      </c>
      <c r="R34" s="102"/>
      <c r="S34" s="102">
        <f t="shared" si="5"/>
      </c>
      <c r="V34" s="98"/>
      <c r="W34" s="98"/>
    </row>
    <row r="35" spans="1:23" s="38" customFormat="1" ht="21.75" customHeight="1" x14ac:dyDescent="0.4">
      <c r="A35" s="195"/>
      <c r="B35" s="196"/>
      <c r="C35" s="197"/>
      <c r="D35" s="66">
        <f>IFERROR('0819'!F36,"")</f>
      </c>
      <c r="E35" s="107"/>
      <c r="F35" s="68">
        <f t="shared" si="6"/>
      </c>
      <c r="G35" s="119"/>
      <c r="H35" s="120"/>
      <c r="I35" s="121"/>
      <c r="J35" s="198"/>
      <c r="K35" s="199"/>
      <c r="L35" s="107"/>
      <c r="M35" s="66"/>
      <c r="N35" s="75"/>
      <c r="O35" s="297"/>
      <c r="P35" s="38"/>
      <c r="Q35" s="102">
        <f>IFERROR(1+1+2+1+2+4,"")</f>
      </c>
      <c r="R35" s="102"/>
      <c r="S35" s="102">
        <f t="shared" si="5"/>
      </c>
      <c r="V35" s="98"/>
      <c r="W35" s="98"/>
    </row>
    <row r="36" spans="1:23" s="38" customFormat="1" ht="21.75" customHeight="1" x14ac:dyDescent="0.4">
      <c r="A36" s="195"/>
      <c r="B36" s="196"/>
      <c r="C36" s="197"/>
      <c r="D36" s="66">
        <f>IFERROR('0819'!F37,"")</f>
      </c>
      <c r="E36" s="107"/>
      <c r="F36" s="68">
        <f t="shared" si="6"/>
      </c>
      <c r="G36" s="119"/>
      <c r="H36" s="120"/>
      <c r="I36" s="121"/>
      <c r="J36" s="198"/>
      <c r="K36" s="199"/>
      <c r="L36" s="107"/>
      <c r="M36" s="66"/>
      <c r="N36" s="69"/>
      <c r="O36" s="297"/>
      <c r="P36" s="38"/>
      <c r="Q36" s="102"/>
      <c r="R36" s="102"/>
      <c r="S36" s="102">
        <f t="shared" si="5"/>
      </c>
      <c r="V36" s="98"/>
      <c r="W36" s="98"/>
    </row>
    <row r="37" spans="1:23" s="38" customFormat="1" ht="21.75" customHeight="1" x14ac:dyDescent="0.4">
      <c r="A37" s="195"/>
      <c r="B37" s="196"/>
      <c r="C37" s="197"/>
      <c r="D37" s="66">
        <f>IFERROR('0819'!F38,"")</f>
      </c>
      <c r="E37" s="107"/>
      <c r="F37" s="68">
        <f t="shared" si="6"/>
      </c>
      <c r="G37" s="119"/>
      <c r="H37" s="120"/>
      <c r="I37" s="121"/>
      <c r="J37" s="198"/>
      <c r="K37" s="199"/>
      <c r="L37" s="107"/>
      <c r="M37" s="66"/>
      <c r="N37" s="69"/>
      <c r="O37" s="297"/>
      <c r="Q37" s="74">
        <f>IFERROR(SUM(Q28:Q36),"")</f>
      </c>
      <c r="R37" s="74">
        <f>IFERROR(SUM(R28:R36),"")</f>
      </c>
      <c r="S37" s="74">
        <f t="shared" si="5"/>
      </c>
      <c r="V37" s="98"/>
      <c r="W37" s="98"/>
    </row>
    <row r="38" spans="1:23" s="38" customFormat="1" ht="21.75" customHeight="1" x14ac:dyDescent="0.4">
      <c r="A38" s="195"/>
      <c r="B38" s="196"/>
      <c r="C38" s="197"/>
      <c r="D38" s="66">
        <f>IFERROR('0819'!F39,"")</f>
      </c>
      <c r="E38" s="107"/>
      <c r="F38" s="68">
        <f t="shared" si="6"/>
      </c>
      <c r="G38" s="116"/>
      <c r="H38" s="117"/>
      <c r="I38" s="118"/>
      <c r="J38" s="198"/>
      <c r="K38" s="199"/>
      <c r="L38" s="107"/>
      <c r="M38" s="66"/>
      <c r="N38" s="69"/>
      <c r="O38" s="297"/>
      <c r="V38" s="98"/>
      <c r="W38" s="98"/>
    </row>
    <row r="39" spans="1:23" s="38" customFormat="1" ht="21.75" customHeight="1" x14ac:dyDescent="0.4">
      <c r="A39" s="200"/>
      <c r="B39" s="201"/>
      <c r="C39" s="202"/>
      <c r="D39" s="66">
        <f>IFERROR('0819'!F40,"")</f>
      </c>
      <c r="E39" s="66"/>
      <c r="F39" s="68">
        <f t="shared" si="6"/>
      </c>
      <c r="G39" s="115"/>
      <c r="H39" s="106"/>
      <c r="I39" s="104"/>
      <c r="J39" s="198"/>
      <c r="K39" s="199"/>
      <c r="L39" s="107"/>
      <c r="M39" s="111"/>
      <c r="N39" s="103"/>
      <c r="O39" s="300"/>
      <c r="V39" s="98"/>
      <c r="W39" s="98"/>
    </row>
    <row r="40" spans="1:23" s="38" customFormat="1" ht="21.75" customHeight="1" x14ac:dyDescent="0.4">
      <c r="A40" s="200"/>
      <c r="B40" s="201"/>
      <c r="C40" s="202"/>
      <c r="D40" s="66">
        <f>IFERROR('0819'!F41,"")</f>
      </c>
      <c r="E40" s="66"/>
      <c r="F40" s="68">
        <f t="shared" si="6"/>
      </c>
      <c r="G40" s="112"/>
      <c r="H40" s="112"/>
      <c r="I40" s="113"/>
      <c r="J40" s="107"/>
      <c r="K40" s="108"/>
      <c r="L40" s="107"/>
      <c r="M40" s="114"/>
      <c r="N40" s="103"/>
      <c r="O40" s="300"/>
      <c r="V40" s="98"/>
      <c r="W40" s="98"/>
    </row>
    <row r="41" spans="1:23" s="38" customFormat="1" ht="21.75" customHeight="1" thickBot="1" x14ac:dyDescent="0.45">
      <c r="A41" s="209"/>
      <c r="B41" s="210"/>
      <c r="C41" s="211"/>
      <c r="D41" s="76"/>
      <c r="E41" s="76"/>
      <c r="F41" s="77">
        <f>IFERROR(D41+E41,"")</f>
      </c>
      <c r="G41" s="212" t="s">
        <v>26</v>
      </c>
      <c r="H41" s="213"/>
      <c r="I41" s="214"/>
      <c r="J41" s="215">
        <f>IFERROR(SUM(J28:K39,D28:D41),"")</f>
      </c>
      <c r="K41" s="336"/>
      <c r="L41" s="78">
        <f>IFERROR(SUM(E28:E41,L28:L39),"")</f>
      </c>
      <c r="M41" s="78">
        <f>IFERROR(SUM(M28:M39,F28:F41),"")</f>
      </c>
      <c r="N41" s="79"/>
      <c r="O41" s="300"/>
      <c r="V41" s="98"/>
      <c r="W41" s="98"/>
    </row>
    <row r="42" spans="1:23" s="60" customFormat="1" ht="21.75" customHeight="1" thickBot="1" x14ac:dyDescent="0.45">
      <c r="A42" s="81" t="s">
        <v>29</v>
      </c>
      <c r="B42" s="82"/>
      <c r="C42" s="83"/>
      <c r="D42" s="83"/>
      <c r="E42" s="83"/>
      <c r="F42" s="84"/>
      <c r="G42" s="84"/>
      <c r="H42" s="84"/>
      <c r="I42" s="84"/>
      <c r="J42" s="84"/>
      <c r="K42" s="83" t="s">
        <v>9</v>
      </c>
      <c r="L42" s="83" t="s">
        <v>9</v>
      </c>
      <c r="M42" s="83"/>
      <c r="N42" s="85" t="inlineStr">
        <is>
          <t xml:space="preserve">(단위: </t>
        </is>
      </c>
      <c r="O42" s="296"/>
      <c r="P42" s="38"/>
      <c r="Q42" s="38"/>
      <c r="R42" s="38"/>
      <c r="S42" s="38"/>
      <c r="V42" s="101"/>
      <c r="W42" s="101"/>
    </row>
    <row r="43" spans="1:23" s="60" customFormat="1" ht="21.75" customHeight="1" x14ac:dyDescent="0.4">
      <c r="A43" s="191" t="s">
        <v>38</v>
      </c>
      <c r="B43" s="325"/>
      <c r="C43" s="326"/>
      <c r="D43" s="23" t="s">
        <v>36</v>
      </c>
      <c r="E43" s="86" t="s">
        <v>13</v>
      </c>
      <c r="F43" s="87" t="s">
        <v>21</v>
      </c>
      <c r="G43" s="192" t="s">
        <v>38</v>
      </c>
      <c r="H43" s="322"/>
      <c r="I43" s="323"/>
      <c r="J43" s="149" t="s">
        <v>36</v>
      </c>
      <c r="K43" s="326"/>
      <c r="L43" s="88" t="s">
        <v>34</v>
      </c>
      <c r="M43" s="123" t="s">
        <v>21</v>
      </c>
      <c r="N43" s="89" t="s">
        <v>4</v>
      </c>
      <c r="O43" s="296"/>
      <c r="P43" s="38"/>
      <c r="Q43" s="38"/>
      <c r="R43" s="38"/>
      <c r="S43" s="38"/>
      <c r="V43" s="101"/>
      <c r="W43" s="101"/>
    </row>
    <row r="44" spans="1:23" s="38" customFormat="1" ht="21.75" customHeight="1" x14ac:dyDescent="0.4">
      <c r="A44" s="203"/>
      <c r="B44" s="204"/>
      <c r="C44" s="205"/>
      <c r="D44" s="66">
        <f>IFERROR('0819'!F45,"")</f>
      </c>
      <c r="E44" s="66"/>
      <c r="F44" s="66">
        <f t="shared" ref="F44:F51" si="7">IFERROR(D44+E44,"")</f>
      </c>
      <c r="G44" s="206"/>
      <c r="H44" s="207"/>
      <c r="I44" s="208"/>
      <c r="J44" s="198"/>
      <c r="K44" s="199"/>
      <c r="L44" s="66"/>
      <c r="M44" s="66"/>
      <c r="N44" s="90"/>
      <c r="O44" s="292"/>
      <c r="V44" s="98"/>
      <c r="W44" s="98"/>
    </row>
    <row r="45" spans="1:23" s="38" customFormat="1" ht="21.75" customHeight="1" x14ac:dyDescent="0.4">
      <c r="A45" s="203"/>
      <c r="B45" s="204"/>
      <c r="C45" s="205"/>
      <c r="D45" s="66">
        <f>IFERROR('0819'!F46,"")</f>
      </c>
      <c r="E45" s="108"/>
      <c r="F45" s="68">
        <f t="shared" si="7"/>
      </c>
      <c r="G45" s="206"/>
      <c r="H45" s="207"/>
      <c r="I45" s="208"/>
      <c r="J45" s="198"/>
      <c r="K45" s="199"/>
      <c r="L45" s="66"/>
      <c r="M45" s="66"/>
      <c r="N45" s="90"/>
      <c r="O45" s="292"/>
      <c r="P45" s="60"/>
      <c r="Q45" s="60"/>
      <c r="R45" s="60"/>
      <c r="S45" s="60"/>
      <c r="V45" s="98"/>
      <c r="W45" s="98"/>
    </row>
    <row r="46" spans="1:23" s="38" customFormat="1" ht="21.75" customHeight="1" x14ac:dyDescent="0.4">
      <c r="A46" s="203"/>
      <c r="B46" s="204"/>
      <c r="C46" s="205"/>
      <c r="D46" s="66">
        <f>IFERROR('0819'!F47,"")</f>
      </c>
      <c r="E46" s="108"/>
      <c r="F46" s="68">
        <f t="shared" si="7"/>
      </c>
      <c r="G46" s="206"/>
      <c r="H46" s="207"/>
      <c r="I46" s="208"/>
      <c r="J46" s="198"/>
      <c r="K46" s="199"/>
      <c r="L46" s="66"/>
      <c r="M46" s="66"/>
      <c r="N46" s="90"/>
      <c r="O46" s="292"/>
      <c r="P46" s="60"/>
      <c r="Q46" s="60"/>
      <c r="R46" s="60"/>
      <c r="S46" s="60"/>
      <c r="V46" s="98"/>
      <c r="W46" s="98"/>
    </row>
    <row r="47" spans="1:23" s="38" customFormat="1" ht="21.75" customHeight="1" x14ac:dyDescent="0.4">
      <c r="A47" s="203"/>
      <c r="B47" s="204"/>
      <c r="C47" s="205"/>
      <c r="D47" s="66">
        <f>IFERROR('0819'!F48,"")</f>
      </c>
      <c r="E47" s="66"/>
      <c r="F47" s="68">
        <f t="shared" si="7"/>
      </c>
      <c r="G47" s="206"/>
      <c r="H47" s="207"/>
      <c r="I47" s="208"/>
      <c r="J47" s="198"/>
      <c r="K47" s="199"/>
      <c r="L47" s="66"/>
      <c r="M47" s="66"/>
      <c r="N47" s="90"/>
      <c r="O47" s="292"/>
      <c r="V47" s="98"/>
      <c r="W47" s="98"/>
    </row>
    <row r="48" spans="1:23" s="38" customFormat="1" ht="21.75" customHeight="1" x14ac:dyDescent="0.4">
      <c r="A48" s="203"/>
      <c r="B48" s="204"/>
      <c r="C48" s="205"/>
      <c r="D48" s="66">
        <f>IFERROR('0819'!F49,"")</f>
      </c>
      <c r="E48" s="66"/>
      <c r="F48" s="68">
        <f t="shared" si="7"/>
      </c>
      <c r="G48" s="206"/>
      <c r="H48" s="207"/>
      <c r="I48" s="208"/>
      <c r="J48" s="198"/>
      <c r="K48" s="199"/>
      <c r="L48" s="66"/>
      <c r="M48" s="66"/>
      <c r="N48" s="91"/>
      <c r="O48" s="292"/>
      <c r="V48" s="98"/>
      <c r="W48" s="98"/>
    </row>
    <row r="49" spans="1:23" s="38" customFormat="1" ht="21.75" customHeight="1" x14ac:dyDescent="0.4">
      <c r="A49" s="203"/>
      <c r="B49" s="204"/>
      <c r="C49" s="205"/>
      <c r="D49" s="66">
        <f>IFERROR('0819'!F50,"")</f>
      </c>
      <c r="E49" s="66"/>
      <c r="F49" s="68">
        <f t="shared" si="7"/>
      </c>
      <c r="G49" s="206"/>
      <c r="H49" s="207"/>
      <c r="I49" s="208"/>
      <c r="J49" s="198"/>
      <c r="K49" s="199"/>
      <c r="L49" s="66"/>
      <c r="M49" s="66"/>
      <c r="N49" s="92"/>
      <c r="O49" s="300"/>
      <c r="V49" s="98"/>
      <c r="W49" s="98"/>
    </row>
    <row r="50" spans="1:23" s="38" customFormat="1" ht="21.75" customHeight="1" x14ac:dyDescent="0.4">
      <c r="A50" s="203"/>
      <c r="B50" s="204"/>
      <c r="C50" s="205"/>
      <c r="D50" s="66">
        <f>IFERROR('0819'!F51,"")</f>
      </c>
      <c r="E50" s="66"/>
      <c r="F50" s="68">
        <f t="shared" si="7"/>
      </c>
      <c r="G50" s="220"/>
      <c r="H50" s="221"/>
      <c r="I50" s="109"/>
      <c r="J50" s="198"/>
      <c r="K50" s="199"/>
      <c r="L50" s="66"/>
      <c r="M50" s="66"/>
      <c r="N50" s="92"/>
      <c r="O50" s="300"/>
      <c r="V50" s="98"/>
      <c r="W50" s="98"/>
    </row>
    <row r="51" spans="1:23" s="38" customFormat="1" ht="21.75" customHeight="1" thickBot="1" x14ac:dyDescent="0.45">
      <c r="A51" s="203"/>
      <c r="B51" s="204"/>
      <c r="C51" s="205"/>
      <c r="D51" s="66">
        <f>IFERROR('0819'!F52,"")</f>
      </c>
      <c r="E51" s="76"/>
      <c r="F51" s="77">
        <f t="shared" si="7"/>
      </c>
      <c r="G51" s="212" t="s">
        <v>26</v>
      </c>
      <c r="H51" s="213"/>
      <c r="I51" s="214"/>
      <c r="J51" s="215">
        <f>IFERROR(SUM(J44:K50,D44:D51),"")</f>
      </c>
      <c r="K51" s="336"/>
      <c r="L51" s="78">
        <f>IFERROR(SUM(L44:L50,E44:E51),"")</f>
      </c>
      <c r="M51" s="78">
        <f>IFERROR(SUM(M44:M50,F44:F51),"")</f>
      </c>
      <c r="N51" s="93"/>
      <c r="O51" s="80">
        <f>IFERROR(M51+M41+'[2]0715'!$M$37+'[2]0715'!$M$48,"")</f>
      </c>
      <c r="V51" s="98"/>
      <c r="W51" s="98"/>
    </row>
    <row r="52" spans="1:23" s="60" customFormat="1" ht="21.75" customHeight="1" thickBot="1" x14ac:dyDescent="0.45">
      <c r="A52" s="18" t="s">
        <v>28</v>
      </c>
      <c r="B52" s="19"/>
      <c r="C52" s="20"/>
      <c r="D52" s="20"/>
      <c r="E52" s="20"/>
      <c r="F52" s="21"/>
      <c r="G52" s="21"/>
      <c r="H52" s="21"/>
      <c r="I52" s="21"/>
      <c r="J52" s="21"/>
      <c r="K52" s="20"/>
      <c r="L52" s="20"/>
      <c r="M52" s="20"/>
      <c r="N52" s="22"/>
      <c r="O52" s="297"/>
      <c r="P52" s="38"/>
      <c r="Q52" s="72">
        <f>IFERROR(M41+M51,"")</f>
      </c>
      <c r="R52" s="38"/>
      <c r="S52" s="38"/>
      <c r="V52" s="101"/>
      <c r="W52" s="101"/>
    </row>
    <row r="53" spans="1:23" x14ac:dyDescent="0.4">
      <c r="A53" s="217" t="s">
        <v>27</v>
      </c>
      <c r="B53" s="338"/>
      <c r="C53" s="146" t="s">
        <v>49</v>
      </c>
      <c r="D53" s="322"/>
      <c r="E53" s="322"/>
      <c r="F53" s="322"/>
      <c r="G53" s="323"/>
      <c r="H53" s="146" t="s">
        <v>48</v>
      </c>
      <c r="I53" s="322"/>
      <c r="J53" s="322"/>
      <c r="K53" s="322"/>
      <c r="L53" s="322"/>
      <c r="M53" s="322"/>
      <c r="N53" s="339"/>
    </row>
    <row r="54" spans="1:23" ht="17.25" customHeight="1" x14ac:dyDescent="0.4">
      <c r="A54" s="228"/>
      <c r="B54" s="223"/>
      <c r="C54" s="230" t="s">
        <v>60</v>
      </c>
      <c r="D54" s="231"/>
      <c r="E54" s="231"/>
      <c r="F54" s="231"/>
      <c r="G54" s="232"/>
      <c r="H54" s="233" t="s">
        <v>61</v>
      </c>
      <c r="I54" s="234"/>
      <c r="J54" s="234"/>
      <c r="K54" s="234"/>
      <c r="L54" s="234"/>
      <c r="M54" s="234"/>
      <c r="N54" s="235"/>
    </row>
    <row r="55" spans="1:23" ht="17.25" customHeight="1" x14ac:dyDescent="0.4">
      <c r="A55" s="229"/>
      <c r="B55" s="225"/>
      <c r="C55" s="236" t="s">
        <v>64</v>
      </c>
      <c r="D55" s="237"/>
      <c r="E55" s="237"/>
      <c r="F55" s="237"/>
      <c r="G55" s="238"/>
      <c r="H55" s="239"/>
      <c r="I55" s="240"/>
      <c r="J55" s="240"/>
      <c r="K55" s="240"/>
      <c r="L55" s="240"/>
      <c r="M55" s="240"/>
      <c r="N55" s="241"/>
    </row>
    <row r="56" spans="1:23" ht="17.25" customHeight="1" x14ac:dyDescent="0.4">
      <c r="A56" s="229"/>
      <c r="B56" s="225"/>
      <c r="C56" s="236"/>
      <c r="D56" s="237"/>
      <c r="E56" s="237"/>
      <c r="F56" s="237"/>
      <c r="G56" s="238"/>
      <c r="H56" s="239"/>
      <c r="I56" s="240"/>
      <c r="J56" s="240"/>
      <c r="K56" s="240"/>
      <c r="L56" s="240"/>
      <c r="M56" s="240"/>
      <c r="N56" s="241"/>
    </row>
    <row r="57" spans="1:23" ht="16.5" customHeight="1" x14ac:dyDescent="0.4">
      <c r="A57" s="222" t="s">
        <v>37</v>
      </c>
      <c r="B57" s="223"/>
      <c r="C57" s="242"/>
      <c r="D57" s="243"/>
      <c r="E57" s="243"/>
      <c r="F57" s="243"/>
      <c r="G57" s="244"/>
      <c r="H57" s="242"/>
      <c r="I57" s="243"/>
      <c r="J57" s="243"/>
      <c r="K57" s="243"/>
      <c r="L57" s="243"/>
      <c r="M57" s="243"/>
      <c r="N57" s="251"/>
    </row>
    <row r="58" spans="1:23" ht="16.5" customHeight="1" x14ac:dyDescent="0.4">
      <c r="A58" s="224"/>
      <c r="B58" s="225"/>
      <c r="C58" s="245"/>
      <c r="D58" s="246"/>
      <c r="E58" s="246"/>
      <c r="F58" s="246"/>
      <c r="G58" s="247"/>
      <c r="H58" s="245"/>
      <c r="I58" s="246"/>
      <c r="J58" s="246"/>
      <c r="K58" s="246"/>
      <c r="L58" s="246"/>
      <c r="M58" s="246"/>
      <c r="N58" s="252"/>
    </row>
    <row r="59" spans="1:23" ht="16.5" customHeight="1" x14ac:dyDescent="0.4">
      <c r="A59" s="224"/>
      <c r="B59" s="225"/>
      <c r="C59" s="245"/>
      <c r="D59" s="246"/>
      <c r="E59" s="246"/>
      <c r="F59" s="246"/>
      <c r="G59" s="247"/>
      <c r="H59" s="245"/>
      <c r="I59" s="246"/>
      <c r="J59" s="246"/>
      <c r="K59" s="246"/>
      <c r="L59" s="246"/>
      <c r="M59" s="246"/>
      <c r="N59" s="252"/>
    </row>
    <row r="60" spans="1:23" ht="16.5" customHeight="1" x14ac:dyDescent="0.4">
      <c r="A60" s="224"/>
      <c r="B60" s="225"/>
      <c r="C60" s="245"/>
      <c r="D60" s="246"/>
      <c r="E60" s="246"/>
      <c r="F60" s="246"/>
      <c r="G60" s="247"/>
      <c r="H60" s="245"/>
      <c r="I60" s="246"/>
      <c r="J60" s="246"/>
      <c r="K60" s="246"/>
      <c r="L60" s="246"/>
      <c r="M60" s="246"/>
      <c r="N60" s="252"/>
    </row>
    <row r="61" spans="1:23" ht="16.5" customHeight="1" x14ac:dyDescent="0.4">
      <c r="A61" s="224"/>
      <c r="B61" s="225"/>
      <c r="C61" s="245"/>
      <c r="D61" s="246"/>
      <c r="E61" s="246"/>
      <c r="F61" s="246"/>
      <c r="G61" s="247"/>
      <c r="H61" s="245"/>
      <c r="I61" s="246"/>
      <c r="J61" s="246"/>
      <c r="K61" s="246"/>
      <c r="L61" s="246"/>
      <c r="M61" s="246"/>
      <c r="N61" s="252"/>
    </row>
    <row r="62" spans="1:23" ht="16.5" customHeight="1" x14ac:dyDescent="0.4">
      <c r="A62" s="224"/>
      <c r="B62" s="225"/>
      <c r="C62" s="245"/>
      <c r="D62" s="246"/>
      <c r="E62" s="246"/>
      <c r="F62" s="246"/>
      <c r="G62" s="247"/>
      <c r="H62" s="245"/>
      <c r="I62" s="246"/>
      <c r="J62" s="246"/>
      <c r="K62" s="246"/>
      <c r="L62" s="246"/>
      <c r="M62" s="246"/>
      <c r="N62" s="252"/>
    </row>
    <row r="63" spans="1:23" ht="16.5" customHeight="1" x14ac:dyDescent="0.4">
      <c r="A63" s="224"/>
      <c r="B63" s="225"/>
      <c r="C63" s="245"/>
      <c r="D63" s="246"/>
      <c r="E63" s="246"/>
      <c r="F63" s="246"/>
      <c r="G63" s="247"/>
      <c r="H63" s="245"/>
      <c r="I63" s="246"/>
      <c r="J63" s="246"/>
      <c r="K63" s="246"/>
      <c r="L63" s="246"/>
      <c r="M63" s="246"/>
      <c r="N63" s="252"/>
    </row>
    <row r="64" spans="1:23" ht="16.5" customHeight="1" x14ac:dyDescent="0.4">
      <c r="A64" s="224"/>
      <c r="B64" s="225"/>
      <c r="C64" s="245"/>
      <c r="D64" s="246"/>
      <c r="E64" s="246"/>
      <c r="F64" s="246"/>
      <c r="G64" s="247"/>
      <c r="H64" s="245"/>
      <c r="I64" s="246"/>
      <c r="J64" s="246"/>
      <c r="K64" s="246"/>
      <c r="L64" s="246"/>
      <c r="M64" s="246"/>
      <c r="N64" s="252"/>
    </row>
    <row r="65" spans="1:14" ht="18" thickBot="1" x14ac:dyDescent="0.45">
      <c r="A65" s="226"/>
      <c r="B65" s="227"/>
      <c r="C65" s="248"/>
      <c r="D65" s="249"/>
      <c r="E65" s="249"/>
      <c r="F65" s="249"/>
      <c r="G65" s="250"/>
      <c r="H65" s="248"/>
      <c r="I65" s="249"/>
      <c r="J65" s="249"/>
      <c r="K65" s="249"/>
      <c r="L65" s="249"/>
      <c r="M65" s="249"/>
      <c r="N65" s="253"/>
    </row>
  </sheetData>
  <mergeCells count="120">
    <mergeCell ref="A8:A9"/>
    <mergeCell ref="B8:B9"/>
    <mergeCell ref="C8:C9"/>
    <mergeCell ref="D8:D9"/>
    <mergeCell ref="F8:I8"/>
    <mergeCell ref="J8:M8"/>
    <mergeCell ref="H9:I9"/>
    <mergeCell ref="J9:K9"/>
    <mergeCell ref="A1:N1"/>
    <mergeCell ref="H3:J4"/>
    <mergeCell ref="L4:L6"/>
    <mergeCell ref="M4:M6"/>
    <mergeCell ref="N4:N6"/>
    <mergeCell ref="H5:J6"/>
    <mergeCell ref="A25:D25"/>
    <mergeCell ref="H25:I25"/>
    <mergeCell ref="J25:K25"/>
    <mergeCell ref="A10:A15"/>
    <mergeCell ref="H10:I10"/>
    <mergeCell ref="J10:K10"/>
    <mergeCell ref="H11:I11"/>
    <mergeCell ref="J11:K11"/>
    <mergeCell ref="H12:I12"/>
    <mergeCell ref="J12:K12"/>
    <mergeCell ref="H13:I13"/>
    <mergeCell ref="J13:K13"/>
    <mergeCell ref="H14:I14"/>
    <mergeCell ref="J14:K14"/>
    <mergeCell ref="H15:I15"/>
    <mergeCell ref="J15:K15"/>
    <mergeCell ref="H22:I22"/>
    <mergeCell ref="J22:K22"/>
    <mergeCell ref="H23:I23"/>
    <mergeCell ref="J23:K23"/>
    <mergeCell ref="H24:I24"/>
    <mergeCell ref="J24:K24"/>
    <mergeCell ref="A16:A24"/>
    <mergeCell ref="H19:I19"/>
    <mergeCell ref="J19:K19"/>
    <mergeCell ref="H20:I20"/>
    <mergeCell ref="J20:K20"/>
    <mergeCell ref="H21:I21"/>
    <mergeCell ref="J21:K21"/>
    <mergeCell ref="H16:I16"/>
    <mergeCell ref="J16:K16"/>
    <mergeCell ref="H17:I17"/>
    <mergeCell ref="J17:K17"/>
    <mergeCell ref="H18:I18"/>
    <mergeCell ref="J18:K18"/>
    <mergeCell ref="A28:C28"/>
    <mergeCell ref="J28:K28"/>
    <mergeCell ref="A29:C29"/>
    <mergeCell ref="J29:K29"/>
    <mergeCell ref="A30:C30"/>
    <mergeCell ref="J30:K30"/>
    <mergeCell ref="A27:C27"/>
    <mergeCell ref="G27:I27"/>
    <mergeCell ref="J27:K27"/>
    <mergeCell ref="A34:C34"/>
    <mergeCell ref="J34:K34"/>
    <mergeCell ref="A35:C35"/>
    <mergeCell ref="J35:K35"/>
    <mergeCell ref="A36:C36"/>
    <mergeCell ref="J36:K36"/>
    <mergeCell ref="A31:C31"/>
    <mergeCell ref="J31:K31"/>
    <mergeCell ref="A32:C32"/>
    <mergeCell ref="J32:K32"/>
    <mergeCell ref="A33:C33"/>
    <mergeCell ref="J33:K33"/>
    <mergeCell ref="A40:C40"/>
    <mergeCell ref="A41:C41"/>
    <mergeCell ref="G41:I41"/>
    <mergeCell ref="J41:K41"/>
    <mergeCell ref="A43:C43"/>
    <mergeCell ref="G43:I43"/>
    <mergeCell ref="J43:K43"/>
    <mergeCell ref="A37:C37"/>
    <mergeCell ref="J37:K37"/>
    <mergeCell ref="A38:C38"/>
    <mergeCell ref="J38:K38"/>
    <mergeCell ref="A39:C39"/>
    <mergeCell ref="J39:K39"/>
    <mergeCell ref="A46:C46"/>
    <mergeCell ref="G46:I46"/>
    <mergeCell ref="J46:K46"/>
    <mergeCell ref="A47:C47"/>
    <mergeCell ref="G47:I47"/>
    <mergeCell ref="J47:K47"/>
    <mergeCell ref="A44:C44"/>
    <mergeCell ref="G44:I44"/>
    <mergeCell ref="J44:K44"/>
    <mergeCell ref="A45:C45"/>
    <mergeCell ref="G45:I45"/>
    <mergeCell ref="J45:K45"/>
    <mergeCell ref="A50:C50"/>
    <mergeCell ref="G50:H50"/>
    <mergeCell ref="J50:K50"/>
    <mergeCell ref="A51:C51"/>
    <mergeCell ref="G51:I51"/>
    <mergeCell ref="J51:K51"/>
    <mergeCell ref="A48:C48"/>
    <mergeCell ref="G48:I48"/>
    <mergeCell ref="J48:K48"/>
    <mergeCell ref="A49:C49"/>
    <mergeCell ref="G49:I49"/>
    <mergeCell ref="J49:K49"/>
    <mergeCell ref="A54:B56"/>
    <mergeCell ref="A57:B65"/>
    <mergeCell ref="C55:G55"/>
    <mergeCell ref="H55:N55"/>
    <mergeCell ref="C56:G56"/>
    <mergeCell ref="H56:N56"/>
    <mergeCell ref="A53:B53"/>
    <mergeCell ref="C53:G53"/>
    <mergeCell ref="H53:N53"/>
    <mergeCell ref="C54:G54"/>
    <mergeCell ref="H54:N54"/>
    <mergeCell ref="C57:G65"/>
    <mergeCell ref="H57:N65"/>
  </mergeCells>
  <phoneticPr fontId="13" type="noConversion"/>
  <printOptions horizontalCentered="1" verticalCentered="1"/>
  <pageMargins left="0.19666667282581329" right="0.19666667282581329" top="0.74750000238418579" bottom="0.55097222328186035" header="0.31486111879348755" footer="0.31486111879348755"/>
  <pageSetup paperSize="9" scale="58" orientation="portrait" r:id="rId1"/>
  <rowBreaks count="1" manualBreakCount="1">
    <brk id="45" max="1048575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5"/>
  <sheetViews>
    <sheetView showGridLines="0" zoomScale="85" zoomScaleNormal="85" zoomScaleSheetLayoutView="70" workbookViewId="0">
      <selection activeCell="W15" sqref="W15"/>
    </sheetView>
  </sheetViews>
  <sheetFormatPr defaultColWidth="9" defaultRowHeight="19.2" x14ac:dyDescent="0.4"/>
  <cols>
    <col min="1" max="1" width="8.59765625" style="94" customWidth="1"/>
    <col min="2" max="2" width="16.69921875" style="94" customWidth="1"/>
    <col min="3" max="3" width="6" style="94" customWidth="1"/>
    <col min="4" max="4" width="13" style="94" customWidth="1"/>
    <col min="5" max="5" width="11.3984375" style="94" customWidth="1"/>
    <col min="6" max="6" width="12.8984375" style="95" customWidth="1"/>
    <col min="7" max="7" width="11.69921875" style="95" customWidth="1"/>
    <col min="8" max="8" width="6.69921875" style="95" customWidth="1"/>
    <col min="9" max="9" width="6.19921875" style="95" customWidth="1"/>
    <col min="10" max="10" width="5" style="95" customWidth="1"/>
    <col min="11" max="11" width="5.59765625" style="94" customWidth="1"/>
    <col min="12" max="13" width="10.59765625" style="94" customWidth="1"/>
    <col min="14" max="14" width="13.5" style="96" customWidth="1"/>
    <col min="15" max="15" width="17.69921875" style="1" hidden="1" customWidth="1"/>
    <col min="16" max="19" width="12.69921875" style="2" hidden="1" customWidth="1"/>
    <col min="20" max="20" width="10.19921875" style="2" customWidth="1"/>
    <col min="21" max="21" width="9" style="2" customWidth="1"/>
    <col min="22" max="22" width="10.8984375" style="97" customWidth="1"/>
    <col min="23" max="23" width="10" style="97" bestFit="1" customWidth="1"/>
    <col min="24" max="24" width="10.8984375" style="2" bestFit="1" customWidth="1"/>
    <col min="25" max="25" width="14.19921875" style="2" bestFit="1" customWidth="1"/>
    <col min="26" max="16384" width="9" style="2"/>
  </cols>
  <sheetData>
    <row r="1" spans="1:23" ht="40.200000000000003" x14ac:dyDescent="0.4">
      <c r="A1" s="156" t="s">
        <v>40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23" ht="21" thickBot="1" x14ac:dyDescent="0.45">
      <c r="A2" s="3"/>
      <c r="B2" s="3"/>
      <c r="C2" s="3"/>
      <c r="D2" s="3"/>
      <c r="E2" s="3"/>
      <c r="F2" s="4"/>
      <c r="G2" s="4"/>
      <c r="H2" s="4"/>
      <c r="I2" s="4"/>
      <c r="J2" s="4"/>
      <c r="K2" s="3"/>
      <c r="L2" s="3"/>
      <c r="M2" s="3"/>
      <c r="N2" s="5"/>
    </row>
    <row r="3" spans="1:23" ht="21" customHeight="1" x14ac:dyDescent="0.4">
      <c r="A3" s="6"/>
      <c r="B3" s="6"/>
      <c r="C3" s="7"/>
      <c r="D3" s="3"/>
      <c r="E3" s="3"/>
      <c r="F3" s="4"/>
      <c r="G3" s="4"/>
      <c r="H3" s="157" t="s">
        <v>42</v>
      </c>
      <c r="I3" s="158"/>
      <c r="J3" s="159"/>
      <c r="K3" s="8" t="s">
        <v>9</v>
      </c>
      <c r="L3" s="9" t="s">
        <v>18</v>
      </c>
      <c r="M3" s="9" t="s">
        <v>5</v>
      </c>
      <c r="N3" s="10" t="s">
        <v>0</v>
      </c>
    </row>
    <row r="4" spans="1:23" ht="21" customHeight="1" thickBot="1" x14ac:dyDescent="0.45">
      <c r="A4" s="6"/>
      <c r="B4" s="6"/>
      <c r="C4" s="7"/>
      <c r="D4" s="3"/>
      <c r="E4" s="3"/>
      <c r="F4" s="4"/>
      <c r="G4" s="4"/>
      <c r="H4" s="160"/>
      <c r="I4" s="161"/>
      <c r="J4" s="162"/>
      <c r="K4" s="11" t="s">
        <v>24</v>
      </c>
      <c r="L4" s="163"/>
      <c r="M4" s="166" t="s">
        <v>15</v>
      </c>
      <c r="N4" s="169"/>
    </row>
    <row r="5" spans="1:23" ht="21" customHeight="1" x14ac:dyDescent="0.4">
      <c r="A5" s="6"/>
      <c r="B5" s="6"/>
      <c r="C5" s="7"/>
      <c r="D5" s="3"/>
      <c r="E5" s="3"/>
      <c r="F5" s="4"/>
      <c r="G5" s="4"/>
      <c r="H5" s="172" t="s">
        <v>69</v>
      </c>
      <c r="I5" s="173"/>
      <c r="J5" s="174"/>
      <c r="K5" s="11" t="s">
        <v>8</v>
      </c>
      <c r="L5" s="164"/>
      <c r="M5" s="167"/>
      <c r="N5" s="170"/>
    </row>
    <row r="6" spans="1:23" ht="21" customHeight="1" thickBot="1" x14ac:dyDescent="0.45">
      <c r="A6" s="267"/>
      <c r="B6" s="268"/>
      <c r="C6" s="269"/>
      <c r="D6" s="269"/>
      <c r="E6" s="269"/>
      <c r="F6" s="270"/>
      <c r="G6" s="4"/>
      <c r="H6" s="175"/>
      <c r="I6" s="176"/>
      <c r="J6" s="177"/>
      <c r="K6" s="16" t="s">
        <v>9</v>
      </c>
      <c r="L6" s="165"/>
      <c r="M6" s="168"/>
      <c r="N6" s="171"/>
      <c r="O6" s="271"/>
    </row>
    <row r="7" spans="1:23" ht="21" customHeight="1" thickBot="1" x14ac:dyDescent="0.45">
      <c r="A7" s="18" t="s">
        <v>25</v>
      </c>
      <c r="B7" s="19"/>
      <c r="C7" s="20"/>
      <c r="D7" s="20"/>
      <c r="E7" s="20"/>
      <c r="F7" s="21"/>
      <c r="G7" s="21"/>
      <c r="H7" s="21"/>
      <c r="I7" s="21"/>
      <c r="J7" s="21"/>
      <c r="K7" s="20"/>
      <c r="L7" s="20"/>
      <c r="M7" s="20"/>
      <c r="N7" s="22"/>
      <c r="O7" s="271"/>
    </row>
    <row r="8" spans="1:23" ht="21.75" customHeight="1" x14ac:dyDescent="0.4">
      <c r="A8" s="142" t="s">
        <v>3</v>
      </c>
      <c r="B8" s="144" t="s">
        <v>39</v>
      </c>
      <c r="C8" s="144" t="s">
        <v>22</v>
      </c>
      <c r="D8" s="144" t="s">
        <v>2</v>
      </c>
      <c r="E8" s="23" t="s">
        <v>16</v>
      </c>
      <c r="F8" s="146" t="s">
        <v>30</v>
      </c>
      <c r="G8" s="322"/>
      <c r="H8" s="322"/>
      <c r="I8" s="323"/>
      <c r="J8" s="149" t="s">
        <v>32</v>
      </c>
      <c r="K8" s="325"/>
      <c r="L8" s="325"/>
      <c r="M8" s="326"/>
      <c r="N8" s="24" t="s">
        <v>7</v>
      </c>
      <c r="O8" s="271"/>
    </row>
    <row r="9" spans="1:23" ht="21.75" customHeight="1" x14ac:dyDescent="0.4">
      <c r="A9" s="318"/>
      <c r="B9" s="320"/>
      <c r="C9" s="320"/>
      <c r="D9" s="320"/>
      <c r="E9" s="124" t="s">
        <v>11</v>
      </c>
      <c r="F9" s="25" t="s">
        <v>1</v>
      </c>
      <c r="G9" s="25" t="s">
        <v>13</v>
      </c>
      <c r="H9" s="152" t="s">
        <v>21</v>
      </c>
      <c r="I9" s="328"/>
      <c r="J9" s="154" t="s">
        <v>1</v>
      </c>
      <c r="K9" s="330"/>
      <c r="L9" s="26" t="s">
        <v>13</v>
      </c>
      <c r="M9" s="26" t="s">
        <v>21</v>
      </c>
      <c r="N9" s="27" t="s">
        <v>11</v>
      </c>
      <c r="O9" s="271"/>
    </row>
    <row r="10" spans="1:23" s="38" customFormat="1" ht="21.75" customHeight="1" x14ac:dyDescent="0.4">
      <c r="A10" s="185" t="s">
        <v>10</v>
      </c>
      <c r="B10" s="28" t="str">
        <f>IFERROR('0819'!B10,"")</f>
        <v>토공사</v>
      </c>
      <c r="C10" s="28" t="str">
        <f>IFERROR('0819'!C10,"")</f>
        <v>%</v>
      </c>
      <c r="D10" s="134">
        <f>IFERROR('0819'!D10,"")</f>
      </c>
      <c r="E10" s="311"/>
      <c r="F10" s="32">
        <f>IFERROR(SUM('0820'!H10:I10),"")</f>
      </c>
      <c r="G10" s="281"/>
      <c r="H10" s="187">
        <f t="shared" ref="H10:H24" si="0">IFERROR(G10+F10,"")</f>
      </c>
      <c r="I10" s="188"/>
      <c r="J10" s="189">
        <f t="shared" ref="J10:J15" si="1">IFERROR(F10/D10*E10,"")</f>
      </c>
      <c r="K10" s="190"/>
      <c r="L10" s="34">
        <f t="shared" ref="L10:L15" si="2">IFERROR((G10/D10)*E10,"")</f>
      </c>
      <c r="M10" s="35">
        <f t="shared" ref="M10:M15" si="3">IFERROR(J10+L10,"")</f>
      </c>
      <c r="N10" s="36">
        <f t="shared" ref="N10:N15" si="4">IFERROR(M10,"")</f>
      </c>
      <c r="O10" s="284"/>
      <c r="U10" s="140">
        <f>IFERROR(SUM(D10:D15),"")</f>
      </c>
      <c r="V10" s="98"/>
      <c r="W10" s="98"/>
    </row>
    <row r="11" spans="1:23" s="38" customFormat="1" ht="21.75" customHeight="1" x14ac:dyDescent="0.4">
      <c r="A11" s="186"/>
      <c r="B11" s="28" t="str">
        <f>IFERROR('0819'!B11,"")</f>
        <v>배수공사</v>
      </c>
      <c r="C11" s="28">
        <f>IFERROR('0819'!C11,"")</f>
      </c>
      <c r="D11" s="134">
        <f>IFERROR('0819'!D11,"")</f>
      </c>
      <c r="E11" s="129"/>
      <c r="F11" s="32">
        <f>IFERROR(SUM('0820'!H11:I11),"")</f>
      </c>
      <c r="G11" s="40"/>
      <c r="H11" s="187">
        <f t="shared" si="0"/>
      </c>
      <c r="I11" s="188"/>
      <c r="J11" s="189">
        <f t="shared" si="1"/>
      </c>
      <c r="K11" s="190"/>
      <c r="L11" s="34">
        <f t="shared" si="2"/>
      </c>
      <c r="M11" s="35">
        <f t="shared" si="3"/>
      </c>
      <c r="N11" s="36">
        <f t="shared" si="4"/>
      </c>
      <c r="O11" s="284"/>
      <c r="U11" s="141">
        <f>IFERROR(E10/U10*1005,"")</f>
      </c>
      <c r="V11" s="98"/>
      <c r="W11" s="98"/>
    </row>
    <row r="12" spans="1:23" s="38" customFormat="1" ht="21.75" customHeight="1" x14ac:dyDescent="0.4">
      <c r="A12" s="186"/>
      <c r="B12" s="28" t="str">
        <f>IFERROR('0819'!B12,"")</f>
        <v>1. 측구공</v>
      </c>
      <c r="C12" s="28" t="str">
        <f>IFERROR('0819'!C12,"")</f>
        <v>%</v>
      </c>
      <c r="D12" s="134">
        <f>IFERROR('0819'!D12,"")</f>
      </c>
      <c r="E12" s="129"/>
      <c r="F12" s="32">
        <f>IFERROR(SUM('0820'!H12:I12),"")</f>
      </c>
      <c r="G12" s="40"/>
      <c r="H12" s="187">
        <f t="shared" si="0"/>
      </c>
      <c r="I12" s="188"/>
      <c r="J12" s="189">
        <f t="shared" si="1"/>
      </c>
      <c r="K12" s="190"/>
      <c r="L12" s="34">
        <f t="shared" si="2"/>
      </c>
      <c r="M12" s="35">
        <f t="shared" si="3"/>
      </c>
      <c r="N12" s="36">
        <f t="shared" si="4"/>
      </c>
      <c r="O12" s="284"/>
      <c r="U12" s="38">
        <f>IFERROR(U11*100,"")</f>
      </c>
      <c r="V12" s="98"/>
      <c r="W12" s="98"/>
    </row>
    <row r="13" spans="1:23" s="38" customFormat="1" ht="21.75" customHeight="1" x14ac:dyDescent="0.4">
      <c r="A13" s="186"/>
      <c r="B13" s="28" t="str">
        <f>IFERROR('0819'!B13,"")</f>
        <v>2. 옹벽공</v>
      </c>
      <c r="C13" s="28" t="str">
        <f>IFERROR('0819'!C13,"")</f>
        <v>%</v>
      </c>
      <c r="D13" s="134">
        <f>IFERROR('0819'!D13,"")</f>
      </c>
      <c r="E13" s="313"/>
      <c r="F13" s="32">
        <f>IFERROR(SUM('0820'!H13:I13),"")</f>
      </c>
      <c r="G13" s="281"/>
      <c r="H13" s="187">
        <f t="shared" si="0"/>
      </c>
      <c r="I13" s="188"/>
      <c r="J13" s="189">
        <f t="shared" si="1"/>
      </c>
      <c r="K13" s="190"/>
      <c r="L13" s="34">
        <f t="shared" si="2"/>
      </c>
      <c r="M13" s="35">
        <f t="shared" si="3"/>
      </c>
      <c r="N13" s="36">
        <f t="shared" si="4"/>
      </c>
      <c r="O13" s="285"/>
      <c r="V13" s="98"/>
      <c r="W13" s="98"/>
    </row>
    <row r="14" spans="1:23" s="42" customFormat="1" ht="21.75" customHeight="1" x14ac:dyDescent="0.4">
      <c r="A14" s="186"/>
      <c r="B14" s="28" t="str">
        <f>IFERROR('0819'!B14,"")</f>
        <v>3. J형개거</v>
      </c>
      <c r="C14" s="28" t="str">
        <f>IFERROR('0819'!C14,"")</f>
        <v>%</v>
      </c>
      <c r="D14" s="134">
        <f>IFERROR('0819'!D14,"")</f>
      </c>
      <c r="E14" s="313"/>
      <c r="F14" s="32">
        <f>IFERROR(SUM('0820'!H14:I14),"")</f>
      </c>
      <c r="G14" s="281"/>
      <c r="H14" s="187">
        <f t="shared" si="0"/>
      </c>
      <c r="I14" s="188"/>
      <c r="J14" s="189">
        <f t="shared" si="1"/>
      </c>
      <c r="K14" s="190"/>
      <c r="L14" s="34">
        <f t="shared" si="2"/>
      </c>
      <c r="M14" s="35">
        <f t="shared" si="3"/>
      </c>
      <c r="N14" s="36">
        <f t="shared" si="4"/>
      </c>
      <c r="O14" s="285"/>
      <c r="V14" s="305"/>
      <c r="W14" s="305"/>
    </row>
    <row r="15" spans="1:23" s="42" customFormat="1" ht="21.75" customHeight="1" x14ac:dyDescent="0.4">
      <c r="A15" s="186"/>
      <c r="B15" s="28" t="str">
        <f>IFERROR('0819'!B15,"")</f>
        <v>포장공</v>
      </c>
      <c r="C15" s="28" t="str">
        <f>IFERROR('0819'!C15,"")</f>
        <v>%</v>
      </c>
      <c r="D15" s="134">
        <f>IFERROR('0819'!D15,"")</f>
      </c>
      <c r="E15" s="280"/>
      <c r="F15" s="32">
        <f>IFERROR(SUM('0820'!H15:I15),"")</f>
      </c>
      <c r="G15" s="281"/>
      <c r="H15" s="187">
        <f t="shared" si="0"/>
      </c>
      <c r="I15" s="188"/>
      <c r="J15" s="189">
        <f t="shared" si="1"/>
      </c>
      <c r="K15" s="190"/>
      <c r="L15" s="34">
        <f t="shared" si="2"/>
      </c>
      <c r="M15" s="35">
        <f t="shared" si="3"/>
      </c>
      <c r="N15" s="36">
        <f t="shared" si="4"/>
      </c>
      <c r="O15" s="285"/>
      <c r="V15" s="305"/>
      <c r="W15" s="305"/>
    </row>
    <row r="16" spans="1:23" s="42" customFormat="1" ht="21.75" customHeight="1" x14ac:dyDescent="0.4">
      <c r="A16" s="185"/>
      <c r="B16" s="277"/>
      <c r="C16" s="278"/>
      <c r="D16" s="279"/>
      <c r="E16" s="280"/>
      <c r="F16" s="281"/>
      <c r="G16" s="281"/>
      <c r="H16" s="187">
        <f t="shared" si="0"/>
      </c>
      <c r="I16" s="188"/>
      <c r="J16" s="189"/>
      <c r="K16" s="190"/>
      <c r="L16" s="34"/>
      <c r="M16" s="282"/>
      <c r="N16" s="283"/>
      <c r="O16" s="285"/>
      <c r="V16" s="305"/>
      <c r="W16" s="305"/>
    </row>
    <row r="17" spans="1:25" s="42" customFormat="1" ht="21.75" customHeight="1" x14ac:dyDescent="0.4">
      <c r="A17" s="186"/>
      <c r="B17" s="277"/>
      <c r="C17" s="278"/>
      <c r="D17" s="279"/>
      <c r="E17" s="280"/>
      <c r="F17" s="281"/>
      <c r="G17" s="281"/>
      <c r="H17" s="187">
        <f t="shared" si="0"/>
      </c>
      <c r="I17" s="188"/>
      <c r="J17" s="189"/>
      <c r="K17" s="190"/>
      <c r="L17" s="34"/>
      <c r="M17" s="282"/>
      <c r="N17" s="283"/>
      <c r="O17" s="285"/>
      <c r="V17" s="305"/>
      <c r="W17" s="305"/>
    </row>
    <row r="18" spans="1:25" s="42" customFormat="1" ht="21.75" customHeight="1" x14ac:dyDescent="0.4">
      <c r="A18" s="186"/>
      <c r="B18" s="277"/>
      <c r="C18" s="278"/>
      <c r="D18" s="279"/>
      <c r="E18" s="280"/>
      <c r="F18" s="281"/>
      <c r="G18" s="281"/>
      <c r="H18" s="187">
        <f t="shared" si="0"/>
      </c>
      <c r="I18" s="188"/>
      <c r="J18" s="189"/>
      <c r="K18" s="190"/>
      <c r="L18" s="34"/>
      <c r="M18" s="282"/>
      <c r="N18" s="283"/>
      <c r="O18" s="285"/>
      <c r="V18" s="305"/>
      <c r="W18" s="305"/>
      <c r="Y18" s="306"/>
    </row>
    <row r="19" spans="1:25" s="42" customFormat="1" ht="21.75" customHeight="1" x14ac:dyDescent="0.4">
      <c r="A19" s="186"/>
      <c r="B19" s="277"/>
      <c r="C19" s="278"/>
      <c r="D19" s="279"/>
      <c r="E19" s="280"/>
      <c r="F19" s="281"/>
      <c r="G19" s="281"/>
      <c r="H19" s="187">
        <f t="shared" si="0"/>
      </c>
      <c r="I19" s="188"/>
      <c r="J19" s="189"/>
      <c r="K19" s="190"/>
      <c r="L19" s="34"/>
      <c r="M19" s="282"/>
      <c r="N19" s="283"/>
      <c r="O19" s="285"/>
      <c r="V19" s="305"/>
      <c r="W19" s="305"/>
      <c r="Y19" s="305"/>
    </row>
    <row r="20" spans="1:25" s="42" customFormat="1" ht="21.75" customHeight="1" x14ac:dyDescent="0.4">
      <c r="A20" s="186"/>
      <c r="B20" s="277"/>
      <c r="C20" s="278"/>
      <c r="D20" s="279"/>
      <c r="E20" s="280"/>
      <c r="F20" s="281"/>
      <c r="G20" s="281"/>
      <c r="H20" s="187">
        <f t="shared" si="0"/>
      </c>
      <c r="I20" s="188"/>
      <c r="J20" s="189"/>
      <c r="K20" s="190"/>
      <c r="L20" s="34"/>
      <c r="M20" s="282"/>
      <c r="N20" s="283"/>
      <c r="O20" s="285"/>
      <c r="V20" s="305"/>
      <c r="W20" s="305"/>
    </row>
    <row r="21" spans="1:25" s="42" customFormat="1" ht="21.75" customHeight="1" x14ac:dyDescent="0.4">
      <c r="A21" s="186"/>
      <c r="B21" s="277"/>
      <c r="C21" s="278"/>
      <c r="D21" s="279"/>
      <c r="E21" s="280"/>
      <c r="F21" s="281"/>
      <c r="G21" s="281"/>
      <c r="H21" s="187">
        <f t="shared" si="0"/>
      </c>
      <c r="I21" s="188"/>
      <c r="J21" s="189"/>
      <c r="K21" s="190"/>
      <c r="L21" s="34"/>
      <c r="M21" s="282"/>
      <c r="N21" s="283"/>
      <c r="O21" s="285"/>
      <c r="V21" s="305"/>
      <c r="W21" s="305"/>
      <c r="Y21" s="306"/>
    </row>
    <row r="22" spans="1:25" s="42" customFormat="1" ht="21.75" customHeight="1" x14ac:dyDescent="0.4">
      <c r="A22" s="186"/>
      <c r="B22" s="277"/>
      <c r="C22" s="278"/>
      <c r="D22" s="279"/>
      <c r="E22" s="280"/>
      <c r="F22" s="281"/>
      <c r="G22" s="281"/>
      <c r="H22" s="187">
        <f t="shared" si="0"/>
      </c>
      <c r="I22" s="188"/>
      <c r="J22" s="189"/>
      <c r="K22" s="190"/>
      <c r="L22" s="34"/>
      <c r="M22" s="282"/>
      <c r="N22" s="283"/>
      <c r="O22" s="285"/>
      <c r="V22" s="305"/>
      <c r="W22" s="305"/>
      <c r="Y22" s="305"/>
    </row>
    <row r="23" spans="1:25" s="42" customFormat="1" ht="21.75" customHeight="1" x14ac:dyDescent="0.4">
      <c r="A23" s="186"/>
      <c r="B23" s="277"/>
      <c r="C23" s="278"/>
      <c r="D23" s="279"/>
      <c r="E23" s="280"/>
      <c r="F23" s="281"/>
      <c r="G23" s="281"/>
      <c r="H23" s="187">
        <f t="shared" si="0"/>
      </c>
      <c r="I23" s="188"/>
      <c r="J23" s="189"/>
      <c r="K23" s="190"/>
      <c r="L23" s="34"/>
      <c r="M23" s="282"/>
      <c r="N23" s="283"/>
      <c r="O23" s="285"/>
      <c r="V23" s="305"/>
      <c r="W23" s="305"/>
    </row>
    <row r="24" spans="1:25" s="42" customFormat="1" ht="21.75" customHeight="1" x14ac:dyDescent="0.4">
      <c r="A24" s="193"/>
      <c r="B24" s="277"/>
      <c r="C24" s="278"/>
      <c r="D24" s="279"/>
      <c r="E24" s="280"/>
      <c r="F24" s="281"/>
      <c r="G24" s="281"/>
      <c r="H24" s="187">
        <f t="shared" si="0"/>
      </c>
      <c r="I24" s="188"/>
      <c r="J24" s="189"/>
      <c r="K24" s="190"/>
      <c r="L24" s="34"/>
      <c r="M24" s="282"/>
      <c r="N24" s="283"/>
      <c r="O24" s="285"/>
      <c r="V24" s="305"/>
      <c r="W24" s="305"/>
    </row>
    <row r="25" spans="1:25" s="38" customFormat="1" ht="21.75" customHeight="1" thickBot="1" x14ac:dyDescent="0.45">
      <c r="A25" s="178" t="s">
        <v>26</v>
      </c>
      <c r="B25" s="179"/>
      <c r="C25" s="179"/>
      <c r="D25" s="180"/>
      <c r="E25" s="49">
        <f>IFERROR(SUM(E10:E24),"")</f>
      </c>
      <c r="F25" s="50"/>
      <c r="G25" s="50"/>
      <c r="H25" s="181"/>
      <c r="I25" s="182"/>
      <c r="J25" s="183">
        <f>IFERROR(SUM(J10:K24),"")</f>
      </c>
      <c r="K25" s="184">
        <f>IFERROR(SUM(#REF!),"")</f>
      </c>
      <c r="L25" s="122">
        <f>IFERROR(SUM(L10:L24),"")</f>
      </c>
      <c r="M25" s="122">
        <f>IFERROR(SUM(M10:M24),"")</f>
      </c>
      <c r="N25" s="51">
        <f>IFERROR(SUM(N10:N24),"")</f>
      </c>
      <c r="O25" s="292"/>
      <c r="V25" s="98"/>
      <c r="W25" s="98"/>
    </row>
    <row r="26" spans="1:25" s="60" customFormat="1" ht="21.75" customHeight="1" thickBot="1" x14ac:dyDescent="0.45">
      <c r="A26" s="18" t="s">
        <v>31</v>
      </c>
      <c r="B26" s="53"/>
      <c r="C26" s="54"/>
      <c r="D26" s="54"/>
      <c r="E26" s="55"/>
      <c r="F26" s="56"/>
      <c r="G26" s="56"/>
      <c r="H26" s="56"/>
      <c r="I26" s="56"/>
      <c r="J26" s="56"/>
      <c r="K26" s="57"/>
      <c r="L26" s="57"/>
      <c r="M26" s="57"/>
      <c r="N26" s="58" t="inlineStr">
        <is>
          <t xml:space="preserve">(단위: </t>
        </is>
      </c>
      <c r="O26" s="293"/>
      <c r="V26" s="101"/>
      <c r="W26" s="101"/>
    </row>
    <row r="27" spans="1:25" s="60" customFormat="1" ht="21.75" customHeight="1" x14ac:dyDescent="0.4">
      <c r="A27" s="191" t="s">
        <v>33</v>
      </c>
      <c r="B27" s="325"/>
      <c r="C27" s="326"/>
      <c r="D27" s="23" t="s">
        <v>36</v>
      </c>
      <c r="E27" s="23" t="s">
        <v>13</v>
      </c>
      <c r="F27" s="61" t="s">
        <v>21</v>
      </c>
      <c r="G27" s="192" t="s">
        <v>33</v>
      </c>
      <c r="H27" s="322"/>
      <c r="I27" s="323"/>
      <c r="J27" s="149" t="s">
        <v>36</v>
      </c>
      <c r="K27" s="326"/>
      <c r="L27" s="23" t="s">
        <v>13</v>
      </c>
      <c r="M27" s="23" t="s">
        <v>21</v>
      </c>
      <c r="N27" s="62" t="s">
        <v>4</v>
      </c>
      <c r="O27" s="296"/>
      <c r="Q27" s="64" t="s">
        <v>19</v>
      </c>
      <c r="R27" s="64" t="s">
        <v>23</v>
      </c>
      <c r="S27" s="65" t="s">
        <v>17</v>
      </c>
      <c r="V27" s="101"/>
      <c r="W27" s="101"/>
    </row>
    <row r="28" spans="1:25" s="38" customFormat="1" ht="21.75" customHeight="1" x14ac:dyDescent="0.4">
      <c r="A28" s="195" t="str">
        <f>IFERROR('0819'!A29:C29,"")</f>
        <v>배관공</v>
      </c>
      <c r="B28" s="196"/>
      <c r="C28" s="197"/>
      <c r="D28" s="66">
        <f>IFERROR('0820'!F28,"")</f>
      </c>
      <c r="E28" s="67"/>
      <c r="F28" s="68">
        <f>IFERROR(D28+E28,"")</f>
      </c>
      <c r="G28" s="119"/>
      <c r="H28" s="120"/>
      <c r="I28" s="121"/>
      <c r="J28" s="198"/>
      <c r="K28" s="199"/>
      <c r="L28" s="107"/>
      <c r="M28" s="66"/>
      <c r="N28" s="69"/>
      <c r="O28" s="292"/>
      <c r="P28" s="292"/>
      <c r="Q28" s="102">
        <f>IFERROR(3+2+6,"")</f>
      </c>
      <c r="R28" s="102"/>
      <c r="S28" s="102">
        <f t="shared" ref="S28:S37" si="5">IFERROR(SUM(Q28:R28),"")</f>
      </c>
      <c r="V28" s="98"/>
      <c r="W28" s="98"/>
    </row>
    <row r="29" spans="1:25" s="38" customFormat="1" ht="21.75" customHeight="1" x14ac:dyDescent="0.4">
      <c r="A29" s="195" t="str">
        <f>IFERROR('0819'!A30:C30,"")</f>
        <v>신호수</v>
      </c>
      <c r="B29" s="196"/>
      <c r="C29" s="197"/>
      <c r="D29" s="66">
        <f>IFERROR('0820'!F29,"")</f>
      </c>
      <c r="E29" s="67"/>
      <c r="F29" s="68">
        <f t="shared" ref="F29:F40" si="6">IFERROR(D29+E29,"")</f>
      </c>
      <c r="G29" s="119"/>
      <c r="H29" s="120"/>
      <c r="I29" s="121"/>
      <c r="J29" s="198"/>
      <c r="K29" s="199"/>
      <c r="L29" s="70"/>
      <c r="M29" s="66"/>
      <c r="N29" s="71"/>
      <c r="O29" s="292"/>
      <c r="P29" s="292"/>
      <c r="Q29" s="102">
        <f>IFERROR(4+4+3+2+13+23+1,"")</f>
      </c>
      <c r="R29" s="102">
        <f>IFERROR(1+2+1+1,"")</f>
      </c>
      <c r="S29" s="102">
        <f t="shared" si="5"/>
      </c>
      <c r="V29" s="98"/>
      <c r="W29" s="98"/>
    </row>
    <row r="30" spans="1:25" s="38" customFormat="1" ht="21.75" customHeight="1" x14ac:dyDescent="0.4">
      <c r="A30" s="195"/>
      <c r="B30" s="196"/>
      <c r="C30" s="197"/>
      <c r="D30" s="66">
        <f>IFERROR('0820'!F30,"")</f>
      </c>
      <c r="E30" s="67"/>
      <c r="F30" s="68">
        <f t="shared" si="6"/>
      </c>
      <c r="G30" s="119"/>
      <c r="H30" s="120"/>
      <c r="I30" s="121"/>
      <c r="J30" s="198"/>
      <c r="K30" s="199"/>
      <c r="L30" s="107"/>
      <c r="M30" s="66"/>
      <c r="N30" s="69"/>
      <c r="O30" s="292"/>
      <c r="P30" s="292"/>
      <c r="Q30" s="102"/>
      <c r="R30" s="102"/>
      <c r="S30" s="102">
        <f t="shared" si="5"/>
      </c>
      <c r="V30" s="98"/>
      <c r="W30" s="98"/>
      <c r="X30" s="72"/>
    </row>
    <row r="31" spans="1:25" s="38" customFormat="1" ht="21.75" customHeight="1" x14ac:dyDescent="0.4">
      <c r="A31" s="195"/>
      <c r="B31" s="196"/>
      <c r="C31" s="197"/>
      <c r="D31" s="66">
        <f>IFERROR('0820'!F31,"")</f>
      </c>
      <c r="E31" s="67"/>
      <c r="F31" s="68">
        <f t="shared" si="6"/>
      </c>
      <c r="G31" s="119"/>
      <c r="H31" s="120"/>
      <c r="I31" s="121"/>
      <c r="J31" s="198"/>
      <c r="K31" s="199"/>
      <c r="L31" s="107"/>
      <c r="M31" s="66"/>
      <c r="N31" s="71"/>
      <c r="O31" s="292"/>
      <c r="P31" s="292"/>
      <c r="Q31" s="102">
        <f>IFERROR(3+3+3+26+13,"")</f>
      </c>
      <c r="R31" s="102">
        <f>IFERROR(3+1+1+1+2+3,"")</f>
      </c>
      <c r="S31" s="102">
        <f t="shared" si="5"/>
      </c>
      <c r="V31" s="98"/>
      <c r="W31" s="98"/>
    </row>
    <row r="32" spans="1:25" s="38" customFormat="1" ht="21.75" customHeight="1" x14ac:dyDescent="0.4">
      <c r="A32" s="195" t="s">
        <v>63</v>
      </c>
      <c r="B32" s="196"/>
      <c r="C32" s="197"/>
      <c r="D32" s="66">
        <f>IFERROR('0820'!F32,"")</f>
      </c>
      <c r="E32" s="67"/>
      <c r="F32" s="68">
        <f t="shared" si="6"/>
      </c>
      <c r="G32" s="119"/>
      <c r="H32" s="120"/>
      <c r="I32" s="121"/>
      <c r="J32" s="198"/>
      <c r="K32" s="199"/>
      <c r="L32" s="107"/>
      <c r="M32" s="66"/>
      <c r="N32" s="71"/>
      <c r="O32" s="292"/>
      <c r="P32" s="292"/>
      <c r="Q32" s="102">
        <f>IFERROR(2+7+8,"")</f>
      </c>
      <c r="R32" s="102"/>
      <c r="S32" s="102">
        <f t="shared" si="5"/>
      </c>
      <c r="V32" s="98"/>
      <c r="W32" s="98"/>
    </row>
    <row r="33" spans="1:23" s="38" customFormat="1" ht="21.75" customHeight="1" x14ac:dyDescent="0.4">
      <c r="A33" s="195"/>
      <c r="B33" s="196"/>
      <c r="C33" s="197"/>
      <c r="D33" s="66">
        <f>IFERROR('0820'!F33,"")</f>
      </c>
      <c r="E33" s="67"/>
      <c r="F33" s="68">
        <f t="shared" si="6"/>
      </c>
      <c r="G33" s="119"/>
      <c r="H33" s="120"/>
      <c r="I33" s="121"/>
      <c r="J33" s="198"/>
      <c r="K33" s="199"/>
      <c r="L33" s="107"/>
      <c r="M33" s="66"/>
      <c r="N33" s="69"/>
      <c r="O33" s="297"/>
      <c r="P33" s="38"/>
      <c r="Q33" s="102"/>
      <c r="R33" s="102"/>
      <c r="S33" s="102">
        <f t="shared" si="5"/>
      </c>
      <c r="V33" s="98"/>
      <c r="W33" s="98"/>
    </row>
    <row r="34" spans="1:23" s="38" customFormat="1" ht="21.75" customHeight="1" x14ac:dyDescent="0.4">
      <c r="A34" s="195"/>
      <c r="B34" s="196"/>
      <c r="C34" s="197"/>
      <c r="D34" s="66">
        <f>IFERROR('0820'!F34,"")</f>
      </c>
      <c r="E34" s="107"/>
      <c r="F34" s="68">
        <f t="shared" si="6"/>
      </c>
      <c r="G34" s="119"/>
      <c r="H34" s="120"/>
      <c r="I34" s="121"/>
      <c r="J34" s="198"/>
      <c r="K34" s="199"/>
      <c r="L34" s="107"/>
      <c r="M34" s="66"/>
      <c r="N34" s="69"/>
      <c r="O34" s="297"/>
      <c r="P34" s="38"/>
      <c r="Q34" s="102">
        <f>IFERROR(1+4,"")</f>
      </c>
      <c r="R34" s="102"/>
      <c r="S34" s="102">
        <f t="shared" si="5"/>
      </c>
      <c r="V34" s="98"/>
      <c r="W34" s="98"/>
    </row>
    <row r="35" spans="1:23" s="38" customFormat="1" ht="21.75" customHeight="1" x14ac:dyDescent="0.4">
      <c r="A35" s="195"/>
      <c r="B35" s="196"/>
      <c r="C35" s="197"/>
      <c r="D35" s="66">
        <f>IFERROR('0820'!F35,"")</f>
      </c>
      <c r="E35" s="107"/>
      <c r="F35" s="68">
        <f t="shared" si="6"/>
      </c>
      <c r="G35" s="119"/>
      <c r="H35" s="120"/>
      <c r="I35" s="121"/>
      <c r="J35" s="198"/>
      <c r="K35" s="199"/>
      <c r="L35" s="107"/>
      <c r="M35" s="66"/>
      <c r="N35" s="75"/>
      <c r="O35" s="297"/>
      <c r="P35" s="38"/>
      <c r="Q35" s="102">
        <f>IFERROR(1+1+2+1+2+4,"")</f>
      </c>
      <c r="R35" s="102"/>
      <c r="S35" s="102">
        <f t="shared" si="5"/>
      </c>
      <c r="V35" s="98"/>
      <c r="W35" s="98"/>
    </row>
    <row r="36" spans="1:23" s="38" customFormat="1" ht="21.75" customHeight="1" x14ac:dyDescent="0.4">
      <c r="A36" s="195"/>
      <c r="B36" s="196"/>
      <c r="C36" s="197"/>
      <c r="D36" s="66">
        <f>IFERROR('0820'!F36,"")</f>
      </c>
      <c r="E36" s="107"/>
      <c r="F36" s="68">
        <f t="shared" si="6"/>
      </c>
      <c r="G36" s="119"/>
      <c r="H36" s="120"/>
      <c r="I36" s="121"/>
      <c r="J36" s="198"/>
      <c r="K36" s="199"/>
      <c r="L36" s="107"/>
      <c r="M36" s="66"/>
      <c r="N36" s="69"/>
      <c r="O36" s="297"/>
      <c r="P36" s="38"/>
      <c r="Q36" s="102"/>
      <c r="R36" s="102"/>
      <c r="S36" s="102">
        <f t="shared" si="5"/>
      </c>
      <c r="V36" s="98"/>
      <c r="W36" s="98"/>
    </row>
    <row r="37" spans="1:23" s="38" customFormat="1" ht="21.75" customHeight="1" x14ac:dyDescent="0.4">
      <c r="A37" s="195"/>
      <c r="B37" s="196"/>
      <c r="C37" s="197"/>
      <c r="D37" s="66">
        <f>IFERROR('0820'!F37,"")</f>
      </c>
      <c r="E37" s="107"/>
      <c r="F37" s="68">
        <f t="shared" si="6"/>
      </c>
      <c r="G37" s="119"/>
      <c r="H37" s="120"/>
      <c r="I37" s="121"/>
      <c r="J37" s="198"/>
      <c r="K37" s="199"/>
      <c r="L37" s="107"/>
      <c r="M37" s="66"/>
      <c r="N37" s="69"/>
      <c r="O37" s="297"/>
      <c r="Q37" s="74">
        <f>IFERROR(SUM(Q28:Q36),"")</f>
      </c>
      <c r="R37" s="74">
        <f>IFERROR(SUM(R28:R36),"")</f>
      </c>
      <c r="S37" s="74">
        <f t="shared" si="5"/>
      </c>
      <c r="V37" s="98"/>
      <c r="W37" s="98"/>
    </row>
    <row r="38" spans="1:23" s="38" customFormat="1" ht="21.75" customHeight="1" x14ac:dyDescent="0.4">
      <c r="A38" s="195"/>
      <c r="B38" s="196"/>
      <c r="C38" s="197"/>
      <c r="D38" s="66">
        <f>IFERROR('0820'!F38,"")</f>
      </c>
      <c r="E38" s="107"/>
      <c r="F38" s="68">
        <f t="shared" si="6"/>
      </c>
      <c r="G38" s="116"/>
      <c r="H38" s="117"/>
      <c r="I38" s="118"/>
      <c r="J38" s="198"/>
      <c r="K38" s="199"/>
      <c r="L38" s="107"/>
      <c r="M38" s="66"/>
      <c r="N38" s="69"/>
      <c r="O38" s="297"/>
      <c r="V38" s="98"/>
      <c r="W38" s="98"/>
    </row>
    <row r="39" spans="1:23" s="38" customFormat="1" ht="21.75" customHeight="1" x14ac:dyDescent="0.4">
      <c r="A39" s="200"/>
      <c r="B39" s="201"/>
      <c r="C39" s="202"/>
      <c r="D39" s="66">
        <f>IFERROR('0820'!F39,"")</f>
      </c>
      <c r="E39" s="66"/>
      <c r="F39" s="68">
        <f t="shared" si="6"/>
      </c>
      <c r="G39" s="115"/>
      <c r="H39" s="106"/>
      <c r="I39" s="104"/>
      <c r="J39" s="198"/>
      <c r="K39" s="199"/>
      <c r="L39" s="107"/>
      <c r="M39" s="111"/>
      <c r="N39" s="103"/>
      <c r="O39" s="300"/>
      <c r="V39" s="98"/>
      <c r="W39" s="98"/>
    </row>
    <row r="40" spans="1:23" s="38" customFormat="1" ht="21.75" customHeight="1" x14ac:dyDescent="0.4">
      <c r="A40" s="200"/>
      <c r="B40" s="201"/>
      <c r="C40" s="202"/>
      <c r="D40" s="66">
        <f>IFERROR('0820'!F40,"")</f>
      </c>
      <c r="E40" s="66"/>
      <c r="F40" s="68">
        <f t="shared" si="6"/>
      </c>
      <c r="G40" s="112"/>
      <c r="H40" s="112"/>
      <c r="I40" s="113"/>
      <c r="J40" s="107"/>
      <c r="K40" s="108"/>
      <c r="L40" s="107"/>
      <c r="M40" s="114"/>
      <c r="N40" s="103"/>
      <c r="O40" s="300"/>
      <c r="V40" s="98"/>
      <c r="W40" s="98"/>
    </row>
    <row r="41" spans="1:23" s="38" customFormat="1" ht="21.75" customHeight="1" thickBot="1" x14ac:dyDescent="0.45">
      <c r="A41" s="209"/>
      <c r="B41" s="210"/>
      <c r="C41" s="211"/>
      <c r="D41" s="76"/>
      <c r="E41" s="76"/>
      <c r="F41" s="77">
        <f>IFERROR(D41+E41,"")</f>
      </c>
      <c r="G41" s="212" t="s">
        <v>26</v>
      </c>
      <c r="H41" s="213"/>
      <c r="I41" s="214"/>
      <c r="J41" s="215">
        <f>IFERROR(SUM(J28:K39,D28:D41),"")</f>
      </c>
      <c r="K41" s="336"/>
      <c r="L41" s="78">
        <f>IFERROR(SUM(E28:E41,L28:L39),"")</f>
      </c>
      <c r="M41" s="78">
        <f>IFERROR(SUM(M28:M39,F28:F41),"")</f>
      </c>
      <c r="N41" s="79"/>
      <c r="O41" s="300"/>
      <c r="V41" s="98"/>
      <c r="W41" s="98"/>
    </row>
    <row r="42" spans="1:23" s="60" customFormat="1" ht="21.75" customHeight="1" thickBot="1" x14ac:dyDescent="0.45">
      <c r="A42" s="81" t="s">
        <v>29</v>
      </c>
      <c r="B42" s="82"/>
      <c r="C42" s="83"/>
      <c r="D42" s="83"/>
      <c r="E42" s="83"/>
      <c r="F42" s="84"/>
      <c r="G42" s="84"/>
      <c r="H42" s="84"/>
      <c r="I42" s="84"/>
      <c r="J42" s="84"/>
      <c r="K42" s="83" t="s">
        <v>9</v>
      </c>
      <c r="L42" s="83" t="s">
        <v>9</v>
      </c>
      <c r="M42" s="83"/>
      <c r="N42" s="85" t="inlineStr">
        <is>
          <t xml:space="preserve">(단위: </t>
        </is>
      </c>
      <c r="O42" s="296"/>
      <c r="P42" s="38"/>
      <c r="Q42" s="38"/>
      <c r="R42" s="38"/>
      <c r="S42" s="38"/>
      <c r="V42" s="101"/>
      <c r="W42" s="101"/>
    </row>
    <row r="43" spans="1:23" s="60" customFormat="1" ht="21.75" customHeight="1" x14ac:dyDescent="0.4">
      <c r="A43" s="191" t="s">
        <v>38</v>
      </c>
      <c r="B43" s="325"/>
      <c r="C43" s="326"/>
      <c r="D43" s="23" t="s">
        <v>36</v>
      </c>
      <c r="E43" s="86" t="s">
        <v>13</v>
      </c>
      <c r="F43" s="87" t="s">
        <v>21</v>
      </c>
      <c r="G43" s="192" t="s">
        <v>38</v>
      </c>
      <c r="H43" s="322"/>
      <c r="I43" s="323"/>
      <c r="J43" s="149" t="s">
        <v>36</v>
      </c>
      <c r="K43" s="326"/>
      <c r="L43" s="88" t="s">
        <v>34</v>
      </c>
      <c r="M43" s="123" t="s">
        <v>21</v>
      </c>
      <c r="N43" s="89" t="s">
        <v>4</v>
      </c>
      <c r="O43" s="296"/>
      <c r="P43" s="38"/>
      <c r="Q43" s="38"/>
      <c r="R43" s="38"/>
      <c r="S43" s="38"/>
      <c r="V43" s="101"/>
      <c r="W43" s="101"/>
    </row>
    <row r="44" spans="1:23" s="38" customFormat="1" ht="21.75" customHeight="1" x14ac:dyDescent="0.4">
      <c r="A44" s="203" t="s">
        <v>67</v>
      </c>
      <c r="B44" s="204"/>
      <c r="C44" s="205"/>
      <c r="D44" s="66">
        <f>IFERROR('0819'!F45,"")</f>
      </c>
      <c r="E44" s="66"/>
      <c r="F44" s="66">
        <f t="shared" ref="F44:F51" si="7">IFERROR(D44+E44,"")</f>
      </c>
      <c r="G44" s="206"/>
      <c r="H44" s="207"/>
      <c r="I44" s="208"/>
      <c r="J44" s="198"/>
      <c r="K44" s="199"/>
      <c r="L44" s="66"/>
      <c r="M44" s="66"/>
      <c r="N44" s="90"/>
      <c r="O44" s="292"/>
      <c r="V44" s="98"/>
      <c r="W44" s="98"/>
    </row>
    <row r="45" spans="1:23" s="38" customFormat="1" ht="21.75" customHeight="1" x14ac:dyDescent="0.4">
      <c r="A45" s="203"/>
      <c r="B45" s="204"/>
      <c r="C45" s="205"/>
      <c r="D45" s="66">
        <f>IFERROR('0819'!F46,"")</f>
      </c>
      <c r="E45" s="108"/>
      <c r="F45" s="68">
        <f t="shared" si="7"/>
      </c>
      <c r="G45" s="206"/>
      <c r="H45" s="207"/>
      <c r="I45" s="208"/>
      <c r="J45" s="198"/>
      <c r="K45" s="199"/>
      <c r="L45" s="66"/>
      <c r="M45" s="66"/>
      <c r="N45" s="90"/>
      <c r="O45" s="292"/>
      <c r="P45" s="60"/>
      <c r="Q45" s="60"/>
      <c r="R45" s="60"/>
      <c r="S45" s="60"/>
      <c r="V45" s="98"/>
      <c r="W45" s="98"/>
    </row>
    <row r="46" spans="1:23" s="38" customFormat="1" ht="21.75" customHeight="1" x14ac:dyDescent="0.4">
      <c r="A46" s="203"/>
      <c r="B46" s="204"/>
      <c r="C46" s="205"/>
      <c r="D46" s="66">
        <f>IFERROR('0819'!F47,"")</f>
      </c>
      <c r="E46" s="108"/>
      <c r="F46" s="68">
        <f t="shared" si="7"/>
      </c>
      <c r="G46" s="206"/>
      <c r="H46" s="207"/>
      <c r="I46" s="208"/>
      <c r="J46" s="198"/>
      <c r="K46" s="199"/>
      <c r="L46" s="66"/>
      <c r="M46" s="66"/>
      <c r="N46" s="90"/>
      <c r="O46" s="292"/>
      <c r="P46" s="60"/>
      <c r="Q46" s="60"/>
      <c r="R46" s="60"/>
      <c r="S46" s="60"/>
      <c r="V46" s="98"/>
      <c r="W46" s="98"/>
    </row>
    <row r="47" spans="1:23" s="38" customFormat="1" ht="21.75" customHeight="1" x14ac:dyDescent="0.4">
      <c r="A47" s="203"/>
      <c r="B47" s="204"/>
      <c r="C47" s="205"/>
      <c r="D47" s="66">
        <f>IFERROR('0819'!F48,"")</f>
      </c>
      <c r="E47" s="66"/>
      <c r="F47" s="68">
        <f t="shared" si="7"/>
      </c>
      <c r="G47" s="206"/>
      <c r="H47" s="207"/>
      <c r="I47" s="208"/>
      <c r="J47" s="198"/>
      <c r="K47" s="199"/>
      <c r="L47" s="66"/>
      <c r="M47" s="66"/>
      <c r="N47" s="90"/>
      <c r="O47" s="292"/>
      <c r="V47" s="98"/>
      <c r="W47" s="98"/>
    </row>
    <row r="48" spans="1:23" s="38" customFormat="1" ht="21.75" customHeight="1" x14ac:dyDescent="0.4">
      <c r="A48" s="203"/>
      <c r="B48" s="204"/>
      <c r="C48" s="205"/>
      <c r="D48" s="66">
        <f>IFERROR('0819'!F49,"")</f>
      </c>
      <c r="E48" s="66"/>
      <c r="F48" s="68">
        <f t="shared" si="7"/>
      </c>
      <c r="G48" s="206"/>
      <c r="H48" s="207"/>
      <c r="I48" s="208"/>
      <c r="J48" s="198"/>
      <c r="K48" s="199"/>
      <c r="L48" s="66"/>
      <c r="M48" s="66"/>
      <c r="N48" s="91"/>
      <c r="O48" s="292"/>
      <c r="V48" s="98"/>
      <c r="W48" s="98"/>
    </row>
    <row r="49" spans="1:23" s="38" customFormat="1" ht="21.75" customHeight="1" x14ac:dyDescent="0.4">
      <c r="A49" s="203"/>
      <c r="B49" s="204"/>
      <c r="C49" s="205"/>
      <c r="D49" s="66">
        <f>IFERROR('0819'!F50,"")</f>
      </c>
      <c r="E49" s="66"/>
      <c r="F49" s="68">
        <f t="shared" si="7"/>
      </c>
      <c r="G49" s="206"/>
      <c r="H49" s="207"/>
      <c r="I49" s="208"/>
      <c r="J49" s="198"/>
      <c r="K49" s="199"/>
      <c r="L49" s="66"/>
      <c r="M49" s="66"/>
      <c r="N49" s="92"/>
      <c r="O49" s="300"/>
      <c r="V49" s="98"/>
      <c r="W49" s="98"/>
    </row>
    <row r="50" spans="1:23" s="38" customFormat="1" ht="21.75" customHeight="1" x14ac:dyDescent="0.4">
      <c r="A50" s="203"/>
      <c r="B50" s="204"/>
      <c r="C50" s="205"/>
      <c r="D50" s="66">
        <f>IFERROR('0819'!F51,"")</f>
      </c>
      <c r="E50" s="66"/>
      <c r="F50" s="68">
        <f t="shared" si="7"/>
      </c>
      <c r="G50" s="220"/>
      <c r="H50" s="221"/>
      <c r="I50" s="109"/>
      <c r="J50" s="198"/>
      <c r="K50" s="199"/>
      <c r="L50" s="66"/>
      <c r="M50" s="66"/>
      <c r="N50" s="92"/>
      <c r="O50" s="300"/>
      <c r="V50" s="98"/>
      <c r="W50" s="98"/>
    </row>
    <row r="51" spans="1:23" s="38" customFormat="1" ht="21.75" customHeight="1" thickBot="1" x14ac:dyDescent="0.45">
      <c r="A51" s="203"/>
      <c r="B51" s="204"/>
      <c r="C51" s="205"/>
      <c r="D51" s="66">
        <f>IFERROR('0819'!F52,"")</f>
      </c>
      <c r="E51" s="76"/>
      <c r="F51" s="77">
        <f t="shared" si="7"/>
      </c>
      <c r="G51" s="212" t="s">
        <v>26</v>
      </c>
      <c r="H51" s="213"/>
      <c r="I51" s="214"/>
      <c r="J51" s="215">
        <f>IFERROR(SUM(J44:K50,D44:D51),"")</f>
      </c>
      <c r="K51" s="336"/>
      <c r="L51" s="78">
        <f>IFERROR(SUM(L44:L50,E44:E51),"")</f>
      </c>
      <c r="M51" s="78">
        <f>IFERROR(SUM(M44:M50,F44:F51),"")</f>
      </c>
      <c r="N51" s="93"/>
      <c r="O51" s="80">
        <f>IFERROR(M51+M41+'[2]0715'!$M$37+'[2]0715'!$M$48,"")</f>
      </c>
      <c r="V51" s="98"/>
      <c r="W51" s="98"/>
    </row>
    <row r="52" spans="1:23" s="60" customFormat="1" ht="21.75" customHeight="1" thickBot="1" x14ac:dyDescent="0.45">
      <c r="A52" s="18" t="s">
        <v>28</v>
      </c>
      <c r="B52" s="19"/>
      <c r="C52" s="20"/>
      <c r="D52" s="20"/>
      <c r="E52" s="20"/>
      <c r="F52" s="21"/>
      <c r="G52" s="21"/>
      <c r="H52" s="21"/>
      <c r="I52" s="21"/>
      <c r="J52" s="21"/>
      <c r="K52" s="20"/>
      <c r="L52" s="20"/>
      <c r="M52" s="20"/>
      <c r="N52" s="22"/>
      <c r="O52" s="297"/>
      <c r="P52" s="38"/>
      <c r="Q52" s="72">
        <f>IFERROR(M41+M51,"")</f>
      </c>
      <c r="R52" s="38"/>
      <c r="S52" s="38"/>
      <c r="V52" s="101"/>
      <c r="W52" s="101"/>
    </row>
    <row r="53" spans="1:23" x14ac:dyDescent="0.4">
      <c r="A53" s="217" t="s">
        <v>27</v>
      </c>
      <c r="B53" s="338"/>
      <c r="C53" s="146" t="s">
        <v>49</v>
      </c>
      <c r="D53" s="322"/>
      <c r="E53" s="322"/>
      <c r="F53" s="322"/>
      <c r="G53" s="323"/>
      <c r="H53" s="146" t="s">
        <v>48</v>
      </c>
      <c r="I53" s="322"/>
      <c r="J53" s="322"/>
      <c r="K53" s="322"/>
      <c r="L53" s="322"/>
      <c r="M53" s="322"/>
      <c r="N53" s="339"/>
    </row>
    <row r="54" spans="1:23" ht="17.25" customHeight="1" x14ac:dyDescent="0.4">
      <c r="A54" s="228"/>
      <c r="B54" s="223"/>
      <c r="C54" s="230" t="s">
        <v>60</v>
      </c>
      <c r="D54" s="231"/>
      <c r="E54" s="231"/>
      <c r="F54" s="231"/>
      <c r="G54" s="232"/>
      <c r="H54" s="233"/>
      <c r="I54" s="234"/>
      <c r="J54" s="234"/>
      <c r="K54" s="234"/>
      <c r="L54" s="234"/>
      <c r="M54" s="234"/>
      <c r="N54" s="235"/>
    </row>
    <row r="55" spans="1:23" ht="17.25" customHeight="1" x14ac:dyDescent="0.4">
      <c r="A55" s="229"/>
      <c r="B55" s="225"/>
      <c r="C55" s="236" t="s">
        <v>68</v>
      </c>
      <c r="D55" s="237"/>
      <c r="E55" s="237"/>
      <c r="F55" s="237"/>
      <c r="G55" s="238"/>
      <c r="H55" s="239" t="str">
        <f>IFERROR(C55,"")</f>
        <v>율촌산단7로 측량 및 굴착 작업</v>
      </c>
      <c r="I55" s="240"/>
      <c r="J55" s="240"/>
      <c r="K55" s="240"/>
      <c r="L55" s="240"/>
      <c r="M55" s="240"/>
      <c r="N55" s="241"/>
    </row>
    <row r="56" spans="1:23" ht="17.25" customHeight="1" x14ac:dyDescent="0.4">
      <c r="A56" s="229"/>
      <c r="B56" s="225"/>
      <c r="C56" s="236"/>
      <c r="D56" s="237"/>
      <c r="E56" s="237"/>
      <c r="F56" s="237"/>
      <c r="G56" s="238"/>
      <c r="H56" s="239"/>
      <c r="I56" s="240"/>
      <c r="J56" s="240"/>
      <c r="K56" s="240"/>
      <c r="L56" s="240"/>
      <c r="M56" s="240"/>
      <c r="N56" s="241"/>
    </row>
    <row r="57" spans="1:23" ht="16.5" customHeight="1" x14ac:dyDescent="0.4">
      <c r="A57" s="222" t="s">
        <v>37</v>
      </c>
      <c r="B57" s="223"/>
      <c r="C57" s="242"/>
      <c r="D57" s="243"/>
      <c r="E57" s="243"/>
      <c r="F57" s="243"/>
      <c r="G57" s="244"/>
      <c r="H57" s="242"/>
      <c r="I57" s="243"/>
      <c r="J57" s="243"/>
      <c r="K57" s="243"/>
      <c r="L57" s="243"/>
      <c r="M57" s="243"/>
      <c r="N57" s="251"/>
    </row>
    <row r="58" spans="1:23" ht="16.5" customHeight="1" x14ac:dyDescent="0.4">
      <c r="A58" s="224"/>
      <c r="B58" s="225"/>
      <c r="C58" s="245"/>
      <c r="D58" s="246"/>
      <c r="E58" s="246"/>
      <c r="F58" s="246"/>
      <c r="G58" s="247"/>
      <c r="H58" s="245"/>
      <c r="I58" s="246"/>
      <c r="J58" s="246"/>
      <c r="K58" s="246"/>
      <c r="L58" s="246"/>
      <c r="M58" s="246"/>
      <c r="N58" s="252"/>
    </row>
    <row r="59" spans="1:23" ht="16.5" customHeight="1" x14ac:dyDescent="0.4">
      <c r="A59" s="224"/>
      <c r="B59" s="225"/>
      <c r="C59" s="245"/>
      <c r="D59" s="246"/>
      <c r="E59" s="246"/>
      <c r="F59" s="246"/>
      <c r="G59" s="247"/>
      <c r="H59" s="245"/>
      <c r="I59" s="246"/>
      <c r="J59" s="246"/>
      <c r="K59" s="246"/>
      <c r="L59" s="246"/>
      <c r="M59" s="246"/>
      <c r="N59" s="252"/>
    </row>
    <row r="60" spans="1:23" ht="16.5" customHeight="1" x14ac:dyDescent="0.4">
      <c r="A60" s="224"/>
      <c r="B60" s="225"/>
      <c r="C60" s="245"/>
      <c r="D60" s="246"/>
      <c r="E60" s="246"/>
      <c r="F60" s="246"/>
      <c r="G60" s="247"/>
      <c r="H60" s="245"/>
      <c r="I60" s="246"/>
      <c r="J60" s="246"/>
      <c r="K60" s="246"/>
      <c r="L60" s="246"/>
      <c r="M60" s="246"/>
      <c r="N60" s="252"/>
    </row>
    <row r="61" spans="1:23" ht="16.5" customHeight="1" x14ac:dyDescent="0.4">
      <c r="A61" s="224"/>
      <c r="B61" s="225"/>
      <c r="C61" s="245"/>
      <c r="D61" s="246"/>
      <c r="E61" s="246"/>
      <c r="F61" s="246"/>
      <c r="G61" s="247"/>
      <c r="H61" s="245"/>
      <c r="I61" s="246"/>
      <c r="J61" s="246"/>
      <c r="K61" s="246"/>
      <c r="L61" s="246"/>
      <c r="M61" s="246"/>
      <c r="N61" s="252"/>
    </row>
    <row r="62" spans="1:23" ht="16.5" customHeight="1" x14ac:dyDescent="0.4">
      <c r="A62" s="224"/>
      <c r="B62" s="225"/>
      <c r="C62" s="245"/>
      <c r="D62" s="246"/>
      <c r="E62" s="246"/>
      <c r="F62" s="246"/>
      <c r="G62" s="247"/>
      <c r="H62" s="245"/>
      <c r="I62" s="246"/>
      <c r="J62" s="246"/>
      <c r="K62" s="246"/>
      <c r="L62" s="246"/>
      <c r="M62" s="246"/>
      <c r="N62" s="252"/>
    </row>
    <row r="63" spans="1:23" ht="16.5" customHeight="1" x14ac:dyDescent="0.4">
      <c r="A63" s="224"/>
      <c r="B63" s="225"/>
      <c r="C63" s="245"/>
      <c r="D63" s="246"/>
      <c r="E63" s="246"/>
      <c r="F63" s="246"/>
      <c r="G63" s="247"/>
      <c r="H63" s="245"/>
      <c r="I63" s="246"/>
      <c r="J63" s="246"/>
      <c r="K63" s="246"/>
      <c r="L63" s="246"/>
      <c r="M63" s="246"/>
      <c r="N63" s="252"/>
    </row>
    <row r="64" spans="1:23" ht="16.5" customHeight="1" x14ac:dyDescent="0.4">
      <c r="A64" s="224"/>
      <c r="B64" s="225"/>
      <c r="C64" s="245"/>
      <c r="D64" s="246"/>
      <c r="E64" s="246"/>
      <c r="F64" s="246"/>
      <c r="G64" s="247"/>
      <c r="H64" s="245"/>
      <c r="I64" s="246"/>
      <c r="J64" s="246"/>
      <c r="K64" s="246"/>
      <c r="L64" s="246"/>
      <c r="M64" s="246"/>
      <c r="N64" s="252"/>
    </row>
    <row r="65" spans="1:14" ht="18" thickBot="1" x14ac:dyDescent="0.45">
      <c r="A65" s="226"/>
      <c r="B65" s="227"/>
      <c r="C65" s="248"/>
      <c r="D65" s="249"/>
      <c r="E65" s="249"/>
      <c r="F65" s="249"/>
      <c r="G65" s="250"/>
      <c r="H65" s="248"/>
      <c r="I65" s="249"/>
      <c r="J65" s="249"/>
      <c r="K65" s="249"/>
      <c r="L65" s="249"/>
      <c r="M65" s="249"/>
      <c r="N65" s="253"/>
    </row>
  </sheetData>
  <mergeCells count="120">
    <mergeCell ref="A57:B65"/>
    <mergeCell ref="C57:G65"/>
    <mergeCell ref="H57:N65"/>
    <mergeCell ref="A53:B53"/>
    <mergeCell ref="C53:G53"/>
    <mergeCell ref="H53:N53"/>
    <mergeCell ref="A54:B56"/>
    <mergeCell ref="C54:G54"/>
    <mergeCell ref="H54:N54"/>
    <mergeCell ref="C55:G55"/>
    <mergeCell ref="H55:N55"/>
    <mergeCell ref="C56:G56"/>
    <mergeCell ref="H56:N56"/>
    <mergeCell ref="A50:C50"/>
    <mergeCell ref="G50:H50"/>
    <mergeCell ref="J50:K50"/>
    <mergeCell ref="A51:C51"/>
    <mergeCell ref="G51:I51"/>
    <mergeCell ref="J51:K51"/>
    <mergeCell ref="A48:C48"/>
    <mergeCell ref="G48:I48"/>
    <mergeCell ref="J48:K48"/>
    <mergeCell ref="A49:C49"/>
    <mergeCell ref="G49:I49"/>
    <mergeCell ref="J49:K49"/>
    <mergeCell ref="A46:C46"/>
    <mergeCell ref="G46:I46"/>
    <mergeCell ref="J46:K46"/>
    <mergeCell ref="A47:C47"/>
    <mergeCell ref="G47:I47"/>
    <mergeCell ref="J47:K47"/>
    <mergeCell ref="A44:C44"/>
    <mergeCell ref="G44:I44"/>
    <mergeCell ref="J44:K44"/>
    <mergeCell ref="A45:C45"/>
    <mergeCell ref="G45:I45"/>
    <mergeCell ref="J45:K45"/>
    <mergeCell ref="A40:C40"/>
    <mergeCell ref="A41:C41"/>
    <mergeCell ref="G41:I41"/>
    <mergeCell ref="J41:K41"/>
    <mergeCell ref="A43:C43"/>
    <mergeCell ref="G43:I43"/>
    <mergeCell ref="J43:K43"/>
    <mergeCell ref="A37:C37"/>
    <mergeCell ref="J37:K37"/>
    <mergeCell ref="A38:C38"/>
    <mergeCell ref="J38:K38"/>
    <mergeCell ref="A39:C39"/>
    <mergeCell ref="J39:K39"/>
    <mergeCell ref="A34:C34"/>
    <mergeCell ref="J34:K34"/>
    <mergeCell ref="A35:C35"/>
    <mergeCell ref="J35:K35"/>
    <mergeCell ref="A36:C36"/>
    <mergeCell ref="J36:K36"/>
    <mergeCell ref="A31:C31"/>
    <mergeCell ref="J31:K31"/>
    <mergeCell ref="A32:C32"/>
    <mergeCell ref="J32:K32"/>
    <mergeCell ref="A33:C33"/>
    <mergeCell ref="J33:K33"/>
    <mergeCell ref="A29:C29"/>
    <mergeCell ref="J29:K29"/>
    <mergeCell ref="A30:C30"/>
    <mergeCell ref="J30:K30"/>
    <mergeCell ref="A25:D25"/>
    <mergeCell ref="H25:I25"/>
    <mergeCell ref="J25:K25"/>
    <mergeCell ref="A27:C27"/>
    <mergeCell ref="G27:I27"/>
    <mergeCell ref="J27:K27"/>
    <mergeCell ref="H24:I24"/>
    <mergeCell ref="J24:K24"/>
    <mergeCell ref="H19:I19"/>
    <mergeCell ref="J19:K19"/>
    <mergeCell ref="H20:I20"/>
    <mergeCell ref="J20:K20"/>
    <mergeCell ref="H21:I21"/>
    <mergeCell ref="J21:K21"/>
    <mergeCell ref="A28:C28"/>
    <mergeCell ref="J28:K28"/>
    <mergeCell ref="J14:K14"/>
    <mergeCell ref="H15:I15"/>
    <mergeCell ref="J15:K15"/>
    <mergeCell ref="A16:A24"/>
    <mergeCell ref="H16:I16"/>
    <mergeCell ref="J16:K16"/>
    <mergeCell ref="H17:I17"/>
    <mergeCell ref="J17:K17"/>
    <mergeCell ref="H18:I18"/>
    <mergeCell ref="J18:K18"/>
    <mergeCell ref="A10:A15"/>
    <mergeCell ref="H10:I10"/>
    <mergeCell ref="J10:K10"/>
    <mergeCell ref="H11:I11"/>
    <mergeCell ref="J11:K11"/>
    <mergeCell ref="H12:I12"/>
    <mergeCell ref="J12:K12"/>
    <mergeCell ref="H13:I13"/>
    <mergeCell ref="J13:K13"/>
    <mergeCell ref="H14:I14"/>
    <mergeCell ref="H22:I22"/>
    <mergeCell ref="J22:K22"/>
    <mergeCell ref="H23:I23"/>
    <mergeCell ref="J23:K23"/>
    <mergeCell ref="A8:A9"/>
    <mergeCell ref="B8:B9"/>
    <mergeCell ref="C8:C9"/>
    <mergeCell ref="D8:D9"/>
    <mergeCell ref="F8:I8"/>
    <mergeCell ref="J8:M8"/>
    <mergeCell ref="H9:I9"/>
    <mergeCell ref="J9:K9"/>
    <mergeCell ref="A1:N1"/>
    <mergeCell ref="H3:J4"/>
    <mergeCell ref="L4:L6"/>
    <mergeCell ref="M4:M6"/>
    <mergeCell ref="N4:N6"/>
    <mergeCell ref="H5:J6"/>
  </mergeCells>
  <phoneticPr fontId="13" type="noConversion"/>
  <printOptions horizontalCentered="1" verticalCentered="1"/>
  <pageMargins left="0.19666667282581329" right="0.19666667282581329" top="0.74750000238418579" bottom="0.55097222328186035" header="0.31486111879348755" footer="0.31486111879348755"/>
  <pageSetup paperSize="9" scale="58" orientation="portrait" r:id="rId1"/>
  <rowBreaks count="1" manualBreakCount="1">
    <brk id="45" max="1048575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5"/>
  <sheetViews>
    <sheetView showGridLines="0" topLeftCell="A4" zoomScale="85" zoomScaleNormal="85" zoomScaleSheetLayoutView="70" workbookViewId="0">
      <selection activeCell="G17" sqref="G17"/>
    </sheetView>
  </sheetViews>
  <sheetFormatPr defaultColWidth="9" defaultRowHeight="19.2" x14ac:dyDescent="0.4"/>
  <cols>
    <col min="1" max="1" width="8.59765625" style="94" customWidth="1"/>
    <col min="2" max="2" width="16.69921875" style="94" customWidth="1"/>
    <col min="3" max="3" width="6" style="94" customWidth="1"/>
    <col min="4" max="4" width="13" style="94" customWidth="1"/>
    <col min="5" max="5" width="11.3984375" style="94" customWidth="1"/>
    <col min="6" max="6" width="12.8984375" style="95" customWidth="1"/>
    <col min="7" max="7" width="11.69921875" style="95" customWidth="1"/>
    <col min="8" max="8" width="6.69921875" style="95" customWidth="1"/>
    <col min="9" max="9" width="6.19921875" style="95" customWidth="1"/>
    <col min="10" max="10" width="5" style="95" customWidth="1"/>
    <col min="11" max="11" width="5.59765625" style="94" customWidth="1"/>
    <col min="12" max="13" width="10.59765625" style="94" customWidth="1"/>
    <col min="14" max="14" width="13.5" style="96" customWidth="1"/>
    <col min="15" max="15" width="17.69921875" style="1" hidden="1" customWidth="1"/>
    <col min="16" max="19" width="12.69921875" style="2" hidden="1" customWidth="1"/>
    <col min="20" max="20" width="10.19921875" style="2" customWidth="1"/>
    <col min="21" max="21" width="9" style="2" customWidth="1"/>
    <col min="22" max="22" width="10.8984375" style="97" customWidth="1"/>
    <col min="23" max="23" width="10" style="97" bestFit="1" customWidth="1"/>
    <col min="24" max="24" width="10.8984375" style="2" bestFit="1" customWidth="1"/>
    <col min="25" max="25" width="14.19921875" style="2" bestFit="1" customWidth="1"/>
    <col min="26" max="16384" width="9" style="2"/>
  </cols>
  <sheetData>
    <row r="1" spans="1:23" ht="40.200000000000003" x14ac:dyDescent="0.4">
      <c r="A1" s="156" t="s">
        <v>40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23" ht="21" thickBot="1" x14ac:dyDescent="0.45">
      <c r="A2" s="3"/>
      <c r="B2" s="3"/>
      <c r="C2" s="3"/>
      <c r="D2" s="3"/>
      <c r="E2" s="3"/>
      <c r="F2" s="4"/>
      <c r="G2" s="4"/>
      <c r="H2" s="4"/>
      <c r="I2" s="4"/>
      <c r="J2" s="4"/>
      <c r="K2" s="3"/>
      <c r="L2" s="3"/>
      <c r="M2" s="3"/>
      <c r="N2" s="5"/>
    </row>
    <row r="3" spans="1:23" ht="21" customHeight="1" x14ac:dyDescent="0.4">
      <c r="A3" s="6"/>
      <c r="B3" s="6"/>
      <c r="C3" s="7"/>
      <c r="D3" s="3"/>
      <c r="E3" s="3"/>
      <c r="F3" s="4"/>
      <c r="G3" s="4"/>
      <c r="H3" s="157" t="s">
        <v>42</v>
      </c>
      <c r="I3" s="158"/>
      <c r="J3" s="159"/>
      <c r="K3" s="8" t="s">
        <v>9</v>
      </c>
      <c r="L3" s="9" t="s">
        <v>18</v>
      </c>
      <c r="M3" s="9" t="s">
        <v>5</v>
      </c>
      <c r="N3" s="10" t="s">
        <v>0</v>
      </c>
    </row>
    <row r="4" spans="1:23" ht="21" customHeight="1" thickBot="1" x14ac:dyDescent="0.45">
      <c r="A4" s="6"/>
      <c r="B4" s="6"/>
      <c r="C4" s="7"/>
      <c r="D4" s="3"/>
      <c r="E4" s="3"/>
      <c r="F4" s="4"/>
      <c r="G4" s="4"/>
      <c r="H4" s="160"/>
      <c r="I4" s="161"/>
      <c r="J4" s="162"/>
      <c r="K4" s="11" t="s">
        <v>24</v>
      </c>
      <c r="L4" s="163"/>
      <c r="M4" s="166" t="s">
        <v>15</v>
      </c>
      <c r="N4" s="169"/>
    </row>
    <row r="5" spans="1:23" ht="21" customHeight="1" x14ac:dyDescent="0.4">
      <c r="A5" s="6"/>
      <c r="B5" s="6"/>
      <c r="C5" s="7"/>
      <c r="D5" s="3"/>
      <c r="E5" s="3"/>
      <c r="F5" s="4"/>
      <c r="G5" s="4"/>
      <c r="H5" s="172" t="s">
        <v>70</v>
      </c>
      <c r="I5" s="173"/>
      <c r="J5" s="174"/>
      <c r="K5" s="11" t="s">
        <v>8</v>
      </c>
      <c r="L5" s="164"/>
      <c r="M5" s="167"/>
      <c r="N5" s="170"/>
    </row>
    <row r="6" spans="1:23" ht="21" customHeight="1" thickBot="1" x14ac:dyDescent="0.45">
      <c r="A6" s="267"/>
      <c r="B6" s="268"/>
      <c r="C6" s="269"/>
      <c r="D6" s="269"/>
      <c r="E6" s="269"/>
      <c r="F6" s="270"/>
      <c r="G6" s="4"/>
      <c r="H6" s="175"/>
      <c r="I6" s="176"/>
      <c r="J6" s="177"/>
      <c r="K6" s="16" t="s">
        <v>9</v>
      </c>
      <c r="L6" s="165"/>
      <c r="M6" s="168"/>
      <c r="N6" s="171"/>
      <c r="O6" s="271"/>
    </row>
    <row r="7" spans="1:23" ht="21" customHeight="1" thickBot="1" x14ac:dyDescent="0.45">
      <c r="A7" s="18" t="s">
        <v>25</v>
      </c>
      <c r="B7" s="19"/>
      <c r="C7" s="20"/>
      <c r="D7" s="20"/>
      <c r="E7" s="20"/>
      <c r="F7" s="21"/>
      <c r="G7" s="21"/>
      <c r="H7" s="21"/>
      <c r="I7" s="21"/>
      <c r="J7" s="21"/>
      <c r="K7" s="20"/>
      <c r="L7" s="20"/>
      <c r="M7" s="20"/>
      <c r="N7" s="22"/>
      <c r="O7" s="271"/>
    </row>
    <row r="8" spans="1:23" ht="21.75" customHeight="1" x14ac:dyDescent="0.4">
      <c r="A8" s="142" t="s">
        <v>3</v>
      </c>
      <c r="B8" s="144" t="s">
        <v>39</v>
      </c>
      <c r="C8" s="144" t="s">
        <v>22</v>
      </c>
      <c r="D8" s="144" t="s">
        <v>2</v>
      </c>
      <c r="E8" s="23" t="s">
        <v>16</v>
      </c>
      <c r="F8" s="146" t="s">
        <v>30</v>
      </c>
      <c r="G8" s="322"/>
      <c r="H8" s="322"/>
      <c r="I8" s="323"/>
      <c r="J8" s="149" t="s">
        <v>32</v>
      </c>
      <c r="K8" s="325"/>
      <c r="L8" s="325"/>
      <c r="M8" s="326"/>
      <c r="N8" s="24" t="s">
        <v>7</v>
      </c>
      <c r="O8" s="271"/>
    </row>
    <row r="9" spans="1:23" ht="21.75" customHeight="1" x14ac:dyDescent="0.4">
      <c r="A9" s="318"/>
      <c r="B9" s="320"/>
      <c r="C9" s="320"/>
      <c r="D9" s="320"/>
      <c r="E9" s="124" t="s">
        <v>11</v>
      </c>
      <c r="F9" s="25" t="s">
        <v>1</v>
      </c>
      <c r="G9" s="25" t="s">
        <v>13</v>
      </c>
      <c r="H9" s="152" t="s">
        <v>21</v>
      </c>
      <c r="I9" s="328"/>
      <c r="J9" s="154" t="s">
        <v>1</v>
      </c>
      <c r="K9" s="330"/>
      <c r="L9" s="26" t="s">
        <v>13</v>
      </c>
      <c r="M9" s="26" t="s">
        <v>21</v>
      </c>
      <c r="N9" s="27" t="s">
        <v>11</v>
      </c>
      <c r="O9" s="271"/>
    </row>
    <row r="10" spans="1:23" s="38" customFormat="1" ht="21.75" customHeight="1" x14ac:dyDescent="0.4">
      <c r="A10" s="185" t="s">
        <v>10</v>
      </c>
      <c r="B10" s="28" t="str">
        <f>IFERROR('0819'!B10,"")</f>
        <v>토공사</v>
      </c>
      <c r="C10" s="28" t="str">
        <f>IFERROR('0819'!C10,"")</f>
        <v>%</v>
      </c>
      <c r="D10" s="134">
        <f>IFERROR('0819'!D10,"")</f>
      </c>
      <c r="E10" s="311"/>
      <c r="F10" s="32">
        <f>IFERROR(SUM('0822 '!H10:I10),"")</f>
      </c>
      <c r="G10" s="281"/>
      <c r="H10" s="187">
        <f t="shared" ref="H10:H24" si="0">IFERROR(G10+F10,"")</f>
      </c>
      <c r="I10" s="188"/>
      <c r="J10" s="189">
        <f t="shared" ref="J10:J15" si="1">IFERROR(F10/D10*E10,"")</f>
      </c>
      <c r="K10" s="190"/>
      <c r="L10" s="34">
        <f t="shared" ref="L10:L15" si="2">IFERROR((G10/D10)*E10,"")</f>
      </c>
      <c r="M10" s="35">
        <f t="shared" ref="M10:M15" si="3">IFERROR(J10+L10,"")</f>
      </c>
      <c r="N10" s="36">
        <f t="shared" ref="N10:N15" si="4">IFERROR(M10,"")</f>
      </c>
      <c r="O10" s="284"/>
      <c r="V10" s="98"/>
      <c r="W10" s="98"/>
    </row>
    <row r="11" spans="1:23" s="38" customFormat="1" ht="21.75" customHeight="1" x14ac:dyDescent="0.4">
      <c r="A11" s="186"/>
      <c r="B11" s="28" t="str">
        <f>IFERROR('0819'!B11,"")</f>
        <v>배수공사</v>
      </c>
      <c r="C11" s="28">
        <f>IFERROR('0819'!C11,"")</f>
      </c>
      <c r="D11" s="134">
        <f>IFERROR('0819'!D11,"")</f>
      </c>
      <c r="E11" s="129"/>
      <c r="F11" s="32">
        <f>IFERROR(SUM('0822 '!H11:I11),"")</f>
      </c>
      <c r="G11" s="40"/>
      <c r="H11" s="187">
        <f t="shared" si="0"/>
      </c>
      <c r="I11" s="188"/>
      <c r="J11" s="189">
        <f t="shared" si="1"/>
      </c>
      <c r="K11" s="190"/>
      <c r="L11" s="34">
        <f t="shared" si="2"/>
      </c>
      <c r="M11" s="35">
        <f t="shared" si="3"/>
      </c>
      <c r="N11" s="36">
        <f t="shared" si="4"/>
      </c>
      <c r="O11" s="284"/>
      <c r="V11" s="98"/>
      <c r="W11" s="98"/>
    </row>
    <row r="12" spans="1:23" s="38" customFormat="1" ht="21.75" customHeight="1" x14ac:dyDescent="0.4">
      <c r="A12" s="186"/>
      <c r="B12" s="28" t="str">
        <f>IFERROR('0819'!B12,"")</f>
        <v>1. 측구공</v>
      </c>
      <c r="C12" s="28" t="str">
        <f>IFERROR('0819'!C12,"")</f>
        <v>%</v>
      </c>
      <c r="D12" s="134">
        <f>IFERROR('0819'!D12,"")</f>
      </c>
      <c r="E12" s="129"/>
      <c r="F12" s="32">
        <f>IFERROR(SUM('0822 '!H12:I12),"")</f>
      </c>
      <c r="G12" s="40"/>
      <c r="H12" s="187">
        <f t="shared" si="0"/>
      </c>
      <c r="I12" s="188"/>
      <c r="J12" s="189">
        <f t="shared" si="1"/>
      </c>
      <c r="K12" s="190"/>
      <c r="L12" s="34">
        <f t="shared" si="2"/>
      </c>
      <c r="M12" s="35">
        <f t="shared" si="3"/>
      </c>
      <c r="N12" s="36">
        <f t="shared" si="4"/>
      </c>
      <c r="O12" s="284"/>
      <c r="V12" s="98"/>
      <c r="W12" s="98"/>
    </row>
    <row r="13" spans="1:23" s="38" customFormat="1" ht="21.75" customHeight="1" x14ac:dyDescent="0.4">
      <c r="A13" s="186"/>
      <c r="B13" s="28" t="str">
        <f>IFERROR('0819'!B13,"")</f>
        <v>2. 옹벽공</v>
      </c>
      <c r="C13" s="28" t="str">
        <f>IFERROR('0819'!C13,"")</f>
        <v>%</v>
      </c>
      <c r="D13" s="134">
        <f>IFERROR('0819'!D13,"")</f>
      </c>
      <c r="E13" s="313"/>
      <c r="F13" s="32">
        <f>IFERROR(SUM('0822 '!H13:I13),"")</f>
      </c>
      <c r="G13" s="281"/>
      <c r="H13" s="187">
        <f t="shared" si="0"/>
      </c>
      <c r="I13" s="188"/>
      <c r="J13" s="189">
        <f t="shared" si="1"/>
      </c>
      <c r="K13" s="190"/>
      <c r="L13" s="34">
        <f t="shared" si="2"/>
      </c>
      <c r="M13" s="35">
        <f t="shared" si="3"/>
      </c>
      <c r="N13" s="36">
        <f t="shared" si="4"/>
      </c>
      <c r="O13" s="285"/>
      <c r="V13" s="98"/>
      <c r="W13" s="98"/>
    </row>
    <row r="14" spans="1:23" s="42" customFormat="1" ht="21.75" customHeight="1" x14ac:dyDescent="0.4">
      <c r="A14" s="186"/>
      <c r="B14" s="28" t="str">
        <f>IFERROR('0819'!B14,"")</f>
        <v>3. J형개거</v>
      </c>
      <c r="C14" s="28" t="str">
        <f>IFERROR('0819'!C14,"")</f>
        <v>%</v>
      </c>
      <c r="D14" s="134">
        <f>IFERROR('0819'!D14,"")</f>
      </c>
      <c r="E14" s="313"/>
      <c r="F14" s="32">
        <f>IFERROR(SUM('0822 '!H14:I14),"")</f>
      </c>
      <c r="G14" s="281"/>
      <c r="H14" s="187">
        <f t="shared" si="0"/>
      </c>
      <c r="I14" s="188"/>
      <c r="J14" s="189">
        <f t="shared" si="1"/>
      </c>
      <c r="K14" s="190"/>
      <c r="L14" s="34">
        <f t="shared" si="2"/>
      </c>
      <c r="M14" s="35">
        <f t="shared" si="3"/>
      </c>
      <c r="N14" s="36">
        <f t="shared" si="4"/>
      </c>
      <c r="O14" s="285"/>
      <c r="V14" s="305"/>
      <c r="W14" s="305"/>
    </row>
    <row r="15" spans="1:23" s="42" customFormat="1" ht="21.75" customHeight="1" x14ac:dyDescent="0.4">
      <c r="A15" s="186"/>
      <c r="B15" s="28" t="str">
        <f>IFERROR('0819'!B15,"")</f>
        <v>포장공</v>
      </c>
      <c r="C15" s="28" t="str">
        <f>IFERROR('0819'!C15,"")</f>
        <v>%</v>
      </c>
      <c r="D15" s="134">
        <f>IFERROR('0819'!D15,"")</f>
      </c>
      <c r="E15" s="280"/>
      <c r="F15" s="32">
        <f>IFERROR(SUM('0822 '!H15:I15),"")</f>
      </c>
      <c r="G15" s="281"/>
      <c r="H15" s="187">
        <f t="shared" si="0"/>
      </c>
      <c r="I15" s="188"/>
      <c r="J15" s="189">
        <f t="shared" si="1"/>
      </c>
      <c r="K15" s="190"/>
      <c r="L15" s="34">
        <f t="shared" si="2"/>
      </c>
      <c r="M15" s="35">
        <f t="shared" si="3"/>
      </c>
      <c r="N15" s="36">
        <f t="shared" si="4"/>
      </c>
      <c r="O15" s="285"/>
      <c r="V15" s="305"/>
      <c r="W15" s="305"/>
    </row>
    <row r="16" spans="1:23" s="42" customFormat="1" ht="21.75" customHeight="1" x14ac:dyDescent="0.4">
      <c r="A16" s="185"/>
      <c r="B16" s="277"/>
      <c r="C16" s="278"/>
      <c r="D16" s="279"/>
      <c r="E16" s="280"/>
      <c r="F16" s="281"/>
      <c r="G16" s="281"/>
      <c r="H16" s="187">
        <f t="shared" si="0"/>
      </c>
      <c r="I16" s="188"/>
      <c r="J16" s="189"/>
      <c r="K16" s="190"/>
      <c r="L16" s="34"/>
      <c r="M16" s="282"/>
      <c r="N16" s="283"/>
      <c r="O16" s="285"/>
      <c r="V16" s="305"/>
      <c r="W16" s="305"/>
    </row>
    <row r="17" spans="1:25" s="42" customFormat="1" ht="21.75" customHeight="1" x14ac:dyDescent="0.4">
      <c r="A17" s="186"/>
      <c r="B17" s="277"/>
      <c r="C17" s="278"/>
      <c r="D17" s="279"/>
      <c r="E17" s="280"/>
      <c r="F17" s="281"/>
      <c r="G17" s="281"/>
      <c r="H17" s="187">
        <f t="shared" si="0"/>
      </c>
      <c r="I17" s="188"/>
      <c r="J17" s="189"/>
      <c r="K17" s="190"/>
      <c r="L17" s="34"/>
      <c r="M17" s="282"/>
      <c r="N17" s="283"/>
      <c r="O17" s="285"/>
      <c r="V17" s="305"/>
      <c r="W17" s="305"/>
    </row>
    <row r="18" spans="1:25" s="42" customFormat="1" ht="21.75" customHeight="1" x14ac:dyDescent="0.4">
      <c r="A18" s="186"/>
      <c r="B18" s="277"/>
      <c r="C18" s="278"/>
      <c r="D18" s="279"/>
      <c r="E18" s="280"/>
      <c r="F18" s="281"/>
      <c r="G18" s="281"/>
      <c r="H18" s="187">
        <f t="shared" si="0"/>
      </c>
      <c r="I18" s="188"/>
      <c r="J18" s="189"/>
      <c r="K18" s="190"/>
      <c r="L18" s="34"/>
      <c r="M18" s="282"/>
      <c r="N18" s="283"/>
      <c r="O18" s="285"/>
      <c r="V18" s="305"/>
      <c r="W18" s="305"/>
      <c r="Y18" s="306"/>
    </row>
    <row r="19" spans="1:25" s="42" customFormat="1" ht="21.75" customHeight="1" x14ac:dyDescent="0.4">
      <c r="A19" s="186"/>
      <c r="B19" s="277"/>
      <c r="C19" s="278"/>
      <c r="D19" s="279"/>
      <c r="E19" s="280"/>
      <c r="F19" s="281"/>
      <c r="G19" s="281"/>
      <c r="H19" s="187">
        <f t="shared" si="0"/>
      </c>
      <c r="I19" s="188"/>
      <c r="J19" s="189"/>
      <c r="K19" s="190"/>
      <c r="L19" s="34"/>
      <c r="M19" s="282"/>
      <c r="N19" s="283"/>
      <c r="O19" s="285"/>
      <c r="V19" s="305"/>
      <c r="W19" s="305"/>
      <c r="Y19" s="305"/>
    </row>
    <row r="20" spans="1:25" s="42" customFormat="1" ht="21.75" customHeight="1" x14ac:dyDescent="0.4">
      <c r="A20" s="186"/>
      <c r="B20" s="277"/>
      <c r="C20" s="278"/>
      <c r="D20" s="279"/>
      <c r="E20" s="280"/>
      <c r="F20" s="281"/>
      <c r="G20" s="281"/>
      <c r="H20" s="187">
        <f t="shared" si="0"/>
      </c>
      <c r="I20" s="188"/>
      <c r="J20" s="189"/>
      <c r="K20" s="190"/>
      <c r="L20" s="34"/>
      <c r="M20" s="282"/>
      <c r="N20" s="283"/>
      <c r="O20" s="285"/>
      <c r="V20" s="305"/>
      <c r="W20" s="305"/>
    </row>
    <row r="21" spans="1:25" s="42" customFormat="1" ht="21.75" customHeight="1" x14ac:dyDescent="0.4">
      <c r="A21" s="186"/>
      <c r="B21" s="277"/>
      <c r="C21" s="278"/>
      <c r="D21" s="279"/>
      <c r="E21" s="280"/>
      <c r="F21" s="281"/>
      <c r="G21" s="281"/>
      <c r="H21" s="187">
        <f t="shared" si="0"/>
      </c>
      <c r="I21" s="188"/>
      <c r="J21" s="189"/>
      <c r="K21" s="190"/>
      <c r="L21" s="34"/>
      <c r="M21" s="282"/>
      <c r="N21" s="283"/>
      <c r="O21" s="285"/>
      <c r="V21" s="305"/>
      <c r="W21" s="305"/>
      <c r="Y21" s="306"/>
    </row>
    <row r="22" spans="1:25" s="42" customFormat="1" ht="21.75" customHeight="1" x14ac:dyDescent="0.4">
      <c r="A22" s="186"/>
      <c r="B22" s="277"/>
      <c r="C22" s="278"/>
      <c r="D22" s="279"/>
      <c r="E22" s="280"/>
      <c r="F22" s="281"/>
      <c r="G22" s="281"/>
      <c r="H22" s="187">
        <f t="shared" si="0"/>
      </c>
      <c r="I22" s="188"/>
      <c r="J22" s="189"/>
      <c r="K22" s="190"/>
      <c r="L22" s="34"/>
      <c r="M22" s="282"/>
      <c r="N22" s="283"/>
      <c r="O22" s="285"/>
      <c r="V22" s="305"/>
      <c r="W22" s="305"/>
      <c r="Y22" s="305"/>
    </row>
    <row r="23" spans="1:25" s="42" customFormat="1" ht="21.75" customHeight="1" x14ac:dyDescent="0.4">
      <c r="A23" s="186"/>
      <c r="B23" s="277"/>
      <c r="C23" s="278"/>
      <c r="D23" s="279"/>
      <c r="E23" s="280"/>
      <c r="F23" s="281"/>
      <c r="G23" s="281"/>
      <c r="H23" s="187">
        <f t="shared" si="0"/>
      </c>
      <c r="I23" s="188"/>
      <c r="J23" s="189"/>
      <c r="K23" s="190"/>
      <c r="L23" s="34"/>
      <c r="M23" s="282"/>
      <c r="N23" s="283"/>
      <c r="O23" s="285"/>
      <c r="V23" s="305"/>
      <c r="W23" s="305"/>
    </row>
    <row r="24" spans="1:25" s="42" customFormat="1" ht="21.75" customHeight="1" x14ac:dyDescent="0.4">
      <c r="A24" s="193"/>
      <c r="B24" s="277"/>
      <c r="C24" s="278"/>
      <c r="D24" s="279"/>
      <c r="E24" s="280"/>
      <c r="F24" s="281"/>
      <c r="G24" s="281"/>
      <c r="H24" s="187">
        <f t="shared" si="0"/>
      </c>
      <c r="I24" s="188"/>
      <c r="J24" s="189"/>
      <c r="K24" s="190"/>
      <c r="L24" s="34"/>
      <c r="M24" s="282"/>
      <c r="N24" s="283"/>
      <c r="O24" s="285"/>
      <c r="V24" s="305"/>
      <c r="W24" s="305"/>
    </row>
    <row r="25" spans="1:25" s="38" customFormat="1" ht="21.75" customHeight="1" thickBot="1" x14ac:dyDescent="0.45">
      <c r="A25" s="178" t="s">
        <v>26</v>
      </c>
      <c r="B25" s="179"/>
      <c r="C25" s="179"/>
      <c r="D25" s="180"/>
      <c r="E25" s="49">
        <f>IFERROR(SUM(E10:E24),"")</f>
      </c>
      <c r="F25" s="50"/>
      <c r="G25" s="50"/>
      <c r="H25" s="181"/>
      <c r="I25" s="182"/>
      <c r="J25" s="183">
        <f>IFERROR(SUM(J10:K24),"")</f>
      </c>
      <c r="K25" s="184">
        <f>IFERROR(SUM(#REF!),"")</f>
      </c>
      <c r="L25" s="122">
        <f>IFERROR(SUM(L10:L24),"")</f>
      </c>
      <c r="M25" s="122">
        <f>IFERROR(SUM(M10:M24),"")</f>
      </c>
      <c r="N25" s="51">
        <f>IFERROR(SUM(N10:N24),"")</f>
      </c>
      <c r="O25" s="292"/>
      <c r="V25" s="98"/>
      <c r="W25" s="98"/>
    </row>
    <row r="26" spans="1:25" s="60" customFormat="1" ht="21.75" customHeight="1" thickBot="1" x14ac:dyDescent="0.45">
      <c r="A26" s="18" t="s">
        <v>31</v>
      </c>
      <c r="B26" s="53"/>
      <c r="C26" s="54"/>
      <c r="D26" s="54"/>
      <c r="E26" s="55"/>
      <c r="F26" s="56"/>
      <c r="G26" s="56"/>
      <c r="H26" s="56"/>
      <c r="I26" s="56"/>
      <c r="J26" s="56"/>
      <c r="K26" s="57"/>
      <c r="L26" s="57"/>
      <c r="M26" s="57"/>
      <c r="N26" s="58" t="inlineStr">
        <is>
          <t xml:space="preserve">(단위: </t>
        </is>
      </c>
      <c r="O26" s="293"/>
      <c r="V26" s="101"/>
      <c r="W26" s="101"/>
    </row>
    <row r="27" spans="1:25" s="60" customFormat="1" ht="21.75" customHeight="1" x14ac:dyDescent="0.4">
      <c r="A27" s="191" t="s">
        <v>33</v>
      </c>
      <c r="B27" s="325"/>
      <c r="C27" s="326"/>
      <c r="D27" s="23" t="s">
        <v>36</v>
      </c>
      <c r="E27" s="23" t="s">
        <v>13</v>
      </c>
      <c r="F27" s="61" t="s">
        <v>21</v>
      </c>
      <c r="G27" s="192" t="s">
        <v>33</v>
      </c>
      <c r="H27" s="322"/>
      <c r="I27" s="323"/>
      <c r="J27" s="149" t="s">
        <v>36</v>
      </c>
      <c r="K27" s="326"/>
      <c r="L27" s="23" t="s">
        <v>13</v>
      </c>
      <c r="M27" s="23" t="s">
        <v>21</v>
      </c>
      <c r="N27" s="62" t="s">
        <v>4</v>
      </c>
      <c r="O27" s="296"/>
      <c r="Q27" s="64" t="s">
        <v>19</v>
      </c>
      <c r="R27" s="64" t="s">
        <v>23</v>
      </c>
      <c r="S27" s="65" t="s">
        <v>17</v>
      </c>
      <c r="V27" s="101"/>
      <c r="W27" s="101"/>
    </row>
    <row r="28" spans="1:25" s="38" customFormat="1" ht="21.75" customHeight="1" x14ac:dyDescent="0.4">
      <c r="A28" s="195" t="str">
        <f>IFERROR('0819'!A29:C29,"")</f>
        <v>배관공</v>
      </c>
      <c r="B28" s="196"/>
      <c r="C28" s="197"/>
      <c r="D28" s="66">
        <f>IFERROR('0822 '!F28,"")</f>
      </c>
      <c r="E28" s="67"/>
      <c r="F28" s="68">
        <f>IFERROR(D28+E28,"")</f>
      </c>
      <c r="G28" s="119"/>
      <c r="H28" s="120"/>
      <c r="I28" s="121"/>
      <c r="J28" s="198"/>
      <c r="K28" s="199"/>
      <c r="L28" s="107"/>
      <c r="M28" s="66"/>
      <c r="N28" s="69"/>
      <c r="O28" s="292"/>
      <c r="P28" s="292"/>
      <c r="Q28" s="102">
        <f>IFERROR(3+2+6,"")</f>
      </c>
      <c r="R28" s="102"/>
      <c r="S28" s="102">
        <f t="shared" ref="S28:S37" si="5">IFERROR(SUM(Q28:R28),"")</f>
      </c>
      <c r="V28" s="98"/>
      <c r="W28" s="98"/>
    </row>
    <row r="29" spans="1:25" s="38" customFormat="1" ht="21.75" customHeight="1" x14ac:dyDescent="0.4">
      <c r="A29" s="195" t="str">
        <f>IFERROR('0819'!A30:C30,"")</f>
        <v>신호수</v>
      </c>
      <c r="B29" s="196"/>
      <c r="C29" s="197"/>
      <c r="D29" s="66">
        <f>IFERROR('0822 '!F29,"")</f>
      </c>
      <c r="E29" s="67"/>
      <c r="F29" s="68">
        <f t="shared" ref="F29:F40" si="6">IFERROR(D29+E29,"")</f>
      </c>
      <c r="G29" s="119"/>
      <c r="H29" s="120"/>
      <c r="I29" s="121"/>
      <c r="J29" s="198"/>
      <c r="K29" s="199"/>
      <c r="L29" s="70"/>
      <c r="M29" s="66"/>
      <c r="N29" s="71"/>
      <c r="O29" s="292"/>
      <c r="P29" s="292"/>
      <c r="Q29" s="102">
        <f>IFERROR(4+4+3+2+13+23+1,"")</f>
      </c>
      <c r="R29" s="102">
        <f>IFERROR(1+2+1+1,"")</f>
      </c>
      <c r="S29" s="102">
        <f t="shared" si="5"/>
      </c>
      <c r="V29" s="98"/>
      <c r="W29" s="98"/>
    </row>
    <row r="30" spans="1:25" s="38" customFormat="1" ht="21.75" customHeight="1" x14ac:dyDescent="0.4">
      <c r="A30" s="195"/>
      <c r="B30" s="196"/>
      <c r="C30" s="197"/>
      <c r="D30" s="66">
        <f>IFERROR('0822 '!F30,"")</f>
      </c>
      <c r="E30" s="67"/>
      <c r="F30" s="68">
        <f t="shared" si="6"/>
      </c>
      <c r="G30" s="119"/>
      <c r="H30" s="120"/>
      <c r="I30" s="121"/>
      <c r="J30" s="198"/>
      <c r="K30" s="199"/>
      <c r="L30" s="107"/>
      <c r="M30" s="66"/>
      <c r="N30" s="69"/>
      <c r="O30" s="292"/>
      <c r="P30" s="292"/>
      <c r="Q30" s="102"/>
      <c r="R30" s="102"/>
      <c r="S30" s="102">
        <f t="shared" si="5"/>
      </c>
      <c r="V30" s="98"/>
      <c r="W30" s="98"/>
      <c r="X30" s="72"/>
    </row>
    <row r="31" spans="1:25" s="38" customFormat="1" ht="21.75" customHeight="1" x14ac:dyDescent="0.4">
      <c r="A31" s="195"/>
      <c r="B31" s="196"/>
      <c r="C31" s="197"/>
      <c r="D31" s="66">
        <f>IFERROR('0822 '!F31,"")</f>
      </c>
      <c r="E31" s="67"/>
      <c r="F31" s="68">
        <f t="shared" si="6"/>
      </c>
      <c r="G31" s="119"/>
      <c r="H31" s="120"/>
      <c r="I31" s="121"/>
      <c r="J31" s="198"/>
      <c r="K31" s="199"/>
      <c r="L31" s="107"/>
      <c r="M31" s="66"/>
      <c r="N31" s="71"/>
      <c r="O31" s="292"/>
      <c r="P31" s="292"/>
      <c r="Q31" s="102">
        <f>IFERROR(3+3+3+26+13,"")</f>
      </c>
      <c r="R31" s="102">
        <f>IFERROR(3+1+1+1+2+3,"")</f>
      </c>
      <c r="S31" s="102">
        <f t="shared" si="5"/>
      </c>
      <c r="V31" s="98"/>
      <c r="W31" s="98"/>
    </row>
    <row r="32" spans="1:25" s="38" customFormat="1" ht="21.75" customHeight="1" x14ac:dyDescent="0.4">
      <c r="A32" s="195" t="s">
        <v>63</v>
      </c>
      <c r="B32" s="196"/>
      <c r="C32" s="197"/>
      <c r="D32" s="66">
        <f>IFERROR('0822 '!F32,"")</f>
      </c>
      <c r="E32" s="67"/>
      <c r="F32" s="68">
        <f t="shared" si="6"/>
      </c>
      <c r="G32" s="119"/>
      <c r="H32" s="120"/>
      <c r="I32" s="121"/>
      <c r="J32" s="198"/>
      <c r="K32" s="199"/>
      <c r="L32" s="107"/>
      <c r="M32" s="66"/>
      <c r="N32" s="71"/>
      <c r="O32" s="292"/>
      <c r="P32" s="292"/>
      <c r="Q32" s="102">
        <f>IFERROR(2+7+8,"")</f>
      </c>
      <c r="R32" s="102"/>
      <c r="S32" s="102">
        <f t="shared" si="5"/>
      </c>
      <c r="V32" s="98"/>
      <c r="W32" s="98"/>
    </row>
    <row r="33" spans="1:23" s="38" customFormat="1" ht="21.75" customHeight="1" x14ac:dyDescent="0.4">
      <c r="A33" s="195"/>
      <c r="B33" s="196"/>
      <c r="C33" s="197"/>
      <c r="D33" s="66">
        <f>IFERROR('0822 '!F33,"")</f>
      </c>
      <c r="E33" s="67"/>
      <c r="F33" s="68">
        <f t="shared" si="6"/>
      </c>
      <c r="G33" s="119"/>
      <c r="H33" s="120"/>
      <c r="I33" s="121"/>
      <c r="J33" s="198"/>
      <c r="K33" s="199"/>
      <c r="L33" s="107"/>
      <c r="M33" s="66"/>
      <c r="N33" s="69"/>
      <c r="O33" s="297"/>
      <c r="P33" s="38"/>
      <c r="Q33" s="102"/>
      <c r="R33" s="102"/>
      <c r="S33" s="102">
        <f t="shared" si="5"/>
      </c>
      <c r="V33" s="98"/>
      <c r="W33" s="98"/>
    </row>
    <row r="34" spans="1:23" s="38" customFormat="1" ht="21.75" customHeight="1" x14ac:dyDescent="0.4">
      <c r="A34" s="195"/>
      <c r="B34" s="196"/>
      <c r="C34" s="197"/>
      <c r="D34" s="66">
        <f>IFERROR('0822 '!F34,"")</f>
      </c>
      <c r="E34" s="107"/>
      <c r="F34" s="68">
        <f t="shared" si="6"/>
      </c>
      <c r="G34" s="119"/>
      <c r="H34" s="120"/>
      <c r="I34" s="121"/>
      <c r="J34" s="198"/>
      <c r="K34" s="199"/>
      <c r="L34" s="107"/>
      <c r="M34" s="66"/>
      <c r="N34" s="69"/>
      <c r="O34" s="297"/>
      <c r="P34" s="38"/>
      <c r="Q34" s="102">
        <f>IFERROR(1+4,"")</f>
      </c>
      <c r="R34" s="102"/>
      <c r="S34" s="102">
        <f t="shared" si="5"/>
      </c>
      <c r="V34" s="98"/>
      <c r="W34" s="98"/>
    </row>
    <row r="35" spans="1:23" s="38" customFormat="1" ht="21.75" customHeight="1" x14ac:dyDescent="0.4">
      <c r="A35" s="195"/>
      <c r="B35" s="196"/>
      <c r="C35" s="197"/>
      <c r="D35" s="66">
        <f>IFERROR('0819'!F36,"")</f>
      </c>
      <c r="E35" s="107"/>
      <c r="F35" s="68">
        <f t="shared" si="6"/>
      </c>
      <c r="G35" s="119"/>
      <c r="H35" s="120"/>
      <c r="I35" s="121"/>
      <c r="J35" s="198"/>
      <c r="K35" s="199"/>
      <c r="L35" s="107"/>
      <c r="M35" s="66"/>
      <c r="N35" s="75"/>
      <c r="O35" s="297"/>
      <c r="P35" s="38"/>
      <c r="Q35" s="102">
        <f>IFERROR(1+1+2+1+2+4,"")</f>
      </c>
      <c r="R35" s="102"/>
      <c r="S35" s="102">
        <f t="shared" si="5"/>
      </c>
      <c r="V35" s="98"/>
      <c r="W35" s="98"/>
    </row>
    <row r="36" spans="1:23" s="38" customFormat="1" ht="21.75" customHeight="1" x14ac:dyDescent="0.4">
      <c r="A36" s="195"/>
      <c r="B36" s="196"/>
      <c r="C36" s="197"/>
      <c r="D36" s="66">
        <f>IFERROR('0819'!F37,"")</f>
      </c>
      <c r="E36" s="107"/>
      <c r="F36" s="68">
        <f t="shared" si="6"/>
      </c>
      <c r="G36" s="119"/>
      <c r="H36" s="120"/>
      <c r="I36" s="121"/>
      <c r="J36" s="198"/>
      <c r="K36" s="199"/>
      <c r="L36" s="107"/>
      <c r="M36" s="66"/>
      <c r="N36" s="69"/>
      <c r="O36" s="297"/>
      <c r="P36" s="38"/>
      <c r="Q36" s="102"/>
      <c r="R36" s="102"/>
      <c r="S36" s="102">
        <f t="shared" si="5"/>
      </c>
      <c r="V36" s="98"/>
      <c r="W36" s="98"/>
    </row>
    <row r="37" spans="1:23" s="38" customFormat="1" ht="21.75" customHeight="1" x14ac:dyDescent="0.4">
      <c r="A37" s="195"/>
      <c r="B37" s="196"/>
      <c r="C37" s="197"/>
      <c r="D37" s="66">
        <f>IFERROR('0819'!F38,"")</f>
      </c>
      <c r="E37" s="107"/>
      <c r="F37" s="68">
        <f t="shared" si="6"/>
      </c>
      <c r="G37" s="119"/>
      <c r="H37" s="120"/>
      <c r="I37" s="121"/>
      <c r="J37" s="198"/>
      <c r="K37" s="199"/>
      <c r="L37" s="107"/>
      <c r="M37" s="66"/>
      <c r="N37" s="69"/>
      <c r="O37" s="297"/>
      <c r="Q37" s="74">
        <f>IFERROR(SUM(Q28:Q36),"")</f>
      </c>
      <c r="R37" s="74">
        <f>IFERROR(SUM(R28:R36),"")</f>
      </c>
      <c r="S37" s="74">
        <f t="shared" si="5"/>
      </c>
      <c r="V37" s="98"/>
      <c r="W37" s="98"/>
    </row>
    <row r="38" spans="1:23" s="38" customFormat="1" ht="21.75" customHeight="1" x14ac:dyDescent="0.4">
      <c r="A38" s="195"/>
      <c r="B38" s="196"/>
      <c r="C38" s="197"/>
      <c r="D38" s="66">
        <f>IFERROR('0819'!F39,"")</f>
      </c>
      <c r="E38" s="107"/>
      <c r="F38" s="68">
        <f t="shared" si="6"/>
      </c>
      <c r="G38" s="116"/>
      <c r="H38" s="117"/>
      <c r="I38" s="118"/>
      <c r="J38" s="198"/>
      <c r="K38" s="199"/>
      <c r="L38" s="107"/>
      <c r="M38" s="66"/>
      <c r="N38" s="69"/>
      <c r="O38" s="297"/>
      <c r="V38" s="98"/>
      <c r="W38" s="98"/>
    </row>
    <row r="39" spans="1:23" s="38" customFormat="1" ht="21.75" customHeight="1" x14ac:dyDescent="0.4">
      <c r="A39" s="200"/>
      <c r="B39" s="201"/>
      <c r="C39" s="202"/>
      <c r="D39" s="66">
        <f>IFERROR('0819'!F40,"")</f>
      </c>
      <c r="E39" s="66"/>
      <c r="F39" s="68">
        <f t="shared" si="6"/>
      </c>
      <c r="G39" s="115"/>
      <c r="H39" s="106"/>
      <c r="I39" s="104"/>
      <c r="J39" s="198"/>
      <c r="K39" s="199"/>
      <c r="L39" s="107"/>
      <c r="M39" s="111"/>
      <c r="N39" s="103"/>
      <c r="O39" s="300"/>
      <c r="V39" s="98"/>
      <c r="W39" s="98"/>
    </row>
    <row r="40" spans="1:23" s="38" customFormat="1" ht="21.75" customHeight="1" x14ac:dyDescent="0.4">
      <c r="A40" s="200"/>
      <c r="B40" s="201"/>
      <c r="C40" s="202"/>
      <c r="D40" s="66">
        <f>IFERROR('0819'!F41,"")</f>
      </c>
      <c r="E40" s="66"/>
      <c r="F40" s="68">
        <f t="shared" si="6"/>
      </c>
      <c r="G40" s="112"/>
      <c r="H40" s="112"/>
      <c r="I40" s="113"/>
      <c r="J40" s="107"/>
      <c r="K40" s="108"/>
      <c r="L40" s="107"/>
      <c r="M40" s="114"/>
      <c r="N40" s="103"/>
      <c r="O40" s="300"/>
      <c r="V40" s="98"/>
      <c r="W40" s="98"/>
    </row>
    <row r="41" spans="1:23" s="38" customFormat="1" ht="21.75" customHeight="1" thickBot="1" x14ac:dyDescent="0.45">
      <c r="A41" s="209"/>
      <c r="B41" s="210"/>
      <c r="C41" s="211"/>
      <c r="D41" s="76"/>
      <c r="E41" s="76"/>
      <c r="F41" s="77">
        <f>IFERROR(D41+E41,"")</f>
      </c>
      <c r="G41" s="212" t="s">
        <v>26</v>
      </c>
      <c r="H41" s="213"/>
      <c r="I41" s="214"/>
      <c r="J41" s="215">
        <f>IFERROR(SUM(J28:K39,D28:D41),"")</f>
      </c>
      <c r="K41" s="336"/>
      <c r="L41" s="78">
        <f>IFERROR(SUM(E28:E41,L28:L39),"")</f>
      </c>
      <c r="M41" s="78">
        <f>IFERROR(SUM(M28:M39,F28:F41),"")</f>
      </c>
      <c r="N41" s="79"/>
      <c r="O41" s="300"/>
      <c r="V41" s="98"/>
      <c r="W41" s="98"/>
    </row>
    <row r="42" spans="1:23" s="60" customFormat="1" ht="21.75" customHeight="1" thickBot="1" x14ac:dyDescent="0.45">
      <c r="A42" s="81" t="s">
        <v>29</v>
      </c>
      <c r="B42" s="82"/>
      <c r="C42" s="83"/>
      <c r="D42" s="83"/>
      <c r="E42" s="83"/>
      <c r="F42" s="84"/>
      <c r="G42" s="84"/>
      <c r="H42" s="84"/>
      <c r="I42" s="84"/>
      <c r="J42" s="84"/>
      <c r="K42" s="83" t="s">
        <v>9</v>
      </c>
      <c r="L42" s="83" t="s">
        <v>9</v>
      </c>
      <c r="M42" s="83"/>
      <c r="N42" s="85" t="inlineStr">
        <is>
          <t xml:space="preserve">(단위: </t>
        </is>
      </c>
      <c r="O42" s="296"/>
      <c r="P42" s="38"/>
      <c r="Q42" s="38"/>
      <c r="R42" s="38"/>
      <c r="S42" s="38"/>
      <c r="V42" s="101"/>
      <c r="W42" s="101"/>
    </row>
    <row r="43" spans="1:23" s="60" customFormat="1" ht="21.75" customHeight="1" x14ac:dyDescent="0.4">
      <c r="A43" s="191" t="s">
        <v>38</v>
      </c>
      <c r="B43" s="325"/>
      <c r="C43" s="326"/>
      <c r="D43" s="23" t="s">
        <v>36</v>
      </c>
      <c r="E43" s="86" t="s">
        <v>13</v>
      </c>
      <c r="F43" s="87" t="s">
        <v>21</v>
      </c>
      <c r="G43" s="192" t="s">
        <v>38</v>
      </c>
      <c r="H43" s="322"/>
      <c r="I43" s="323"/>
      <c r="J43" s="149" t="s">
        <v>36</v>
      </c>
      <c r="K43" s="326"/>
      <c r="L43" s="88" t="s">
        <v>34</v>
      </c>
      <c r="M43" s="123" t="s">
        <v>21</v>
      </c>
      <c r="N43" s="89" t="s">
        <v>4</v>
      </c>
      <c r="O43" s="296"/>
      <c r="P43" s="38"/>
      <c r="Q43" s="38"/>
      <c r="R43" s="38"/>
      <c r="S43" s="38"/>
      <c r="V43" s="101"/>
      <c r="W43" s="101"/>
    </row>
    <row r="44" spans="1:23" s="38" customFormat="1" ht="21.75" customHeight="1" x14ac:dyDescent="0.4">
      <c r="A44" s="203" t="s">
        <v>67</v>
      </c>
      <c r="B44" s="204"/>
      <c r="C44" s="205"/>
      <c r="D44" s="66">
        <f>IFERROR('0822 '!F44,"")</f>
      </c>
      <c r="E44" s="66"/>
      <c r="F44" s="66">
        <f t="shared" ref="F44:F51" si="7">IFERROR(D44+E44,"")</f>
      </c>
      <c r="G44" s="206"/>
      <c r="H44" s="207"/>
      <c r="I44" s="208"/>
      <c r="J44" s="198"/>
      <c r="K44" s="199"/>
      <c r="L44" s="66"/>
      <c r="M44" s="66"/>
      <c r="N44" s="90"/>
      <c r="O44" s="292"/>
      <c r="V44" s="98"/>
      <c r="W44" s="98"/>
    </row>
    <row r="45" spans="1:23" s="38" customFormat="1" ht="21.75" customHeight="1" x14ac:dyDescent="0.4">
      <c r="A45" s="203"/>
      <c r="B45" s="204"/>
      <c r="C45" s="205"/>
      <c r="D45" s="66">
        <f>IFERROR('0819'!F46,"")</f>
      </c>
      <c r="E45" s="108"/>
      <c r="F45" s="68">
        <f t="shared" si="7"/>
      </c>
      <c r="G45" s="206"/>
      <c r="H45" s="207"/>
      <c r="I45" s="208"/>
      <c r="J45" s="198"/>
      <c r="K45" s="199"/>
      <c r="L45" s="66"/>
      <c r="M45" s="66"/>
      <c r="N45" s="90"/>
      <c r="O45" s="292"/>
      <c r="P45" s="60"/>
      <c r="Q45" s="60"/>
      <c r="R45" s="60"/>
      <c r="S45" s="60"/>
      <c r="V45" s="98"/>
      <c r="W45" s="98"/>
    </row>
    <row r="46" spans="1:23" s="38" customFormat="1" ht="21.75" customHeight="1" x14ac:dyDescent="0.4">
      <c r="A46" s="203"/>
      <c r="B46" s="204"/>
      <c r="C46" s="205"/>
      <c r="D46" s="66">
        <f>IFERROR('0819'!F47,"")</f>
      </c>
      <c r="E46" s="108"/>
      <c r="F46" s="68">
        <f t="shared" si="7"/>
      </c>
      <c r="G46" s="206"/>
      <c r="H46" s="207"/>
      <c r="I46" s="208"/>
      <c r="J46" s="198"/>
      <c r="K46" s="199"/>
      <c r="L46" s="66"/>
      <c r="M46" s="66"/>
      <c r="N46" s="90"/>
      <c r="O46" s="292"/>
      <c r="P46" s="60"/>
      <c r="Q46" s="60"/>
      <c r="R46" s="60"/>
      <c r="S46" s="60"/>
      <c r="V46" s="98"/>
      <c r="W46" s="98"/>
    </row>
    <row r="47" spans="1:23" s="38" customFormat="1" ht="21.75" customHeight="1" x14ac:dyDescent="0.4">
      <c r="A47" s="203"/>
      <c r="B47" s="204"/>
      <c r="C47" s="205"/>
      <c r="D47" s="66">
        <f>IFERROR('0819'!F48,"")</f>
      </c>
      <c r="E47" s="66"/>
      <c r="F47" s="68">
        <f t="shared" si="7"/>
      </c>
      <c r="G47" s="206"/>
      <c r="H47" s="207"/>
      <c r="I47" s="208"/>
      <c r="J47" s="198"/>
      <c r="K47" s="199"/>
      <c r="L47" s="66"/>
      <c r="M47" s="66"/>
      <c r="N47" s="90"/>
      <c r="O47" s="292"/>
      <c r="V47" s="98"/>
      <c r="W47" s="98"/>
    </row>
    <row r="48" spans="1:23" s="38" customFormat="1" ht="21.75" customHeight="1" x14ac:dyDescent="0.4">
      <c r="A48" s="203"/>
      <c r="B48" s="204"/>
      <c r="C48" s="205"/>
      <c r="D48" s="66">
        <f>IFERROR('0819'!F49,"")</f>
      </c>
      <c r="E48" s="66"/>
      <c r="F48" s="68">
        <f t="shared" si="7"/>
      </c>
      <c r="G48" s="206"/>
      <c r="H48" s="207"/>
      <c r="I48" s="208"/>
      <c r="J48" s="198"/>
      <c r="K48" s="199"/>
      <c r="L48" s="66"/>
      <c r="M48" s="66"/>
      <c r="N48" s="91"/>
      <c r="O48" s="292"/>
      <c r="V48" s="98"/>
      <c r="W48" s="98"/>
    </row>
    <row r="49" spans="1:23" s="38" customFormat="1" ht="21.75" customHeight="1" x14ac:dyDescent="0.4">
      <c r="A49" s="203"/>
      <c r="B49" s="204"/>
      <c r="C49" s="205"/>
      <c r="D49" s="66">
        <f>IFERROR('0819'!F50,"")</f>
      </c>
      <c r="E49" s="66"/>
      <c r="F49" s="68">
        <f t="shared" si="7"/>
      </c>
      <c r="G49" s="206"/>
      <c r="H49" s="207"/>
      <c r="I49" s="208"/>
      <c r="J49" s="198"/>
      <c r="K49" s="199"/>
      <c r="L49" s="66"/>
      <c r="M49" s="66"/>
      <c r="N49" s="92"/>
      <c r="O49" s="300"/>
      <c r="V49" s="98"/>
      <c r="W49" s="98"/>
    </row>
    <row r="50" spans="1:23" s="38" customFormat="1" ht="21.75" customHeight="1" x14ac:dyDescent="0.4">
      <c r="A50" s="203"/>
      <c r="B50" s="204"/>
      <c r="C50" s="205"/>
      <c r="D50" s="66">
        <f>IFERROR('0819'!F51,"")</f>
      </c>
      <c r="E50" s="66"/>
      <c r="F50" s="68">
        <f t="shared" si="7"/>
      </c>
      <c r="G50" s="220"/>
      <c r="H50" s="221"/>
      <c r="I50" s="109"/>
      <c r="J50" s="198"/>
      <c r="K50" s="199"/>
      <c r="L50" s="66"/>
      <c r="M50" s="66"/>
      <c r="N50" s="92"/>
      <c r="O50" s="300"/>
      <c r="V50" s="98"/>
      <c r="W50" s="98"/>
    </row>
    <row r="51" spans="1:23" s="38" customFormat="1" ht="21.75" customHeight="1" thickBot="1" x14ac:dyDescent="0.45">
      <c r="A51" s="203"/>
      <c r="B51" s="204"/>
      <c r="C51" s="205"/>
      <c r="D51" s="66">
        <f>IFERROR('0819'!F52,"")</f>
      </c>
      <c r="E51" s="76"/>
      <c r="F51" s="77">
        <f t="shared" si="7"/>
      </c>
      <c r="G51" s="212" t="s">
        <v>26</v>
      </c>
      <c r="H51" s="213"/>
      <c r="I51" s="214"/>
      <c r="J51" s="215">
        <f>IFERROR(SUM(J44:K50,D44:D51),"")</f>
      </c>
      <c r="K51" s="336"/>
      <c r="L51" s="78">
        <f>IFERROR(SUM(L44:L50,E44:E51),"")</f>
      </c>
      <c r="M51" s="78">
        <f>IFERROR(SUM(M44:M50,F44:F51),"")</f>
      </c>
      <c r="N51" s="93"/>
      <c r="O51" s="80">
        <f>IFERROR(M51+M41+'[2]0715'!$M$37+'[2]0715'!$M$48,"")</f>
      </c>
      <c r="V51" s="98"/>
      <c r="W51" s="98"/>
    </row>
    <row r="52" spans="1:23" s="60" customFormat="1" ht="21.75" customHeight="1" thickBot="1" x14ac:dyDescent="0.45">
      <c r="A52" s="18" t="s">
        <v>28</v>
      </c>
      <c r="B52" s="19"/>
      <c r="C52" s="20"/>
      <c r="D52" s="20"/>
      <c r="E52" s="20"/>
      <c r="F52" s="21"/>
      <c r="G52" s="21"/>
      <c r="H52" s="21"/>
      <c r="I52" s="21"/>
      <c r="J52" s="21"/>
      <c r="K52" s="20"/>
      <c r="L52" s="20"/>
      <c r="M52" s="20"/>
      <c r="N52" s="22"/>
      <c r="O52" s="297"/>
      <c r="P52" s="38"/>
      <c r="Q52" s="72">
        <f>IFERROR(M41+M51,"")</f>
      </c>
      <c r="R52" s="38"/>
      <c r="S52" s="38"/>
      <c r="V52" s="101"/>
      <c r="W52" s="101"/>
    </row>
    <row r="53" spans="1:23" x14ac:dyDescent="0.4">
      <c r="A53" s="217" t="s">
        <v>27</v>
      </c>
      <c r="B53" s="338"/>
      <c r="C53" s="146" t="s">
        <v>49</v>
      </c>
      <c r="D53" s="322"/>
      <c r="E53" s="322"/>
      <c r="F53" s="322"/>
      <c r="G53" s="323"/>
      <c r="H53" s="146" t="s">
        <v>48</v>
      </c>
      <c r="I53" s="322"/>
      <c r="J53" s="322"/>
      <c r="K53" s="322"/>
      <c r="L53" s="322"/>
      <c r="M53" s="322"/>
      <c r="N53" s="339"/>
    </row>
    <row r="54" spans="1:23" ht="17.25" customHeight="1" x14ac:dyDescent="0.4">
      <c r="A54" s="228"/>
      <c r="B54" s="223"/>
      <c r="C54" s="230"/>
      <c r="D54" s="231"/>
      <c r="E54" s="231"/>
      <c r="F54" s="231"/>
      <c r="G54" s="232"/>
      <c r="H54" s="233"/>
      <c r="I54" s="234"/>
      <c r="J54" s="234"/>
      <c r="K54" s="234"/>
      <c r="L54" s="234"/>
      <c r="M54" s="234"/>
      <c r="N54" s="235"/>
    </row>
    <row r="55" spans="1:23" ht="17.25" customHeight="1" x14ac:dyDescent="0.4">
      <c r="A55" s="229"/>
      <c r="B55" s="225"/>
      <c r="C55" s="236" t="s">
        <v>71</v>
      </c>
      <c r="D55" s="237"/>
      <c r="E55" s="237"/>
      <c r="F55" s="237"/>
      <c r="G55" s="238"/>
      <c r="H55" s="239" t="str">
        <f>IFERROR(C55,"")</f>
        <v>율촌산단7로 측량, 굴착 및 배관공사</v>
      </c>
      <c r="I55" s="240"/>
      <c r="J55" s="240"/>
      <c r="K55" s="240"/>
      <c r="L55" s="240"/>
      <c r="M55" s="240"/>
      <c r="N55" s="241"/>
    </row>
    <row r="56" spans="1:23" ht="17.25" customHeight="1" x14ac:dyDescent="0.4">
      <c r="A56" s="229"/>
      <c r="B56" s="225"/>
      <c r="C56" s="236"/>
      <c r="D56" s="237"/>
      <c r="E56" s="237"/>
      <c r="F56" s="237"/>
      <c r="G56" s="238"/>
      <c r="H56" s="239"/>
      <c r="I56" s="240"/>
      <c r="J56" s="240"/>
      <c r="K56" s="240"/>
      <c r="L56" s="240"/>
      <c r="M56" s="240"/>
      <c r="N56" s="241"/>
    </row>
    <row r="57" spans="1:23" ht="16.5" customHeight="1" x14ac:dyDescent="0.4">
      <c r="A57" s="222" t="s">
        <v>37</v>
      </c>
      <c r="B57" s="223"/>
      <c r="C57" s="242"/>
      <c r="D57" s="243"/>
      <c r="E57" s="243"/>
      <c r="F57" s="243"/>
      <c r="G57" s="244"/>
      <c r="H57" s="242"/>
      <c r="I57" s="243"/>
      <c r="J57" s="243"/>
      <c r="K57" s="243"/>
      <c r="L57" s="243"/>
      <c r="M57" s="243"/>
      <c r="N57" s="251"/>
    </row>
    <row r="58" spans="1:23" ht="16.5" customHeight="1" x14ac:dyDescent="0.4">
      <c r="A58" s="224"/>
      <c r="B58" s="225"/>
      <c r="C58" s="245"/>
      <c r="D58" s="246"/>
      <c r="E58" s="246"/>
      <c r="F58" s="246"/>
      <c r="G58" s="247"/>
      <c r="H58" s="245"/>
      <c r="I58" s="246"/>
      <c r="J58" s="246"/>
      <c r="K58" s="246"/>
      <c r="L58" s="246"/>
      <c r="M58" s="246"/>
      <c r="N58" s="252"/>
    </row>
    <row r="59" spans="1:23" ht="16.5" customHeight="1" x14ac:dyDescent="0.4">
      <c r="A59" s="224"/>
      <c r="B59" s="225"/>
      <c r="C59" s="245"/>
      <c r="D59" s="246"/>
      <c r="E59" s="246"/>
      <c r="F59" s="246"/>
      <c r="G59" s="247"/>
      <c r="H59" s="245"/>
      <c r="I59" s="246"/>
      <c r="J59" s="246"/>
      <c r="K59" s="246"/>
      <c r="L59" s="246"/>
      <c r="M59" s="246"/>
      <c r="N59" s="252"/>
    </row>
    <row r="60" spans="1:23" ht="16.5" customHeight="1" x14ac:dyDescent="0.4">
      <c r="A60" s="224"/>
      <c r="B60" s="225"/>
      <c r="C60" s="245"/>
      <c r="D60" s="246"/>
      <c r="E60" s="246"/>
      <c r="F60" s="246"/>
      <c r="G60" s="247"/>
      <c r="H60" s="245"/>
      <c r="I60" s="246"/>
      <c r="J60" s="246"/>
      <c r="K60" s="246"/>
      <c r="L60" s="246"/>
      <c r="M60" s="246"/>
      <c r="N60" s="252"/>
    </row>
    <row r="61" spans="1:23" ht="16.5" customHeight="1" x14ac:dyDescent="0.4">
      <c r="A61" s="224"/>
      <c r="B61" s="225"/>
      <c r="C61" s="245"/>
      <c r="D61" s="246"/>
      <c r="E61" s="246"/>
      <c r="F61" s="246"/>
      <c r="G61" s="247"/>
      <c r="H61" s="245"/>
      <c r="I61" s="246"/>
      <c r="J61" s="246"/>
      <c r="K61" s="246"/>
      <c r="L61" s="246"/>
      <c r="M61" s="246"/>
      <c r="N61" s="252"/>
    </row>
    <row r="62" spans="1:23" ht="16.5" customHeight="1" x14ac:dyDescent="0.4">
      <c r="A62" s="224"/>
      <c r="B62" s="225"/>
      <c r="C62" s="245"/>
      <c r="D62" s="246"/>
      <c r="E62" s="246"/>
      <c r="F62" s="246"/>
      <c r="G62" s="247"/>
      <c r="H62" s="245"/>
      <c r="I62" s="246"/>
      <c r="J62" s="246"/>
      <c r="K62" s="246"/>
      <c r="L62" s="246"/>
      <c r="M62" s="246"/>
      <c r="N62" s="252"/>
    </row>
    <row r="63" spans="1:23" ht="16.5" customHeight="1" x14ac:dyDescent="0.4">
      <c r="A63" s="224"/>
      <c r="B63" s="225"/>
      <c r="C63" s="245"/>
      <c r="D63" s="246"/>
      <c r="E63" s="246"/>
      <c r="F63" s="246"/>
      <c r="G63" s="247"/>
      <c r="H63" s="245"/>
      <c r="I63" s="246"/>
      <c r="J63" s="246"/>
      <c r="K63" s="246"/>
      <c r="L63" s="246"/>
      <c r="M63" s="246"/>
      <c r="N63" s="252"/>
    </row>
    <row r="64" spans="1:23" ht="16.5" customHeight="1" x14ac:dyDescent="0.4">
      <c r="A64" s="224"/>
      <c r="B64" s="225"/>
      <c r="C64" s="245"/>
      <c r="D64" s="246"/>
      <c r="E64" s="246"/>
      <c r="F64" s="246"/>
      <c r="G64" s="247"/>
      <c r="H64" s="245"/>
      <c r="I64" s="246"/>
      <c r="J64" s="246"/>
      <c r="K64" s="246"/>
      <c r="L64" s="246"/>
      <c r="M64" s="246"/>
      <c r="N64" s="252"/>
    </row>
    <row r="65" spans="1:14" ht="18" thickBot="1" x14ac:dyDescent="0.45">
      <c r="A65" s="226"/>
      <c r="B65" s="227"/>
      <c r="C65" s="248"/>
      <c r="D65" s="249"/>
      <c r="E65" s="249"/>
      <c r="F65" s="249"/>
      <c r="G65" s="250"/>
      <c r="H65" s="248"/>
      <c r="I65" s="249"/>
      <c r="J65" s="249"/>
      <c r="K65" s="249"/>
      <c r="L65" s="249"/>
      <c r="M65" s="249"/>
      <c r="N65" s="253"/>
    </row>
  </sheetData>
  <mergeCells count="120">
    <mergeCell ref="A8:A9"/>
    <mergeCell ref="B8:B9"/>
    <mergeCell ref="C8:C9"/>
    <mergeCell ref="D8:D9"/>
    <mergeCell ref="F8:I8"/>
    <mergeCell ref="J8:M8"/>
    <mergeCell ref="H9:I9"/>
    <mergeCell ref="J9:K9"/>
    <mergeCell ref="A1:N1"/>
    <mergeCell ref="H3:J4"/>
    <mergeCell ref="L4:L6"/>
    <mergeCell ref="M4:M6"/>
    <mergeCell ref="N4:N6"/>
    <mergeCell ref="H5:J6"/>
    <mergeCell ref="J14:K14"/>
    <mergeCell ref="H15:I15"/>
    <mergeCell ref="J15:K15"/>
    <mergeCell ref="A16:A24"/>
    <mergeCell ref="H16:I16"/>
    <mergeCell ref="J16:K16"/>
    <mergeCell ref="H17:I17"/>
    <mergeCell ref="J17:K17"/>
    <mergeCell ref="H18:I18"/>
    <mergeCell ref="J18:K18"/>
    <mergeCell ref="A10:A15"/>
    <mergeCell ref="H10:I10"/>
    <mergeCell ref="J10:K10"/>
    <mergeCell ref="H11:I11"/>
    <mergeCell ref="J11:K11"/>
    <mergeCell ref="H12:I12"/>
    <mergeCell ref="J12:K12"/>
    <mergeCell ref="H13:I13"/>
    <mergeCell ref="J13:K13"/>
    <mergeCell ref="H14:I14"/>
    <mergeCell ref="H22:I22"/>
    <mergeCell ref="J22:K22"/>
    <mergeCell ref="H23:I23"/>
    <mergeCell ref="J23:K23"/>
    <mergeCell ref="H24:I24"/>
    <mergeCell ref="J24:K24"/>
    <mergeCell ref="H19:I19"/>
    <mergeCell ref="J19:K19"/>
    <mergeCell ref="H20:I20"/>
    <mergeCell ref="J20:K20"/>
    <mergeCell ref="H21:I21"/>
    <mergeCell ref="J21:K21"/>
    <mergeCell ref="A28:C28"/>
    <mergeCell ref="J28:K28"/>
    <mergeCell ref="A29:C29"/>
    <mergeCell ref="J29:K29"/>
    <mergeCell ref="A30:C30"/>
    <mergeCell ref="J30:K30"/>
    <mergeCell ref="A25:D25"/>
    <mergeCell ref="H25:I25"/>
    <mergeCell ref="J25:K25"/>
    <mergeCell ref="A27:C27"/>
    <mergeCell ref="G27:I27"/>
    <mergeCell ref="J27:K27"/>
    <mergeCell ref="A34:C34"/>
    <mergeCell ref="J34:K34"/>
    <mergeCell ref="A35:C35"/>
    <mergeCell ref="J35:K35"/>
    <mergeCell ref="A36:C36"/>
    <mergeCell ref="J36:K36"/>
    <mergeCell ref="A31:C31"/>
    <mergeCell ref="J31:K31"/>
    <mergeCell ref="A32:C32"/>
    <mergeCell ref="J32:K32"/>
    <mergeCell ref="A33:C33"/>
    <mergeCell ref="J33:K33"/>
    <mergeCell ref="A40:C40"/>
    <mergeCell ref="A41:C41"/>
    <mergeCell ref="G41:I41"/>
    <mergeCell ref="J41:K41"/>
    <mergeCell ref="A43:C43"/>
    <mergeCell ref="G43:I43"/>
    <mergeCell ref="J43:K43"/>
    <mergeCell ref="A37:C37"/>
    <mergeCell ref="J37:K37"/>
    <mergeCell ref="A38:C38"/>
    <mergeCell ref="J38:K38"/>
    <mergeCell ref="A39:C39"/>
    <mergeCell ref="J39:K39"/>
    <mergeCell ref="A46:C46"/>
    <mergeCell ref="G46:I46"/>
    <mergeCell ref="J46:K46"/>
    <mergeCell ref="A47:C47"/>
    <mergeCell ref="G47:I47"/>
    <mergeCell ref="J47:K47"/>
    <mergeCell ref="A44:C44"/>
    <mergeCell ref="G44:I44"/>
    <mergeCell ref="J44:K44"/>
    <mergeCell ref="A45:C45"/>
    <mergeCell ref="G45:I45"/>
    <mergeCell ref="J45:K45"/>
    <mergeCell ref="A50:C50"/>
    <mergeCell ref="G50:H50"/>
    <mergeCell ref="J50:K50"/>
    <mergeCell ref="A51:C51"/>
    <mergeCell ref="G51:I51"/>
    <mergeCell ref="J51:K51"/>
    <mergeCell ref="A48:C48"/>
    <mergeCell ref="G48:I48"/>
    <mergeCell ref="J48:K48"/>
    <mergeCell ref="A49:C49"/>
    <mergeCell ref="G49:I49"/>
    <mergeCell ref="J49:K49"/>
    <mergeCell ref="A57:B65"/>
    <mergeCell ref="C57:G65"/>
    <mergeCell ref="H57:N65"/>
    <mergeCell ref="A53:B53"/>
    <mergeCell ref="C53:G53"/>
    <mergeCell ref="H53:N53"/>
    <mergeCell ref="A54:B56"/>
    <mergeCell ref="C54:G54"/>
    <mergeCell ref="H54:N54"/>
    <mergeCell ref="C55:G55"/>
    <mergeCell ref="H55:N55"/>
    <mergeCell ref="C56:G56"/>
    <mergeCell ref="H56:N56"/>
  </mergeCells>
  <phoneticPr fontId="13" type="noConversion"/>
  <printOptions horizontalCentered="1" verticalCentered="1"/>
  <pageMargins left="0.19666667282581329" right="0.19666667282581329" top="0.74750000238418579" bottom="0.55097222328186035" header="0.31486111879348755" footer="0.31486111879348755"/>
  <pageSetup paperSize="9" scale="58" orientation="portrait" r:id="rId1"/>
  <rowBreaks count="1" manualBreakCount="1">
    <brk id="45" max="1048575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65"/>
  <sheetViews>
    <sheetView showGridLines="0" view="pageBreakPreview" zoomScaleNormal="85" zoomScaleSheetLayoutView="100" workbookViewId="0">
      <selection activeCell="D10" sqref="D10"/>
    </sheetView>
  </sheetViews>
  <sheetFormatPr defaultColWidth="9" defaultRowHeight="19.2" x14ac:dyDescent="0.4"/>
  <cols>
    <col min="1" max="1" width="8.59765625" style="94" customWidth="1"/>
    <col min="2" max="2" width="16.69921875" style="94" customWidth="1"/>
    <col min="3" max="3" width="6" style="94" customWidth="1"/>
    <col min="4" max="4" width="13" style="94" customWidth="1"/>
    <col min="5" max="5" width="11.3984375" style="94" customWidth="1"/>
    <col min="6" max="6" width="12.8984375" style="95" customWidth="1"/>
    <col min="7" max="7" width="11.69921875" style="95" customWidth="1"/>
    <col min="8" max="8" width="6.69921875" style="95" customWidth="1"/>
    <col min="9" max="9" width="6.19921875" style="95" customWidth="1"/>
    <col min="10" max="10" width="5" style="95" customWidth="1"/>
    <col min="11" max="11" width="5.59765625" style="94" customWidth="1"/>
    <col min="12" max="13" width="10.59765625" style="94" customWidth="1"/>
    <col min="14" max="14" width="13.5" style="96" customWidth="1"/>
    <col min="15" max="15" width="17.69921875" style="1" hidden="1" customWidth="1"/>
    <col min="16" max="19" width="12.69921875" style="2" hidden="1" customWidth="1"/>
    <col min="20" max="20" width="10.19921875" style="2" customWidth="1"/>
    <col min="21" max="21" width="9" style="2" customWidth="1"/>
    <col min="22" max="22" width="10.8984375" style="97" customWidth="1"/>
    <col min="23" max="23" width="10" style="97" bestFit="1" customWidth="1"/>
    <col min="24" max="24" width="10.8984375" style="2" bestFit="1" customWidth="1"/>
    <col min="25" max="25" width="14.19921875" style="2" bestFit="1" customWidth="1"/>
    <col min="26" max="16384" width="9" style="2"/>
  </cols>
  <sheetData>
    <row r="1" spans="1:23" ht="40.200000000000003" x14ac:dyDescent="0.4">
      <c r="A1" s="156" t="s">
        <v>40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23" ht="21" thickBot="1" x14ac:dyDescent="0.45">
      <c r="A2" s="3"/>
      <c r="B2" s="3"/>
      <c r="C2" s="3"/>
      <c r="D2" s="3"/>
      <c r="E2" s="3"/>
      <c r="F2" s="4"/>
      <c r="G2" s="4"/>
      <c r="H2" s="4"/>
      <c r="I2" s="4"/>
      <c r="J2" s="4"/>
      <c r="K2" s="3"/>
      <c r="L2" s="3"/>
      <c r="M2" s="3"/>
      <c r="N2" s="5"/>
    </row>
    <row r="3" spans="1:23" ht="21" customHeight="1" thickBot="1" x14ac:dyDescent="0.45">
      <c r="A3" s="6" t="inlineStr">
        <is>
          <t xml:space="preserve">공 사 명  : </t>
        </is>
      </c>
      <c r="B3" s="6"/>
      <c r="C3" s="7"/>
      <c r="D3" s="3"/>
      <c r="E3" s="3"/>
      <c r="F3" s="4"/>
      <c r="G3" s="4"/>
      <c r="H3" s="157" t="s">
        <v>42</v>
      </c>
      <c r="I3" s="158"/>
      <c r="J3" s="159"/>
      <c r="K3" s="8" t="s">
        <v>9</v>
      </c>
      <c r="L3" s="139" t="s">
        <v>18</v>
      </c>
      <c r="M3" s="139" t="s">
        <v>75</v>
      </c>
      <c r="N3" s="138"/>
    </row>
    <row r="4" spans="1:23" ht="21" customHeight="1" thickBot="1" x14ac:dyDescent="0.45">
      <c r="A4" s="6"/>
      <c r="B4" s="6"/>
      <c r="C4" s="7"/>
      <c r="D4" s="3"/>
      <c r="E4" s="3"/>
      <c r="F4" s="4"/>
      <c r="G4" s="4"/>
      <c r="H4" s="160"/>
      <c r="I4" s="161"/>
      <c r="J4" s="162"/>
      <c r="K4" s="11" t="s">
        <v>24</v>
      </c>
      <c r="L4" s="138"/>
      <c r="M4" s="138"/>
      <c r="N4" s="138"/>
    </row>
    <row r="5" spans="1:23" ht="21" customHeight="1" thickBot="1" x14ac:dyDescent="0.45">
      <c r="A5" s="6"/>
      <c r="B5" s="6"/>
      <c r="C5" s="7"/>
      <c r="D5" s="3"/>
      <c r="E5" s="3"/>
      <c r="F5" s="4"/>
      <c r="G5" s="4"/>
      <c r="H5" s="172" t="s">
        <v>74</v>
      </c>
      <c r="I5" s="173"/>
      <c r="J5" s="174"/>
      <c r="K5" s="11" t="s">
        <v>8</v>
      </c>
      <c r="L5" s="138"/>
      <c r="M5" s="138"/>
      <c r="N5" s="138"/>
    </row>
    <row r="6" spans="1:23" ht="21" customHeight="1" thickBot="1" x14ac:dyDescent="0.45">
      <c r="A6" s="267"/>
      <c r="B6" s="268"/>
      <c r="C6" s="269"/>
      <c r="D6" s="269"/>
      <c r="E6" s="269"/>
      <c r="F6" s="270"/>
      <c r="G6" s="4"/>
      <c r="H6" s="175"/>
      <c r="I6" s="176"/>
      <c r="J6" s="177"/>
      <c r="K6" s="136" t="s">
        <v>9</v>
      </c>
      <c r="L6" s="138"/>
      <c r="M6" s="138"/>
      <c r="N6" s="138"/>
      <c r="O6" s="271"/>
    </row>
    <row r="7" spans="1:23" ht="21" customHeight="1" thickBot="1" x14ac:dyDescent="0.45">
      <c r="A7" s="18" t="s">
        <v>25</v>
      </c>
      <c r="B7" s="19"/>
      <c r="C7" s="20"/>
      <c r="D7" s="20"/>
      <c r="E7" s="20"/>
      <c r="F7" s="21"/>
      <c r="G7" s="21"/>
      <c r="H7" s="21"/>
      <c r="I7" s="21"/>
      <c r="J7" s="21"/>
      <c r="K7" s="20"/>
      <c r="L7" s="137"/>
      <c r="M7" s="137"/>
      <c r="N7" s="135"/>
      <c r="O7" s="271"/>
    </row>
    <row r="8" spans="1:23" ht="21.75" customHeight="1" x14ac:dyDescent="0.4">
      <c r="A8" s="142" t="s">
        <v>3</v>
      </c>
      <c r="B8" s="144" t="s">
        <v>39</v>
      </c>
      <c r="C8" s="144" t="s">
        <v>22</v>
      </c>
      <c r="D8" s="144" t="s">
        <v>2</v>
      </c>
      <c r="E8" s="23" t="s">
        <v>16</v>
      </c>
      <c r="F8" s="146" t="s">
        <v>30</v>
      </c>
      <c r="G8" s="322"/>
      <c r="H8" s="322"/>
      <c r="I8" s="323"/>
      <c r="J8" s="149" t="s">
        <v>32</v>
      </c>
      <c r="K8" s="325"/>
      <c r="L8" s="325"/>
      <c r="M8" s="326"/>
      <c r="N8" s="24" t="s">
        <v>7</v>
      </c>
      <c r="O8" s="271"/>
    </row>
    <row r="9" spans="1:23" ht="21.75" customHeight="1" x14ac:dyDescent="0.4">
      <c r="A9" s="318"/>
      <c r="B9" s="320"/>
      <c r="C9" s="320"/>
      <c r="D9" s="320"/>
      <c r="E9" s="124" t="s">
        <v>11</v>
      </c>
      <c r="F9" s="25" t="s">
        <v>1</v>
      </c>
      <c r="G9" s="25" t="s">
        <v>13</v>
      </c>
      <c r="H9" s="152" t="s">
        <v>21</v>
      </c>
      <c r="I9" s="328"/>
      <c r="J9" s="154" t="s">
        <v>1</v>
      </c>
      <c r="K9" s="330"/>
      <c r="L9" s="26" t="s">
        <v>13</v>
      </c>
      <c r="M9" s="26" t="s">
        <v>21</v>
      </c>
      <c r="N9" s="27" t="s">
        <v>11</v>
      </c>
      <c r="O9" s="271"/>
    </row>
    <row r="10" spans="1:23" s="38" customFormat="1" ht="21.75" customHeight="1" x14ac:dyDescent="0.4">
      <c r="A10" s="185" t="s">
        <v>10</v>
      </c>
      <c r="B10" s="28" t="str">
        <f>IFERROR('0819'!B10,"")</f>
        <v>토공사</v>
      </c>
      <c r="C10" s="28" t="str">
        <f>IFERROR('0819'!C10,"")</f>
        <v>%</v>
      </c>
      <c r="D10" s="134">
        <f>IFERROR('0819'!D10,"")</f>
      </c>
      <c r="E10" s="311"/>
      <c r="F10" s="32">
        <f>IFERROR(SUM('0822 '!H10:I10),"")</f>
      </c>
      <c r="G10" s="281"/>
      <c r="H10" s="187">
        <f t="shared" ref="H10:H24" si="0">IFERROR(G10+F10,"")</f>
      </c>
      <c r="I10" s="188"/>
      <c r="J10" s="189">
        <f>IFERROR('0823'!M10,"")</f>
      </c>
      <c r="K10" s="190"/>
      <c r="L10" s="34">
        <f t="shared" ref="L10:L15" si="1">IFERROR((G10/D10)*E10,"")</f>
      </c>
      <c r="M10" s="35">
        <f t="shared" ref="M10:M15" si="2">IFERROR(J10+L10,"")</f>
      </c>
      <c r="N10" s="36">
        <f t="shared" ref="N10:N15" si="3">IFERROR(M10,"")</f>
      </c>
      <c r="O10" s="284"/>
      <c r="V10" s="98"/>
      <c r="W10" s="98"/>
    </row>
    <row r="11" spans="1:23" s="38" customFormat="1" ht="21.75" customHeight="1" x14ac:dyDescent="0.4">
      <c r="A11" s="186"/>
      <c r="B11" s="28" t="str">
        <f>IFERROR('0819'!B11,"")</f>
        <v>배수공사</v>
      </c>
      <c r="C11" s="28">
        <f>IFERROR('0819'!C11,"")</f>
      </c>
      <c r="D11" s="134">
        <f>IFERROR('0819'!D11,"")</f>
      </c>
      <c r="E11" s="129"/>
      <c r="F11" s="32">
        <f>IFERROR(SUM('0822 '!H11:I11),"")</f>
      </c>
      <c r="G11" s="40"/>
      <c r="H11" s="187">
        <f t="shared" si="0"/>
      </c>
      <c r="I11" s="188"/>
      <c r="J11" s="189">
        <f>IFERROR('0823'!M11,"")</f>
      </c>
      <c r="K11" s="190"/>
      <c r="L11" s="34">
        <f t="shared" si="1"/>
      </c>
      <c r="M11" s="35">
        <f t="shared" si="2"/>
      </c>
      <c r="N11" s="36">
        <f t="shared" si="3"/>
      </c>
      <c r="O11" s="284"/>
      <c r="V11" s="98"/>
      <c r="W11" s="98"/>
    </row>
    <row r="12" spans="1:23" s="38" customFormat="1" ht="21.75" customHeight="1" x14ac:dyDescent="0.4">
      <c r="A12" s="186"/>
      <c r="B12" s="28" t="str">
        <f>IFERROR('0819'!B12,"")</f>
        <v>1. 측구공</v>
      </c>
      <c r="C12" s="28" t="str">
        <f>IFERROR('0819'!C12,"")</f>
        <v>%</v>
      </c>
      <c r="D12" s="134">
        <f>IFERROR('0819'!D12,"")</f>
      </c>
      <c r="E12" s="129"/>
      <c r="F12" s="32">
        <f>IFERROR(SUM('0822 '!H12:I12),"")</f>
      </c>
      <c r="G12" s="40"/>
      <c r="H12" s="187">
        <f t="shared" si="0"/>
      </c>
      <c r="I12" s="188"/>
      <c r="J12" s="189">
        <f>IFERROR('0823'!M12,"")</f>
      </c>
      <c r="K12" s="190"/>
      <c r="L12" s="34">
        <f t="shared" si="1"/>
      </c>
      <c r="M12" s="35">
        <f t="shared" si="2"/>
      </c>
      <c r="N12" s="36">
        <f t="shared" si="3"/>
      </c>
      <c r="O12" s="284"/>
      <c r="V12" s="98"/>
      <c r="W12" s="98"/>
    </row>
    <row r="13" spans="1:23" s="38" customFormat="1" ht="21.75" customHeight="1" x14ac:dyDescent="0.4">
      <c r="A13" s="186"/>
      <c r="B13" s="28" t="str">
        <f>IFERROR('0819'!B13,"")</f>
        <v>2. 옹벽공</v>
      </c>
      <c r="C13" s="28" t="str">
        <f>IFERROR('0819'!C13,"")</f>
        <v>%</v>
      </c>
      <c r="D13" s="134">
        <f>IFERROR('0819'!D13,"")</f>
      </c>
      <c r="E13" s="313"/>
      <c r="F13" s="32">
        <f>IFERROR(SUM('0822 '!H13:I13),"")</f>
      </c>
      <c r="G13" s="281"/>
      <c r="H13" s="187">
        <f t="shared" si="0"/>
      </c>
      <c r="I13" s="188"/>
      <c r="J13" s="189">
        <f>IFERROR('0823'!M13,"")</f>
      </c>
      <c r="K13" s="190"/>
      <c r="L13" s="34">
        <f t="shared" si="1"/>
      </c>
      <c r="M13" s="35">
        <f t="shared" si="2"/>
      </c>
      <c r="N13" s="36">
        <f t="shared" si="3"/>
      </c>
      <c r="O13" s="285"/>
      <c r="V13" s="98"/>
      <c r="W13" s="98"/>
    </row>
    <row r="14" spans="1:23" s="42" customFormat="1" ht="21.75" customHeight="1" x14ac:dyDescent="0.4">
      <c r="A14" s="186"/>
      <c r="B14" s="28" t="str">
        <f>IFERROR('0819'!B14,"")</f>
        <v>3. J형개거</v>
      </c>
      <c r="C14" s="28" t="str">
        <f>IFERROR('0819'!C14,"")</f>
        <v>%</v>
      </c>
      <c r="D14" s="134">
        <f>IFERROR('0819'!D14,"")</f>
      </c>
      <c r="E14" s="313"/>
      <c r="F14" s="32">
        <f>IFERROR(SUM('0822 '!H14:I14),"")</f>
      </c>
      <c r="G14" s="281"/>
      <c r="H14" s="187">
        <f t="shared" si="0"/>
      </c>
      <c r="I14" s="188"/>
      <c r="J14" s="189">
        <f>IFERROR('0823'!M14,"")</f>
      </c>
      <c r="K14" s="190"/>
      <c r="L14" s="34">
        <f t="shared" si="1"/>
      </c>
      <c r="M14" s="35">
        <f t="shared" si="2"/>
      </c>
      <c r="N14" s="36">
        <f t="shared" si="3"/>
      </c>
      <c r="O14" s="285"/>
      <c r="V14" s="305"/>
      <c r="W14" s="305"/>
    </row>
    <row r="15" spans="1:23" s="42" customFormat="1" ht="21.75" customHeight="1" x14ac:dyDescent="0.4">
      <c r="A15" s="186"/>
      <c r="B15" s="28" t="str">
        <f>IFERROR('0819'!B15,"")</f>
        <v>포장공</v>
      </c>
      <c r="C15" s="28" t="str">
        <f>IFERROR('0819'!C15,"")</f>
        <v>%</v>
      </c>
      <c r="D15" s="134">
        <f>IFERROR('0819'!D15,"")</f>
      </c>
      <c r="E15" s="280"/>
      <c r="F15" s="32">
        <f>IFERROR(SUM('0822 '!H15:I15),"")</f>
      </c>
      <c r="G15" s="281"/>
      <c r="H15" s="187">
        <f t="shared" si="0"/>
      </c>
      <c r="I15" s="188"/>
      <c r="J15" s="189">
        <f>IFERROR('0823'!M15,"")</f>
      </c>
      <c r="K15" s="190"/>
      <c r="L15" s="34">
        <f t="shared" si="1"/>
      </c>
      <c r="M15" s="35">
        <f t="shared" si="2"/>
      </c>
      <c r="N15" s="36">
        <f t="shared" si="3"/>
      </c>
      <c r="O15" s="285"/>
      <c r="V15" s="305"/>
      <c r="W15" s="305"/>
    </row>
    <row r="16" spans="1:23" s="42" customFormat="1" ht="21.75" customHeight="1" x14ac:dyDescent="0.4">
      <c r="A16" s="185"/>
      <c r="B16" s="277"/>
      <c r="C16" s="278"/>
      <c r="D16" s="279"/>
      <c r="E16" s="280"/>
      <c r="F16" s="281"/>
      <c r="G16" s="281"/>
      <c r="H16" s="187">
        <f t="shared" si="0"/>
      </c>
      <c r="I16" s="188"/>
      <c r="J16" s="189"/>
      <c r="K16" s="190"/>
      <c r="L16" s="34"/>
      <c r="M16" s="282"/>
      <c r="N16" s="283"/>
      <c r="O16" s="285"/>
      <c r="V16" s="305"/>
      <c r="W16" s="305"/>
    </row>
    <row r="17" spans="1:25" s="42" customFormat="1" ht="21.75" customHeight="1" x14ac:dyDescent="0.4">
      <c r="A17" s="186"/>
      <c r="B17" s="277"/>
      <c r="C17" s="278"/>
      <c r="D17" s="279"/>
      <c r="E17" s="280"/>
      <c r="F17" s="281"/>
      <c r="G17" s="281"/>
      <c r="H17" s="187">
        <f t="shared" si="0"/>
      </c>
      <c r="I17" s="188"/>
      <c r="J17" s="189"/>
      <c r="K17" s="190"/>
      <c r="L17" s="34"/>
      <c r="M17" s="282"/>
      <c r="N17" s="283"/>
      <c r="O17" s="285"/>
      <c r="V17" s="305"/>
      <c r="W17" s="305"/>
    </row>
    <row r="18" spans="1:25" s="42" customFormat="1" ht="21.75" customHeight="1" x14ac:dyDescent="0.4">
      <c r="A18" s="186"/>
      <c r="B18" s="277"/>
      <c r="C18" s="278"/>
      <c r="D18" s="279"/>
      <c r="E18" s="280"/>
      <c r="F18" s="281"/>
      <c r="G18" s="281"/>
      <c r="H18" s="187">
        <f t="shared" si="0"/>
      </c>
      <c r="I18" s="188"/>
      <c r="J18" s="189"/>
      <c r="K18" s="190"/>
      <c r="L18" s="34"/>
      <c r="M18" s="282"/>
      <c r="N18" s="283"/>
      <c r="O18" s="285"/>
      <c r="V18" s="305"/>
      <c r="W18" s="305"/>
      <c r="Y18" s="306"/>
    </row>
    <row r="19" spans="1:25" s="42" customFormat="1" ht="21.75" customHeight="1" x14ac:dyDescent="0.4">
      <c r="A19" s="186"/>
      <c r="B19" s="277"/>
      <c r="C19" s="278"/>
      <c r="D19" s="279"/>
      <c r="E19" s="280"/>
      <c r="F19" s="281"/>
      <c r="G19" s="281"/>
      <c r="H19" s="187">
        <f t="shared" si="0"/>
      </c>
      <c r="I19" s="188"/>
      <c r="J19" s="189"/>
      <c r="K19" s="190"/>
      <c r="L19" s="34"/>
      <c r="M19" s="282"/>
      <c r="N19" s="283"/>
      <c r="O19" s="285"/>
      <c r="V19" s="305"/>
      <c r="W19" s="305"/>
      <c r="Y19" s="305"/>
    </row>
    <row r="20" spans="1:25" s="42" customFormat="1" ht="21.75" customHeight="1" x14ac:dyDescent="0.4">
      <c r="A20" s="186"/>
      <c r="B20" s="277"/>
      <c r="C20" s="278"/>
      <c r="D20" s="279"/>
      <c r="E20" s="280"/>
      <c r="F20" s="281"/>
      <c r="G20" s="281"/>
      <c r="H20" s="187">
        <f t="shared" si="0"/>
      </c>
      <c r="I20" s="188"/>
      <c r="J20" s="189"/>
      <c r="K20" s="190"/>
      <c r="L20" s="34"/>
      <c r="M20" s="282"/>
      <c r="N20" s="283"/>
      <c r="O20" s="285"/>
      <c r="V20" s="305"/>
      <c r="W20" s="305"/>
    </row>
    <row r="21" spans="1:25" s="42" customFormat="1" ht="21.75" customHeight="1" x14ac:dyDescent="0.4">
      <c r="A21" s="186"/>
      <c r="B21" s="277"/>
      <c r="C21" s="278"/>
      <c r="D21" s="279"/>
      <c r="E21" s="280"/>
      <c r="F21" s="281"/>
      <c r="G21" s="281"/>
      <c r="H21" s="187">
        <f t="shared" si="0"/>
      </c>
      <c r="I21" s="188"/>
      <c r="J21" s="189"/>
      <c r="K21" s="190"/>
      <c r="L21" s="34"/>
      <c r="M21" s="282"/>
      <c r="N21" s="283"/>
      <c r="O21" s="285"/>
      <c r="V21" s="305"/>
      <c r="W21" s="305"/>
      <c r="Y21" s="306"/>
    </row>
    <row r="22" spans="1:25" s="42" customFormat="1" ht="21.75" customHeight="1" x14ac:dyDescent="0.4">
      <c r="A22" s="186"/>
      <c r="B22" s="277"/>
      <c r="C22" s="278"/>
      <c r="D22" s="279"/>
      <c r="E22" s="280"/>
      <c r="F22" s="281"/>
      <c r="G22" s="281"/>
      <c r="H22" s="187">
        <f t="shared" si="0"/>
      </c>
      <c r="I22" s="188"/>
      <c r="J22" s="189"/>
      <c r="K22" s="190"/>
      <c r="L22" s="34"/>
      <c r="M22" s="282"/>
      <c r="N22" s="283"/>
      <c r="O22" s="285"/>
      <c r="V22" s="305"/>
      <c r="W22" s="305"/>
      <c r="Y22" s="305"/>
    </row>
    <row r="23" spans="1:25" s="42" customFormat="1" ht="21.75" customHeight="1" x14ac:dyDescent="0.4">
      <c r="A23" s="186"/>
      <c r="B23" s="277"/>
      <c r="C23" s="278"/>
      <c r="D23" s="279"/>
      <c r="E23" s="280"/>
      <c r="F23" s="281"/>
      <c r="G23" s="281"/>
      <c r="H23" s="187">
        <f t="shared" si="0"/>
      </c>
      <c r="I23" s="188"/>
      <c r="J23" s="189"/>
      <c r="K23" s="190"/>
      <c r="L23" s="34"/>
      <c r="M23" s="282"/>
      <c r="N23" s="283"/>
      <c r="O23" s="285"/>
      <c r="V23" s="305"/>
      <c r="W23" s="305"/>
    </row>
    <row r="24" spans="1:25" s="42" customFormat="1" ht="21.75" customHeight="1" x14ac:dyDescent="0.4">
      <c r="A24" s="193"/>
      <c r="B24" s="277"/>
      <c r="C24" s="278"/>
      <c r="D24" s="279"/>
      <c r="E24" s="280"/>
      <c r="F24" s="281"/>
      <c r="G24" s="281"/>
      <c r="H24" s="187">
        <f t="shared" si="0"/>
      </c>
      <c r="I24" s="188"/>
      <c r="J24" s="189"/>
      <c r="K24" s="190"/>
      <c r="L24" s="34"/>
      <c r="M24" s="282"/>
      <c r="N24" s="283"/>
      <c r="O24" s="285"/>
      <c r="V24" s="305"/>
      <c r="W24" s="305"/>
    </row>
    <row r="25" spans="1:25" s="38" customFormat="1" ht="21.75" customHeight="1" thickBot="1" x14ac:dyDescent="0.45">
      <c r="A25" s="178" t="s">
        <v>26</v>
      </c>
      <c r="B25" s="179"/>
      <c r="C25" s="179"/>
      <c r="D25" s="180"/>
      <c r="E25" s="49">
        <f>IFERROR(SUM(E10:E24),"")</f>
      </c>
      <c r="F25" s="50"/>
      <c r="G25" s="50"/>
      <c r="H25" s="181"/>
      <c r="I25" s="182"/>
      <c r="J25" s="183">
        <f>IFERROR(SUM(J10:K24),"")</f>
      </c>
      <c r="K25" s="184">
        <f>IFERROR(SUM(#REF!),"")</f>
      </c>
      <c r="L25" s="122">
        <f>IFERROR(SUM(L10:L24),"")</f>
      </c>
      <c r="M25" s="122">
        <f>IFERROR(SUM(M10:M24),"")</f>
      </c>
      <c r="N25" s="51">
        <f>IFERROR(SUM(N10:N24),"")</f>
      </c>
      <c r="O25" s="292"/>
      <c r="V25" s="98"/>
      <c r="W25" s="98"/>
    </row>
    <row r="26" spans="1:25" s="60" customFormat="1" ht="21.75" customHeight="1" thickBot="1" x14ac:dyDescent="0.45">
      <c r="A26" s="18" t="s">
        <v>31</v>
      </c>
      <c r="B26" s="53"/>
      <c r="C26" s="54"/>
      <c r="D26" s="54"/>
      <c r="E26" s="55"/>
      <c r="F26" s="56"/>
      <c r="G26" s="56"/>
      <c r="H26" s="56"/>
      <c r="I26" s="56"/>
      <c r="J26" s="56"/>
      <c r="K26" s="57"/>
      <c r="L26" s="57"/>
      <c r="M26" s="57"/>
      <c r="N26" s="58" t="inlineStr">
        <is>
          <t xml:space="preserve">(단위: </t>
        </is>
      </c>
      <c r="O26" s="293"/>
      <c r="V26" s="101"/>
      <c r="W26" s="101"/>
    </row>
    <row r="27" spans="1:25" s="60" customFormat="1" ht="21.75" customHeight="1" x14ac:dyDescent="0.4">
      <c r="A27" s="191" t="s">
        <v>33</v>
      </c>
      <c r="B27" s="325"/>
      <c r="C27" s="326"/>
      <c r="D27" s="23" t="s">
        <v>36</v>
      </c>
      <c r="E27" s="23" t="s">
        <v>13</v>
      </c>
      <c r="F27" s="61" t="s">
        <v>21</v>
      </c>
      <c r="G27" s="192" t="s">
        <v>33</v>
      </c>
      <c r="H27" s="322"/>
      <c r="I27" s="323"/>
      <c r="J27" s="149" t="s">
        <v>36</v>
      </c>
      <c r="K27" s="326"/>
      <c r="L27" s="23" t="s">
        <v>13</v>
      </c>
      <c r="M27" s="23" t="s">
        <v>21</v>
      </c>
      <c r="N27" s="62" t="s">
        <v>4</v>
      </c>
      <c r="O27" s="296"/>
      <c r="Q27" s="64" t="s">
        <v>19</v>
      </c>
      <c r="R27" s="64" t="s">
        <v>23</v>
      </c>
      <c r="S27" s="65" t="s">
        <v>17</v>
      </c>
      <c r="V27" s="101"/>
      <c r="W27" s="101"/>
    </row>
    <row r="28" spans="1:25" s="38" customFormat="1" ht="21.75" customHeight="1" x14ac:dyDescent="0.4">
      <c r="A28" s="195" t="str">
        <f>IFERROR('0819'!A29:C29,"")</f>
        <v>배관공</v>
      </c>
      <c r="B28" s="196"/>
      <c r="C28" s="197"/>
      <c r="D28" s="66">
        <f>IFERROR('0823'!F28,"")</f>
      </c>
      <c r="E28" s="67"/>
      <c r="F28" s="68">
        <f>IFERROR(D28+E28,"")</f>
      </c>
      <c r="G28" s="119"/>
      <c r="H28" s="120"/>
      <c r="I28" s="121"/>
      <c r="J28" s="198"/>
      <c r="K28" s="199"/>
      <c r="L28" s="107"/>
      <c r="M28" s="66"/>
      <c r="N28" s="69"/>
      <c r="O28" s="292"/>
      <c r="P28" s="292"/>
      <c r="Q28" s="102">
        <f>IFERROR(3+2+6,"")</f>
      </c>
      <c r="R28" s="102"/>
      <c r="S28" s="102">
        <f t="shared" ref="S28:S37" si="4">IFERROR(SUM(Q28:R28),"")</f>
      </c>
      <c r="V28" s="98"/>
      <c r="W28" s="98"/>
    </row>
    <row r="29" spans="1:25" s="38" customFormat="1" ht="21.75" customHeight="1" x14ac:dyDescent="0.4">
      <c r="A29" s="195" t="str">
        <f>IFERROR('0819'!A30:C30,"")</f>
        <v>신호수</v>
      </c>
      <c r="B29" s="196"/>
      <c r="C29" s="197"/>
      <c r="D29" s="66">
        <f>IFERROR('0823'!F29,"")</f>
      </c>
      <c r="E29" s="67"/>
      <c r="F29" s="68">
        <f t="shared" ref="F29:F40" si="5">IFERROR(D29+E29,"")</f>
      </c>
      <c r="G29" s="119"/>
      <c r="H29" s="120"/>
      <c r="I29" s="121"/>
      <c r="J29" s="198"/>
      <c r="K29" s="199"/>
      <c r="L29" s="70"/>
      <c r="M29" s="66"/>
      <c r="N29" s="71"/>
      <c r="O29" s="292"/>
      <c r="P29" s="292"/>
      <c r="Q29" s="102">
        <f>IFERROR(4+4+3+2+13+23+1,"")</f>
      </c>
      <c r="R29" s="102">
        <f>IFERROR(1+2+1+1,"")</f>
      </c>
      <c r="S29" s="102">
        <f t="shared" si="4"/>
      </c>
      <c r="V29" s="98"/>
      <c r="W29" s="98"/>
    </row>
    <row r="30" spans="1:25" s="38" customFormat="1" ht="21.75" customHeight="1" x14ac:dyDescent="0.4">
      <c r="A30" s="195" t="s">
        <v>78</v>
      </c>
      <c r="B30" s="196"/>
      <c r="C30" s="197"/>
      <c r="D30" s="66">
        <f>IFERROR('0823'!F30,"")</f>
      </c>
      <c r="E30" s="67"/>
      <c r="F30" s="68">
        <f t="shared" si="5"/>
      </c>
      <c r="G30" s="119"/>
      <c r="H30" s="120"/>
      <c r="I30" s="121"/>
      <c r="J30" s="198"/>
      <c r="K30" s="199"/>
      <c r="L30" s="107"/>
      <c r="M30" s="66"/>
      <c r="N30" s="69"/>
      <c r="O30" s="292"/>
      <c r="P30" s="292"/>
      <c r="Q30" s="102"/>
      <c r="R30" s="102"/>
      <c r="S30" s="102">
        <f t="shared" si="4"/>
      </c>
      <c r="V30" s="98"/>
      <c r="W30" s="98"/>
      <c r="X30" s="72"/>
    </row>
    <row r="31" spans="1:25" s="38" customFormat="1" ht="21.75" customHeight="1" x14ac:dyDescent="0.4">
      <c r="A31" s="195"/>
      <c r="B31" s="196"/>
      <c r="C31" s="197"/>
      <c r="D31" s="66">
        <f>IFERROR('0823'!F31,"")</f>
      </c>
      <c r="E31" s="67"/>
      <c r="F31" s="68">
        <f t="shared" si="5"/>
      </c>
      <c r="G31" s="119"/>
      <c r="H31" s="120"/>
      <c r="I31" s="121"/>
      <c r="J31" s="198"/>
      <c r="K31" s="199"/>
      <c r="L31" s="107"/>
      <c r="M31" s="66"/>
      <c r="N31" s="71"/>
      <c r="O31" s="292"/>
      <c r="P31" s="292"/>
      <c r="Q31" s="102">
        <f>IFERROR(3+3+3+26+13,"")</f>
      </c>
      <c r="R31" s="102">
        <f>IFERROR(3+1+1+1+2+3,"")</f>
      </c>
      <c r="S31" s="102">
        <f t="shared" si="4"/>
      </c>
      <c r="V31" s="98"/>
      <c r="W31" s="98"/>
    </row>
    <row r="32" spans="1:25" s="38" customFormat="1" ht="21.75" customHeight="1" x14ac:dyDescent="0.4">
      <c r="A32" s="195" t="s">
        <v>63</v>
      </c>
      <c r="B32" s="196"/>
      <c r="C32" s="197"/>
      <c r="D32" s="66">
        <f>IFERROR('0823'!F32,"")</f>
      </c>
      <c r="E32" s="67"/>
      <c r="F32" s="68">
        <f t="shared" si="5"/>
      </c>
      <c r="G32" s="119"/>
      <c r="H32" s="120"/>
      <c r="I32" s="121"/>
      <c r="J32" s="198"/>
      <c r="K32" s="199"/>
      <c r="L32" s="107"/>
      <c r="M32" s="66"/>
      <c r="N32" s="71"/>
      <c r="O32" s="292"/>
      <c r="P32" s="292"/>
      <c r="Q32" s="102">
        <f>IFERROR(2+7+8,"")</f>
      </c>
      <c r="R32" s="102"/>
      <c r="S32" s="102">
        <f t="shared" si="4"/>
      </c>
      <c r="V32" s="98"/>
      <c r="W32" s="98"/>
    </row>
    <row r="33" spans="1:23" s="38" customFormat="1" ht="21.75" customHeight="1" x14ac:dyDescent="0.4">
      <c r="A33" s="195"/>
      <c r="B33" s="196"/>
      <c r="C33" s="197"/>
      <c r="D33" s="66">
        <f>IFERROR('0823'!F33,"")</f>
      </c>
      <c r="E33" s="67"/>
      <c r="F33" s="68">
        <f t="shared" si="5"/>
      </c>
      <c r="G33" s="119"/>
      <c r="H33" s="120"/>
      <c r="I33" s="121"/>
      <c r="J33" s="198"/>
      <c r="K33" s="199"/>
      <c r="L33" s="107"/>
      <c r="M33" s="66"/>
      <c r="N33" s="69"/>
      <c r="O33" s="297"/>
      <c r="P33" s="38"/>
      <c r="Q33" s="102"/>
      <c r="R33" s="102"/>
      <c r="S33" s="102">
        <f t="shared" si="4"/>
      </c>
      <c r="V33" s="98"/>
      <c r="W33" s="98"/>
    </row>
    <row r="34" spans="1:23" s="38" customFormat="1" ht="21.75" customHeight="1" x14ac:dyDescent="0.4">
      <c r="A34" s="195"/>
      <c r="B34" s="196"/>
      <c r="C34" s="197"/>
      <c r="D34" s="66">
        <f>IFERROR('0823'!F34,"")</f>
      </c>
      <c r="E34" s="107"/>
      <c r="F34" s="68">
        <f t="shared" si="5"/>
      </c>
      <c r="G34" s="119"/>
      <c r="H34" s="120"/>
      <c r="I34" s="121"/>
      <c r="J34" s="198"/>
      <c r="K34" s="199"/>
      <c r="L34" s="107"/>
      <c r="M34" s="66"/>
      <c r="N34" s="69"/>
      <c r="O34" s="297"/>
      <c r="P34" s="38"/>
      <c r="Q34" s="102">
        <f>IFERROR(1+4,"")</f>
      </c>
      <c r="R34" s="102"/>
      <c r="S34" s="102">
        <f t="shared" si="4"/>
      </c>
      <c r="V34" s="98"/>
      <c r="W34" s="98"/>
    </row>
    <row r="35" spans="1:23" s="38" customFormat="1" ht="21.75" customHeight="1" x14ac:dyDescent="0.4">
      <c r="A35" s="195"/>
      <c r="B35" s="196"/>
      <c r="C35" s="197"/>
      <c r="D35" s="66">
        <f>IFERROR('0823'!F35,"")</f>
      </c>
      <c r="E35" s="107"/>
      <c r="F35" s="68">
        <f t="shared" si="5"/>
      </c>
      <c r="G35" s="119"/>
      <c r="H35" s="120"/>
      <c r="I35" s="121"/>
      <c r="J35" s="198"/>
      <c r="K35" s="199"/>
      <c r="L35" s="107"/>
      <c r="M35" s="66"/>
      <c r="N35" s="75"/>
      <c r="O35" s="297"/>
      <c r="P35" s="38"/>
      <c r="Q35" s="102">
        <f>IFERROR(1+1+2+1+2+4,"")</f>
      </c>
      <c r="R35" s="102"/>
      <c r="S35" s="102">
        <f t="shared" si="4"/>
      </c>
      <c r="V35" s="98"/>
      <c r="W35" s="98"/>
    </row>
    <row r="36" spans="1:23" s="38" customFormat="1" ht="21.75" customHeight="1" x14ac:dyDescent="0.4">
      <c r="A36" s="195"/>
      <c r="B36" s="196"/>
      <c r="C36" s="197"/>
      <c r="D36" s="66">
        <f>IFERROR('0823'!F36,"")</f>
      </c>
      <c r="E36" s="107"/>
      <c r="F36" s="68">
        <f t="shared" si="5"/>
      </c>
      <c r="G36" s="119"/>
      <c r="H36" s="120"/>
      <c r="I36" s="121"/>
      <c r="J36" s="198"/>
      <c r="K36" s="199"/>
      <c r="L36" s="107"/>
      <c r="M36" s="66"/>
      <c r="N36" s="69"/>
      <c r="O36" s="297"/>
      <c r="P36" s="38"/>
      <c r="Q36" s="102"/>
      <c r="R36" s="102"/>
      <c r="S36" s="102">
        <f t="shared" si="4"/>
      </c>
      <c r="V36" s="98"/>
      <c r="W36" s="98"/>
    </row>
    <row r="37" spans="1:23" s="38" customFormat="1" ht="21.75" customHeight="1" x14ac:dyDescent="0.4">
      <c r="A37" s="195"/>
      <c r="B37" s="196"/>
      <c r="C37" s="197"/>
      <c r="D37" s="66">
        <f>IFERROR('0823'!F37,"")</f>
      </c>
      <c r="E37" s="107"/>
      <c r="F37" s="68">
        <f t="shared" si="5"/>
      </c>
      <c r="G37" s="119"/>
      <c r="H37" s="120"/>
      <c r="I37" s="121"/>
      <c r="J37" s="198"/>
      <c r="K37" s="199"/>
      <c r="L37" s="107"/>
      <c r="M37" s="66"/>
      <c r="N37" s="69"/>
      <c r="O37" s="297"/>
      <c r="Q37" s="74">
        <f>IFERROR(SUM(Q28:Q36),"")</f>
      </c>
      <c r="R37" s="74">
        <f>IFERROR(SUM(R28:R36),"")</f>
      </c>
      <c r="S37" s="74">
        <f t="shared" si="4"/>
      </c>
      <c r="V37" s="98"/>
      <c r="W37" s="98"/>
    </row>
    <row r="38" spans="1:23" s="38" customFormat="1" ht="21.75" customHeight="1" x14ac:dyDescent="0.4">
      <c r="A38" s="195"/>
      <c r="B38" s="196"/>
      <c r="C38" s="197"/>
      <c r="D38" s="66">
        <f>IFERROR('0823'!F38,"")</f>
      </c>
      <c r="E38" s="107"/>
      <c r="F38" s="68">
        <f t="shared" si="5"/>
      </c>
      <c r="G38" s="116"/>
      <c r="H38" s="117"/>
      <c r="I38" s="118"/>
      <c r="J38" s="198"/>
      <c r="K38" s="199"/>
      <c r="L38" s="107"/>
      <c r="M38" s="66"/>
      <c r="N38" s="69"/>
      <c r="O38" s="297"/>
      <c r="V38" s="98"/>
      <c r="W38" s="98"/>
    </row>
    <row r="39" spans="1:23" s="38" customFormat="1" ht="21.75" customHeight="1" x14ac:dyDescent="0.4">
      <c r="A39" s="200"/>
      <c r="B39" s="201"/>
      <c r="C39" s="202"/>
      <c r="D39" s="66">
        <f>IFERROR('0823'!F39,"")</f>
      </c>
      <c r="E39" s="66"/>
      <c r="F39" s="68">
        <f t="shared" si="5"/>
      </c>
      <c r="G39" s="115"/>
      <c r="H39" s="106"/>
      <c r="I39" s="104"/>
      <c r="J39" s="198"/>
      <c r="K39" s="199"/>
      <c r="L39" s="107"/>
      <c r="M39" s="111"/>
      <c r="N39" s="103"/>
      <c r="O39" s="300"/>
      <c r="V39" s="98"/>
      <c r="W39" s="98"/>
    </row>
    <row r="40" spans="1:23" s="38" customFormat="1" ht="21.75" customHeight="1" x14ac:dyDescent="0.4">
      <c r="A40" s="200"/>
      <c r="B40" s="201"/>
      <c r="C40" s="202"/>
      <c r="D40" s="66">
        <f>IFERROR('0823'!F40,"")</f>
      </c>
      <c r="E40" s="66"/>
      <c r="F40" s="68">
        <f t="shared" si="5"/>
      </c>
      <c r="G40" s="112"/>
      <c r="H40" s="112"/>
      <c r="I40" s="113"/>
      <c r="J40" s="107"/>
      <c r="K40" s="108"/>
      <c r="L40" s="107"/>
      <c r="M40" s="114"/>
      <c r="N40" s="103"/>
      <c r="O40" s="300"/>
      <c r="V40" s="98"/>
      <c r="W40" s="98"/>
    </row>
    <row r="41" spans="1:23" s="38" customFormat="1" ht="21.75" customHeight="1" thickBot="1" x14ac:dyDescent="0.45">
      <c r="A41" s="209"/>
      <c r="B41" s="210"/>
      <c r="C41" s="211"/>
      <c r="D41" s="76"/>
      <c r="E41" s="76"/>
      <c r="F41" s="77">
        <f>IFERROR(D41+E41,"")</f>
      </c>
      <c r="G41" s="212" t="s">
        <v>26</v>
      </c>
      <c r="H41" s="213"/>
      <c r="I41" s="214"/>
      <c r="J41" s="215">
        <f>IFERROR(SUM(J28:K39,D28:D41),"")</f>
      </c>
      <c r="K41" s="336"/>
      <c r="L41" s="78">
        <f>IFERROR(SUM(E28:E41,L28:L39),"")</f>
      </c>
      <c r="M41" s="78">
        <f>IFERROR(SUM(M28:M39,F28:F41),"")</f>
      </c>
      <c r="N41" s="79"/>
      <c r="O41" s="300"/>
      <c r="V41" s="98"/>
      <c r="W41" s="98"/>
    </row>
    <row r="42" spans="1:23" s="60" customFormat="1" ht="21.75" customHeight="1" thickBot="1" x14ac:dyDescent="0.45">
      <c r="A42" s="81" t="s">
        <v>29</v>
      </c>
      <c r="B42" s="82"/>
      <c r="C42" s="83"/>
      <c r="D42" s="83"/>
      <c r="E42" s="83"/>
      <c r="F42" s="84"/>
      <c r="G42" s="84"/>
      <c r="H42" s="84"/>
      <c r="I42" s="84"/>
      <c r="J42" s="84"/>
      <c r="K42" s="83" t="s">
        <v>9</v>
      </c>
      <c r="L42" s="83" t="s">
        <v>9</v>
      </c>
      <c r="M42" s="83"/>
      <c r="N42" s="85" t="inlineStr">
        <is>
          <t xml:space="preserve">(단위: </t>
        </is>
      </c>
      <c r="O42" s="296"/>
      <c r="P42" s="38"/>
      <c r="Q42" s="38"/>
      <c r="R42" s="38"/>
      <c r="S42" s="38"/>
      <c r="V42" s="101"/>
      <c r="W42" s="101"/>
    </row>
    <row r="43" spans="1:23" s="60" customFormat="1" ht="21.75" customHeight="1" x14ac:dyDescent="0.4">
      <c r="A43" s="191" t="s">
        <v>38</v>
      </c>
      <c r="B43" s="325"/>
      <c r="C43" s="326"/>
      <c r="D43" s="23" t="s">
        <v>36</v>
      </c>
      <c r="E43" s="86" t="s">
        <v>13</v>
      </c>
      <c r="F43" s="87" t="s">
        <v>21</v>
      </c>
      <c r="G43" s="192" t="s">
        <v>38</v>
      </c>
      <c r="H43" s="322"/>
      <c r="I43" s="323"/>
      <c r="J43" s="149" t="s">
        <v>36</v>
      </c>
      <c r="K43" s="326"/>
      <c r="L43" s="88" t="s">
        <v>34</v>
      </c>
      <c r="M43" s="123" t="s">
        <v>21</v>
      </c>
      <c r="N43" s="89" t="s">
        <v>4</v>
      </c>
      <c r="O43" s="296"/>
      <c r="P43" s="38"/>
      <c r="Q43" s="38"/>
      <c r="R43" s="38"/>
      <c r="S43" s="38"/>
      <c r="V43" s="101"/>
      <c r="W43" s="101"/>
    </row>
    <row r="44" spans="1:23" s="38" customFormat="1" ht="21.75" customHeight="1" x14ac:dyDescent="0.4">
      <c r="A44" s="203" t="s">
        <v>67</v>
      </c>
      <c r="B44" s="204"/>
      <c r="C44" s="205"/>
      <c r="D44" s="66">
        <f>IFERROR('0823'!F44,"")</f>
      </c>
      <c r="E44" s="66"/>
      <c r="F44" s="66">
        <f t="shared" ref="F44:F51" si="6">IFERROR(D44+E44,"")</f>
      </c>
      <c r="G44" s="206"/>
      <c r="H44" s="207"/>
      <c r="I44" s="208"/>
      <c r="J44" s="198"/>
      <c r="K44" s="199"/>
      <c r="L44" s="66"/>
      <c r="M44" s="66"/>
      <c r="N44" s="90"/>
      <c r="O44" s="292"/>
      <c r="V44" s="98"/>
      <c r="W44" s="98"/>
    </row>
    <row r="45" spans="1:23" s="38" customFormat="1" ht="21.75" customHeight="1" x14ac:dyDescent="0.4">
      <c r="A45" s="203" t="s">
        <v>79</v>
      </c>
      <c r="B45" s="204"/>
      <c r="C45" s="205"/>
      <c r="D45" s="66">
        <f>IFERROR('0823'!F45,"")</f>
      </c>
      <c r="E45" s="108"/>
      <c r="F45" s="68">
        <f t="shared" si="6"/>
      </c>
      <c r="G45" s="206"/>
      <c r="H45" s="207"/>
      <c r="I45" s="208"/>
      <c r="J45" s="198"/>
      <c r="K45" s="199"/>
      <c r="L45" s="66"/>
      <c r="M45" s="66"/>
      <c r="N45" s="90"/>
      <c r="O45" s="292"/>
      <c r="P45" s="60"/>
      <c r="Q45" s="60"/>
      <c r="R45" s="60"/>
      <c r="S45" s="60"/>
      <c r="V45" s="98"/>
      <c r="W45" s="98"/>
    </row>
    <row r="46" spans="1:23" s="38" customFormat="1" ht="21.75" customHeight="1" x14ac:dyDescent="0.4">
      <c r="A46" s="203" t="s">
        <v>80</v>
      </c>
      <c r="B46" s="204"/>
      <c r="C46" s="205"/>
      <c r="D46" s="66">
        <f>IFERROR('0823'!F46,"")</f>
      </c>
      <c r="E46" s="108"/>
      <c r="F46" s="68">
        <f t="shared" si="6"/>
      </c>
      <c r="G46" s="206"/>
      <c r="H46" s="207"/>
      <c r="I46" s="208"/>
      <c r="J46" s="198"/>
      <c r="K46" s="199"/>
      <c r="L46" s="66"/>
      <c r="M46" s="66"/>
      <c r="N46" s="90"/>
      <c r="O46" s="292"/>
      <c r="P46" s="60"/>
      <c r="Q46" s="60"/>
      <c r="R46" s="60"/>
      <c r="S46" s="60"/>
      <c r="V46" s="98"/>
      <c r="W46" s="98"/>
    </row>
    <row r="47" spans="1:23" s="38" customFormat="1" ht="21.75" customHeight="1" x14ac:dyDescent="0.4">
      <c r="A47" s="203"/>
      <c r="B47" s="204"/>
      <c r="C47" s="205"/>
      <c r="D47" s="66">
        <f>IFERROR('0823'!F47,"")</f>
      </c>
      <c r="E47" s="66"/>
      <c r="F47" s="68">
        <f t="shared" si="6"/>
      </c>
      <c r="G47" s="206"/>
      <c r="H47" s="207"/>
      <c r="I47" s="208"/>
      <c r="J47" s="198"/>
      <c r="K47" s="199"/>
      <c r="L47" s="66"/>
      <c r="M47" s="66"/>
      <c r="N47" s="90"/>
      <c r="O47" s="292"/>
      <c r="V47" s="98"/>
      <c r="W47" s="98"/>
    </row>
    <row r="48" spans="1:23" s="38" customFormat="1" ht="21.75" customHeight="1" x14ac:dyDescent="0.4">
      <c r="A48" s="203"/>
      <c r="B48" s="204"/>
      <c r="C48" s="205"/>
      <c r="D48" s="66">
        <f>IFERROR('0823'!F48,"")</f>
      </c>
      <c r="E48" s="66"/>
      <c r="F48" s="68">
        <f t="shared" si="6"/>
      </c>
      <c r="G48" s="206"/>
      <c r="H48" s="207"/>
      <c r="I48" s="208"/>
      <c r="J48" s="198"/>
      <c r="K48" s="199"/>
      <c r="L48" s="66"/>
      <c r="M48" s="66"/>
      <c r="N48" s="91"/>
      <c r="O48" s="292"/>
      <c r="V48" s="98"/>
      <c r="W48" s="98"/>
    </row>
    <row r="49" spans="1:23" s="38" customFormat="1" ht="21.75" customHeight="1" x14ac:dyDescent="0.4">
      <c r="A49" s="203"/>
      <c r="B49" s="204"/>
      <c r="C49" s="205"/>
      <c r="D49" s="66">
        <f>IFERROR('0823'!F49,"")</f>
      </c>
      <c r="E49" s="66"/>
      <c r="F49" s="68">
        <f t="shared" si="6"/>
      </c>
      <c r="G49" s="206"/>
      <c r="H49" s="207"/>
      <c r="I49" s="208"/>
      <c r="J49" s="198"/>
      <c r="K49" s="199"/>
      <c r="L49" s="66"/>
      <c r="M49" s="66"/>
      <c r="N49" s="92"/>
      <c r="O49" s="300"/>
      <c r="V49" s="98"/>
      <c r="W49" s="98"/>
    </row>
    <row r="50" spans="1:23" s="38" customFormat="1" ht="21.75" customHeight="1" x14ac:dyDescent="0.4">
      <c r="A50" s="203"/>
      <c r="B50" s="204"/>
      <c r="C50" s="205"/>
      <c r="D50" s="66">
        <f>IFERROR('0819'!F51,"")</f>
      </c>
      <c r="E50" s="66"/>
      <c r="F50" s="68">
        <f t="shared" si="6"/>
      </c>
      <c r="G50" s="220"/>
      <c r="H50" s="221"/>
      <c r="I50" s="109"/>
      <c r="J50" s="198"/>
      <c r="K50" s="199"/>
      <c r="L50" s="66"/>
      <c r="M50" s="66"/>
      <c r="N50" s="92"/>
      <c r="O50" s="300"/>
      <c r="V50" s="98"/>
      <c r="W50" s="98"/>
    </row>
    <row r="51" spans="1:23" s="38" customFormat="1" ht="21.75" customHeight="1" thickBot="1" x14ac:dyDescent="0.45">
      <c r="A51" s="203"/>
      <c r="B51" s="204"/>
      <c r="C51" s="205"/>
      <c r="D51" s="66">
        <f>IFERROR('0819'!F52,"")</f>
      </c>
      <c r="E51" s="76"/>
      <c r="F51" s="77">
        <f t="shared" si="6"/>
      </c>
      <c r="G51" s="212" t="s">
        <v>26</v>
      </c>
      <c r="H51" s="213"/>
      <c r="I51" s="214"/>
      <c r="J51" s="215">
        <f>IFERROR(SUM(J44:K50,D44:D51),"")</f>
      </c>
      <c r="K51" s="336"/>
      <c r="L51" s="78">
        <f>IFERROR(SUM(L44:L50,E44:E51),"")</f>
      </c>
      <c r="M51" s="78">
        <f>IFERROR(SUM(M44:M50,F44:F51),"")</f>
      </c>
      <c r="N51" s="93">
        <f>IFERROR(L51+L41,"")</f>
      </c>
      <c r="O51" s="80">
        <f>IFERROR(M51+M41+'[2]0715'!$M$37+'[2]0715'!$M$48,"")</f>
      </c>
      <c r="V51" s="98"/>
      <c r="W51" s="98"/>
    </row>
    <row r="52" spans="1:23" s="60" customFormat="1" ht="21.75" customHeight="1" thickBot="1" x14ac:dyDescent="0.45">
      <c r="A52" s="18" t="s">
        <v>28</v>
      </c>
      <c r="B52" s="19"/>
      <c r="C52" s="20"/>
      <c r="D52" s="20"/>
      <c r="E52" s="20"/>
      <c r="F52" s="21"/>
      <c r="G52" s="21"/>
      <c r="H52" s="21"/>
      <c r="I52" s="21"/>
      <c r="J52" s="21"/>
      <c r="K52" s="20"/>
      <c r="L52" s="20"/>
      <c r="M52" s="20"/>
      <c r="N52" s="22"/>
      <c r="O52" s="297"/>
      <c r="P52" s="38"/>
      <c r="Q52" s="72">
        <f>IFERROR(M41+M51,"")</f>
      </c>
      <c r="R52" s="38"/>
      <c r="S52" s="38"/>
      <c r="V52" s="101"/>
      <c r="W52" s="101"/>
    </row>
    <row r="53" spans="1:23" x14ac:dyDescent="0.4">
      <c r="A53" s="217" t="s">
        <v>27</v>
      </c>
      <c r="B53" s="338"/>
      <c r="C53" s="146" t="s">
        <v>49</v>
      </c>
      <c r="D53" s="322"/>
      <c r="E53" s="322"/>
      <c r="F53" s="322"/>
      <c r="G53" s="323"/>
      <c r="H53" s="146" t="s">
        <v>48</v>
      </c>
      <c r="I53" s="322"/>
      <c r="J53" s="322"/>
      <c r="K53" s="322"/>
      <c r="L53" s="322"/>
      <c r="M53" s="322"/>
      <c r="N53" s="339"/>
    </row>
    <row r="54" spans="1:23" ht="17.25" customHeight="1" x14ac:dyDescent="0.4">
      <c r="A54" s="228"/>
      <c r="B54" s="223"/>
      <c r="C54" s="230"/>
      <c r="D54" s="231"/>
      <c r="E54" s="231"/>
      <c r="F54" s="231"/>
      <c r="G54" s="232"/>
      <c r="H54" s="233"/>
      <c r="I54" s="234"/>
      <c r="J54" s="234"/>
      <c r="K54" s="234"/>
      <c r="L54" s="234"/>
      <c r="M54" s="234"/>
      <c r="N54" s="235"/>
    </row>
    <row r="55" spans="1:23" ht="17.25" customHeight="1" x14ac:dyDescent="0.4">
      <c r="A55" s="229"/>
      <c r="B55" s="225"/>
      <c r="C55" s="236"/>
      <c r="D55" s="237"/>
      <c r="E55" s="237"/>
      <c r="F55" s="237"/>
      <c r="G55" s="238"/>
      <c r="H55" s="239">
        <f>IFERROR(C55,"")</f>
      </c>
      <c r="I55" s="240"/>
      <c r="J55" s="240"/>
      <c r="K55" s="240"/>
      <c r="L55" s="240"/>
      <c r="M55" s="240"/>
      <c r="N55" s="241"/>
    </row>
    <row r="56" spans="1:23" ht="17.25" customHeight="1" x14ac:dyDescent="0.4">
      <c r="A56" s="229"/>
      <c r="B56" s="225"/>
      <c r="C56" s="236"/>
      <c r="D56" s="237"/>
      <c r="E56" s="237"/>
      <c r="F56" s="237"/>
      <c r="G56" s="238"/>
      <c r="H56" s="239"/>
      <c r="I56" s="240"/>
      <c r="J56" s="240"/>
      <c r="K56" s="240"/>
      <c r="L56" s="240"/>
      <c r="M56" s="240"/>
      <c r="N56" s="241"/>
    </row>
    <row r="57" spans="1:23" ht="16.5" customHeight="1" x14ac:dyDescent="0.4">
      <c r="A57" s="222" t="s">
        <v>37</v>
      </c>
      <c r="B57" s="223"/>
      <c r="C57" s="242"/>
      <c r="D57" s="243"/>
      <c r="E57" s="243"/>
      <c r="F57" s="243"/>
      <c r="G57" s="244"/>
      <c r="H57" s="242"/>
      <c r="I57" s="243"/>
      <c r="J57" s="243"/>
      <c r="K57" s="243"/>
      <c r="L57" s="243"/>
      <c r="M57" s="243"/>
      <c r="N57" s="251"/>
    </row>
    <row r="58" spans="1:23" ht="16.5" customHeight="1" x14ac:dyDescent="0.4">
      <c r="A58" s="224"/>
      <c r="B58" s="225"/>
      <c r="C58" s="245"/>
      <c r="D58" s="246"/>
      <c r="E58" s="246"/>
      <c r="F58" s="246"/>
      <c r="G58" s="247"/>
      <c r="H58" s="245"/>
      <c r="I58" s="246"/>
      <c r="J58" s="246"/>
      <c r="K58" s="246"/>
      <c r="L58" s="246"/>
      <c r="M58" s="246"/>
      <c r="N58" s="252"/>
    </row>
    <row r="59" spans="1:23" ht="16.5" customHeight="1" x14ac:dyDescent="0.4">
      <c r="A59" s="224"/>
      <c r="B59" s="225"/>
      <c r="C59" s="245"/>
      <c r="D59" s="246"/>
      <c r="E59" s="246"/>
      <c r="F59" s="246"/>
      <c r="G59" s="247"/>
      <c r="H59" s="245"/>
      <c r="I59" s="246"/>
      <c r="J59" s="246"/>
      <c r="K59" s="246"/>
      <c r="L59" s="246"/>
      <c r="M59" s="246"/>
      <c r="N59" s="252"/>
    </row>
    <row r="60" spans="1:23" ht="16.5" customHeight="1" x14ac:dyDescent="0.4">
      <c r="A60" s="224"/>
      <c r="B60" s="225"/>
      <c r="C60" s="245"/>
      <c r="D60" s="246"/>
      <c r="E60" s="246"/>
      <c r="F60" s="246"/>
      <c r="G60" s="247"/>
      <c r="H60" s="245"/>
      <c r="I60" s="246"/>
      <c r="J60" s="246"/>
      <c r="K60" s="246"/>
      <c r="L60" s="246"/>
      <c r="M60" s="246"/>
      <c r="N60" s="252"/>
    </row>
    <row r="61" spans="1:23" ht="16.5" customHeight="1" x14ac:dyDescent="0.4">
      <c r="A61" s="224"/>
      <c r="B61" s="225"/>
      <c r="C61" s="245"/>
      <c r="D61" s="246"/>
      <c r="E61" s="246"/>
      <c r="F61" s="246"/>
      <c r="G61" s="247"/>
      <c r="H61" s="245"/>
      <c r="I61" s="246"/>
      <c r="J61" s="246"/>
      <c r="K61" s="246"/>
      <c r="L61" s="246"/>
      <c r="M61" s="246"/>
      <c r="N61" s="252"/>
    </row>
    <row r="62" spans="1:23" ht="16.5" customHeight="1" x14ac:dyDescent="0.4">
      <c r="A62" s="224"/>
      <c r="B62" s="225"/>
      <c r="C62" s="245"/>
      <c r="D62" s="246"/>
      <c r="E62" s="246"/>
      <c r="F62" s="246"/>
      <c r="G62" s="247"/>
      <c r="H62" s="245"/>
      <c r="I62" s="246"/>
      <c r="J62" s="246"/>
      <c r="K62" s="246"/>
      <c r="L62" s="246"/>
      <c r="M62" s="246"/>
      <c r="N62" s="252"/>
    </row>
    <row r="63" spans="1:23" ht="16.5" customHeight="1" x14ac:dyDescent="0.4">
      <c r="A63" s="224"/>
      <c r="B63" s="225"/>
      <c r="C63" s="245"/>
      <c r="D63" s="246"/>
      <c r="E63" s="246"/>
      <c r="F63" s="246"/>
      <c r="G63" s="247"/>
      <c r="H63" s="245"/>
      <c r="I63" s="246"/>
      <c r="J63" s="246"/>
      <c r="K63" s="246"/>
      <c r="L63" s="246"/>
      <c r="M63" s="246"/>
      <c r="N63" s="252"/>
    </row>
    <row r="64" spans="1:23" ht="16.5" customHeight="1" x14ac:dyDescent="0.4">
      <c r="A64" s="224"/>
      <c r="B64" s="225"/>
      <c r="C64" s="245"/>
      <c r="D64" s="246"/>
      <c r="E64" s="246"/>
      <c r="F64" s="246"/>
      <c r="G64" s="247"/>
      <c r="H64" s="245"/>
      <c r="I64" s="246"/>
      <c r="J64" s="246"/>
      <c r="K64" s="246"/>
      <c r="L64" s="246"/>
      <c r="M64" s="246"/>
      <c r="N64" s="252"/>
    </row>
    <row r="65" spans="1:14" ht="18" thickBot="1" x14ac:dyDescent="0.45">
      <c r="A65" s="226"/>
      <c r="B65" s="227"/>
      <c r="C65" s="248"/>
      <c r="D65" s="249"/>
      <c r="E65" s="249"/>
      <c r="F65" s="249"/>
      <c r="G65" s="250"/>
      <c r="H65" s="248"/>
      <c r="I65" s="249"/>
      <c r="J65" s="249"/>
      <c r="K65" s="249"/>
      <c r="L65" s="249"/>
      <c r="M65" s="249"/>
      <c r="N65" s="253"/>
    </row>
  </sheetData>
  <mergeCells count="117">
    <mergeCell ref="A57:B65"/>
    <mergeCell ref="C57:G65"/>
    <mergeCell ref="H57:N65"/>
    <mergeCell ref="A53:B53"/>
    <mergeCell ref="C53:G53"/>
    <mergeCell ref="H53:N53"/>
    <mergeCell ref="A54:B56"/>
    <mergeCell ref="C54:G54"/>
    <mergeCell ref="H54:N54"/>
    <mergeCell ref="C55:G55"/>
    <mergeCell ref="H55:N55"/>
    <mergeCell ref="C56:G56"/>
    <mergeCell ref="H56:N56"/>
    <mergeCell ref="A50:C50"/>
    <mergeCell ref="G50:H50"/>
    <mergeCell ref="J50:K50"/>
    <mergeCell ref="A51:C51"/>
    <mergeCell ref="G51:I51"/>
    <mergeCell ref="J51:K51"/>
    <mergeCell ref="A48:C48"/>
    <mergeCell ref="G48:I48"/>
    <mergeCell ref="J48:K48"/>
    <mergeCell ref="A49:C49"/>
    <mergeCell ref="G49:I49"/>
    <mergeCell ref="J49:K49"/>
    <mergeCell ref="A46:C46"/>
    <mergeCell ref="G46:I46"/>
    <mergeCell ref="J46:K46"/>
    <mergeCell ref="A47:C47"/>
    <mergeCell ref="G47:I47"/>
    <mergeCell ref="J47:K47"/>
    <mergeCell ref="A44:C44"/>
    <mergeCell ref="G44:I44"/>
    <mergeCell ref="J44:K44"/>
    <mergeCell ref="A45:C45"/>
    <mergeCell ref="G45:I45"/>
    <mergeCell ref="J45:K45"/>
    <mergeCell ref="A40:C40"/>
    <mergeCell ref="A41:C41"/>
    <mergeCell ref="G41:I41"/>
    <mergeCell ref="J41:K41"/>
    <mergeCell ref="A43:C43"/>
    <mergeCell ref="G43:I43"/>
    <mergeCell ref="J43:K43"/>
    <mergeCell ref="A37:C37"/>
    <mergeCell ref="J37:K37"/>
    <mergeCell ref="A38:C38"/>
    <mergeCell ref="J38:K38"/>
    <mergeCell ref="A39:C39"/>
    <mergeCell ref="J39:K39"/>
    <mergeCell ref="A34:C34"/>
    <mergeCell ref="J34:K34"/>
    <mergeCell ref="A35:C35"/>
    <mergeCell ref="J35:K35"/>
    <mergeCell ref="A36:C36"/>
    <mergeCell ref="J36:K36"/>
    <mergeCell ref="A31:C31"/>
    <mergeCell ref="J31:K31"/>
    <mergeCell ref="A32:C32"/>
    <mergeCell ref="J32:K32"/>
    <mergeCell ref="A33:C33"/>
    <mergeCell ref="J33:K33"/>
    <mergeCell ref="A29:C29"/>
    <mergeCell ref="J29:K29"/>
    <mergeCell ref="A30:C30"/>
    <mergeCell ref="J30:K30"/>
    <mergeCell ref="A25:D25"/>
    <mergeCell ref="H25:I25"/>
    <mergeCell ref="J25:K25"/>
    <mergeCell ref="A27:C27"/>
    <mergeCell ref="G27:I27"/>
    <mergeCell ref="J27:K27"/>
    <mergeCell ref="H24:I24"/>
    <mergeCell ref="J24:K24"/>
    <mergeCell ref="H19:I19"/>
    <mergeCell ref="J19:K19"/>
    <mergeCell ref="H20:I20"/>
    <mergeCell ref="J20:K20"/>
    <mergeCell ref="H21:I21"/>
    <mergeCell ref="J21:K21"/>
    <mergeCell ref="A28:C28"/>
    <mergeCell ref="J28:K28"/>
    <mergeCell ref="J14:K14"/>
    <mergeCell ref="H15:I15"/>
    <mergeCell ref="J15:K15"/>
    <mergeCell ref="A16:A24"/>
    <mergeCell ref="H16:I16"/>
    <mergeCell ref="J16:K16"/>
    <mergeCell ref="H17:I17"/>
    <mergeCell ref="J17:K17"/>
    <mergeCell ref="H18:I18"/>
    <mergeCell ref="J18:K18"/>
    <mergeCell ref="A10:A15"/>
    <mergeCell ref="H10:I10"/>
    <mergeCell ref="J10:K10"/>
    <mergeCell ref="H11:I11"/>
    <mergeCell ref="J11:K11"/>
    <mergeCell ref="H12:I12"/>
    <mergeCell ref="J12:K12"/>
    <mergeCell ref="H13:I13"/>
    <mergeCell ref="J13:K13"/>
    <mergeCell ref="H14:I14"/>
    <mergeCell ref="H22:I22"/>
    <mergeCell ref="J22:K22"/>
    <mergeCell ref="H23:I23"/>
    <mergeCell ref="J23:K23"/>
    <mergeCell ref="A8:A9"/>
    <mergeCell ref="B8:B9"/>
    <mergeCell ref="C8:C9"/>
    <mergeCell ref="D8:D9"/>
    <mergeCell ref="F8:I8"/>
    <mergeCell ref="J8:M8"/>
    <mergeCell ref="H9:I9"/>
    <mergeCell ref="J9:K9"/>
    <mergeCell ref="A1:N1"/>
    <mergeCell ref="H3:J4"/>
    <mergeCell ref="H5:J6"/>
  </mergeCells>
  <phoneticPr fontId="13" type="noConversion"/>
  <printOptions horizontalCentered="1" verticalCentered="1"/>
  <pageMargins left="0.19666667282581329" right="0.19666667282581329" top="0.74750000238418579" bottom="0.55097222328186035" header="0.31486111879348755" footer="0.31486111879348755"/>
  <pageSetup paperSize="9" scale="5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132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5</vt:i4>
      </vt:variant>
    </vt:vector>
  </HeadingPairs>
  <TitlesOfParts>
    <vt:vector size="10" baseType="lpstr">
      <vt:lpstr>0819</vt:lpstr>
      <vt:lpstr>0820</vt:lpstr>
      <vt:lpstr>0822 </vt:lpstr>
      <vt:lpstr>0823</vt:lpstr>
      <vt:lpstr>0825</vt:lpstr>
      <vt:lpstr>'0819'!Print_Area</vt:lpstr>
      <vt:lpstr>'0820'!Print_Area</vt:lpstr>
      <vt:lpstr>'0822 '!Print_Area</vt:lpstr>
      <vt:lpstr>'0823'!Print_Area</vt:lpstr>
      <vt:lpstr>'0825'!Print_Area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OS</cp:lastModifiedBy>
  <cp:revision>9</cp:revision>
  <cp:lastPrinted>2023-02-09T04:02:05Z</cp:lastPrinted>
  <dcterms:created xsi:type="dcterms:W3CDTF">2021-12-06T04:27:07Z</dcterms:created>
  <dcterms:modified xsi:type="dcterms:W3CDTF">2025-09-13T04:58:54Z</dcterms:modified>
  <cp:version>1200.0100.01</cp:version>
</cp:coreProperties>
</file>