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위대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'일위대가표'!$A$1:$X$35</definedName>
    <definedName name="_xlnm.Print_Area" localSheetId="1">'작성 예시'!$A$1:$X$35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;;&quot;&quot;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5" t="n"/>
      <c r="H12" s="8" t="n"/>
      <c r="I12" s="5" t="n"/>
      <c r="J12" s="5" t="n"/>
      <c r="K12" s="8" t="n"/>
      <c r="L12" s="5" t="n"/>
      <c r="M12" s="9" t="n"/>
      <c r="N12" s="5" t="n"/>
      <c r="O12" s="10" t="n"/>
      <c r="P12" s="5" t="n"/>
      <c r="Q12" s="5" t="n"/>
      <c r="R12" s="11">
        <f>IF(OR(M12="",O12=""),"",INT(ROUND(M12*O12,6)))</f>
        <v/>
      </c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5" t="n"/>
      <c r="H13" s="8" t="n"/>
      <c r="I13" s="5" t="n"/>
      <c r="J13" s="5" t="n"/>
      <c r="K13" s="8" t="n"/>
      <c r="L13" s="5" t="n"/>
      <c r="M13" s="9" t="n"/>
      <c r="N13" s="5" t="n"/>
      <c r="O13" s="10" t="n"/>
      <c r="P13" s="5" t="n"/>
      <c r="Q13" s="5" t="n"/>
      <c r="R13" s="11">
        <f>IF(OR(M13="",O13=""),"",INT(ROUND(M13*O13,6)))</f>
        <v/>
      </c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5" t="n"/>
      <c r="H14" s="8" t="n"/>
      <c r="I14" s="5" t="n"/>
      <c r="J14" s="5" t="n"/>
      <c r="K14" s="8" t="n"/>
      <c r="L14" s="5" t="n"/>
      <c r="M14" s="9" t="n"/>
      <c r="N14" s="5" t="n"/>
      <c r="O14" s="10" t="n"/>
      <c r="P14" s="5" t="n"/>
      <c r="Q14" s="5" t="n"/>
      <c r="R14" s="11">
        <f>IF(OR(M14="",O14=""),"",INT(ROUND(M14*O14,6)))</f>
        <v/>
      </c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5" t="n"/>
      <c r="H15" s="8" t="n"/>
      <c r="I15" s="5" t="n"/>
      <c r="J15" s="5" t="n"/>
      <c r="K15" s="8" t="n"/>
      <c r="L15" s="5" t="n"/>
      <c r="M15" s="9" t="n"/>
      <c r="N15" s="5" t="n"/>
      <c r="O15" s="10" t="n"/>
      <c r="P15" s="5" t="n"/>
      <c r="Q15" s="5" t="n"/>
      <c r="R15" s="11">
        <f>IF(OR(M15="",O15=""),"",INT(ROUND(M15*O15,6)))</f>
        <v/>
      </c>
      <c r="S15" s="5" t="n"/>
      <c r="T15" s="5" t="n"/>
      <c r="U15" s="8" t="n"/>
      <c r="V15" s="5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5" t="n"/>
      <c r="H16" s="8" t="n"/>
      <c r="I16" s="5" t="n"/>
      <c r="J16" s="5" t="n"/>
      <c r="K16" s="8" t="n"/>
      <c r="L16" s="5" t="n"/>
      <c r="M16" s="9" t="n"/>
      <c r="N16" s="5" t="n"/>
      <c r="O16" s="10" t="n"/>
      <c r="P16" s="5" t="n"/>
      <c r="Q16" s="5" t="n"/>
      <c r="R16" s="11">
        <f>IF(OR(M16="",O16=""),"",INT(ROUND(M16*O16,6)))</f>
        <v/>
      </c>
      <c r="S16" s="5" t="n"/>
      <c r="T16" s="5" t="n"/>
      <c r="U16" s="8" t="n"/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>
        <f>IF(OR(M17="",O17=""),"",INT(ROUND(M17*O17,6)))</f>
        <v/>
      </c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>
        <f>IF(OR(M18="",O18=""),"",INT(ROUND(M18*O18,6)))</f>
        <v/>
      </c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>
        <f>IF(OR(M19="",O19=""),"",INT(ROUND(M19*O19,6)))</f>
        <v/>
      </c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>
        <f>IF(OR(M20="",O20=""),"",INT(ROUND(M20*O20,6)))</f>
        <v/>
      </c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>
        <f>IF(OR(M21="",O21=""),"",INT(ROUND(M21*O21,6)))</f>
        <v/>
      </c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>
        <f>IF(OR(M22="",O22=""),"",INT(ROUND(M22*O22,6)))</f>
        <v/>
      </c>
      <c r="S22" s="5" t="n"/>
      <c r="T22" s="5" t="n"/>
      <c r="U22" s="8" t="n"/>
      <c r="V22" s="5" t="n"/>
      <c r="W22" s="5" t="n"/>
      <c r="X22" s="5" t="n"/>
    </row>
    <row r="23" ht="6" customHeight="1"/>
    <row r="24" ht="24" customHeight="1">
      <c r="A24" s="4" t="inlineStr">
        <is>
          <t xml:space="preserve">  재료비 계</t>
        </is>
      </c>
      <c r="B24" s="5" t="n"/>
      <c r="C24" s="5" t="n"/>
      <c r="D24" s="5" t="n"/>
      <c r="E24" s="5" t="n"/>
      <c r="F24" s="5" t="n"/>
      <c r="G24" s="11">
        <f>SUMIF(A12:A22,"재료비",R12:R22)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노무비 계</t>
        </is>
      </c>
      <c r="B25" s="5" t="n"/>
      <c r="C25" s="5" t="n"/>
      <c r="D25" s="5" t="n"/>
      <c r="E25" s="5" t="n"/>
      <c r="F25" s="5" t="n"/>
      <c r="G25" s="11">
        <f>SUMIF(A12:A22,"노무비",R12:R22)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경비 계</t>
        </is>
      </c>
      <c r="B26" s="5" t="n"/>
      <c r="C26" s="5" t="n"/>
      <c r="D26" s="5" t="n"/>
      <c r="E26" s="5" t="n"/>
      <c r="F26" s="5" t="n"/>
      <c r="G26" s="11">
        <f>SUMIF(A12:A22,"경비",R12:R22)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  계</t>
        </is>
      </c>
      <c r="B27" s="5" t="n"/>
      <c r="C27" s="5" t="n"/>
      <c r="D27" s="5" t="n"/>
      <c r="E27" s="5" t="n"/>
      <c r="F27" s="5" t="n"/>
      <c r="G27" s="11">
        <f>G24+G25+G26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단위당 단가</t>
        </is>
      </c>
      <c r="B28" s="5" t="n"/>
      <c r="C28" s="5" t="n"/>
      <c r="D28" s="5" t="n"/>
      <c r="E28" s="5" t="n"/>
      <c r="F28" s="5" t="n"/>
      <c r="G28" s="11">
        <f>G27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6" customHeight="1"/>
    <row r="30" ht="26" customHeight="1">
      <c r="A30" s="12" t="inlineStr">
        <is>
          <t>※ 설계변경 신규비목은 이 단가에 낙찰률을 곱한 값이 적용단가입니다.</t>
        </is>
      </c>
    </row>
    <row r="31" ht="6" customHeight="1"/>
    <row r="32" ht="10" customHeight="1"/>
    <row r="33" ht="26" customHeight="1">
      <c r="A33" s="13" t="inlineStr">
        <is>
          <t xml:space="preserve">          년        월        일</t>
        </is>
      </c>
    </row>
    <row r="34" ht="24" customHeight="1">
      <c r="A34" s="14" t="inlineStr"/>
      <c r="K34" s="15" t="inlineStr">
        <is>
          <t>작성자</t>
        </is>
      </c>
      <c r="Q34" s="16" t="n"/>
      <c r="U34" s="17" t="inlineStr">
        <is>
          <t>(서명 또는 인)</t>
        </is>
      </c>
    </row>
    <row r="35" ht="6" customHeight="1"/>
    <row r="37" ht="34" customHeight="1">
      <c r="A37" s="18" t="inlineStr">
        <is>
          <t>금액은 수량 × 단가 원 미만 버림입니다. «구분» 칸을 목록에서 고르면 재료비·노무비·경비 계가 저절로 나뉩니다.</t>
        </is>
      </c>
    </row>
    <row r="38" ht="34" customHeight="1">
      <c r="A3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8" t="inlineStr">
        <is>
          <t>발주기관이 정한 서식이 있으면 그 서식을 쓰세요. 이 줄과 1행은 지워도 됩니다.</t>
        </is>
      </c>
    </row>
  </sheetData>
  <mergeCells count="128">
    <mergeCell ref="A15:B15"/>
    <mergeCell ref="O22:Q22"/>
    <mergeCell ref="C14:G14"/>
    <mergeCell ref="H17:J17"/>
    <mergeCell ref="H11:J11"/>
    <mergeCell ref="R20:T20"/>
    <mergeCell ref="O21:Q21"/>
    <mergeCell ref="A3:X3"/>
    <mergeCell ref="H22:J22"/>
    <mergeCell ref="A5:F5"/>
    <mergeCell ref="H19:J19"/>
    <mergeCell ref="R22:T22"/>
    <mergeCell ref="A34:J34"/>
    <mergeCell ref="U15:X15"/>
    <mergeCell ref="M16:N16"/>
    <mergeCell ref="C21:G21"/>
    <mergeCell ref="A38:X38"/>
    <mergeCell ref="R14:T14"/>
    <mergeCell ref="M18:N18"/>
    <mergeCell ref="A17:B17"/>
    <mergeCell ref="U16:X16"/>
    <mergeCell ref="A22:B22"/>
    <mergeCell ref="M17:N17"/>
    <mergeCell ref="A24:F24"/>
    <mergeCell ref="O19:Q19"/>
    <mergeCell ref="A19:B19"/>
    <mergeCell ref="M19:N19"/>
    <mergeCell ref="Q34:T34"/>
    <mergeCell ref="K13:L13"/>
    <mergeCell ref="C18:G18"/>
    <mergeCell ref="A7:F7"/>
    <mergeCell ref="H21:J21"/>
    <mergeCell ref="G7:X7"/>
    <mergeCell ref="A11:B11"/>
    <mergeCell ref="K15:L15"/>
    <mergeCell ref="A27:F27"/>
    <mergeCell ref="U20:X20"/>
    <mergeCell ref="U14:X14"/>
    <mergeCell ref="K21:L21"/>
    <mergeCell ref="H16:J16"/>
    <mergeCell ref="C20:G20"/>
    <mergeCell ref="G24:X24"/>
    <mergeCell ref="U22:X22"/>
    <mergeCell ref="O12:Q12"/>
    <mergeCell ref="R17:T17"/>
    <mergeCell ref="A25:F25"/>
    <mergeCell ref="C22:G22"/>
    <mergeCell ref="G26:X26"/>
    <mergeCell ref="M13:N13"/>
    <mergeCell ref="O14:Q14"/>
    <mergeCell ref="M21:N21"/>
    <mergeCell ref="C12:G12"/>
    <mergeCell ref="A28:F28"/>
    <mergeCell ref="G25:X25"/>
    <mergeCell ref="A9:F9"/>
    <mergeCell ref="O13:Q13"/>
    <mergeCell ref="G9:X9"/>
    <mergeCell ref="K17:L17"/>
    <mergeCell ref="H20:J20"/>
    <mergeCell ref="A30:X30"/>
    <mergeCell ref="O15:Q15"/>
    <mergeCell ref="R11:T11"/>
    <mergeCell ref="O18:Q18"/>
    <mergeCell ref="R13:T13"/>
    <mergeCell ref="K19:L19"/>
    <mergeCell ref="K16:L16"/>
    <mergeCell ref="U18:X18"/>
    <mergeCell ref="R15:T15"/>
    <mergeCell ref="R12:T12"/>
    <mergeCell ref="R21:T21"/>
    <mergeCell ref="A26:F26"/>
    <mergeCell ref="U19:X19"/>
    <mergeCell ref="K11:L11"/>
    <mergeCell ref="M11:N11"/>
    <mergeCell ref="C16:G16"/>
    <mergeCell ref="H13:J13"/>
    <mergeCell ref="A8:F8"/>
    <mergeCell ref="A33:X33"/>
    <mergeCell ref="O17:Q17"/>
    <mergeCell ref="A12:B12"/>
    <mergeCell ref="H15:J15"/>
    <mergeCell ref="A21:B21"/>
    <mergeCell ref="M15:N15"/>
    <mergeCell ref="H18:J18"/>
    <mergeCell ref="M12:N12"/>
    <mergeCell ref="C11:G11"/>
    <mergeCell ref="A14:B14"/>
    <mergeCell ref="A39:X39"/>
    <mergeCell ref="R19:T19"/>
    <mergeCell ref="U13:X13"/>
    <mergeCell ref="G27:X27"/>
    <mergeCell ref="U21:X21"/>
    <mergeCell ref="C13:G13"/>
    <mergeCell ref="K18:L18"/>
    <mergeCell ref="C15:G15"/>
    <mergeCell ref="G28:X28"/>
    <mergeCell ref="G6:X6"/>
    <mergeCell ref="A37:X37"/>
    <mergeCell ref="O16:Q16"/>
    <mergeCell ref="A16:B16"/>
    <mergeCell ref="K20:L20"/>
    <mergeCell ref="M20:N20"/>
    <mergeCell ref="G5:X5"/>
    <mergeCell ref="H12:J12"/>
    <mergeCell ref="U34:X34"/>
    <mergeCell ref="A18:B18"/>
    <mergeCell ref="K22:L22"/>
    <mergeCell ref="M22:N22"/>
    <mergeCell ref="O11:Q11"/>
    <mergeCell ref="K12:L12"/>
    <mergeCell ref="H14:J14"/>
    <mergeCell ref="R18:T18"/>
    <mergeCell ref="U17:X17"/>
    <mergeCell ref="U11:X11"/>
    <mergeCell ref="K14:L14"/>
    <mergeCell ref="K34:P34"/>
    <mergeCell ref="C17:G17"/>
    <mergeCell ref="A20:B20"/>
    <mergeCell ref="A1:L1"/>
    <mergeCell ref="M14:N14"/>
    <mergeCell ref="A6:F6"/>
    <mergeCell ref="A13:B13"/>
    <mergeCell ref="C19:G19"/>
    <mergeCell ref="M1:X1"/>
    <mergeCell ref="U12:X12"/>
    <mergeCell ref="O20:Q20"/>
    <mergeCell ref="R16:T16"/>
    <mergeCell ref="G8:X8"/>
  </mergeCells>
  <dataValidations count="1">
    <dataValidation sqref="A12 A13 A14 A15 A16 A17 A18 A19 A20 A21 A22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inlineStr">
        <is>
          <t>제12호표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inlineStr">
        <is>
          <t>PE 이중벽관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inlineStr">
        <is>
          <t>D600, L=6m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inlineStr">
        <is>
          <t>m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inlineStr">
        <is>
          <t>2026 건설공사 표준품셈 · 2026년 상반기 노임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inlineStr">
        <is>
          <t>재료비</t>
        </is>
      </c>
      <c r="B12" s="5" t="n"/>
      <c r="C12" s="8" t="inlineStr">
        <is>
          <t>PE 이중벽관</t>
        </is>
      </c>
      <c r="D12" s="5" t="n"/>
      <c r="E12" s="5" t="n"/>
      <c r="F12" s="5" t="n"/>
      <c r="G12" s="5" t="n"/>
      <c r="H12" s="8" t="inlineStr">
        <is>
          <t>D600</t>
        </is>
      </c>
      <c r="I12" s="5" t="n"/>
      <c r="J12" s="5" t="n"/>
      <c r="K12" s="8" t="inlineStr">
        <is>
          <t>m</t>
        </is>
      </c>
      <c r="L12" s="5" t="n"/>
      <c r="M12" s="9" t="n">
        <v>1</v>
      </c>
      <c r="N12" s="5" t="n"/>
      <c r="O12" s="10" t="n">
        <v>98500</v>
      </c>
      <c r="P12" s="5" t="n"/>
      <c r="Q12" s="5" t="n"/>
      <c r="R12" s="11">
        <f>IF(OR(M12="",O12=""),"",INT(ROUND(M12*O12,6)))</f>
        <v/>
      </c>
      <c r="S12" s="5" t="n"/>
      <c r="T12" s="5" t="n"/>
      <c r="U12" s="8" t="inlineStr">
        <is>
          <t>견적 3곳 최저</t>
        </is>
      </c>
      <c r="V12" s="5" t="n"/>
      <c r="W12" s="5" t="n"/>
      <c r="X12" s="5" t="n"/>
    </row>
    <row r="13" ht="22" customHeight="1">
      <c r="A13" s="8" t="inlineStr">
        <is>
          <t>재료비</t>
        </is>
      </c>
      <c r="B13" s="5" t="n"/>
      <c r="C13" s="8" t="inlineStr">
        <is>
          <t>고무링</t>
        </is>
      </c>
      <c r="D13" s="5" t="n"/>
      <c r="E13" s="5" t="n"/>
      <c r="F13" s="5" t="n"/>
      <c r="G13" s="5" t="n"/>
      <c r="H13" s="8" t="inlineStr">
        <is>
          <t>D600</t>
        </is>
      </c>
      <c r="I13" s="5" t="n"/>
      <c r="J13" s="5" t="n"/>
      <c r="K13" s="8" t="inlineStr">
        <is>
          <t>개</t>
        </is>
      </c>
      <c r="L13" s="5" t="n"/>
      <c r="M13" s="9" t="n">
        <v>0.167</v>
      </c>
      <c r="N13" s="5" t="n"/>
      <c r="O13" s="10" t="n">
        <v>12300</v>
      </c>
      <c r="P13" s="5" t="n"/>
      <c r="Q13" s="5" t="n"/>
      <c r="R13" s="11">
        <f>IF(OR(M13="",O13=""),"",INT(ROUND(M13*O13,6)))</f>
        <v/>
      </c>
      <c r="S13" s="5" t="n"/>
      <c r="T13" s="5" t="n"/>
      <c r="U13" s="8" t="inlineStr">
        <is>
          <t>견적</t>
        </is>
      </c>
      <c r="V13" s="5" t="n"/>
      <c r="W13" s="5" t="n"/>
      <c r="X13" s="5" t="n"/>
    </row>
    <row r="14" ht="22" customHeight="1">
      <c r="A14" s="8" t="inlineStr">
        <is>
          <t>노무비</t>
        </is>
      </c>
      <c r="B14" s="5" t="n"/>
      <c r="C14" s="8" t="inlineStr">
        <is>
          <t>배관공</t>
        </is>
      </c>
      <c r="D14" s="5" t="n"/>
      <c r="E14" s="5" t="n"/>
      <c r="F14" s="5" t="n"/>
      <c r="G14" s="5" t="n"/>
      <c r="H14" s="8" t="inlineStr"/>
      <c r="I14" s="5" t="n"/>
      <c r="J14" s="5" t="n"/>
      <c r="K14" s="8" t="inlineStr">
        <is>
          <t>인</t>
        </is>
      </c>
      <c r="L14" s="5" t="n"/>
      <c r="M14" s="9" t="n">
        <v>0.12</v>
      </c>
      <c r="N14" s="5" t="n"/>
      <c r="O14" s="10" t="n">
        <v>270000</v>
      </c>
      <c r="P14" s="5" t="n"/>
      <c r="Q14" s="5" t="n"/>
      <c r="R14" s="11">
        <f>IF(OR(M14="",O14=""),"",INT(ROUND(M14*O14,6)))</f>
        <v/>
      </c>
      <c r="S14" s="5" t="n"/>
      <c r="T14" s="5" t="n"/>
      <c r="U14" s="8" t="inlineStr">
        <is>
          <t>품셈 3-2-1</t>
        </is>
      </c>
      <c r="V14" s="5" t="n"/>
      <c r="W14" s="5" t="n"/>
      <c r="X14" s="5" t="n"/>
    </row>
    <row r="15" ht="22" customHeight="1">
      <c r="A15" s="8" t="inlineStr">
        <is>
          <t>노무비</t>
        </is>
      </c>
      <c r="B15" s="5" t="n"/>
      <c r="C15" s="8" t="inlineStr">
        <is>
          <t>보통인부</t>
        </is>
      </c>
      <c r="D15" s="5" t="n"/>
      <c r="E15" s="5" t="n"/>
      <c r="F15" s="5" t="n"/>
      <c r="G15" s="5" t="n"/>
      <c r="H15" s="8" t="inlineStr"/>
      <c r="I15" s="5" t="n"/>
      <c r="J15" s="5" t="n"/>
      <c r="K15" s="8" t="inlineStr">
        <is>
          <t>인</t>
        </is>
      </c>
      <c r="L15" s="5" t="n"/>
      <c r="M15" s="9" t="n">
        <v>0.18</v>
      </c>
      <c r="N15" s="5" t="n"/>
      <c r="O15" s="10" t="n">
        <v>172068</v>
      </c>
      <c r="P15" s="5" t="n"/>
      <c r="Q15" s="5" t="n"/>
      <c r="R15" s="11">
        <f>IF(OR(M15="",O15=""),"",INT(ROUND(M15*O15,6)))</f>
        <v/>
      </c>
      <c r="S15" s="5" t="n"/>
      <c r="T15" s="5" t="n"/>
      <c r="U15" s="8" t="inlineStr">
        <is>
          <t>품셈 3-2-1</t>
        </is>
      </c>
      <c r="V15" s="5" t="n"/>
      <c r="W15" s="5" t="n"/>
      <c r="X15" s="5" t="n"/>
    </row>
    <row r="16" ht="32" customHeight="1">
      <c r="A16" s="8" t="inlineStr">
        <is>
          <t>경비</t>
        </is>
      </c>
      <c r="B16" s="5" t="n"/>
      <c r="C16" s="8" t="inlineStr">
        <is>
          <t>굴착기 사용료</t>
        </is>
      </c>
      <c r="D16" s="5" t="n"/>
      <c r="E16" s="5" t="n"/>
      <c r="F16" s="5" t="n"/>
      <c r="G16" s="5" t="n"/>
      <c r="H16" s="8" t="inlineStr">
        <is>
          <t>0.6㎥</t>
        </is>
      </c>
      <c r="I16" s="5" t="n"/>
      <c r="J16" s="5" t="n"/>
      <c r="K16" s="8" t="inlineStr">
        <is>
          <t>hr</t>
        </is>
      </c>
      <c r="L16" s="5" t="n"/>
      <c r="M16" s="9" t="n">
        <v>0.25</v>
      </c>
      <c r="N16" s="5" t="n"/>
      <c r="O16" s="10" t="n">
        <v>72340</v>
      </c>
      <c r="P16" s="5" t="n"/>
      <c r="Q16" s="5" t="n"/>
      <c r="R16" s="11">
        <f>IF(OR(M16="",O16=""),"",INT(ROUND(M16*O16,6)))</f>
        <v/>
      </c>
      <c r="S16" s="5" t="n"/>
      <c r="T16" s="5" t="n"/>
      <c r="U16" s="8" t="inlineStr">
        <is>
          <t>기계경비 산정표</t>
        </is>
      </c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>
        <f>IF(OR(M17="",O17=""),"",INT(ROUND(M17*O17,6)))</f>
        <v/>
      </c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>
        <f>IF(OR(M18="",O18=""),"",INT(ROUND(M18*O18,6)))</f>
        <v/>
      </c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>
        <f>IF(OR(M19="",O19=""),"",INT(ROUND(M19*O19,6)))</f>
        <v/>
      </c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>
        <f>IF(OR(M20="",O20=""),"",INT(ROUND(M20*O20,6)))</f>
        <v/>
      </c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>
        <f>IF(OR(M21="",O21=""),"",INT(ROUND(M21*O21,6)))</f>
        <v/>
      </c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>
        <f>IF(OR(M22="",O22=""),"",INT(ROUND(M22*O22,6)))</f>
        <v/>
      </c>
      <c r="S22" s="5" t="n"/>
      <c r="T22" s="5" t="n"/>
      <c r="U22" s="8" t="n"/>
      <c r="V22" s="5" t="n"/>
      <c r="W22" s="5" t="n"/>
      <c r="X22" s="5" t="n"/>
    </row>
    <row r="23" ht="6" customHeight="1"/>
    <row r="24" ht="24" customHeight="1">
      <c r="A24" s="4" t="inlineStr">
        <is>
          <t xml:space="preserve">  재료비 계</t>
        </is>
      </c>
      <c r="B24" s="5" t="n"/>
      <c r="C24" s="5" t="n"/>
      <c r="D24" s="5" t="n"/>
      <c r="E24" s="5" t="n"/>
      <c r="F24" s="5" t="n"/>
      <c r="G24" s="11">
        <f>SUMIF(A12:A22,"재료비",R12:R22)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노무비 계</t>
        </is>
      </c>
      <c r="B25" s="5" t="n"/>
      <c r="C25" s="5" t="n"/>
      <c r="D25" s="5" t="n"/>
      <c r="E25" s="5" t="n"/>
      <c r="F25" s="5" t="n"/>
      <c r="G25" s="11">
        <f>SUMIF(A12:A22,"노무비",R12:R22)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경비 계</t>
        </is>
      </c>
      <c r="B26" s="5" t="n"/>
      <c r="C26" s="5" t="n"/>
      <c r="D26" s="5" t="n"/>
      <c r="E26" s="5" t="n"/>
      <c r="F26" s="5" t="n"/>
      <c r="G26" s="11">
        <f>SUMIF(A12:A22,"경비",R12:R22)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합  계</t>
        </is>
      </c>
      <c r="B27" s="5" t="n"/>
      <c r="C27" s="5" t="n"/>
      <c r="D27" s="5" t="n"/>
      <c r="E27" s="5" t="n"/>
      <c r="F27" s="5" t="n"/>
      <c r="G27" s="11">
        <f>G24+G25+G26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단위당 단가</t>
        </is>
      </c>
      <c r="B28" s="5" t="n"/>
      <c r="C28" s="5" t="n"/>
      <c r="D28" s="5" t="n"/>
      <c r="E28" s="5" t="n"/>
      <c r="F28" s="5" t="n"/>
      <c r="G28" s="11">
        <f>G27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6" customHeight="1"/>
    <row r="30" ht="26" customHeight="1">
      <c r="A30" s="12" t="inlineStr">
        <is>
          <t>※ 설계변경 신규비목은 이 단가에 낙찰률을 곱한 값이 적용단가입니다.</t>
        </is>
      </c>
    </row>
    <row r="31" ht="6" customHeight="1"/>
    <row r="32" ht="10" customHeight="1"/>
    <row r="33" ht="26" customHeight="1">
      <c r="A33" s="13" t="n">
        <v>46294</v>
      </c>
    </row>
    <row r="34" ht="24" customHeight="1">
      <c r="A34" s="14" t="inlineStr"/>
      <c r="K34" s="15" t="inlineStr">
        <is>
          <t>작성자</t>
        </is>
      </c>
      <c r="Q34" s="16" t="inlineStr">
        <is>
          <t>이영희</t>
        </is>
      </c>
      <c r="U34" s="17" t="inlineStr">
        <is>
          <t>(서명 또는 인)</t>
        </is>
      </c>
    </row>
    <row r="35" ht="6" customHeight="1"/>
    <row r="37" ht="19.5" customHeight="1">
      <c r="A37" s="18" t="inlineStr">
        <is>
          <t>이 시트는 작성 예시입니다(가상의 현장 · 이름 · 금액). 실제로는 앞 시트에 적으세요.</t>
        </is>
      </c>
    </row>
  </sheetData>
  <mergeCells count="126">
    <mergeCell ref="A15:B15"/>
    <mergeCell ref="O22:Q22"/>
    <mergeCell ref="C14:G14"/>
    <mergeCell ref="H17:J17"/>
    <mergeCell ref="H11:J11"/>
    <mergeCell ref="R20:T20"/>
    <mergeCell ref="O21:Q21"/>
    <mergeCell ref="A3:X3"/>
    <mergeCell ref="H22:J22"/>
    <mergeCell ref="A5:F5"/>
    <mergeCell ref="H19:J19"/>
    <mergeCell ref="R22:T22"/>
    <mergeCell ref="A34:J34"/>
    <mergeCell ref="U15:X15"/>
    <mergeCell ref="M16:N16"/>
    <mergeCell ref="C21:G21"/>
    <mergeCell ref="R14:T14"/>
    <mergeCell ref="M18:N18"/>
    <mergeCell ref="A17:B17"/>
    <mergeCell ref="U16:X16"/>
    <mergeCell ref="A22:B22"/>
    <mergeCell ref="M17:N17"/>
    <mergeCell ref="A24:F24"/>
    <mergeCell ref="O19:Q19"/>
    <mergeCell ref="A19:B19"/>
    <mergeCell ref="M19:N19"/>
    <mergeCell ref="Q34:T34"/>
    <mergeCell ref="K13:L13"/>
    <mergeCell ref="C18:G18"/>
    <mergeCell ref="A7:F7"/>
    <mergeCell ref="H21:J21"/>
    <mergeCell ref="G7:X7"/>
    <mergeCell ref="A11:B11"/>
    <mergeCell ref="K15:L15"/>
    <mergeCell ref="A27:F27"/>
    <mergeCell ref="U20:X20"/>
    <mergeCell ref="U14:X14"/>
    <mergeCell ref="K21:L21"/>
    <mergeCell ref="H16:J16"/>
    <mergeCell ref="C20:G20"/>
    <mergeCell ref="G24:X24"/>
    <mergeCell ref="U22:X22"/>
    <mergeCell ref="O12:Q12"/>
    <mergeCell ref="R17:T17"/>
    <mergeCell ref="A25:F25"/>
    <mergeCell ref="C22:G22"/>
    <mergeCell ref="G26:X26"/>
    <mergeCell ref="M13:N13"/>
    <mergeCell ref="O14:Q14"/>
    <mergeCell ref="M21:N21"/>
    <mergeCell ref="C12:G12"/>
    <mergeCell ref="A28:F28"/>
    <mergeCell ref="G25:X25"/>
    <mergeCell ref="A9:F9"/>
    <mergeCell ref="O13:Q13"/>
    <mergeCell ref="G9:X9"/>
    <mergeCell ref="K17:L17"/>
    <mergeCell ref="H20:J20"/>
    <mergeCell ref="A30:X30"/>
    <mergeCell ref="O15:Q15"/>
    <mergeCell ref="R11:T11"/>
    <mergeCell ref="O18:Q18"/>
    <mergeCell ref="R13:T13"/>
    <mergeCell ref="K19:L19"/>
    <mergeCell ref="K16:L16"/>
    <mergeCell ref="U18:X18"/>
    <mergeCell ref="R15:T15"/>
    <mergeCell ref="R12:T12"/>
    <mergeCell ref="R21:T21"/>
    <mergeCell ref="A26:F26"/>
    <mergeCell ref="U19:X19"/>
    <mergeCell ref="K11:L11"/>
    <mergeCell ref="M11:N11"/>
    <mergeCell ref="C16:G16"/>
    <mergeCell ref="H13:J13"/>
    <mergeCell ref="A8:F8"/>
    <mergeCell ref="A33:X33"/>
    <mergeCell ref="O17:Q17"/>
    <mergeCell ref="A12:B12"/>
    <mergeCell ref="H15:J15"/>
    <mergeCell ref="A21:B21"/>
    <mergeCell ref="M15:N15"/>
    <mergeCell ref="H18:J18"/>
    <mergeCell ref="M12:N12"/>
    <mergeCell ref="C11:G11"/>
    <mergeCell ref="A14:B14"/>
    <mergeCell ref="R19:T19"/>
    <mergeCell ref="U13:X13"/>
    <mergeCell ref="G27:X27"/>
    <mergeCell ref="U21:X21"/>
    <mergeCell ref="C13:G13"/>
    <mergeCell ref="K18:L18"/>
    <mergeCell ref="C15:G15"/>
    <mergeCell ref="G28:X28"/>
    <mergeCell ref="G6:X6"/>
    <mergeCell ref="A37:X37"/>
    <mergeCell ref="O16:Q16"/>
    <mergeCell ref="A16:B16"/>
    <mergeCell ref="K20:L20"/>
    <mergeCell ref="M20:N20"/>
    <mergeCell ref="G5:X5"/>
    <mergeCell ref="H12:J12"/>
    <mergeCell ref="U34:X34"/>
    <mergeCell ref="A18:B18"/>
    <mergeCell ref="K22:L22"/>
    <mergeCell ref="M22:N22"/>
    <mergeCell ref="O11:Q11"/>
    <mergeCell ref="K12:L12"/>
    <mergeCell ref="H14:J14"/>
    <mergeCell ref="R18:T18"/>
    <mergeCell ref="U17:X17"/>
    <mergeCell ref="U11:X11"/>
    <mergeCell ref="K14:L14"/>
    <mergeCell ref="K34:P34"/>
    <mergeCell ref="C17:G17"/>
    <mergeCell ref="A20:B20"/>
    <mergeCell ref="A1:L1"/>
    <mergeCell ref="M14:N14"/>
    <mergeCell ref="A6:F6"/>
    <mergeCell ref="A13:B13"/>
    <mergeCell ref="C19:G19"/>
    <mergeCell ref="M1:X1"/>
    <mergeCell ref="U12:X12"/>
    <mergeCell ref="O20:Q20"/>
    <mergeCell ref="R16:T16"/>
    <mergeCell ref="G8:X8"/>
  </mergeCells>
  <dataValidations count="1">
    <dataValidation sqref="A12 A13 A14 A15 A16 A17 A18 A19 A20 A21 A22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일위대가표</dc:title>
  <dcterms:created xmlns:dcterms="http://purl.org/dc/terms/" xmlns:xsi="http://www.w3.org/2001/XMLSchema-instance" xsi:type="dcterms:W3CDTF">2026-09-29T05:43:07Z</dcterms:created>
  <dcterms:modified xmlns:dcterms="http://purl.org/dc/terms/" xmlns:xsi="http://www.w3.org/2001/XMLSchema-instance" xsi:type="dcterms:W3CDTF">2026-09-29T05:43:08Z</dcterms:modified>
</cp:coreProperties>
</file>