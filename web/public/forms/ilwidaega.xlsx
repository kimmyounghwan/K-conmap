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위대가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'일위대가표'!$A$1:$X$35</definedName>
    <definedName name="_xlnm.Print_Area" localSheetId="1">'작성 예시'!$A$1:$X$35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;;&quot;&quot;"/>
    <numFmt numFmtId="165" formatCode="#,##0;[Red]-#,##0;&quot;&quot;"/>
    <numFmt numFmtId="166" formatCode="yyyy&quot;년&quot; m&quot;월&quot; d&quot;일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165" fontId="6" fillId="4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일 위 대 가 표</t>
        </is>
      </c>
    </row>
    <row r="4" ht="10" customHeight="1"/>
    <row r="5" ht="24" customHeight="1">
      <c r="A5" s="4" t="inlineStr">
        <is>
          <t xml:space="preserve">  일위 번호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종 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규  격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단  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적용 기준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7" t="inlineStr">
        <is>
          <t>구분</t>
        </is>
      </c>
      <c r="B11" s="5" t="n"/>
      <c r="C11" s="7" t="inlineStr">
        <is>
          <t>품  명</t>
        </is>
      </c>
      <c r="D11" s="5" t="n"/>
      <c r="E11" s="5" t="n"/>
      <c r="F11" s="5" t="n"/>
      <c r="G11" s="5" t="n"/>
      <c r="H11" s="7" t="inlineStr">
        <is>
          <t>규  격</t>
        </is>
      </c>
      <c r="I11" s="5" t="n"/>
      <c r="J11" s="5" t="n"/>
      <c r="K11" s="7" t="inlineStr">
        <is>
          <t>단위</t>
        </is>
      </c>
      <c r="L11" s="5" t="n"/>
      <c r="M11" s="7" t="inlineStr">
        <is>
          <t>수량</t>
        </is>
      </c>
      <c r="N11" s="5" t="n"/>
      <c r="O11" s="7" t="inlineStr">
        <is>
          <t>단가</t>
        </is>
      </c>
      <c r="P11" s="5" t="n"/>
      <c r="Q11" s="5" t="n"/>
      <c r="R11" s="7" t="inlineStr">
        <is>
          <t>금액</t>
        </is>
      </c>
      <c r="S11" s="5" t="n"/>
      <c r="T11" s="5" t="n"/>
      <c r="U11" s="7" t="inlineStr">
        <is>
          <t>근거</t>
        </is>
      </c>
      <c r="V11" s="5" t="n"/>
      <c r="W11" s="5" t="n"/>
      <c r="X11" s="5" t="n"/>
    </row>
    <row r="12" ht="22" customHeight="1">
      <c r="A12" s="8" t="n"/>
      <c r="B12" s="5" t="n"/>
      <c r="C12" s="8" t="n"/>
      <c r="D12" s="5" t="n"/>
      <c r="E12" s="5" t="n"/>
      <c r="F12" s="5" t="n"/>
      <c r="G12" s="5" t="n"/>
      <c r="H12" s="8" t="n"/>
      <c r="I12" s="5" t="n"/>
      <c r="J12" s="5" t="n"/>
      <c r="K12" s="8" t="n"/>
      <c r="L12" s="5" t="n"/>
      <c r="M12" s="9" t="n"/>
      <c r="N12" s="5" t="n"/>
      <c r="O12" s="10" t="n"/>
      <c r="P12" s="5" t="n"/>
      <c r="Q12" s="5" t="n"/>
      <c r="R12" s="11">
        <f>IF(OR(M12="",O12=""),"",INT(ROUND(M12*O12,6)))</f>
        <v/>
      </c>
      <c r="S12" s="5" t="n"/>
      <c r="T12" s="5" t="n"/>
      <c r="U12" s="8" t="n"/>
      <c r="V12" s="5" t="n"/>
      <c r="W12" s="5" t="n"/>
      <c r="X12" s="5" t="n"/>
    </row>
    <row r="13" ht="22" customHeight="1">
      <c r="A13" s="8" t="n"/>
      <c r="B13" s="5" t="n"/>
      <c r="C13" s="8" t="n"/>
      <c r="D13" s="5" t="n"/>
      <c r="E13" s="5" t="n"/>
      <c r="F13" s="5" t="n"/>
      <c r="G13" s="5" t="n"/>
      <c r="H13" s="8" t="n"/>
      <c r="I13" s="5" t="n"/>
      <c r="J13" s="5" t="n"/>
      <c r="K13" s="8" t="n"/>
      <c r="L13" s="5" t="n"/>
      <c r="M13" s="9" t="n"/>
      <c r="N13" s="5" t="n"/>
      <c r="O13" s="10" t="n"/>
      <c r="P13" s="5" t="n"/>
      <c r="Q13" s="5" t="n"/>
      <c r="R13" s="11">
        <f>IF(OR(M13="",O13=""),"",INT(ROUND(M13*O13,6)))</f>
        <v/>
      </c>
      <c r="S13" s="5" t="n"/>
      <c r="T13" s="5" t="n"/>
      <c r="U13" s="8" t="n"/>
      <c r="V13" s="5" t="n"/>
      <c r="W13" s="5" t="n"/>
      <c r="X13" s="5" t="n"/>
    </row>
    <row r="14" ht="22" customHeight="1">
      <c r="A14" s="8" t="n"/>
      <c r="B14" s="5" t="n"/>
      <c r="C14" s="8" t="n"/>
      <c r="D14" s="5" t="n"/>
      <c r="E14" s="5" t="n"/>
      <c r="F14" s="5" t="n"/>
      <c r="G14" s="5" t="n"/>
      <c r="H14" s="8" t="n"/>
      <c r="I14" s="5" t="n"/>
      <c r="J14" s="5" t="n"/>
      <c r="K14" s="8" t="n"/>
      <c r="L14" s="5" t="n"/>
      <c r="M14" s="9" t="n"/>
      <c r="N14" s="5" t="n"/>
      <c r="O14" s="10" t="n"/>
      <c r="P14" s="5" t="n"/>
      <c r="Q14" s="5" t="n"/>
      <c r="R14" s="11">
        <f>IF(OR(M14="",O14=""),"",INT(ROUND(M14*O14,6)))</f>
        <v/>
      </c>
      <c r="S14" s="5" t="n"/>
      <c r="T14" s="5" t="n"/>
      <c r="U14" s="8" t="n"/>
      <c r="V14" s="5" t="n"/>
      <c r="W14" s="5" t="n"/>
      <c r="X14" s="5" t="n"/>
    </row>
    <row r="15" ht="22" customHeight="1">
      <c r="A15" s="8" t="n"/>
      <c r="B15" s="5" t="n"/>
      <c r="C15" s="8" t="n"/>
      <c r="D15" s="5" t="n"/>
      <c r="E15" s="5" t="n"/>
      <c r="F15" s="5" t="n"/>
      <c r="G15" s="5" t="n"/>
      <c r="H15" s="8" t="n"/>
      <c r="I15" s="5" t="n"/>
      <c r="J15" s="5" t="n"/>
      <c r="K15" s="8" t="n"/>
      <c r="L15" s="5" t="n"/>
      <c r="M15" s="9" t="n"/>
      <c r="N15" s="5" t="n"/>
      <c r="O15" s="10" t="n"/>
      <c r="P15" s="5" t="n"/>
      <c r="Q15" s="5" t="n"/>
      <c r="R15" s="11">
        <f>IF(OR(M15="",O15=""),"",INT(ROUND(M15*O15,6)))</f>
        <v/>
      </c>
      <c r="S15" s="5" t="n"/>
      <c r="T15" s="5" t="n"/>
      <c r="U15" s="8" t="n"/>
      <c r="V15" s="5" t="n"/>
      <c r="W15" s="5" t="n"/>
      <c r="X15" s="5" t="n"/>
    </row>
    <row r="16" ht="22" customHeight="1">
      <c r="A16" s="8" t="n"/>
      <c r="B16" s="5" t="n"/>
      <c r="C16" s="8" t="n"/>
      <c r="D16" s="5" t="n"/>
      <c r="E16" s="5" t="n"/>
      <c r="F16" s="5" t="n"/>
      <c r="G16" s="5" t="n"/>
      <c r="H16" s="8" t="n"/>
      <c r="I16" s="5" t="n"/>
      <c r="J16" s="5" t="n"/>
      <c r="K16" s="8" t="n"/>
      <c r="L16" s="5" t="n"/>
      <c r="M16" s="9" t="n"/>
      <c r="N16" s="5" t="n"/>
      <c r="O16" s="10" t="n"/>
      <c r="P16" s="5" t="n"/>
      <c r="Q16" s="5" t="n"/>
      <c r="R16" s="11">
        <f>IF(OR(M16="",O16=""),"",INT(ROUND(M16*O16,6)))</f>
        <v/>
      </c>
      <c r="S16" s="5" t="n"/>
      <c r="T16" s="5" t="n"/>
      <c r="U16" s="8" t="n"/>
      <c r="V16" s="5" t="n"/>
      <c r="W16" s="5" t="n"/>
      <c r="X16" s="5" t="n"/>
    </row>
    <row r="17" ht="22" customHeight="1">
      <c r="A17" s="8" t="n"/>
      <c r="B17" s="5" t="n"/>
      <c r="C17" s="8" t="n"/>
      <c r="D17" s="5" t="n"/>
      <c r="E17" s="5" t="n"/>
      <c r="F17" s="5" t="n"/>
      <c r="G17" s="5" t="n"/>
      <c r="H17" s="8" t="n"/>
      <c r="I17" s="5" t="n"/>
      <c r="J17" s="5" t="n"/>
      <c r="K17" s="8" t="n"/>
      <c r="L17" s="5" t="n"/>
      <c r="M17" s="9" t="n"/>
      <c r="N17" s="5" t="n"/>
      <c r="O17" s="10" t="n"/>
      <c r="P17" s="5" t="n"/>
      <c r="Q17" s="5" t="n"/>
      <c r="R17" s="11">
        <f>IF(OR(M17="",O17=""),"",INT(ROUND(M17*O17,6)))</f>
        <v/>
      </c>
      <c r="S17" s="5" t="n"/>
      <c r="T17" s="5" t="n"/>
      <c r="U17" s="8" t="n"/>
      <c r="V17" s="5" t="n"/>
      <c r="W17" s="5" t="n"/>
      <c r="X17" s="5" t="n"/>
    </row>
    <row r="18" ht="22" customHeight="1">
      <c r="A18" s="8" t="n"/>
      <c r="B18" s="5" t="n"/>
      <c r="C18" s="8" t="n"/>
      <c r="D18" s="5" t="n"/>
      <c r="E18" s="5" t="n"/>
      <c r="F18" s="5" t="n"/>
      <c r="G18" s="5" t="n"/>
      <c r="H18" s="8" t="n"/>
      <c r="I18" s="5" t="n"/>
      <c r="J18" s="5" t="n"/>
      <c r="K18" s="8" t="n"/>
      <c r="L18" s="5" t="n"/>
      <c r="M18" s="9" t="n"/>
      <c r="N18" s="5" t="n"/>
      <c r="O18" s="10" t="n"/>
      <c r="P18" s="5" t="n"/>
      <c r="Q18" s="5" t="n"/>
      <c r="R18" s="11">
        <f>IF(OR(M18="",O18=""),"",INT(ROUND(M18*O18,6)))</f>
        <v/>
      </c>
      <c r="S18" s="5" t="n"/>
      <c r="T18" s="5" t="n"/>
      <c r="U18" s="8" t="n"/>
      <c r="V18" s="5" t="n"/>
      <c r="W18" s="5" t="n"/>
      <c r="X18" s="5" t="n"/>
    </row>
    <row r="19" ht="22" customHeight="1">
      <c r="A19" s="8" t="n"/>
      <c r="B19" s="5" t="n"/>
      <c r="C19" s="8" t="n"/>
      <c r="D19" s="5" t="n"/>
      <c r="E19" s="5" t="n"/>
      <c r="F19" s="5" t="n"/>
      <c r="G19" s="5" t="n"/>
      <c r="H19" s="8" t="n"/>
      <c r="I19" s="5" t="n"/>
      <c r="J19" s="5" t="n"/>
      <c r="K19" s="8" t="n"/>
      <c r="L19" s="5" t="n"/>
      <c r="M19" s="9" t="n"/>
      <c r="N19" s="5" t="n"/>
      <c r="O19" s="10" t="n"/>
      <c r="P19" s="5" t="n"/>
      <c r="Q19" s="5" t="n"/>
      <c r="R19" s="11">
        <f>IF(OR(M19="",O19=""),"",INT(ROUND(M19*O19,6)))</f>
        <v/>
      </c>
      <c r="S19" s="5" t="n"/>
      <c r="T19" s="5" t="n"/>
      <c r="U19" s="8" t="n"/>
      <c r="V19" s="5" t="n"/>
      <c r="W19" s="5" t="n"/>
      <c r="X19" s="5" t="n"/>
    </row>
    <row r="20" ht="22" customHeight="1">
      <c r="A20" s="8" t="n"/>
      <c r="B20" s="5" t="n"/>
      <c r="C20" s="8" t="n"/>
      <c r="D20" s="5" t="n"/>
      <c r="E20" s="5" t="n"/>
      <c r="F20" s="5" t="n"/>
      <c r="G20" s="5" t="n"/>
      <c r="H20" s="8" t="n"/>
      <c r="I20" s="5" t="n"/>
      <c r="J20" s="5" t="n"/>
      <c r="K20" s="8" t="n"/>
      <c r="L20" s="5" t="n"/>
      <c r="M20" s="9" t="n"/>
      <c r="N20" s="5" t="n"/>
      <c r="O20" s="10" t="n"/>
      <c r="P20" s="5" t="n"/>
      <c r="Q20" s="5" t="n"/>
      <c r="R20" s="11">
        <f>IF(OR(M20="",O20=""),"",INT(ROUND(M20*O20,6)))</f>
        <v/>
      </c>
      <c r="S20" s="5" t="n"/>
      <c r="T20" s="5" t="n"/>
      <c r="U20" s="8" t="n"/>
      <c r="V20" s="5" t="n"/>
      <c r="W20" s="5" t="n"/>
      <c r="X20" s="5" t="n"/>
    </row>
    <row r="21" ht="22" customHeight="1">
      <c r="A21" s="8" t="n"/>
      <c r="B21" s="5" t="n"/>
      <c r="C21" s="8" t="n"/>
      <c r="D21" s="5" t="n"/>
      <c r="E21" s="5" t="n"/>
      <c r="F21" s="5" t="n"/>
      <c r="G21" s="5" t="n"/>
      <c r="H21" s="8" t="n"/>
      <c r="I21" s="5" t="n"/>
      <c r="J21" s="5" t="n"/>
      <c r="K21" s="8" t="n"/>
      <c r="L21" s="5" t="n"/>
      <c r="M21" s="9" t="n"/>
      <c r="N21" s="5" t="n"/>
      <c r="O21" s="10" t="n"/>
      <c r="P21" s="5" t="n"/>
      <c r="Q21" s="5" t="n"/>
      <c r="R21" s="11">
        <f>IF(OR(M21="",O21=""),"",INT(ROUND(M21*O21,6)))</f>
        <v/>
      </c>
      <c r="S21" s="5" t="n"/>
      <c r="T21" s="5" t="n"/>
      <c r="U21" s="8" t="n"/>
      <c r="V21" s="5" t="n"/>
      <c r="W21" s="5" t="n"/>
      <c r="X21" s="5" t="n"/>
    </row>
    <row r="22" ht="22" customHeight="1">
      <c r="A22" s="8" t="n"/>
      <c r="B22" s="5" t="n"/>
      <c r="C22" s="8" t="n"/>
      <c r="D22" s="5" t="n"/>
      <c r="E22" s="5" t="n"/>
      <c r="F22" s="5" t="n"/>
      <c r="G22" s="5" t="n"/>
      <c r="H22" s="8" t="n"/>
      <c r="I22" s="5" t="n"/>
      <c r="J22" s="5" t="n"/>
      <c r="K22" s="8" t="n"/>
      <c r="L22" s="5" t="n"/>
      <c r="M22" s="9" t="n"/>
      <c r="N22" s="5" t="n"/>
      <c r="O22" s="10" t="n"/>
      <c r="P22" s="5" t="n"/>
      <c r="Q22" s="5" t="n"/>
      <c r="R22" s="11">
        <f>IF(OR(M22="",O22=""),"",INT(ROUND(M22*O22,6)))</f>
        <v/>
      </c>
      <c r="S22" s="5" t="n"/>
      <c r="T22" s="5" t="n"/>
      <c r="U22" s="8" t="n"/>
      <c r="V22" s="5" t="n"/>
      <c r="W22" s="5" t="n"/>
      <c r="X22" s="5" t="n"/>
    </row>
    <row r="23" ht="6" customHeight="1"/>
    <row r="24" ht="24" customHeight="1">
      <c r="A24" s="4" t="inlineStr">
        <is>
          <t xml:space="preserve">  재료비 계</t>
        </is>
      </c>
      <c r="B24" s="5" t="n"/>
      <c r="C24" s="5" t="n"/>
      <c r="D24" s="5" t="n"/>
      <c r="E24" s="5" t="n"/>
      <c r="F24" s="5" t="n"/>
      <c r="G24" s="11">
        <f>SUMIF(A12:A22,"재료비",R12:R22)</f>
        <v/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24" customHeight="1">
      <c r="A25" s="4" t="inlineStr">
        <is>
          <t xml:space="preserve">  노무비 계</t>
        </is>
      </c>
      <c r="B25" s="5" t="n"/>
      <c r="C25" s="5" t="n"/>
      <c r="D25" s="5" t="n"/>
      <c r="E25" s="5" t="n"/>
      <c r="F25" s="5" t="n"/>
      <c r="G25" s="11">
        <f>SUMIF(A12:A22,"노무비",R12:R22)</f>
        <v/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24" customHeight="1">
      <c r="A26" s="4" t="inlineStr">
        <is>
          <t xml:space="preserve">  경비 계</t>
        </is>
      </c>
      <c r="B26" s="5" t="n"/>
      <c r="C26" s="5" t="n"/>
      <c r="D26" s="5" t="n"/>
      <c r="E26" s="5" t="n"/>
      <c r="F26" s="5" t="n"/>
      <c r="G26" s="11">
        <f>SUMIF(A12:A22,"경비",R12:R22)</f>
        <v/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24" customHeight="1">
      <c r="A27" s="4" t="inlineStr">
        <is>
          <t xml:space="preserve">  합  계</t>
        </is>
      </c>
      <c r="B27" s="5" t="n"/>
      <c r="C27" s="5" t="n"/>
      <c r="D27" s="5" t="n"/>
      <c r="E27" s="5" t="n"/>
      <c r="F27" s="5" t="n"/>
      <c r="G27" s="11">
        <f>G24+G25+G26</f>
        <v/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24" customHeight="1">
      <c r="A28" s="4" t="inlineStr">
        <is>
          <t xml:space="preserve">  단위당 단가</t>
        </is>
      </c>
      <c r="B28" s="5" t="n"/>
      <c r="C28" s="5" t="n"/>
      <c r="D28" s="5" t="n"/>
      <c r="E28" s="5" t="n"/>
      <c r="F28" s="5" t="n"/>
      <c r="G28" s="11">
        <f>G27</f>
        <v/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6" customHeight="1"/>
    <row r="30" ht="26" customHeight="1">
      <c r="A30" s="12" t="inlineStr">
        <is>
          <t>※ 설계변경 신규비목은 이 단가에 낙찰률을 곱한 값이 적용단가입니다.</t>
        </is>
      </c>
    </row>
    <row r="31" ht="6" customHeight="1"/>
    <row r="32" ht="10" customHeight="1"/>
    <row r="33" ht="26" customHeight="1">
      <c r="A33" s="13" t="inlineStr">
        <is>
          <t xml:space="preserve">          년        월        일</t>
        </is>
      </c>
    </row>
    <row r="34" ht="24" customHeight="1">
      <c r="A34" s="14" t="inlineStr"/>
      <c r="K34" s="15" t="inlineStr">
        <is>
          <t>작성자</t>
        </is>
      </c>
      <c r="Q34" s="16" t="n"/>
      <c r="U34" s="17" t="inlineStr">
        <is>
          <t>(서명 또는 인)</t>
        </is>
      </c>
    </row>
    <row r="35" ht="6" customHeight="1"/>
    <row r="37" ht="34" customHeight="1">
      <c r="A37" s="18" t="inlineStr">
        <is>
          <t>금액은 수량 × 단가 원 미만 버림입니다. «구분» 칸을 목록에서 고르면 재료비·노무비·경비 계가 저절로 나뉩니다.</t>
        </is>
      </c>
    </row>
    <row r="38" ht="34" customHeight="1">
      <c r="A38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9" ht="19.5" customHeight="1">
      <c r="A39" s="18" t="inlineStr">
        <is>
          <t>발주기관이 정한 서식이 있으면 그 서식을 쓰세요. 이 줄과 1행은 지워도 됩니다.</t>
        </is>
      </c>
    </row>
  </sheetData>
  <mergeCells count="128">
    <mergeCell ref="A15:B15"/>
    <mergeCell ref="O22:Q22"/>
    <mergeCell ref="C14:G14"/>
    <mergeCell ref="H17:J17"/>
    <mergeCell ref="H11:J11"/>
    <mergeCell ref="R20:T20"/>
    <mergeCell ref="O21:Q21"/>
    <mergeCell ref="A3:X3"/>
    <mergeCell ref="H22:J22"/>
    <mergeCell ref="A5:F5"/>
    <mergeCell ref="H19:J19"/>
    <mergeCell ref="R22:T22"/>
    <mergeCell ref="A34:J34"/>
    <mergeCell ref="U15:X15"/>
    <mergeCell ref="M16:N16"/>
    <mergeCell ref="C21:G21"/>
    <mergeCell ref="A38:X38"/>
    <mergeCell ref="R14:T14"/>
    <mergeCell ref="M18:N18"/>
    <mergeCell ref="A17:B17"/>
    <mergeCell ref="U16:X16"/>
    <mergeCell ref="A22:B22"/>
    <mergeCell ref="M17:N17"/>
    <mergeCell ref="A24:F24"/>
    <mergeCell ref="O19:Q19"/>
    <mergeCell ref="A19:B19"/>
    <mergeCell ref="M19:N19"/>
    <mergeCell ref="Q34:T34"/>
    <mergeCell ref="K13:L13"/>
    <mergeCell ref="C18:G18"/>
    <mergeCell ref="A7:F7"/>
    <mergeCell ref="H21:J21"/>
    <mergeCell ref="G7:X7"/>
    <mergeCell ref="A11:B11"/>
    <mergeCell ref="K15:L15"/>
    <mergeCell ref="A27:F27"/>
    <mergeCell ref="U20:X20"/>
    <mergeCell ref="U14:X14"/>
    <mergeCell ref="K21:L21"/>
    <mergeCell ref="H16:J16"/>
    <mergeCell ref="C20:G20"/>
    <mergeCell ref="G24:X24"/>
    <mergeCell ref="U22:X22"/>
    <mergeCell ref="O12:Q12"/>
    <mergeCell ref="R17:T17"/>
    <mergeCell ref="A25:F25"/>
    <mergeCell ref="C22:G22"/>
    <mergeCell ref="G26:X26"/>
    <mergeCell ref="M13:N13"/>
    <mergeCell ref="O14:Q14"/>
    <mergeCell ref="M21:N21"/>
    <mergeCell ref="C12:G12"/>
    <mergeCell ref="A28:F28"/>
    <mergeCell ref="G25:X25"/>
    <mergeCell ref="A9:F9"/>
    <mergeCell ref="O13:Q13"/>
    <mergeCell ref="G9:X9"/>
    <mergeCell ref="K17:L17"/>
    <mergeCell ref="H20:J20"/>
    <mergeCell ref="A30:X30"/>
    <mergeCell ref="O15:Q15"/>
    <mergeCell ref="R11:T11"/>
    <mergeCell ref="O18:Q18"/>
    <mergeCell ref="R13:T13"/>
    <mergeCell ref="K19:L19"/>
    <mergeCell ref="K16:L16"/>
    <mergeCell ref="U18:X18"/>
    <mergeCell ref="R15:T15"/>
    <mergeCell ref="R12:T12"/>
    <mergeCell ref="R21:T21"/>
    <mergeCell ref="A26:F26"/>
    <mergeCell ref="U19:X19"/>
    <mergeCell ref="K11:L11"/>
    <mergeCell ref="M11:N11"/>
    <mergeCell ref="C16:G16"/>
    <mergeCell ref="H13:J13"/>
    <mergeCell ref="A8:F8"/>
    <mergeCell ref="A33:X33"/>
    <mergeCell ref="O17:Q17"/>
    <mergeCell ref="A12:B12"/>
    <mergeCell ref="H15:J15"/>
    <mergeCell ref="A21:B21"/>
    <mergeCell ref="M15:N15"/>
    <mergeCell ref="H18:J18"/>
    <mergeCell ref="M12:N12"/>
    <mergeCell ref="C11:G11"/>
    <mergeCell ref="A14:B14"/>
    <mergeCell ref="A39:X39"/>
    <mergeCell ref="R19:T19"/>
    <mergeCell ref="U13:X13"/>
    <mergeCell ref="G27:X27"/>
    <mergeCell ref="U21:X21"/>
    <mergeCell ref="C13:G13"/>
    <mergeCell ref="K18:L18"/>
    <mergeCell ref="C15:G15"/>
    <mergeCell ref="G28:X28"/>
    <mergeCell ref="G6:X6"/>
    <mergeCell ref="A37:X37"/>
    <mergeCell ref="O16:Q16"/>
    <mergeCell ref="A16:B16"/>
    <mergeCell ref="K20:L20"/>
    <mergeCell ref="M20:N20"/>
    <mergeCell ref="G5:X5"/>
    <mergeCell ref="H12:J12"/>
    <mergeCell ref="U34:X34"/>
    <mergeCell ref="A18:B18"/>
    <mergeCell ref="K22:L22"/>
    <mergeCell ref="M22:N22"/>
    <mergeCell ref="O11:Q11"/>
    <mergeCell ref="K12:L12"/>
    <mergeCell ref="H14:J14"/>
    <mergeCell ref="R18:T18"/>
    <mergeCell ref="U17:X17"/>
    <mergeCell ref="U11:X11"/>
    <mergeCell ref="K14:L14"/>
    <mergeCell ref="K34:P34"/>
    <mergeCell ref="C17:G17"/>
    <mergeCell ref="A20:B20"/>
    <mergeCell ref="A1:L1"/>
    <mergeCell ref="M14:N14"/>
    <mergeCell ref="A6:F6"/>
    <mergeCell ref="A13:B13"/>
    <mergeCell ref="C19:G19"/>
    <mergeCell ref="M1:X1"/>
    <mergeCell ref="U12:X12"/>
    <mergeCell ref="O20:Q20"/>
    <mergeCell ref="R16:T16"/>
    <mergeCell ref="G8:X8"/>
  </mergeCells>
  <dataValidations count="1">
    <dataValidation sqref="A12 A13 A14 A15 A16 A17 A18 A19 A20 A21 A22" showDropDown="0" showInputMessage="0" showErrorMessage="0" allowBlank="1" error="목록에서 고르세요" type="list">
      <formula1>"재료비,노무비,경비"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일 위 대 가 표</t>
        </is>
      </c>
    </row>
    <row r="4" ht="10" customHeight="1"/>
    <row r="5" ht="24" customHeight="1">
      <c r="A5" s="4" t="inlineStr">
        <is>
          <t xml:space="preserve">  일위 번호</t>
        </is>
      </c>
      <c r="B5" s="5" t="n"/>
      <c r="C5" s="5" t="n"/>
      <c r="D5" s="5" t="n"/>
      <c r="E5" s="5" t="n"/>
      <c r="F5" s="5" t="n"/>
      <c r="G5" s="6" t="inlineStr">
        <is>
          <t>제12호표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종 명</t>
        </is>
      </c>
      <c r="B6" s="5" t="n"/>
      <c r="C6" s="5" t="n"/>
      <c r="D6" s="5" t="n"/>
      <c r="E6" s="5" t="n"/>
      <c r="F6" s="5" t="n"/>
      <c r="G6" s="6" t="inlineStr">
        <is>
          <t>PE 이중벽관 부설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규  격</t>
        </is>
      </c>
      <c r="B7" s="5" t="n"/>
      <c r="C7" s="5" t="n"/>
      <c r="D7" s="5" t="n"/>
      <c r="E7" s="5" t="n"/>
      <c r="F7" s="5" t="n"/>
      <c r="G7" s="6" t="inlineStr">
        <is>
          <t>D600, L=6m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단  위</t>
        </is>
      </c>
      <c r="B8" s="5" t="n"/>
      <c r="C8" s="5" t="n"/>
      <c r="D8" s="5" t="n"/>
      <c r="E8" s="5" t="n"/>
      <c r="F8" s="5" t="n"/>
      <c r="G8" s="6" t="inlineStr">
        <is>
          <t>m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적용 기준</t>
        </is>
      </c>
      <c r="B9" s="5" t="n"/>
      <c r="C9" s="5" t="n"/>
      <c r="D9" s="5" t="n"/>
      <c r="E9" s="5" t="n"/>
      <c r="F9" s="5" t="n"/>
      <c r="G9" s="6" t="inlineStr">
        <is>
          <t>2026 건설공사 표준품셈 · 2026년 상반기 노임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7" t="inlineStr">
        <is>
          <t>구분</t>
        </is>
      </c>
      <c r="B11" s="5" t="n"/>
      <c r="C11" s="7" t="inlineStr">
        <is>
          <t>품  명</t>
        </is>
      </c>
      <c r="D11" s="5" t="n"/>
      <c r="E11" s="5" t="n"/>
      <c r="F11" s="5" t="n"/>
      <c r="G11" s="5" t="n"/>
      <c r="H11" s="7" t="inlineStr">
        <is>
          <t>규  격</t>
        </is>
      </c>
      <c r="I11" s="5" t="n"/>
      <c r="J11" s="5" t="n"/>
      <c r="K11" s="7" t="inlineStr">
        <is>
          <t>단위</t>
        </is>
      </c>
      <c r="L11" s="5" t="n"/>
      <c r="M11" s="7" t="inlineStr">
        <is>
          <t>수량</t>
        </is>
      </c>
      <c r="N11" s="5" t="n"/>
      <c r="O11" s="7" t="inlineStr">
        <is>
          <t>단가</t>
        </is>
      </c>
      <c r="P11" s="5" t="n"/>
      <c r="Q11" s="5" t="n"/>
      <c r="R11" s="7" t="inlineStr">
        <is>
          <t>금액</t>
        </is>
      </c>
      <c r="S11" s="5" t="n"/>
      <c r="T11" s="5" t="n"/>
      <c r="U11" s="7" t="inlineStr">
        <is>
          <t>근거</t>
        </is>
      </c>
      <c r="V11" s="5" t="n"/>
      <c r="W11" s="5" t="n"/>
      <c r="X11" s="5" t="n"/>
    </row>
    <row r="12" ht="22" customHeight="1">
      <c r="A12" s="8" t="inlineStr">
        <is>
          <t>재료비</t>
        </is>
      </c>
      <c r="B12" s="5" t="n"/>
      <c r="C12" s="8" t="inlineStr">
        <is>
          <t>PE 이중벽관</t>
        </is>
      </c>
      <c r="D12" s="5" t="n"/>
      <c r="E12" s="5" t="n"/>
      <c r="F12" s="5" t="n"/>
      <c r="G12" s="5" t="n"/>
      <c r="H12" s="8" t="inlineStr">
        <is>
          <t>D600</t>
        </is>
      </c>
      <c r="I12" s="5" t="n"/>
      <c r="J12" s="5" t="n"/>
      <c r="K12" s="8" t="inlineStr">
        <is>
          <t>m</t>
        </is>
      </c>
      <c r="L12" s="5" t="n"/>
      <c r="M12" s="9" t="n">
        <v>1</v>
      </c>
      <c r="N12" s="5" t="n"/>
      <c r="O12" s="10" t="n">
        <v>98500</v>
      </c>
      <c r="P12" s="5" t="n"/>
      <c r="Q12" s="5" t="n"/>
      <c r="R12" s="11">
        <f>IF(OR(M12="",O12=""),"",INT(ROUND(M12*O12,6)))</f>
        <v/>
      </c>
      <c r="S12" s="5" t="n"/>
      <c r="T12" s="5" t="n"/>
      <c r="U12" s="8" t="inlineStr">
        <is>
          <t>견적 3곳 최저</t>
        </is>
      </c>
      <c r="V12" s="5" t="n"/>
      <c r="W12" s="5" t="n"/>
      <c r="X12" s="5" t="n"/>
    </row>
    <row r="13" ht="22" customHeight="1">
      <c r="A13" s="8" t="inlineStr">
        <is>
          <t>재료비</t>
        </is>
      </c>
      <c r="B13" s="5" t="n"/>
      <c r="C13" s="8" t="inlineStr">
        <is>
          <t>고무링</t>
        </is>
      </c>
      <c r="D13" s="5" t="n"/>
      <c r="E13" s="5" t="n"/>
      <c r="F13" s="5" t="n"/>
      <c r="G13" s="5" t="n"/>
      <c r="H13" s="8" t="inlineStr">
        <is>
          <t>D600</t>
        </is>
      </c>
      <c r="I13" s="5" t="n"/>
      <c r="J13" s="5" t="n"/>
      <c r="K13" s="8" t="inlineStr">
        <is>
          <t>개</t>
        </is>
      </c>
      <c r="L13" s="5" t="n"/>
      <c r="M13" s="9" t="n">
        <v>0.167</v>
      </c>
      <c r="N13" s="5" t="n"/>
      <c r="O13" s="10" t="n">
        <v>12300</v>
      </c>
      <c r="P13" s="5" t="n"/>
      <c r="Q13" s="5" t="n"/>
      <c r="R13" s="11">
        <f>IF(OR(M13="",O13=""),"",INT(ROUND(M13*O13,6)))</f>
        <v/>
      </c>
      <c r="S13" s="5" t="n"/>
      <c r="T13" s="5" t="n"/>
      <c r="U13" s="8" t="inlineStr">
        <is>
          <t>견적</t>
        </is>
      </c>
      <c r="V13" s="5" t="n"/>
      <c r="W13" s="5" t="n"/>
      <c r="X13" s="5" t="n"/>
    </row>
    <row r="14" ht="22" customHeight="1">
      <c r="A14" s="8" t="inlineStr">
        <is>
          <t>노무비</t>
        </is>
      </c>
      <c r="B14" s="5" t="n"/>
      <c r="C14" s="8" t="inlineStr">
        <is>
          <t>배관공</t>
        </is>
      </c>
      <c r="D14" s="5" t="n"/>
      <c r="E14" s="5" t="n"/>
      <c r="F14" s="5" t="n"/>
      <c r="G14" s="5" t="n"/>
      <c r="H14" s="8" t="inlineStr"/>
      <c r="I14" s="5" t="n"/>
      <c r="J14" s="5" t="n"/>
      <c r="K14" s="8" t="inlineStr">
        <is>
          <t>인</t>
        </is>
      </c>
      <c r="L14" s="5" t="n"/>
      <c r="M14" s="9" t="n">
        <v>0.12</v>
      </c>
      <c r="N14" s="5" t="n"/>
      <c r="O14" s="10" t="n">
        <v>270000</v>
      </c>
      <c r="P14" s="5" t="n"/>
      <c r="Q14" s="5" t="n"/>
      <c r="R14" s="11">
        <f>IF(OR(M14="",O14=""),"",INT(ROUND(M14*O14,6)))</f>
        <v/>
      </c>
      <c r="S14" s="5" t="n"/>
      <c r="T14" s="5" t="n"/>
      <c r="U14" s="8" t="inlineStr">
        <is>
          <t>품셈 3-2-1</t>
        </is>
      </c>
      <c r="V14" s="5" t="n"/>
      <c r="W14" s="5" t="n"/>
      <c r="X14" s="5" t="n"/>
    </row>
    <row r="15" ht="22" customHeight="1">
      <c r="A15" s="8" t="inlineStr">
        <is>
          <t>노무비</t>
        </is>
      </c>
      <c r="B15" s="5" t="n"/>
      <c r="C15" s="8" t="inlineStr">
        <is>
          <t>보통인부</t>
        </is>
      </c>
      <c r="D15" s="5" t="n"/>
      <c r="E15" s="5" t="n"/>
      <c r="F15" s="5" t="n"/>
      <c r="G15" s="5" t="n"/>
      <c r="H15" s="8" t="inlineStr"/>
      <c r="I15" s="5" t="n"/>
      <c r="J15" s="5" t="n"/>
      <c r="K15" s="8" t="inlineStr">
        <is>
          <t>인</t>
        </is>
      </c>
      <c r="L15" s="5" t="n"/>
      <c r="M15" s="9" t="n">
        <v>0.18</v>
      </c>
      <c r="N15" s="5" t="n"/>
      <c r="O15" s="10" t="n">
        <v>172068</v>
      </c>
      <c r="P15" s="5" t="n"/>
      <c r="Q15" s="5" t="n"/>
      <c r="R15" s="11">
        <f>IF(OR(M15="",O15=""),"",INT(ROUND(M15*O15,6)))</f>
        <v/>
      </c>
      <c r="S15" s="5" t="n"/>
      <c r="T15" s="5" t="n"/>
      <c r="U15" s="8" t="inlineStr">
        <is>
          <t>품셈 3-2-1</t>
        </is>
      </c>
      <c r="V15" s="5" t="n"/>
      <c r="W15" s="5" t="n"/>
      <c r="X15" s="5" t="n"/>
    </row>
    <row r="16" ht="32" customHeight="1">
      <c r="A16" s="8" t="inlineStr">
        <is>
          <t>경비</t>
        </is>
      </c>
      <c r="B16" s="5" t="n"/>
      <c r="C16" s="8" t="inlineStr">
        <is>
          <t>굴착기 사용료</t>
        </is>
      </c>
      <c r="D16" s="5" t="n"/>
      <c r="E16" s="5" t="n"/>
      <c r="F16" s="5" t="n"/>
      <c r="G16" s="5" t="n"/>
      <c r="H16" s="8" t="inlineStr">
        <is>
          <t>0.6㎥</t>
        </is>
      </c>
      <c r="I16" s="5" t="n"/>
      <c r="J16" s="5" t="n"/>
      <c r="K16" s="8" t="inlineStr">
        <is>
          <t>hr</t>
        </is>
      </c>
      <c r="L16" s="5" t="n"/>
      <c r="M16" s="9" t="n">
        <v>0.25</v>
      </c>
      <c r="N16" s="5" t="n"/>
      <c r="O16" s="10" t="n">
        <v>72340</v>
      </c>
      <c r="P16" s="5" t="n"/>
      <c r="Q16" s="5" t="n"/>
      <c r="R16" s="11">
        <f>IF(OR(M16="",O16=""),"",INT(ROUND(M16*O16,6)))</f>
        <v/>
      </c>
      <c r="S16" s="5" t="n"/>
      <c r="T16" s="5" t="n"/>
      <c r="U16" s="8" t="inlineStr">
        <is>
          <t>기계경비 산정표</t>
        </is>
      </c>
      <c r="V16" s="5" t="n"/>
      <c r="W16" s="5" t="n"/>
      <c r="X16" s="5" t="n"/>
    </row>
    <row r="17" ht="22" customHeight="1">
      <c r="A17" s="8" t="n"/>
      <c r="B17" s="5" t="n"/>
      <c r="C17" s="8" t="n"/>
      <c r="D17" s="5" t="n"/>
      <c r="E17" s="5" t="n"/>
      <c r="F17" s="5" t="n"/>
      <c r="G17" s="5" t="n"/>
      <c r="H17" s="8" t="n"/>
      <c r="I17" s="5" t="n"/>
      <c r="J17" s="5" t="n"/>
      <c r="K17" s="8" t="n"/>
      <c r="L17" s="5" t="n"/>
      <c r="M17" s="9" t="n"/>
      <c r="N17" s="5" t="n"/>
      <c r="O17" s="10" t="n"/>
      <c r="P17" s="5" t="n"/>
      <c r="Q17" s="5" t="n"/>
      <c r="R17" s="11">
        <f>IF(OR(M17="",O17=""),"",INT(ROUND(M17*O17,6)))</f>
        <v/>
      </c>
      <c r="S17" s="5" t="n"/>
      <c r="T17" s="5" t="n"/>
      <c r="U17" s="8" t="n"/>
      <c r="V17" s="5" t="n"/>
      <c r="W17" s="5" t="n"/>
      <c r="X17" s="5" t="n"/>
    </row>
    <row r="18" ht="22" customHeight="1">
      <c r="A18" s="8" t="n"/>
      <c r="B18" s="5" t="n"/>
      <c r="C18" s="8" t="n"/>
      <c r="D18" s="5" t="n"/>
      <c r="E18" s="5" t="n"/>
      <c r="F18" s="5" t="n"/>
      <c r="G18" s="5" t="n"/>
      <c r="H18" s="8" t="n"/>
      <c r="I18" s="5" t="n"/>
      <c r="J18" s="5" t="n"/>
      <c r="K18" s="8" t="n"/>
      <c r="L18" s="5" t="n"/>
      <c r="M18" s="9" t="n"/>
      <c r="N18" s="5" t="n"/>
      <c r="O18" s="10" t="n"/>
      <c r="P18" s="5" t="n"/>
      <c r="Q18" s="5" t="n"/>
      <c r="R18" s="11">
        <f>IF(OR(M18="",O18=""),"",INT(ROUND(M18*O18,6)))</f>
        <v/>
      </c>
      <c r="S18" s="5" t="n"/>
      <c r="T18" s="5" t="n"/>
      <c r="U18" s="8" t="n"/>
      <c r="V18" s="5" t="n"/>
      <c r="W18" s="5" t="n"/>
      <c r="X18" s="5" t="n"/>
    </row>
    <row r="19" ht="22" customHeight="1">
      <c r="A19" s="8" t="n"/>
      <c r="B19" s="5" t="n"/>
      <c r="C19" s="8" t="n"/>
      <c r="D19" s="5" t="n"/>
      <c r="E19" s="5" t="n"/>
      <c r="F19" s="5" t="n"/>
      <c r="G19" s="5" t="n"/>
      <c r="H19" s="8" t="n"/>
      <c r="I19" s="5" t="n"/>
      <c r="J19" s="5" t="n"/>
      <c r="K19" s="8" t="n"/>
      <c r="L19" s="5" t="n"/>
      <c r="M19" s="9" t="n"/>
      <c r="N19" s="5" t="n"/>
      <c r="O19" s="10" t="n"/>
      <c r="P19" s="5" t="n"/>
      <c r="Q19" s="5" t="n"/>
      <c r="R19" s="11">
        <f>IF(OR(M19="",O19=""),"",INT(ROUND(M19*O19,6)))</f>
        <v/>
      </c>
      <c r="S19" s="5" t="n"/>
      <c r="T19" s="5" t="n"/>
      <c r="U19" s="8" t="n"/>
      <c r="V19" s="5" t="n"/>
      <c r="W19" s="5" t="n"/>
      <c r="X19" s="5" t="n"/>
    </row>
    <row r="20" ht="22" customHeight="1">
      <c r="A20" s="8" t="n"/>
      <c r="B20" s="5" t="n"/>
      <c r="C20" s="8" t="n"/>
      <c r="D20" s="5" t="n"/>
      <c r="E20" s="5" t="n"/>
      <c r="F20" s="5" t="n"/>
      <c r="G20" s="5" t="n"/>
      <c r="H20" s="8" t="n"/>
      <c r="I20" s="5" t="n"/>
      <c r="J20" s="5" t="n"/>
      <c r="K20" s="8" t="n"/>
      <c r="L20" s="5" t="n"/>
      <c r="M20" s="9" t="n"/>
      <c r="N20" s="5" t="n"/>
      <c r="O20" s="10" t="n"/>
      <c r="P20" s="5" t="n"/>
      <c r="Q20" s="5" t="n"/>
      <c r="R20" s="11">
        <f>IF(OR(M20="",O20=""),"",INT(ROUND(M20*O20,6)))</f>
        <v/>
      </c>
      <c r="S20" s="5" t="n"/>
      <c r="T20" s="5" t="n"/>
      <c r="U20" s="8" t="n"/>
      <c r="V20" s="5" t="n"/>
      <c r="W20" s="5" t="n"/>
      <c r="X20" s="5" t="n"/>
    </row>
    <row r="21" ht="22" customHeight="1">
      <c r="A21" s="8" t="n"/>
      <c r="B21" s="5" t="n"/>
      <c r="C21" s="8" t="n"/>
      <c r="D21" s="5" t="n"/>
      <c r="E21" s="5" t="n"/>
      <c r="F21" s="5" t="n"/>
      <c r="G21" s="5" t="n"/>
      <c r="H21" s="8" t="n"/>
      <c r="I21" s="5" t="n"/>
      <c r="J21" s="5" t="n"/>
      <c r="K21" s="8" t="n"/>
      <c r="L21" s="5" t="n"/>
      <c r="M21" s="9" t="n"/>
      <c r="N21" s="5" t="n"/>
      <c r="O21" s="10" t="n"/>
      <c r="P21" s="5" t="n"/>
      <c r="Q21" s="5" t="n"/>
      <c r="R21" s="11">
        <f>IF(OR(M21="",O21=""),"",INT(ROUND(M21*O21,6)))</f>
        <v/>
      </c>
      <c r="S21" s="5" t="n"/>
      <c r="T21" s="5" t="n"/>
      <c r="U21" s="8" t="n"/>
      <c r="V21" s="5" t="n"/>
      <c r="W21" s="5" t="n"/>
      <c r="X21" s="5" t="n"/>
    </row>
    <row r="22" ht="22" customHeight="1">
      <c r="A22" s="8" t="n"/>
      <c r="B22" s="5" t="n"/>
      <c r="C22" s="8" t="n"/>
      <c r="D22" s="5" t="n"/>
      <c r="E22" s="5" t="n"/>
      <c r="F22" s="5" t="n"/>
      <c r="G22" s="5" t="n"/>
      <c r="H22" s="8" t="n"/>
      <c r="I22" s="5" t="n"/>
      <c r="J22" s="5" t="n"/>
      <c r="K22" s="8" t="n"/>
      <c r="L22" s="5" t="n"/>
      <c r="M22" s="9" t="n"/>
      <c r="N22" s="5" t="n"/>
      <c r="O22" s="10" t="n"/>
      <c r="P22" s="5" t="n"/>
      <c r="Q22" s="5" t="n"/>
      <c r="R22" s="11">
        <f>IF(OR(M22="",O22=""),"",INT(ROUND(M22*O22,6)))</f>
        <v/>
      </c>
      <c r="S22" s="5" t="n"/>
      <c r="T22" s="5" t="n"/>
      <c r="U22" s="8" t="n"/>
      <c r="V22" s="5" t="n"/>
      <c r="W22" s="5" t="n"/>
      <c r="X22" s="5" t="n"/>
    </row>
    <row r="23" ht="6" customHeight="1"/>
    <row r="24" ht="24" customHeight="1">
      <c r="A24" s="4" t="inlineStr">
        <is>
          <t xml:space="preserve">  재료비 계</t>
        </is>
      </c>
      <c r="B24" s="5" t="n"/>
      <c r="C24" s="5" t="n"/>
      <c r="D24" s="5" t="n"/>
      <c r="E24" s="5" t="n"/>
      <c r="F24" s="5" t="n"/>
      <c r="G24" s="11">
        <f>SUMIF(A12:A22,"재료비",R12:R22)</f>
        <v/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24" customHeight="1">
      <c r="A25" s="4" t="inlineStr">
        <is>
          <t xml:space="preserve">  노무비 계</t>
        </is>
      </c>
      <c r="B25" s="5" t="n"/>
      <c r="C25" s="5" t="n"/>
      <c r="D25" s="5" t="n"/>
      <c r="E25" s="5" t="n"/>
      <c r="F25" s="5" t="n"/>
      <c r="G25" s="11">
        <f>SUMIF(A12:A22,"노무비",R12:R22)</f>
        <v/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24" customHeight="1">
      <c r="A26" s="4" t="inlineStr">
        <is>
          <t xml:space="preserve">  경비 계</t>
        </is>
      </c>
      <c r="B26" s="5" t="n"/>
      <c r="C26" s="5" t="n"/>
      <c r="D26" s="5" t="n"/>
      <c r="E26" s="5" t="n"/>
      <c r="F26" s="5" t="n"/>
      <c r="G26" s="11">
        <f>SUMIF(A12:A22,"경비",R12:R22)</f>
        <v/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24" customHeight="1">
      <c r="A27" s="4" t="inlineStr">
        <is>
          <t xml:space="preserve">  합  계</t>
        </is>
      </c>
      <c r="B27" s="5" t="n"/>
      <c r="C27" s="5" t="n"/>
      <c r="D27" s="5" t="n"/>
      <c r="E27" s="5" t="n"/>
      <c r="F27" s="5" t="n"/>
      <c r="G27" s="11">
        <f>G24+G25+G26</f>
        <v/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24" customHeight="1">
      <c r="A28" s="4" t="inlineStr">
        <is>
          <t xml:space="preserve">  단위당 단가</t>
        </is>
      </c>
      <c r="B28" s="5" t="n"/>
      <c r="C28" s="5" t="n"/>
      <c r="D28" s="5" t="n"/>
      <c r="E28" s="5" t="n"/>
      <c r="F28" s="5" t="n"/>
      <c r="G28" s="11">
        <f>G27</f>
        <v/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6" customHeight="1"/>
    <row r="30" ht="26" customHeight="1">
      <c r="A30" s="12" t="inlineStr">
        <is>
          <t>※ 설계변경 신규비목은 이 단가에 낙찰률을 곱한 값이 적용단가입니다.</t>
        </is>
      </c>
    </row>
    <row r="31" ht="6" customHeight="1"/>
    <row r="32" ht="10" customHeight="1"/>
    <row r="33" ht="26" customHeight="1">
      <c r="A33" s="13" t="n">
        <v>46294</v>
      </c>
    </row>
    <row r="34" ht="24" customHeight="1">
      <c r="A34" s="14" t="inlineStr"/>
      <c r="K34" s="15" t="inlineStr">
        <is>
          <t>작성자</t>
        </is>
      </c>
      <c r="Q34" s="16" t="inlineStr">
        <is>
          <t>이영희</t>
        </is>
      </c>
      <c r="U34" s="17" t="inlineStr">
        <is>
          <t>(서명 또는 인)</t>
        </is>
      </c>
    </row>
    <row r="35" ht="6" customHeight="1"/>
    <row r="37" ht="19.5" customHeight="1">
      <c r="A37" s="18" t="inlineStr">
        <is>
          <t>이 시트는 작성 예시입니다(가상의 현장 · 이름 · 금액). 실제로는 앞 시트에 적으세요.</t>
        </is>
      </c>
    </row>
  </sheetData>
  <mergeCells count="126">
    <mergeCell ref="A15:B15"/>
    <mergeCell ref="O22:Q22"/>
    <mergeCell ref="C14:G14"/>
    <mergeCell ref="H17:J17"/>
    <mergeCell ref="H11:J11"/>
    <mergeCell ref="R20:T20"/>
    <mergeCell ref="O21:Q21"/>
    <mergeCell ref="A3:X3"/>
    <mergeCell ref="H22:J22"/>
    <mergeCell ref="A5:F5"/>
    <mergeCell ref="H19:J19"/>
    <mergeCell ref="R22:T22"/>
    <mergeCell ref="A34:J34"/>
    <mergeCell ref="U15:X15"/>
    <mergeCell ref="M16:N16"/>
    <mergeCell ref="C21:G21"/>
    <mergeCell ref="R14:T14"/>
    <mergeCell ref="M18:N18"/>
    <mergeCell ref="A17:B17"/>
    <mergeCell ref="U16:X16"/>
    <mergeCell ref="A22:B22"/>
    <mergeCell ref="M17:N17"/>
    <mergeCell ref="A24:F24"/>
    <mergeCell ref="O19:Q19"/>
    <mergeCell ref="A19:B19"/>
    <mergeCell ref="M19:N19"/>
    <mergeCell ref="Q34:T34"/>
    <mergeCell ref="K13:L13"/>
    <mergeCell ref="C18:G18"/>
    <mergeCell ref="A7:F7"/>
    <mergeCell ref="H21:J21"/>
    <mergeCell ref="G7:X7"/>
    <mergeCell ref="A11:B11"/>
    <mergeCell ref="K15:L15"/>
    <mergeCell ref="A27:F27"/>
    <mergeCell ref="U20:X20"/>
    <mergeCell ref="U14:X14"/>
    <mergeCell ref="K21:L21"/>
    <mergeCell ref="H16:J16"/>
    <mergeCell ref="C20:G20"/>
    <mergeCell ref="G24:X24"/>
    <mergeCell ref="U22:X22"/>
    <mergeCell ref="O12:Q12"/>
    <mergeCell ref="R17:T17"/>
    <mergeCell ref="A25:F25"/>
    <mergeCell ref="C22:G22"/>
    <mergeCell ref="G26:X26"/>
    <mergeCell ref="M13:N13"/>
    <mergeCell ref="O14:Q14"/>
    <mergeCell ref="M21:N21"/>
    <mergeCell ref="C12:G12"/>
    <mergeCell ref="A28:F28"/>
    <mergeCell ref="G25:X25"/>
    <mergeCell ref="A9:F9"/>
    <mergeCell ref="O13:Q13"/>
    <mergeCell ref="G9:X9"/>
    <mergeCell ref="K17:L17"/>
    <mergeCell ref="H20:J20"/>
    <mergeCell ref="A30:X30"/>
    <mergeCell ref="O15:Q15"/>
    <mergeCell ref="R11:T11"/>
    <mergeCell ref="O18:Q18"/>
    <mergeCell ref="R13:T13"/>
    <mergeCell ref="K19:L19"/>
    <mergeCell ref="K16:L16"/>
    <mergeCell ref="U18:X18"/>
    <mergeCell ref="R15:T15"/>
    <mergeCell ref="R12:T12"/>
    <mergeCell ref="R21:T21"/>
    <mergeCell ref="A26:F26"/>
    <mergeCell ref="U19:X19"/>
    <mergeCell ref="K11:L11"/>
    <mergeCell ref="M11:N11"/>
    <mergeCell ref="C16:G16"/>
    <mergeCell ref="H13:J13"/>
    <mergeCell ref="A8:F8"/>
    <mergeCell ref="A33:X33"/>
    <mergeCell ref="O17:Q17"/>
    <mergeCell ref="A12:B12"/>
    <mergeCell ref="H15:J15"/>
    <mergeCell ref="A21:B21"/>
    <mergeCell ref="M15:N15"/>
    <mergeCell ref="H18:J18"/>
    <mergeCell ref="M12:N12"/>
    <mergeCell ref="C11:G11"/>
    <mergeCell ref="A14:B14"/>
    <mergeCell ref="R19:T19"/>
    <mergeCell ref="U13:X13"/>
    <mergeCell ref="G27:X27"/>
    <mergeCell ref="U21:X21"/>
    <mergeCell ref="C13:G13"/>
    <mergeCell ref="K18:L18"/>
    <mergeCell ref="C15:G15"/>
    <mergeCell ref="G28:X28"/>
    <mergeCell ref="G6:X6"/>
    <mergeCell ref="A37:X37"/>
    <mergeCell ref="O16:Q16"/>
    <mergeCell ref="A16:B16"/>
    <mergeCell ref="K20:L20"/>
    <mergeCell ref="M20:N20"/>
    <mergeCell ref="G5:X5"/>
    <mergeCell ref="H12:J12"/>
    <mergeCell ref="U34:X34"/>
    <mergeCell ref="A18:B18"/>
    <mergeCell ref="K22:L22"/>
    <mergeCell ref="M22:N22"/>
    <mergeCell ref="O11:Q11"/>
    <mergeCell ref="K12:L12"/>
    <mergeCell ref="H14:J14"/>
    <mergeCell ref="R18:T18"/>
    <mergeCell ref="U17:X17"/>
    <mergeCell ref="U11:X11"/>
    <mergeCell ref="K14:L14"/>
    <mergeCell ref="K34:P34"/>
    <mergeCell ref="C17:G17"/>
    <mergeCell ref="A20:B20"/>
    <mergeCell ref="A1:L1"/>
    <mergeCell ref="M14:N14"/>
    <mergeCell ref="A6:F6"/>
    <mergeCell ref="A13:B13"/>
    <mergeCell ref="C19:G19"/>
    <mergeCell ref="M1:X1"/>
    <mergeCell ref="U12:X12"/>
    <mergeCell ref="O20:Q20"/>
    <mergeCell ref="R16:T16"/>
    <mergeCell ref="G8:X8"/>
  </mergeCells>
  <dataValidations count="1">
    <dataValidation sqref="A12 A13 A14 A15 A16 A17 A18 A19 A20 A21 A22" showDropDown="0" showInputMessage="0" showErrorMessage="0" allowBlank="1" error="목록에서 고르세요" type="list">
      <formula1>"재료비,노무비,경비"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일위대가표</dc:title>
  <dcterms:created xmlns:dcterms="http://purl.org/dc/terms/" xmlns:xsi="http://www.w3.org/2001/XMLSchema-instance" xsi:type="dcterms:W3CDTF">2026-10-17T01:04:36Z</dcterms:created>
  <dcterms:modified xmlns:dcterms="http://purl.org/dc/terms/" xmlns:xsi="http://www.w3.org/2001/XMLSchema-instance" xsi:type="dcterms:W3CDTF">2026-10-17T01:04:37Z</dcterms:modified>
</cp:coreProperties>
</file>