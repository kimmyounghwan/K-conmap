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산출내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산출내역서'!$A$1:$X$39</definedName>
    <definedName name="_xlnm.Print_Area" localSheetId="1">'작성 예시'!$A$1:$X$39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#,##0.###;[Red]-#,##0.###;&quot;&quot;"/>
    <numFmt numFmtId="167" formatCode="#,##0.###;[Red]-#,##0.###;0"/>
    <numFmt numFmtId="168" formatCode="yyyy&quot;년&quot; m&quot;월&quot; d&quot;일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>
        <f>IF(N(G9)=0,"",G8/G9)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22" customHeight="1">
      <c r="A13" s="10" t="n"/>
      <c r="B13" s="5" t="n"/>
      <c r="C13" s="10" t="n"/>
      <c r="D13" s="5" t="n"/>
      <c r="E13" s="5" t="n"/>
      <c r="F13" s="5" t="n"/>
      <c r="G13" s="10" t="n"/>
      <c r="H13" s="5" t="n"/>
      <c r="I13" s="5" t="n"/>
      <c r="J13" s="10" t="n"/>
      <c r="K13" s="5" t="n"/>
      <c r="L13" s="11" t="n"/>
      <c r="M13" s="5" t="n"/>
      <c r="N13" s="11" t="n"/>
      <c r="O13" s="5" t="n"/>
      <c r="P13" s="12">
        <f>IF(AND(L13="",N13=""),"",N(N13)-N(L13))</f>
        <v/>
      </c>
      <c r="Q13" s="5" t="n"/>
      <c r="R13" s="7" t="n"/>
      <c r="S13" s="5" t="n"/>
      <c r="T13" s="13">
        <f>IF(OR(P13="",R13=""),"",INT(ROUND(P13*R13,6)))</f>
        <v/>
      </c>
      <c r="U13" s="5" t="n"/>
      <c r="V13" s="5" t="n"/>
      <c r="W13" s="10" t="n"/>
      <c r="X13" s="5" t="n"/>
    </row>
    <row r="14" ht="22" customHeight="1">
      <c r="A14" s="10" t="n"/>
      <c r="B14" s="5" t="n"/>
      <c r="C14" s="10" t="n"/>
      <c r="D14" s="5" t="n"/>
      <c r="E14" s="5" t="n"/>
      <c r="F14" s="5" t="n"/>
      <c r="G14" s="10" t="n"/>
      <c r="H14" s="5" t="n"/>
      <c r="I14" s="5" t="n"/>
      <c r="J14" s="10" t="n"/>
      <c r="K14" s="5" t="n"/>
      <c r="L14" s="11" t="n"/>
      <c r="M14" s="5" t="n"/>
      <c r="N14" s="11" t="n"/>
      <c r="O14" s="5" t="n"/>
      <c r="P14" s="12">
        <f>IF(AND(L14="",N14=""),"",N(N14)-N(L14))</f>
        <v/>
      </c>
      <c r="Q14" s="5" t="n"/>
      <c r="R14" s="7" t="n"/>
      <c r="S14" s="5" t="n"/>
      <c r="T14" s="13">
        <f>IF(OR(P14="",R14=""),"",INT(ROUND(P14*R14,6)))</f>
        <v/>
      </c>
      <c r="U14" s="5" t="n"/>
      <c r="V14" s="5" t="n"/>
      <c r="W14" s="10" t="n"/>
      <c r="X14" s="5" t="n"/>
    </row>
    <row r="15" ht="22" customHeight="1">
      <c r="A15" s="10" t="n"/>
      <c r="B15" s="5" t="n"/>
      <c r="C15" s="10" t="n"/>
      <c r="D15" s="5" t="n"/>
      <c r="E15" s="5" t="n"/>
      <c r="F15" s="5" t="n"/>
      <c r="G15" s="10" t="n"/>
      <c r="H15" s="5" t="n"/>
      <c r="I15" s="5" t="n"/>
      <c r="J15" s="10" t="n"/>
      <c r="K15" s="5" t="n"/>
      <c r="L15" s="11" t="n"/>
      <c r="M15" s="5" t="n"/>
      <c r="N15" s="11" t="n"/>
      <c r="O15" s="5" t="n"/>
      <c r="P15" s="12">
        <f>IF(AND(L15="",N15=""),"",N(N15)-N(L15))</f>
        <v/>
      </c>
      <c r="Q15" s="5" t="n"/>
      <c r="R15" s="7" t="n"/>
      <c r="S15" s="5" t="n"/>
      <c r="T15" s="13">
        <f>IF(OR(P15="",R15=""),"",INT(ROUND(P15*R15,6)))</f>
        <v/>
      </c>
      <c r="U15" s="5" t="n"/>
      <c r="V15" s="5" t="n"/>
      <c r="W15" s="10" t="n"/>
      <c r="X15" s="5" t="n"/>
    </row>
    <row r="16" ht="22" customHeight="1">
      <c r="A16" s="10" t="n"/>
      <c r="B16" s="5" t="n"/>
      <c r="C16" s="10" t="n"/>
      <c r="D16" s="5" t="n"/>
      <c r="E16" s="5" t="n"/>
      <c r="F16" s="5" t="n"/>
      <c r="G16" s="10" t="n"/>
      <c r="H16" s="5" t="n"/>
      <c r="I16" s="5" t="n"/>
      <c r="J16" s="10" t="n"/>
      <c r="K16" s="5" t="n"/>
      <c r="L16" s="11" t="n"/>
      <c r="M16" s="5" t="n"/>
      <c r="N16" s="11" t="n"/>
      <c r="O16" s="5" t="n"/>
      <c r="P16" s="12">
        <f>IF(AND(L16="",N16=""),"",N(N16)-N(L16))</f>
        <v/>
      </c>
      <c r="Q16" s="5" t="n"/>
      <c r="R16" s="7" t="n"/>
      <c r="S16" s="5" t="n"/>
      <c r="T16" s="13">
        <f>IF(OR(P16="",R16=""),"",INT(ROUND(P16*R16,6)))</f>
        <v/>
      </c>
      <c r="U16" s="5" t="n"/>
      <c r="V16" s="5" t="n"/>
      <c r="W16" s="10" t="n"/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>
        <f>IF(AND(L17="",N17=""),"",N(N17)-N(L17))</f>
        <v/>
      </c>
      <c r="Q17" s="5" t="n"/>
      <c r="R17" s="7" t="n"/>
      <c r="S17" s="5" t="n"/>
      <c r="T17" s="13">
        <f>IF(OR(P17="",R17=""),"",INT(ROUND(P17*R17,6)))</f>
        <v/>
      </c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>
        <f>IF(AND(L18="",N18=""),"",N(N18)-N(L18))</f>
        <v/>
      </c>
      <c r="Q18" s="5" t="n"/>
      <c r="R18" s="7" t="n"/>
      <c r="S18" s="5" t="n"/>
      <c r="T18" s="13">
        <f>IF(OR(P18="",R18=""),"",INT(ROUND(P18*R18,6)))</f>
        <v/>
      </c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>
        <f>IF(AND(L19="",N19=""),"",N(N19)-N(L19))</f>
        <v/>
      </c>
      <c r="Q19" s="5" t="n"/>
      <c r="R19" s="7" t="n"/>
      <c r="S19" s="5" t="n"/>
      <c r="T19" s="13">
        <f>IF(OR(P19="",R19=""),"",INT(ROUND(P19*R19,6)))</f>
        <v/>
      </c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>
        <f>IF(AND(L20="",N20=""),"",N(N20)-N(L20))</f>
        <v/>
      </c>
      <c r="Q20" s="5" t="n"/>
      <c r="R20" s="7" t="n"/>
      <c r="S20" s="5" t="n"/>
      <c r="T20" s="13">
        <f>IF(OR(P20="",R20=""),"",INT(ROUND(P20*R20,6)))</f>
        <v/>
      </c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>
        <f>IF(AND(L21="",N21=""),"",N(N21)-N(L21))</f>
        <v/>
      </c>
      <c r="Q21" s="5" t="n"/>
      <c r="R21" s="7" t="n"/>
      <c r="S21" s="5" t="n"/>
      <c r="T21" s="13">
        <f>IF(OR(P21="",R21=""),"",INT(ROUND(P21*R21,6)))</f>
        <v/>
      </c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>
        <f>IF(AND(L22="",N22=""),"",N(N22)-N(L22))</f>
        <v/>
      </c>
      <c r="Q22" s="5" t="n"/>
      <c r="R22" s="7" t="n"/>
      <c r="S22" s="5" t="n"/>
      <c r="T22" s="13">
        <f>IF(OR(P22="",R22=""),"",INT(ROUND(P22*R22,6)))</f>
        <v/>
      </c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>
        <f>IF(AND(L23="",N23=""),"",N(N23)-N(L23))</f>
        <v/>
      </c>
      <c r="Q23" s="5" t="n"/>
      <c r="R23" s="7" t="n"/>
      <c r="S23" s="5" t="n"/>
      <c r="T23" s="13">
        <f>IF(OR(P23="",R23=""),"",INT(ROUND(P23*R23,6)))</f>
        <v/>
      </c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>
        <f>IF(AND(L24="",N24=""),"",N(N24)-N(L24))</f>
        <v/>
      </c>
      <c r="Q24" s="5" t="n"/>
      <c r="R24" s="7" t="n"/>
      <c r="S24" s="5" t="n"/>
      <c r="T24" s="13">
        <f>IF(OR(P24="",R24=""),"",INT(ROUND(P24*R24,6)))</f>
        <v/>
      </c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>
        <f>IF(AND(L25="",N25=""),"",N(N25)-N(L25))</f>
        <v/>
      </c>
      <c r="Q25" s="5" t="n"/>
      <c r="R25" s="7" t="n"/>
      <c r="S25" s="5" t="n"/>
      <c r="T25" s="13">
        <f>IF(OR(P25="",R25=""),"",INT(ROUND(P25*R25,6)))</f>
        <v/>
      </c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>
        <f>IF(AND(L26="",N26=""),"",N(N26)-N(L26))</f>
        <v/>
      </c>
      <c r="Q26" s="5" t="n"/>
      <c r="R26" s="7" t="n"/>
      <c r="S26" s="5" t="n"/>
      <c r="T26" s="13">
        <f>IF(OR(P26="",R26=""),"",INT(ROUND(P26*R26,6)))</f>
        <v/>
      </c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>
        <f>SUMIF(T13:T26,"&gt;0")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>
        <f>SUMIF(T13:T26,"&lt;0")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>
        <f>SUM(T13:T26)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inlineStr">
        <is>
          <t xml:space="preserve">          년        월        일</t>
        </is>
      </c>
    </row>
    <row r="37" ht="24" customHeight="1">
      <c r="A37" s="16" t="inlineStr"/>
      <c r="K37" s="17" t="inlineStr">
        <is>
          <t>현장대리인</t>
        </is>
      </c>
      <c r="Q37" s="18" t="n"/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n"/>
      <c r="U38" s="19" t="inlineStr">
        <is>
          <t>(서명 또는 인)</t>
        </is>
      </c>
    </row>
    <row r="39" ht="6" customHeight="1"/>
    <row r="41" ht="34" customHeight="1">
      <c r="A41" s="20" t="inlineStr">
        <is>
          <t>증감 금액은 직접공사비입니다. 제경비·일반관리비·이윤·부가세를 붙인 «변경 후 계약금액» 은 공사원가계산서 서식으로 산출해 적으세요.</t>
        </is>
      </c>
    </row>
    <row r="42" ht="34" customHeight="1">
      <c r="A42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20" t="inlineStr">
        <is>
          <t>발주기관이 정한 서식이 있으면 그 서식을 쓰세요. 이 줄과 1행은 지워도 됩니다.</t>
        </is>
      </c>
    </row>
  </sheetData>
  <mergeCells count="186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A42:X42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A43:X43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inlineStr">
        <is>
          <t>제1회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>
        <v>963241000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>
        <v>1101487000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>
        <f>IF(N(G9)=0,"",G8/G9)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22" customHeight="1">
      <c r="A13" s="10" t="inlineStr">
        <is>
          <t>증가</t>
        </is>
      </c>
      <c r="B13" s="5" t="n"/>
      <c r="C13" s="10" t="inlineStr">
        <is>
          <t>PE 이중벽관</t>
        </is>
      </c>
      <c r="D13" s="5" t="n"/>
      <c r="E13" s="5" t="n"/>
      <c r="F13" s="5" t="n"/>
      <c r="G13" s="10" t="inlineStr">
        <is>
          <t>D600</t>
        </is>
      </c>
      <c r="H13" s="5" t="n"/>
      <c r="I13" s="5" t="n"/>
      <c r="J13" s="10" t="inlineStr">
        <is>
          <t>m</t>
        </is>
      </c>
      <c r="K13" s="5" t="n"/>
      <c r="L13" s="11" t="n">
        <v>820</v>
      </c>
      <c r="M13" s="5" t="n"/>
      <c r="N13" s="11" t="n">
        <v>862</v>
      </c>
      <c r="O13" s="5" t="n"/>
      <c r="P13" s="12">
        <f>IF(AND(L13="",N13=""),"",N(N13)-N(L13))</f>
        <v/>
      </c>
      <c r="Q13" s="5" t="n"/>
      <c r="R13" s="7" t="n">
        <v>163090</v>
      </c>
      <c r="S13" s="5" t="n"/>
      <c r="T13" s="13">
        <f>IF(OR(P13="",R13=""),"",INT(ROUND(P13*R13,6)))</f>
        <v/>
      </c>
      <c r="U13" s="5" t="n"/>
      <c r="V13" s="5" t="n"/>
      <c r="W13" s="10" t="inlineStr">
        <is>
          <t>계약단가</t>
        </is>
      </c>
      <c r="X13" s="5" t="n"/>
    </row>
    <row r="14" ht="22" customHeight="1">
      <c r="A14" s="10" t="inlineStr">
        <is>
          <t>감소</t>
        </is>
      </c>
      <c r="B14" s="5" t="n"/>
      <c r="C14" s="10" t="inlineStr">
        <is>
          <t>아스팔트 포장(표층)</t>
        </is>
      </c>
      <c r="D14" s="5" t="n"/>
      <c r="E14" s="5" t="n"/>
      <c r="F14" s="5" t="n"/>
      <c r="G14" s="10" t="inlineStr">
        <is>
          <t>t=5cm</t>
        </is>
      </c>
      <c r="H14" s="5" t="n"/>
      <c r="I14" s="5" t="n"/>
      <c r="J14" s="10" t="inlineStr">
        <is>
          <t>m²</t>
        </is>
      </c>
      <c r="K14" s="5" t="n"/>
      <c r="L14" s="11" t="n">
        <v>6300</v>
      </c>
      <c r="M14" s="5" t="n"/>
      <c r="N14" s="11" t="n">
        <v>6020</v>
      </c>
      <c r="O14" s="5" t="n"/>
      <c r="P14" s="12">
        <f>IF(AND(L14="",N14=""),"",N(N14)-N(L14))</f>
        <v/>
      </c>
      <c r="Q14" s="5" t="n"/>
      <c r="R14" s="7" t="n">
        <v>12480</v>
      </c>
      <c r="S14" s="5" t="n"/>
      <c r="T14" s="13">
        <f>IF(OR(P14="",R14=""),"",INT(ROUND(P14*R14,6)))</f>
        <v/>
      </c>
      <c r="U14" s="5" t="n"/>
      <c r="V14" s="5" t="n"/>
      <c r="W14" s="10" t="inlineStr">
        <is>
          <t>계약단가</t>
        </is>
      </c>
      <c r="X14" s="5" t="n"/>
    </row>
    <row r="15" ht="22" customHeight="1">
      <c r="A15" s="10" t="inlineStr">
        <is>
          <t>신규</t>
        </is>
      </c>
      <c r="B15" s="5" t="n"/>
      <c r="C15" s="10" t="inlineStr">
        <is>
          <t>집수정</t>
        </is>
      </c>
      <c r="D15" s="5" t="n"/>
      <c r="E15" s="5" t="n"/>
      <c r="F15" s="5" t="n"/>
      <c r="G15" s="10" t="inlineStr">
        <is>
          <t>1.2×1.2</t>
        </is>
      </c>
      <c r="H15" s="5" t="n"/>
      <c r="I15" s="5" t="n"/>
      <c r="J15" s="10" t="inlineStr">
        <is>
          <t>개소</t>
        </is>
      </c>
      <c r="K15" s="5" t="n"/>
      <c r="L15" s="11" t="n">
        <v>0</v>
      </c>
      <c r="M15" s="5" t="n"/>
      <c r="N15" s="11" t="n">
        <v>3</v>
      </c>
      <c r="O15" s="5" t="n"/>
      <c r="P15" s="12">
        <f>IF(AND(L15="",N15=""),"",N(N15)-N(L15))</f>
        <v/>
      </c>
      <c r="Q15" s="5" t="n"/>
      <c r="R15" s="7" t="n">
        <v>1088777</v>
      </c>
      <c r="S15" s="5" t="n"/>
      <c r="T15" s="13">
        <f>IF(OR(P15="",R15=""),"",INT(ROUND(P15*R15,6)))</f>
        <v/>
      </c>
      <c r="U15" s="5" t="n"/>
      <c r="V15" s="5" t="n"/>
      <c r="W15" s="10" t="inlineStr">
        <is>
          <t>당시단가×낙찰률</t>
        </is>
      </c>
      <c r="X15" s="5" t="n"/>
    </row>
    <row r="16" ht="22" customHeight="1">
      <c r="A16" s="10" t="inlineStr">
        <is>
          <t>협의</t>
        </is>
      </c>
      <c r="B16" s="5" t="n"/>
      <c r="C16" s="10" t="inlineStr">
        <is>
          <t>가물막이(톤마대)</t>
        </is>
      </c>
      <c r="D16" s="5" t="n"/>
      <c r="E16" s="5" t="n"/>
      <c r="F16" s="5" t="n"/>
      <c r="G16" s="10" t="inlineStr">
        <is>
          <t>1톤</t>
        </is>
      </c>
      <c r="H16" s="5" t="n"/>
      <c r="I16" s="5" t="n"/>
      <c r="J16" s="10" t="inlineStr">
        <is>
          <t>개</t>
        </is>
      </c>
      <c r="K16" s="5" t="n"/>
      <c r="L16" s="11" t="n">
        <v>0</v>
      </c>
      <c r="M16" s="5" t="n"/>
      <c r="N16" s="11" t="n">
        <v>60</v>
      </c>
      <c r="O16" s="5" t="n"/>
      <c r="P16" s="12">
        <f>IF(AND(L16="",N16=""),"",N(N16)-N(L16))</f>
        <v/>
      </c>
      <c r="Q16" s="5" t="n"/>
      <c r="R16" s="7" t="n">
        <v>36000</v>
      </c>
      <c r="S16" s="5" t="n"/>
      <c r="T16" s="13">
        <f>IF(OR(P16="",R16=""),"",INT(ROUND(P16*R16,6)))</f>
        <v/>
      </c>
      <c r="U16" s="5" t="n"/>
      <c r="V16" s="5" t="n"/>
      <c r="W16" s="10" t="inlineStr">
        <is>
          <t>협의</t>
        </is>
      </c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>
        <f>IF(AND(L17="",N17=""),"",N(N17)-N(L17))</f>
        <v/>
      </c>
      <c r="Q17" s="5" t="n"/>
      <c r="R17" s="7" t="n"/>
      <c r="S17" s="5" t="n"/>
      <c r="T17" s="13">
        <f>IF(OR(P17="",R17=""),"",INT(ROUND(P17*R17,6)))</f>
        <v/>
      </c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>
        <f>IF(AND(L18="",N18=""),"",N(N18)-N(L18))</f>
        <v/>
      </c>
      <c r="Q18" s="5" t="n"/>
      <c r="R18" s="7" t="n"/>
      <c r="S18" s="5" t="n"/>
      <c r="T18" s="13">
        <f>IF(OR(P18="",R18=""),"",INT(ROUND(P18*R18,6)))</f>
        <v/>
      </c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>
        <f>IF(AND(L19="",N19=""),"",N(N19)-N(L19))</f>
        <v/>
      </c>
      <c r="Q19" s="5" t="n"/>
      <c r="R19" s="7" t="n"/>
      <c r="S19" s="5" t="n"/>
      <c r="T19" s="13">
        <f>IF(OR(P19="",R19=""),"",INT(ROUND(P19*R19,6)))</f>
        <v/>
      </c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>
        <f>IF(AND(L20="",N20=""),"",N(N20)-N(L20))</f>
        <v/>
      </c>
      <c r="Q20" s="5" t="n"/>
      <c r="R20" s="7" t="n"/>
      <c r="S20" s="5" t="n"/>
      <c r="T20" s="13">
        <f>IF(OR(P20="",R20=""),"",INT(ROUND(P20*R20,6)))</f>
        <v/>
      </c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>
        <f>IF(AND(L21="",N21=""),"",N(N21)-N(L21))</f>
        <v/>
      </c>
      <c r="Q21" s="5" t="n"/>
      <c r="R21" s="7" t="n"/>
      <c r="S21" s="5" t="n"/>
      <c r="T21" s="13">
        <f>IF(OR(P21="",R21=""),"",INT(ROUND(P21*R21,6)))</f>
        <v/>
      </c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>
        <f>IF(AND(L22="",N22=""),"",N(N22)-N(L22))</f>
        <v/>
      </c>
      <c r="Q22" s="5" t="n"/>
      <c r="R22" s="7" t="n"/>
      <c r="S22" s="5" t="n"/>
      <c r="T22" s="13">
        <f>IF(OR(P22="",R22=""),"",INT(ROUND(P22*R22,6)))</f>
        <v/>
      </c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>
        <f>IF(AND(L23="",N23=""),"",N(N23)-N(L23))</f>
        <v/>
      </c>
      <c r="Q23" s="5" t="n"/>
      <c r="R23" s="7" t="n"/>
      <c r="S23" s="5" t="n"/>
      <c r="T23" s="13">
        <f>IF(OR(P23="",R23=""),"",INT(ROUND(P23*R23,6)))</f>
        <v/>
      </c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>
        <f>IF(AND(L24="",N24=""),"",N(N24)-N(L24))</f>
        <v/>
      </c>
      <c r="Q24" s="5" t="n"/>
      <c r="R24" s="7" t="n"/>
      <c r="S24" s="5" t="n"/>
      <c r="T24" s="13">
        <f>IF(OR(P24="",R24=""),"",INT(ROUND(P24*R24,6)))</f>
        <v/>
      </c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>
        <f>IF(AND(L25="",N25=""),"",N(N25)-N(L25))</f>
        <v/>
      </c>
      <c r="Q25" s="5" t="n"/>
      <c r="R25" s="7" t="n"/>
      <c r="S25" s="5" t="n"/>
      <c r="T25" s="13">
        <f>IF(OR(P25="",R25=""),"",INT(ROUND(P25*R25,6)))</f>
        <v/>
      </c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>
        <f>IF(AND(L26="",N26=""),"",N(N26)-N(L26))</f>
        <v/>
      </c>
      <c r="Q26" s="5" t="n"/>
      <c r="R26" s="7" t="n"/>
      <c r="S26" s="5" t="n"/>
      <c r="T26" s="13">
        <f>IF(OR(P26="",R26=""),"",INT(ROUND(P26*R26,6)))</f>
        <v/>
      </c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>
        <f>SUMIF(T13:T26,"&gt;0")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>
        <f>SUMIF(T13:T26,"&lt;0")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>
        <f>SUM(T13:T26)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>
        <v>1011891000</v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n">
        <v>46294</v>
      </c>
    </row>
    <row r="37" ht="24" customHeight="1">
      <c r="A37" s="16" t="inlineStr"/>
      <c r="K37" s="17" t="inlineStr">
        <is>
          <t>현장대리인</t>
        </is>
      </c>
      <c r="Q37" s="18" t="inlineStr">
        <is>
          <t>김철수</t>
        </is>
      </c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inlineStr">
        <is>
          <t>홍길동</t>
        </is>
      </c>
      <c r="U38" s="19" t="inlineStr">
        <is>
          <t>(서명 또는 인)</t>
        </is>
      </c>
    </row>
    <row r="39" ht="6" customHeight="1"/>
    <row r="41" ht="19.5" customHeight="1">
      <c r="A41" s="20" t="inlineStr">
        <is>
          <t>이 시트는 작성 예시입니다(가상의 현장 · 이름 · 금액). 실제로는 앞 시트에 적으세요.</t>
        </is>
      </c>
    </row>
  </sheetData>
  <mergeCells count="184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산출내역서</dc:title>
  <dcterms:created xmlns:dcterms="http://purl.org/dc/terms/" xmlns:xsi="http://www.w3.org/2001/XMLSchema-instance" xsi:type="dcterms:W3CDTF">2026-09-29T04:41:24Z</dcterms:created>
  <dcterms:modified xmlns:dcterms="http://purl.org/dc/terms/" xmlns:xsi="http://www.w3.org/2001/XMLSchema-instance" xsi:type="dcterms:W3CDTF">2026-09-29T04:41:24Z</dcterms:modified>
</cp:coreProperties>
</file>