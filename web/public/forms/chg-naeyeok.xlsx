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변경 산출내역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'설계변경 산출내역서'!$A$1:$X$39</definedName>
    <definedName name="_xlnm.Print_Area" localSheetId="1">'작성 예시'!$A$1:$X$39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;&quot;&quot;"/>
    <numFmt numFmtId="165" formatCode="0.000%;[Red]-0.000%;&quot;&quot;"/>
    <numFmt numFmtId="166" formatCode="#,##0.###;[Red]-#,##0.###;&quot;&quot;"/>
    <numFmt numFmtId="167" formatCode="#,##0.###;[Red]-#,##0.###;0"/>
    <numFmt numFmtId="168" formatCode="yyyy&quot;년&quot; m&quot;월&quot; d&quot;일&quot;"/>
    <numFmt numFmtId="169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6" fillId="3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 shrinkToFit="1"/>
    </xf>
    <xf numFmtId="167" fontId="6" fillId="3" borderId="1" applyAlignment="1" pivotButton="0" quotePrefix="0" xfId="0">
      <alignment horizontal="right" vertical="center" shrinkToFit="1"/>
    </xf>
    <xf numFmtId="164" fontId="6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numFmt numFmtId="300" formatCode="#,##0;[Red]-#,##0;&quot;&quot;"/>
    </dxf>
    <dxf>
      <numFmt numFmtId="301" formatCode="#,##0;[Red]-#,##0;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설계변경 산출내역서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변경 차수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계약금액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예정가격</t>
        </is>
      </c>
      <c r="B9" s="5" t="n"/>
      <c r="C9" s="5" t="n"/>
      <c r="D9" s="5" t="n"/>
      <c r="E9" s="5" t="n"/>
      <c r="F9" s="5" t="n"/>
      <c r="G9" s="7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낙 찰 률</t>
        </is>
      </c>
      <c r="B10" s="5" t="n"/>
      <c r="C10" s="5" t="n"/>
      <c r="D10" s="5" t="n"/>
      <c r="E10" s="5" t="n"/>
      <c r="F10" s="5" t="n"/>
      <c r="G10" s="8">
        <f>IF(N(G9)=0,"",G8/G9)</f>
        <v/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9" t="inlineStr">
        <is>
          <t>구분</t>
        </is>
      </c>
      <c r="B12" s="5" t="n"/>
      <c r="C12" s="9" t="inlineStr">
        <is>
          <t>공종·품명</t>
        </is>
      </c>
      <c r="D12" s="5" t="n"/>
      <c r="E12" s="5" t="n"/>
      <c r="F12" s="5" t="n"/>
      <c r="G12" s="9" t="inlineStr">
        <is>
          <t>규격</t>
        </is>
      </c>
      <c r="H12" s="5" t="n"/>
      <c r="I12" s="5" t="n"/>
      <c r="J12" s="9" t="inlineStr">
        <is>
          <t>단위</t>
        </is>
      </c>
      <c r="K12" s="5" t="n"/>
      <c r="L12" s="9" t="inlineStr">
        <is>
          <t>당초수량</t>
        </is>
      </c>
      <c r="M12" s="5" t="n"/>
      <c r="N12" s="9" t="inlineStr">
        <is>
          <t>변경수량</t>
        </is>
      </c>
      <c r="O12" s="5" t="n"/>
      <c r="P12" s="9" t="inlineStr">
        <is>
          <t>증감수량</t>
        </is>
      </c>
      <c r="Q12" s="5" t="n"/>
      <c r="R12" s="9" t="inlineStr">
        <is>
          <t>적용단가</t>
        </is>
      </c>
      <c r="S12" s="5" t="n"/>
      <c r="T12" s="9" t="inlineStr">
        <is>
          <t>증감금액</t>
        </is>
      </c>
      <c r="U12" s="5" t="n"/>
      <c r="V12" s="5" t="n"/>
      <c r="W12" s="9" t="inlineStr">
        <is>
          <t>단가 근거</t>
        </is>
      </c>
      <c r="X12" s="5" t="n"/>
    </row>
    <row r="13" ht="22" customHeight="1">
      <c r="A13" s="10" t="n"/>
      <c r="B13" s="5" t="n"/>
      <c r="C13" s="10" t="n"/>
      <c r="D13" s="5" t="n"/>
      <c r="E13" s="5" t="n"/>
      <c r="F13" s="5" t="n"/>
      <c r="G13" s="10" t="n"/>
      <c r="H13" s="5" t="n"/>
      <c r="I13" s="5" t="n"/>
      <c r="J13" s="10" t="n"/>
      <c r="K13" s="5" t="n"/>
      <c r="L13" s="11" t="n"/>
      <c r="M13" s="5" t="n"/>
      <c r="N13" s="11" t="n"/>
      <c r="O13" s="5" t="n"/>
      <c r="P13" s="12">
        <f>IF(AND(L13="",N13=""),"",N(N13)-N(L13))</f>
        <v/>
      </c>
      <c r="Q13" s="5" t="n"/>
      <c r="R13" s="7" t="n"/>
      <c r="S13" s="5" t="n"/>
      <c r="T13" s="13">
        <f>IF(OR(P13="",R13=""),"",INT(ROUND(P13*R13,6)))</f>
        <v/>
      </c>
      <c r="U13" s="5" t="n"/>
      <c r="V13" s="5" t="n"/>
      <c r="W13" s="10" t="n"/>
      <c r="X13" s="5" t="n"/>
    </row>
    <row r="14" ht="22" customHeight="1">
      <c r="A14" s="10" t="n"/>
      <c r="B14" s="5" t="n"/>
      <c r="C14" s="10" t="n"/>
      <c r="D14" s="5" t="n"/>
      <c r="E14" s="5" t="n"/>
      <c r="F14" s="5" t="n"/>
      <c r="G14" s="10" t="n"/>
      <c r="H14" s="5" t="n"/>
      <c r="I14" s="5" t="n"/>
      <c r="J14" s="10" t="n"/>
      <c r="K14" s="5" t="n"/>
      <c r="L14" s="11" t="n"/>
      <c r="M14" s="5" t="n"/>
      <c r="N14" s="11" t="n"/>
      <c r="O14" s="5" t="n"/>
      <c r="P14" s="12">
        <f>IF(AND(L14="",N14=""),"",N(N14)-N(L14))</f>
        <v/>
      </c>
      <c r="Q14" s="5" t="n"/>
      <c r="R14" s="7" t="n"/>
      <c r="S14" s="5" t="n"/>
      <c r="T14" s="13">
        <f>IF(OR(P14="",R14=""),"",INT(ROUND(P14*R14,6)))</f>
        <v/>
      </c>
      <c r="U14" s="5" t="n"/>
      <c r="V14" s="5" t="n"/>
      <c r="W14" s="10" t="n"/>
      <c r="X14" s="5" t="n"/>
    </row>
    <row r="15" ht="22" customHeight="1">
      <c r="A15" s="10" t="n"/>
      <c r="B15" s="5" t="n"/>
      <c r="C15" s="10" t="n"/>
      <c r="D15" s="5" t="n"/>
      <c r="E15" s="5" t="n"/>
      <c r="F15" s="5" t="n"/>
      <c r="G15" s="10" t="n"/>
      <c r="H15" s="5" t="n"/>
      <c r="I15" s="5" t="n"/>
      <c r="J15" s="10" t="n"/>
      <c r="K15" s="5" t="n"/>
      <c r="L15" s="11" t="n"/>
      <c r="M15" s="5" t="n"/>
      <c r="N15" s="11" t="n"/>
      <c r="O15" s="5" t="n"/>
      <c r="P15" s="12">
        <f>IF(AND(L15="",N15=""),"",N(N15)-N(L15))</f>
        <v/>
      </c>
      <c r="Q15" s="5" t="n"/>
      <c r="R15" s="7" t="n"/>
      <c r="S15" s="5" t="n"/>
      <c r="T15" s="13">
        <f>IF(OR(P15="",R15=""),"",INT(ROUND(P15*R15,6)))</f>
        <v/>
      </c>
      <c r="U15" s="5" t="n"/>
      <c r="V15" s="5" t="n"/>
      <c r="W15" s="10" t="n"/>
      <c r="X15" s="5" t="n"/>
    </row>
    <row r="16" ht="22" customHeight="1">
      <c r="A16" s="10" t="n"/>
      <c r="B16" s="5" t="n"/>
      <c r="C16" s="10" t="n"/>
      <c r="D16" s="5" t="n"/>
      <c r="E16" s="5" t="n"/>
      <c r="F16" s="5" t="n"/>
      <c r="G16" s="10" t="n"/>
      <c r="H16" s="5" t="n"/>
      <c r="I16" s="5" t="n"/>
      <c r="J16" s="10" t="n"/>
      <c r="K16" s="5" t="n"/>
      <c r="L16" s="11" t="n"/>
      <c r="M16" s="5" t="n"/>
      <c r="N16" s="11" t="n"/>
      <c r="O16" s="5" t="n"/>
      <c r="P16" s="12">
        <f>IF(AND(L16="",N16=""),"",N(N16)-N(L16))</f>
        <v/>
      </c>
      <c r="Q16" s="5" t="n"/>
      <c r="R16" s="7" t="n"/>
      <c r="S16" s="5" t="n"/>
      <c r="T16" s="13">
        <f>IF(OR(P16="",R16=""),"",INT(ROUND(P16*R16,6)))</f>
        <v/>
      </c>
      <c r="U16" s="5" t="n"/>
      <c r="V16" s="5" t="n"/>
      <c r="W16" s="10" t="n"/>
      <c r="X16" s="5" t="n"/>
    </row>
    <row r="17" ht="22" customHeight="1">
      <c r="A17" s="10" t="n"/>
      <c r="B17" s="5" t="n"/>
      <c r="C17" s="10" t="n"/>
      <c r="D17" s="5" t="n"/>
      <c r="E17" s="5" t="n"/>
      <c r="F17" s="5" t="n"/>
      <c r="G17" s="10" t="n"/>
      <c r="H17" s="5" t="n"/>
      <c r="I17" s="5" t="n"/>
      <c r="J17" s="10" t="n"/>
      <c r="K17" s="5" t="n"/>
      <c r="L17" s="11" t="n"/>
      <c r="M17" s="5" t="n"/>
      <c r="N17" s="11" t="n"/>
      <c r="O17" s="5" t="n"/>
      <c r="P17" s="12">
        <f>IF(AND(L17="",N17=""),"",N(N17)-N(L17))</f>
        <v/>
      </c>
      <c r="Q17" s="5" t="n"/>
      <c r="R17" s="7" t="n"/>
      <c r="S17" s="5" t="n"/>
      <c r="T17" s="13">
        <f>IF(OR(P17="",R17=""),"",INT(ROUND(P17*R17,6)))</f>
        <v/>
      </c>
      <c r="U17" s="5" t="n"/>
      <c r="V17" s="5" t="n"/>
      <c r="W17" s="10" t="n"/>
      <c r="X17" s="5" t="n"/>
    </row>
    <row r="18" ht="22" customHeight="1">
      <c r="A18" s="10" t="n"/>
      <c r="B18" s="5" t="n"/>
      <c r="C18" s="10" t="n"/>
      <c r="D18" s="5" t="n"/>
      <c r="E18" s="5" t="n"/>
      <c r="F18" s="5" t="n"/>
      <c r="G18" s="10" t="n"/>
      <c r="H18" s="5" t="n"/>
      <c r="I18" s="5" t="n"/>
      <c r="J18" s="10" t="n"/>
      <c r="K18" s="5" t="n"/>
      <c r="L18" s="11" t="n"/>
      <c r="M18" s="5" t="n"/>
      <c r="N18" s="11" t="n"/>
      <c r="O18" s="5" t="n"/>
      <c r="P18" s="12">
        <f>IF(AND(L18="",N18=""),"",N(N18)-N(L18))</f>
        <v/>
      </c>
      <c r="Q18" s="5" t="n"/>
      <c r="R18" s="7" t="n"/>
      <c r="S18" s="5" t="n"/>
      <c r="T18" s="13">
        <f>IF(OR(P18="",R18=""),"",INT(ROUND(P18*R18,6)))</f>
        <v/>
      </c>
      <c r="U18" s="5" t="n"/>
      <c r="V18" s="5" t="n"/>
      <c r="W18" s="10" t="n"/>
      <c r="X18" s="5" t="n"/>
    </row>
    <row r="19" ht="22" customHeight="1">
      <c r="A19" s="10" t="n"/>
      <c r="B19" s="5" t="n"/>
      <c r="C19" s="10" t="n"/>
      <c r="D19" s="5" t="n"/>
      <c r="E19" s="5" t="n"/>
      <c r="F19" s="5" t="n"/>
      <c r="G19" s="10" t="n"/>
      <c r="H19" s="5" t="n"/>
      <c r="I19" s="5" t="n"/>
      <c r="J19" s="10" t="n"/>
      <c r="K19" s="5" t="n"/>
      <c r="L19" s="11" t="n"/>
      <c r="M19" s="5" t="n"/>
      <c r="N19" s="11" t="n"/>
      <c r="O19" s="5" t="n"/>
      <c r="P19" s="12">
        <f>IF(AND(L19="",N19=""),"",N(N19)-N(L19))</f>
        <v/>
      </c>
      <c r="Q19" s="5" t="n"/>
      <c r="R19" s="7" t="n"/>
      <c r="S19" s="5" t="n"/>
      <c r="T19" s="13">
        <f>IF(OR(P19="",R19=""),"",INT(ROUND(P19*R19,6)))</f>
        <v/>
      </c>
      <c r="U19" s="5" t="n"/>
      <c r="V19" s="5" t="n"/>
      <c r="W19" s="10" t="n"/>
      <c r="X19" s="5" t="n"/>
    </row>
    <row r="20" ht="22" customHeight="1">
      <c r="A20" s="10" t="n"/>
      <c r="B20" s="5" t="n"/>
      <c r="C20" s="10" t="n"/>
      <c r="D20" s="5" t="n"/>
      <c r="E20" s="5" t="n"/>
      <c r="F20" s="5" t="n"/>
      <c r="G20" s="10" t="n"/>
      <c r="H20" s="5" t="n"/>
      <c r="I20" s="5" t="n"/>
      <c r="J20" s="10" t="n"/>
      <c r="K20" s="5" t="n"/>
      <c r="L20" s="11" t="n"/>
      <c r="M20" s="5" t="n"/>
      <c r="N20" s="11" t="n"/>
      <c r="O20" s="5" t="n"/>
      <c r="P20" s="12">
        <f>IF(AND(L20="",N20=""),"",N(N20)-N(L20))</f>
        <v/>
      </c>
      <c r="Q20" s="5" t="n"/>
      <c r="R20" s="7" t="n"/>
      <c r="S20" s="5" t="n"/>
      <c r="T20" s="13">
        <f>IF(OR(P20="",R20=""),"",INT(ROUND(P20*R20,6)))</f>
        <v/>
      </c>
      <c r="U20" s="5" t="n"/>
      <c r="V20" s="5" t="n"/>
      <c r="W20" s="10" t="n"/>
      <c r="X20" s="5" t="n"/>
    </row>
    <row r="21" ht="22" customHeight="1">
      <c r="A21" s="10" t="n"/>
      <c r="B21" s="5" t="n"/>
      <c r="C21" s="10" t="n"/>
      <c r="D21" s="5" t="n"/>
      <c r="E21" s="5" t="n"/>
      <c r="F21" s="5" t="n"/>
      <c r="G21" s="10" t="n"/>
      <c r="H21" s="5" t="n"/>
      <c r="I21" s="5" t="n"/>
      <c r="J21" s="10" t="n"/>
      <c r="K21" s="5" t="n"/>
      <c r="L21" s="11" t="n"/>
      <c r="M21" s="5" t="n"/>
      <c r="N21" s="11" t="n"/>
      <c r="O21" s="5" t="n"/>
      <c r="P21" s="12">
        <f>IF(AND(L21="",N21=""),"",N(N21)-N(L21))</f>
        <v/>
      </c>
      <c r="Q21" s="5" t="n"/>
      <c r="R21" s="7" t="n"/>
      <c r="S21" s="5" t="n"/>
      <c r="T21" s="13">
        <f>IF(OR(P21="",R21=""),"",INT(ROUND(P21*R21,6)))</f>
        <v/>
      </c>
      <c r="U21" s="5" t="n"/>
      <c r="V21" s="5" t="n"/>
      <c r="W21" s="10" t="n"/>
      <c r="X21" s="5" t="n"/>
    </row>
    <row r="22" ht="22" customHeight="1">
      <c r="A22" s="10" t="n"/>
      <c r="B22" s="5" t="n"/>
      <c r="C22" s="10" t="n"/>
      <c r="D22" s="5" t="n"/>
      <c r="E22" s="5" t="n"/>
      <c r="F22" s="5" t="n"/>
      <c r="G22" s="10" t="n"/>
      <c r="H22" s="5" t="n"/>
      <c r="I22" s="5" t="n"/>
      <c r="J22" s="10" t="n"/>
      <c r="K22" s="5" t="n"/>
      <c r="L22" s="11" t="n"/>
      <c r="M22" s="5" t="n"/>
      <c r="N22" s="11" t="n"/>
      <c r="O22" s="5" t="n"/>
      <c r="P22" s="12">
        <f>IF(AND(L22="",N22=""),"",N(N22)-N(L22))</f>
        <v/>
      </c>
      <c r="Q22" s="5" t="n"/>
      <c r="R22" s="7" t="n"/>
      <c r="S22" s="5" t="n"/>
      <c r="T22" s="13">
        <f>IF(OR(P22="",R22=""),"",INT(ROUND(P22*R22,6)))</f>
        <v/>
      </c>
      <c r="U22" s="5" t="n"/>
      <c r="V22" s="5" t="n"/>
      <c r="W22" s="10" t="n"/>
      <c r="X22" s="5" t="n"/>
    </row>
    <row r="23" ht="22" customHeight="1">
      <c r="A23" s="10" t="n"/>
      <c r="B23" s="5" t="n"/>
      <c r="C23" s="10" t="n"/>
      <c r="D23" s="5" t="n"/>
      <c r="E23" s="5" t="n"/>
      <c r="F23" s="5" t="n"/>
      <c r="G23" s="10" t="n"/>
      <c r="H23" s="5" t="n"/>
      <c r="I23" s="5" t="n"/>
      <c r="J23" s="10" t="n"/>
      <c r="K23" s="5" t="n"/>
      <c r="L23" s="11" t="n"/>
      <c r="M23" s="5" t="n"/>
      <c r="N23" s="11" t="n"/>
      <c r="O23" s="5" t="n"/>
      <c r="P23" s="12">
        <f>IF(AND(L23="",N23=""),"",N(N23)-N(L23))</f>
        <v/>
      </c>
      <c r="Q23" s="5" t="n"/>
      <c r="R23" s="7" t="n"/>
      <c r="S23" s="5" t="n"/>
      <c r="T23" s="13">
        <f>IF(OR(P23="",R23=""),"",INT(ROUND(P23*R23,6)))</f>
        <v/>
      </c>
      <c r="U23" s="5" t="n"/>
      <c r="V23" s="5" t="n"/>
      <c r="W23" s="10" t="n"/>
      <c r="X23" s="5" t="n"/>
    </row>
    <row r="24" ht="22" customHeight="1">
      <c r="A24" s="10" t="n"/>
      <c r="B24" s="5" t="n"/>
      <c r="C24" s="10" t="n"/>
      <c r="D24" s="5" t="n"/>
      <c r="E24" s="5" t="n"/>
      <c r="F24" s="5" t="n"/>
      <c r="G24" s="10" t="n"/>
      <c r="H24" s="5" t="n"/>
      <c r="I24" s="5" t="n"/>
      <c r="J24" s="10" t="n"/>
      <c r="K24" s="5" t="n"/>
      <c r="L24" s="11" t="n"/>
      <c r="M24" s="5" t="n"/>
      <c r="N24" s="11" t="n"/>
      <c r="O24" s="5" t="n"/>
      <c r="P24" s="12">
        <f>IF(AND(L24="",N24=""),"",N(N24)-N(L24))</f>
        <v/>
      </c>
      <c r="Q24" s="5" t="n"/>
      <c r="R24" s="7" t="n"/>
      <c r="S24" s="5" t="n"/>
      <c r="T24" s="13">
        <f>IF(OR(P24="",R24=""),"",INT(ROUND(P24*R24,6)))</f>
        <v/>
      </c>
      <c r="U24" s="5" t="n"/>
      <c r="V24" s="5" t="n"/>
      <c r="W24" s="10" t="n"/>
      <c r="X24" s="5" t="n"/>
    </row>
    <row r="25" ht="22" customHeight="1">
      <c r="A25" s="10" t="n"/>
      <c r="B25" s="5" t="n"/>
      <c r="C25" s="10" t="n"/>
      <c r="D25" s="5" t="n"/>
      <c r="E25" s="5" t="n"/>
      <c r="F25" s="5" t="n"/>
      <c r="G25" s="10" t="n"/>
      <c r="H25" s="5" t="n"/>
      <c r="I25" s="5" t="n"/>
      <c r="J25" s="10" t="n"/>
      <c r="K25" s="5" t="n"/>
      <c r="L25" s="11" t="n"/>
      <c r="M25" s="5" t="n"/>
      <c r="N25" s="11" t="n"/>
      <c r="O25" s="5" t="n"/>
      <c r="P25" s="12">
        <f>IF(AND(L25="",N25=""),"",N(N25)-N(L25))</f>
        <v/>
      </c>
      <c r="Q25" s="5" t="n"/>
      <c r="R25" s="7" t="n"/>
      <c r="S25" s="5" t="n"/>
      <c r="T25" s="13">
        <f>IF(OR(P25="",R25=""),"",INT(ROUND(P25*R25,6)))</f>
        <v/>
      </c>
      <c r="U25" s="5" t="n"/>
      <c r="V25" s="5" t="n"/>
      <c r="W25" s="10" t="n"/>
      <c r="X25" s="5" t="n"/>
    </row>
    <row r="26" ht="22" customHeight="1">
      <c r="A26" s="10" t="n"/>
      <c r="B26" s="5" t="n"/>
      <c r="C26" s="10" t="n"/>
      <c r="D26" s="5" t="n"/>
      <c r="E26" s="5" t="n"/>
      <c r="F26" s="5" t="n"/>
      <c r="G26" s="10" t="n"/>
      <c r="H26" s="5" t="n"/>
      <c r="I26" s="5" t="n"/>
      <c r="J26" s="10" t="n"/>
      <c r="K26" s="5" t="n"/>
      <c r="L26" s="11" t="n"/>
      <c r="M26" s="5" t="n"/>
      <c r="N26" s="11" t="n"/>
      <c r="O26" s="5" t="n"/>
      <c r="P26" s="12">
        <f>IF(AND(L26="",N26=""),"",N(N26)-N(L26))</f>
        <v/>
      </c>
      <c r="Q26" s="5" t="n"/>
      <c r="R26" s="7" t="n"/>
      <c r="S26" s="5" t="n"/>
      <c r="T26" s="13">
        <f>IF(OR(P26="",R26=""),"",INT(ROUND(P26*R26,6)))</f>
        <v/>
      </c>
      <c r="U26" s="5" t="n"/>
      <c r="V26" s="5" t="n"/>
      <c r="W26" s="10" t="n"/>
      <c r="X26" s="5" t="n"/>
    </row>
    <row r="27" ht="6" customHeight="1"/>
    <row r="28" ht="34" customHeight="1">
      <c r="A28" s="14" t="inlineStr">
        <is>
          <t>※ 구분: 증가(계약단가) / 감소(계약단가) / 신규(설계변경 당시 단가 × 낙찰률) / 협의(발주기관 요구)</t>
        </is>
      </c>
    </row>
    <row r="29" ht="6" customHeight="1"/>
    <row r="30" ht="24" customHeight="1">
      <c r="A30" s="4" t="inlineStr">
        <is>
          <t xml:space="preserve">  증가 소계</t>
        </is>
      </c>
      <c r="B30" s="5" t="n"/>
      <c r="C30" s="5" t="n"/>
      <c r="D30" s="5" t="n"/>
      <c r="E30" s="5" t="n"/>
      <c r="F30" s="5" t="n"/>
      <c r="G30" s="13">
        <f>SUMIF(T13:T26,"&gt;0")</f>
        <v/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24" customHeight="1">
      <c r="A31" s="4" t="inlineStr">
        <is>
          <t xml:space="preserve">  감소 소계</t>
        </is>
      </c>
      <c r="B31" s="5" t="n"/>
      <c r="C31" s="5" t="n"/>
      <c r="D31" s="5" t="n"/>
      <c r="E31" s="5" t="n"/>
      <c r="F31" s="5" t="n"/>
      <c r="G31" s="13">
        <f>SUMIF(T13:T26,"&lt;0")</f>
        <v/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24" customHeight="1">
      <c r="A32" s="4" t="inlineStr">
        <is>
          <t xml:space="preserve">  증감 합계</t>
        </is>
      </c>
      <c r="B32" s="5" t="n"/>
      <c r="C32" s="5" t="n"/>
      <c r="D32" s="5" t="n"/>
      <c r="E32" s="5" t="n"/>
      <c r="F32" s="5" t="n"/>
      <c r="G32" s="13">
        <f>SUM(T13:T26)</f>
        <v/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24" customHeight="1">
      <c r="A33" s="4" t="inlineStr">
        <is>
          <t xml:space="preserve">  변경 후 계약금액</t>
        </is>
      </c>
      <c r="B33" s="5" t="n"/>
      <c r="C33" s="5" t="n"/>
      <c r="D33" s="5" t="n"/>
      <c r="E33" s="5" t="n"/>
      <c r="F33" s="5" t="n"/>
      <c r="G33" s="7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6" customHeight="1"/>
    <row r="35" ht="10" customHeight="1"/>
    <row r="36" ht="26" customHeight="1">
      <c r="A36" s="15" t="inlineStr">
        <is>
          <t xml:space="preserve">          년        월        일</t>
        </is>
      </c>
    </row>
    <row r="37" ht="24" customHeight="1">
      <c r="A37" s="16" t="inlineStr"/>
      <c r="K37" s="17" t="inlineStr">
        <is>
          <t>현장대리인</t>
        </is>
      </c>
      <c r="Q37" s="18" t="n"/>
      <c r="U37" s="19" t="inlineStr">
        <is>
          <t>(서명 또는 인)</t>
        </is>
      </c>
    </row>
    <row r="38" ht="24" customHeight="1">
      <c r="A38" s="16" t="inlineStr"/>
      <c r="K38" s="17" t="inlineStr">
        <is>
          <t>대표자</t>
        </is>
      </c>
      <c r="Q38" s="18" t="n"/>
      <c r="U38" s="19" t="inlineStr">
        <is>
          <t>(서명 또는 인)</t>
        </is>
      </c>
    </row>
    <row r="39" ht="6" customHeight="1"/>
    <row r="41" ht="34" customHeight="1">
      <c r="A41" s="20" t="inlineStr">
        <is>
          <t>증감 금액은 직접공사비입니다. 제경비·일반관리비·이윤·부가세를 붙인 «변경 후 계약금액» 은 공사원가계산서 서식으로 산출해 적으세요.</t>
        </is>
      </c>
    </row>
    <row r="42" ht="34" customHeight="1">
      <c r="A42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43" ht="19.5" customHeight="1">
      <c r="A43" s="20" t="inlineStr">
        <is>
          <t>발주기관이 정한 서식이 있으면 그 서식을 쓰세요. 이 줄과 1행은 지워도 됩니다.</t>
        </is>
      </c>
    </row>
  </sheetData>
  <mergeCells count="186">
    <mergeCell ref="L17:M17"/>
    <mergeCell ref="A15:B15"/>
    <mergeCell ref="N20:O20"/>
    <mergeCell ref="G13:I13"/>
    <mergeCell ref="P20:Q20"/>
    <mergeCell ref="W15:X15"/>
    <mergeCell ref="G10:X10"/>
    <mergeCell ref="J19:K19"/>
    <mergeCell ref="W24:X24"/>
    <mergeCell ref="L19:M19"/>
    <mergeCell ref="N22:O22"/>
    <mergeCell ref="U38:X38"/>
    <mergeCell ref="G15:I15"/>
    <mergeCell ref="P22:Q22"/>
    <mergeCell ref="C13:F13"/>
    <mergeCell ref="G24:I24"/>
    <mergeCell ref="A3:X3"/>
    <mergeCell ref="L12:M12"/>
    <mergeCell ref="W26:X26"/>
    <mergeCell ref="N12:O12"/>
    <mergeCell ref="A5:F5"/>
    <mergeCell ref="A32:F32"/>
    <mergeCell ref="T22:V22"/>
    <mergeCell ref="C15:F15"/>
    <mergeCell ref="G26:I26"/>
    <mergeCell ref="C24:F24"/>
    <mergeCell ref="L14:M14"/>
    <mergeCell ref="N14:O14"/>
    <mergeCell ref="R12:S12"/>
    <mergeCell ref="K38:P38"/>
    <mergeCell ref="G16:I16"/>
    <mergeCell ref="C26:F26"/>
    <mergeCell ref="A31:F31"/>
    <mergeCell ref="P13:Q13"/>
    <mergeCell ref="A17:B17"/>
    <mergeCell ref="G31:X31"/>
    <mergeCell ref="A22:B22"/>
    <mergeCell ref="T20:V20"/>
    <mergeCell ref="J21:K21"/>
    <mergeCell ref="T14:V14"/>
    <mergeCell ref="L21:M21"/>
    <mergeCell ref="N15:O15"/>
    <mergeCell ref="P15:Q15"/>
    <mergeCell ref="A19:B19"/>
    <mergeCell ref="N24:O24"/>
    <mergeCell ref="P24:Q24"/>
    <mergeCell ref="W14:X14"/>
    <mergeCell ref="R18:S18"/>
    <mergeCell ref="J23:K23"/>
    <mergeCell ref="A7:F7"/>
    <mergeCell ref="N26:O26"/>
    <mergeCell ref="P26:Q26"/>
    <mergeCell ref="C17:F17"/>
    <mergeCell ref="G7:X7"/>
    <mergeCell ref="L16:M16"/>
    <mergeCell ref="N16:O16"/>
    <mergeCell ref="N25:O25"/>
    <mergeCell ref="P25:Q25"/>
    <mergeCell ref="R19:S19"/>
    <mergeCell ref="T26:V26"/>
    <mergeCell ref="A38:J38"/>
    <mergeCell ref="C19:F19"/>
    <mergeCell ref="A33:F33"/>
    <mergeCell ref="R16:S16"/>
    <mergeCell ref="G14:I14"/>
    <mergeCell ref="R25:S25"/>
    <mergeCell ref="G33:X33"/>
    <mergeCell ref="A42:X42"/>
    <mergeCell ref="T17:V17"/>
    <mergeCell ref="Q37:T37"/>
    <mergeCell ref="C14:F14"/>
    <mergeCell ref="A26:B26"/>
    <mergeCell ref="J20:K20"/>
    <mergeCell ref="W16:X16"/>
    <mergeCell ref="T19:V19"/>
    <mergeCell ref="L20:M20"/>
    <mergeCell ref="K37:P37"/>
    <mergeCell ref="A9:F9"/>
    <mergeCell ref="A28:X28"/>
    <mergeCell ref="G8:X8"/>
    <mergeCell ref="G9:X9"/>
    <mergeCell ref="J22:K22"/>
    <mergeCell ref="W18:X18"/>
    <mergeCell ref="N13:O13"/>
    <mergeCell ref="L22:M22"/>
    <mergeCell ref="A30:F30"/>
    <mergeCell ref="Q38:T38"/>
    <mergeCell ref="J12:K12"/>
    <mergeCell ref="W17:X17"/>
    <mergeCell ref="P14:Q14"/>
    <mergeCell ref="G17:I17"/>
    <mergeCell ref="R14:S14"/>
    <mergeCell ref="W19:X19"/>
    <mergeCell ref="R23:S23"/>
    <mergeCell ref="G19:I19"/>
    <mergeCell ref="W25:X25"/>
    <mergeCell ref="A41:X41"/>
    <mergeCell ref="T12:V12"/>
    <mergeCell ref="T21:V21"/>
    <mergeCell ref="C18:F18"/>
    <mergeCell ref="W20:X20"/>
    <mergeCell ref="J24:K24"/>
    <mergeCell ref="T23:V23"/>
    <mergeCell ref="L24:M24"/>
    <mergeCell ref="A8:F8"/>
    <mergeCell ref="L18:M18"/>
    <mergeCell ref="N18:O18"/>
    <mergeCell ref="T13:V13"/>
    <mergeCell ref="G20:I20"/>
    <mergeCell ref="W22:X22"/>
    <mergeCell ref="T16:V16"/>
    <mergeCell ref="J26:K26"/>
    <mergeCell ref="A12:B12"/>
    <mergeCell ref="N17:O17"/>
    <mergeCell ref="L26:M26"/>
    <mergeCell ref="P17:Q17"/>
    <mergeCell ref="A10:F10"/>
    <mergeCell ref="A21:B21"/>
    <mergeCell ref="W12:X12"/>
    <mergeCell ref="R20:S20"/>
    <mergeCell ref="G22:I22"/>
    <mergeCell ref="J16:K16"/>
    <mergeCell ref="C20:F20"/>
    <mergeCell ref="W21:X21"/>
    <mergeCell ref="J25:K25"/>
    <mergeCell ref="T18:V18"/>
    <mergeCell ref="L25:M25"/>
    <mergeCell ref="A14:B14"/>
    <mergeCell ref="N19:O19"/>
    <mergeCell ref="G12:I12"/>
    <mergeCell ref="R17:S17"/>
    <mergeCell ref="P19:Q19"/>
    <mergeCell ref="A23:B23"/>
    <mergeCell ref="G21:I21"/>
    <mergeCell ref="R22:S22"/>
    <mergeCell ref="C22:F22"/>
    <mergeCell ref="P12:Q12"/>
    <mergeCell ref="U37:X37"/>
    <mergeCell ref="C12:F12"/>
    <mergeCell ref="G23:I23"/>
    <mergeCell ref="C21:F21"/>
    <mergeCell ref="T25:V25"/>
    <mergeCell ref="A24:B24"/>
    <mergeCell ref="C23:F23"/>
    <mergeCell ref="J14:K14"/>
    <mergeCell ref="G18:I18"/>
    <mergeCell ref="G6:X6"/>
    <mergeCell ref="R13:S13"/>
    <mergeCell ref="J13:K13"/>
    <mergeCell ref="L13:M13"/>
    <mergeCell ref="A16:B16"/>
    <mergeCell ref="N21:O21"/>
    <mergeCell ref="G30:X30"/>
    <mergeCell ref="P21:Q21"/>
    <mergeCell ref="A25:B25"/>
    <mergeCell ref="R15:S15"/>
    <mergeCell ref="J15:K15"/>
    <mergeCell ref="R24:S24"/>
    <mergeCell ref="G5:X5"/>
    <mergeCell ref="L15:M15"/>
    <mergeCell ref="L23:M23"/>
    <mergeCell ref="A18:B18"/>
    <mergeCell ref="N23:O23"/>
    <mergeCell ref="R21:S21"/>
    <mergeCell ref="P23:Q23"/>
    <mergeCell ref="G25:I25"/>
    <mergeCell ref="R26:S26"/>
    <mergeCell ref="A43:X43"/>
    <mergeCell ref="P16:Q16"/>
    <mergeCell ref="G32:X32"/>
    <mergeCell ref="C16:F16"/>
    <mergeCell ref="C25:F25"/>
    <mergeCell ref="T15:V15"/>
    <mergeCell ref="T24:V24"/>
    <mergeCell ref="P18:Q18"/>
    <mergeCell ref="A20:B20"/>
    <mergeCell ref="A37:J37"/>
    <mergeCell ref="A1:L1"/>
    <mergeCell ref="J18:K18"/>
    <mergeCell ref="A6:F6"/>
    <mergeCell ref="A13:B13"/>
    <mergeCell ref="W23:X23"/>
    <mergeCell ref="M1:X1"/>
    <mergeCell ref="A36:X36"/>
    <mergeCell ref="W13:X13"/>
    <mergeCell ref="J17:K17"/>
  </mergeCells>
  <conditionalFormatting sqref="L13:L26">
    <cfRule type="expression" priority="1" dxfId="0">
      <formula>AND(ISNUMBER(L13),MOD(L13,1)=0)</formula>
    </cfRule>
  </conditionalFormatting>
  <conditionalFormatting sqref="N13:N26">
    <cfRule type="expression" priority="2" dxfId="0">
      <formula>AND(ISNUMBER(N13),MOD(N13,1)=0)</formula>
    </cfRule>
  </conditionalFormatting>
  <conditionalFormatting sqref="P13:P26">
    <cfRule type="expression" priority="3" dxfId="1">
      <formula>AND(ISNUMBER(P13),MOD(P13,1)=0)</formula>
    </cfRule>
  </conditionalFormatting>
  <dataValidations count="1">
    <dataValidation sqref="A13 A14 A15 A16 A17 A18 A19 A20 A21 A22 A23 A24 A25 A26" showDropDown="0" showInputMessage="0" showErrorMessage="0" allowBlank="1" error="목록에서 고르세요" type="list">
      <formula1>"증가,감소,신규,협의"</formula1>
    </dataValidation>
  </dataValidations>
  <printOptions horizontalCentered="1"/>
  <pageMargins left="0.3" right="0.3" top="0.4" bottom="0.4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4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1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설계변경 산출내역서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inlineStr">
        <is>
          <t>제2026-0312호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변경 차수</t>
        </is>
      </c>
      <c r="B7" s="5" t="n"/>
      <c r="C7" s="5" t="n"/>
      <c r="D7" s="5" t="n"/>
      <c r="E7" s="5" t="n"/>
      <c r="F7" s="5" t="n"/>
      <c r="G7" s="6" t="inlineStr">
        <is>
          <t>제1회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계약금액</t>
        </is>
      </c>
      <c r="B8" s="5" t="n"/>
      <c r="C8" s="5" t="n"/>
      <c r="D8" s="5" t="n"/>
      <c r="E8" s="5" t="n"/>
      <c r="F8" s="5" t="n"/>
      <c r="G8" s="7" t="n">
        <v>963241000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예정가격</t>
        </is>
      </c>
      <c r="B9" s="5" t="n"/>
      <c r="C9" s="5" t="n"/>
      <c r="D9" s="5" t="n"/>
      <c r="E9" s="5" t="n"/>
      <c r="F9" s="5" t="n"/>
      <c r="G9" s="7" t="n">
        <v>1101487000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낙 찰 률</t>
        </is>
      </c>
      <c r="B10" s="5" t="n"/>
      <c r="C10" s="5" t="n"/>
      <c r="D10" s="5" t="n"/>
      <c r="E10" s="5" t="n"/>
      <c r="F10" s="5" t="n"/>
      <c r="G10" s="8">
        <f>IF(N(G9)=0,"",G8/G9)</f>
        <v/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9" t="inlineStr">
        <is>
          <t>구분</t>
        </is>
      </c>
      <c r="B12" s="5" t="n"/>
      <c r="C12" s="9" t="inlineStr">
        <is>
          <t>공종·품명</t>
        </is>
      </c>
      <c r="D12" s="5" t="n"/>
      <c r="E12" s="5" t="n"/>
      <c r="F12" s="5" t="n"/>
      <c r="G12" s="9" t="inlineStr">
        <is>
          <t>규격</t>
        </is>
      </c>
      <c r="H12" s="5" t="n"/>
      <c r="I12" s="5" t="n"/>
      <c r="J12" s="9" t="inlineStr">
        <is>
          <t>단위</t>
        </is>
      </c>
      <c r="K12" s="5" t="n"/>
      <c r="L12" s="9" t="inlineStr">
        <is>
          <t>당초수량</t>
        </is>
      </c>
      <c r="M12" s="5" t="n"/>
      <c r="N12" s="9" t="inlineStr">
        <is>
          <t>변경수량</t>
        </is>
      </c>
      <c r="O12" s="5" t="n"/>
      <c r="P12" s="9" t="inlineStr">
        <is>
          <t>증감수량</t>
        </is>
      </c>
      <c r="Q12" s="5" t="n"/>
      <c r="R12" s="9" t="inlineStr">
        <is>
          <t>적용단가</t>
        </is>
      </c>
      <c r="S12" s="5" t="n"/>
      <c r="T12" s="9" t="inlineStr">
        <is>
          <t>증감금액</t>
        </is>
      </c>
      <c r="U12" s="5" t="n"/>
      <c r="V12" s="5" t="n"/>
      <c r="W12" s="9" t="inlineStr">
        <is>
          <t>단가 근거</t>
        </is>
      </c>
      <c r="X12" s="5" t="n"/>
    </row>
    <row r="13" ht="32" customHeight="1">
      <c r="A13" s="10" t="inlineStr">
        <is>
          <t>증가</t>
        </is>
      </c>
      <c r="B13" s="5" t="n"/>
      <c r="C13" s="10" t="inlineStr">
        <is>
          <t>PE 이중벽관</t>
        </is>
      </c>
      <c r="D13" s="5" t="n"/>
      <c r="E13" s="5" t="n"/>
      <c r="F13" s="5" t="n"/>
      <c r="G13" s="10" t="inlineStr">
        <is>
          <t>D600</t>
        </is>
      </c>
      <c r="H13" s="5" t="n"/>
      <c r="I13" s="5" t="n"/>
      <c r="J13" s="10" t="inlineStr">
        <is>
          <t>m</t>
        </is>
      </c>
      <c r="K13" s="5" t="n"/>
      <c r="L13" s="11" t="n">
        <v>820</v>
      </c>
      <c r="M13" s="5" t="n"/>
      <c r="N13" s="11" t="n">
        <v>862</v>
      </c>
      <c r="O13" s="5" t="n"/>
      <c r="P13" s="12">
        <f>IF(AND(L13="",N13=""),"",N(N13)-N(L13))</f>
        <v/>
      </c>
      <c r="Q13" s="5" t="n"/>
      <c r="R13" s="7" t="n">
        <v>163090</v>
      </c>
      <c r="S13" s="5" t="n"/>
      <c r="T13" s="13">
        <f>IF(OR(P13="",R13=""),"",INT(ROUND(P13*R13,6)))</f>
        <v/>
      </c>
      <c r="U13" s="5" t="n"/>
      <c r="V13" s="5" t="n"/>
      <c r="W13" s="10" t="inlineStr">
        <is>
          <t>계약단가</t>
        </is>
      </c>
      <c r="X13" s="5" t="n"/>
    </row>
    <row r="14" ht="32" customHeight="1">
      <c r="A14" s="10" t="inlineStr">
        <is>
          <t>감소</t>
        </is>
      </c>
      <c r="B14" s="5" t="n"/>
      <c r="C14" s="10" t="inlineStr">
        <is>
          <t>아스팔트 포장(표층)</t>
        </is>
      </c>
      <c r="D14" s="5" t="n"/>
      <c r="E14" s="5" t="n"/>
      <c r="F14" s="5" t="n"/>
      <c r="G14" s="10" t="inlineStr">
        <is>
          <t>t=5cm</t>
        </is>
      </c>
      <c r="H14" s="5" t="n"/>
      <c r="I14" s="5" t="n"/>
      <c r="J14" s="10" t="inlineStr">
        <is>
          <t>m²</t>
        </is>
      </c>
      <c r="K14" s="5" t="n"/>
      <c r="L14" s="11" t="n">
        <v>6300</v>
      </c>
      <c r="M14" s="5" t="n"/>
      <c r="N14" s="11" t="n">
        <v>6020</v>
      </c>
      <c r="O14" s="5" t="n"/>
      <c r="P14" s="12">
        <f>IF(AND(L14="",N14=""),"",N(N14)-N(L14))</f>
        <v/>
      </c>
      <c r="Q14" s="5" t="n"/>
      <c r="R14" s="7" t="n">
        <v>12480</v>
      </c>
      <c r="S14" s="5" t="n"/>
      <c r="T14" s="13">
        <f>IF(OR(P14="",R14=""),"",INT(ROUND(P14*R14,6)))</f>
        <v/>
      </c>
      <c r="U14" s="5" t="n"/>
      <c r="V14" s="5" t="n"/>
      <c r="W14" s="10" t="inlineStr">
        <is>
          <t>계약단가</t>
        </is>
      </c>
      <c r="X14" s="5" t="n"/>
    </row>
    <row r="15" ht="45" customHeight="1">
      <c r="A15" s="10" t="inlineStr">
        <is>
          <t>신규</t>
        </is>
      </c>
      <c r="B15" s="5" t="n"/>
      <c r="C15" s="10" t="inlineStr">
        <is>
          <t>집수정</t>
        </is>
      </c>
      <c r="D15" s="5" t="n"/>
      <c r="E15" s="5" t="n"/>
      <c r="F15" s="5" t="n"/>
      <c r="G15" s="10" t="inlineStr">
        <is>
          <t>1.2×1.2</t>
        </is>
      </c>
      <c r="H15" s="5" t="n"/>
      <c r="I15" s="5" t="n"/>
      <c r="J15" s="10" t="inlineStr">
        <is>
          <t>개소</t>
        </is>
      </c>
      <c r="K15" s="5" t="n"/>
      <c r="L15" s="11" t="n">
        <v>0</v>
      </c>
      <c r="M15" s="5" t="n"/>
      <c r="N15" s="11" t="n">
        <v>3</v>
      </c>
      <c r="O15" s="5" t="n"/>
      <c r="P15" s="12">
        <f>IF(AND(L15="",N15=""),"",N(N15)-N(L15))</f>
        <v/>
      </c>
      <c r="Q15" s="5" t="n"/>
      <c r="R15" s="7" t="n">
        <v>1088777</v>
      </c>
      <c r="S15" s="5" t="n"/>
      <c r="T15" s="13">
        <f>IF(OR(P15="",R15=""),"",INT(ROUND(P15*R15,6)))</f>
        <v/>
      </c>
      <c r="U15" s="5" t="n"/>
      <c r="V15" s="5" t="n"/>
      <c r="W15" s="10" t="inlineStr">
        <is>
          <t>당시단가×낙찰률</t>
        </is>
      </c>
      <c r="X15" s="5" t="n"/>
    </row>
    <row r="16" ht="32" customHeight="1">
      <c r="A16" s="10" t="inlineStr">
        <is>
          <t>협의</t>
        </is>
      </c>
      <c r="B16" s="5" t="n"/>
      <c r="C16" s="10" t="inlineStr">
        <is>
          <t>가물막이(톤마대)</t>
        </is>
      </c>
      <c r="D16" s="5" t="n"/>
      <c r="E16" s="5" t="n"/>
      <c r="F16" s="5" t="n"/>
      <c r="G16" s="10" t="inlineStr">
        <is>
          <t>1톤</t>
        </is>
      </c>
      <c r="H16" s="5" t="n"/>
      <c r="I16" s="5" t="n"/>
      <c r="J16" s="10" t="inlineStr">
        <is>
          <t>개</t>
        </is>
      </c>
      <c r="K16" s="5" t="n"/>
      <c r="L16" s="11" t="n">
        <v>0</v>
      </c>
      <c r="M16" s="5" t="n"/>
      <c r="N16" s="11" t="n">
        <v>60</v>
      </c>
      <c r="O16" s="5" t="n"/>
      <c r="P16" s="12">
        <f>IF(AND(L16="",N16=""),"",N(N16)-N(L16))</f>
        <v/>
      </c>
      <c r="Q16" s="5" t="n"/>
      <c r="R16" s="7" t="n">
        <v>36000</v>
      </c>
      <c r="S16" s="5" t="n"/>
      <c r="T16" s="13">
        <f>IF(OR(P16="",R16=""),"",INT(ROUND(P16*R16,6)))</f>
        <v/>
      </c>
      <c r="U16" s="5" t="n"/>
      <c r="V16" s="5" t="n"/>
      <c r="W16" s="10" t="inlineStr">
        <is>
          <t>협의</t>
        </is>
      </c>
      <c r="X16" s="5" t="n"/>
    </row>
    <row r="17" ht="22" customHeight="1">
      <c r="A17" s="10" t="n"/>
      <c r="B17" s="5" t="n"/>
      <c r="C17" s="10" t="n"/>
      <c r="D17" s="5" t="n"/>
      <c r="E17" s="5" t="n"/>
      <c r="F17" s="5" t="n"/>
      <c r="G17" s="10" t="n"/>
      <c r="H17" s="5" t="n"/>
      <c r="I17" s="5" t="n"/>
      <c r="J17" s="10" t="n"/>
      <c r="K17" s="5" t="n"/>
      <c r="L17" s="11" t="n"/>
      <c r="M17" s="5" t="n"/>
      <c r="N17" s="11" t="n"/>
      <c r="O17" s="5" t="n"/>
      <c r="P17" s="12">
        <f>IF(AND(L17="",N17=""),"",N(N17)-N(L17))</f>
        <v/>
      </c>
      <c r="Q17" s="5" t="n"/>
      <c r="R17" s="7" t="n"/>
      <c r="S17" s="5" t="n"/>
      <c r="T17" s="13">
        <f>IF(OR(P17="",R17=""),"",INT(ROUND(P17*R17,6)))</f>
        <v/>
      </c>
      <c r="U17" s="5" t="n"/>
      <c r="V17" s="5" t="n"/>
      <c r="W17" s="10" t="n"/>
      <c r="X17" s="5" t="n"/>
    </row>
    <row r="18" ht="22" customHeight="1">
      <c r="A18" s="10" t="n"/>
      <c r="B18" s="5" t="n"/>
      <c r="C18" s="10" t="n"/>
      <c r="D18" s="5" t="n"/>
      <c r="E18" s="5" t="n"/>
      <c r="F18" s="5" t="n"/>
      <c r="G18" s="10" t="n"/>
      <c r="H18" s="5" t="n"/>
      <c r="I18" s="5" t="n"/>
      <c r="J18" s="10" t="n"/>
      <c r="K18" s="5" t="n"/>
      <c r="L18" s="11" t="n"/>
      <c r="M18" s="5" t="n"/>
      <c r="N18" s="11" t="n"/>
      <c r="O18" s="5" t="n"/>
      <c r="P18" s="12">
        <f>IF(AND(L18="",N18=""),"",N(N18)-N(L18))</f>
        <v/>
      </c>
      <c r="Q18" s="5" t="n"/>
      <c r="R18" s="7" t="n"/>
      <c r="S18" s="5" t="n"/>
      <c r="T18" s="13">
        <f>IF(OR(P18="",R18=""),"",INT(ROUND(P18*R18,6)))</f>
        <v/>
      </c>
      <c r="U18" s="5" t="n"/>
      <c r="V18" s="5" t="n"/>
      <c r="W18" s="10" t="n"/>
      <c r="X18" s="5" t="n"/>
    </row>
    <row r="19" ht="22" customHeight="1">
      <c r="A19" s="10" t="n"/>
      <c r="B19" s="5" t="n"/>
      <c r="C19" s="10" t="n"/>
      <c r="D19" s="5" t="n"/>
      <c r="E19" s="5" t="n"/>
      <c r="F19" s="5" t="n"/>
      <c r="G19" s="10" t="n"/>
      <c r="H19" s="5" t="n"/>
      <c r="I19" s="5" t="n"/>
      <c r="J19" s="10" t="n"/>
      <c r="K19" s="5" t="n"/>
      <c r="L19" s="11" t="n"/>
      <c r="M19" s="5" t="n"/>
      <c r="N19" s="11" t="n"/>
      <c r="O19" s="5" t="n"/>
      <c r="P19" s="12">
        <f>IF(AND(L19="",N19=""),"",N(N19)-N(L19))</f>
        <v/>
      </c>
      <c r="Q19" s="5" t="n"/>
      <c r="R19" s="7" t="n"/>
      <c r="S19" s="5" t="n"/>
      <c r="T19" s="13">
        <f>IF(OR(P19="",R19=""),"",INT(ROUND(P19*R19,6)))</f>
        <v/>
      </c>
      <c r="U19" s="5" t="n"/>
      <c r="V19" s="5" t="n"/>
      <c r="W19" s="10" t="n"/>
      <c r="X19" s="5" t="n"/>
    </row>
    <row r="20" ht="22" customHeight="1">
      <c r="A20" s="10" t="n"/>
      <c r="B20" s="5" t="n"/>
      <c r="C20" s="10" t="n"/>
      <c r="D20" s="5" t="n"/>
      <c r="E20" s="5" t="n"/>
      <c r="F20" s="5" t="n"/>
      <c r="G20" s="10" t="n"/>
      <c r="H20" s="5" t="n"/>
      <c r="I20" s="5" t="n"/>
      <c r="J20" s="10" t="n"/>
      <c r="K20" s="5" t="n"/>
      <c r="L20" s="11" t="n"/>
      <c r="M20" s="5" t="n"/>
      <c r="N20" s="11" t="n"/>
      <c r="O20" s="5" t="n"/>
      <c r="P20" s="12">
        <f>IF(AND(L20="",N20=""),"",N(N20)-N(L20))</f>
        <v/>
      </c>
      <c r="Q20" s="5" t="n"/>
      <c r="R20" s="7" t="n"/>
      <c r="S20" s="5" t="n"/>
      <c r="T20" s="13">
        <f>IF(OR(P20="",R20=""),"",INT(ROUND(P20*R20,6)))</f>
        <v/>
      </c>
      <c r="U20" s="5" t="n"/>
      <c r="V20" s="5" t="n"/>
      <c r="W20" s="10" t="n"/>
      <c r="X20" s="5" t="n"/>
    </row>
    <row r="21" ht="22" customHeight="1">
      <c r="A21" s="10" t="n"/>
      <c r="B21" s="5" t="n"/>
      <c r="C21" s="10" t="n"/>
      <c r="D21" s="5" t="n"/>
      <c r="E21" s="5" t="n"/>
      <c r="F21" s="5" t="n"/>
      <c r="G21" s="10" t="n"/>
      <c r="H21" s="5" t="n"/>
      <c r="I21" s="5" t="n"/>
      <c r="J21" s="10" t="n"/>
      <c r="K21" s="5" t="n"/>
      <c r="L21" s="11" t="n"/>
      <c r="M21" s="5" t="n"/>
      <c r="N21" s="11" t="n"/>
      <c r="O21" s="5" t="n"/>
      <c r="P21" s="12">
        <f>IF(AND(L21="",N21=""),"",N(N21)-N(L21))</f>
        <v/>
      </c>
      <c r="Q21" s="5" t="n"/>
      <c r="R21" s="7" t="n"/>
      <c r="S21" s="5" t="n"/>
      <c r="T21" s="13">
        <f>IF(OR(P21="",R21=""),"",INT(ROUND(P21*R21,6)))</f>
        <v/>
      </c>
      <c r="U21" s="5" t="n"/>
      <c r="V21" s="5" t="n"/>
      <c r="W21" s="10" t="n"/>
      <c r="X21" s="5" t="n"/>
    </row>
    <row r="22" ht="22" customHeight="1">
      <c r="A22" s="10" t="n"/>
      <c r="B22" s="5" t="n"/>
      <c r="C22" s="10" t="n"/>
      <c r="D22" s="5" t="n"/>
      <c r="E22" s="5" t="n"/>
      <c r="F22" s="5" t="n"/>
      <c r="G22" s="10" t="n"/>
      <c r="H22" s="5" t="n"/>
      <c r="I22" s="5" t="n"/>
      <c r="J22" s="10" t="n"/>
      <c r="K22" s="5" t="n"/>
      <c r="L22" s="11" t="n"/>
      <c r="M22" s="5" t="n"/>
      <c r="N22" s="11" t="n"/>
      <c r="O22" s="5" t="n"/>
      <c r="P22" s="12">
        <f>IF(AND(L22="",N22=""),"",N(N22)-N(L22))</f>
        <v/>
      </c>
      <c r="Q22" s="5" t="n"/>
      <c r="R22" s="7" t="n"/>
      <c r="S22" s="5" t="n"/>
      <c r="T22" s="13">
        <f>IF(OR(P22="",R22=""),"",INT(ROUND(P22*R22,6)))</f>
        <v/>
      </c>
      <c r="U22" s="5" t="n"/>
      <c r="V22" s="5" t="n"/>
      <c r="W22" s="10" t="n"/>
      <c r="X22" s="5" t="n"/>
    </row>
    <row r="23" ht="22" customHeight="1">
      <c r="A23" s="10" t="n"/>
      <c r="B23" s="5" t="n"/>
      <c r="C23" s="10" t="n"/>
      <c r="D23" s="5" t="n"/>
      <c r="E23" s="5" t="n"/>
      <c r="F23" s="5" t="n"/>
      <c r="G23" s="10" t="n"/>
      <c r="H23" s="5" t="n"/>
      <c r="I23" s="5" t="n"/>
      <c r="J23" s="10" t="n"/>
      <c r="K23" s="5" t="n"/>
      <c r="L23" s="11" t="n"/>
      <c r="M23" s="5" t="n"/>
      <c r="N23" s="11" t="n"/>
      <c r="O23" s="5" t="n"/>
      <c r="P23" s="12">
        <f>IF(AND(L23="",N23=""),"",N(N23)-N(L23))</f>
        <v/>
      </c>
      <c r="Q23" s="5" t="n"/>
      <c r="R23" s="7" t="n"/>
      <c r="S23" s="5" t="n"/>
      <c r="T23" s="13">
        <f>IF(OR(P23="",R23=""),"",INT(ROUND(P23*R23,6)))</f>
        <v/>
      </c>
      <c r="U23" s="5" t="n"/>
      <c r="V23" s="5" t="n"/>
      <c r="W23" s="10" t="n"/>
      <c r="X23" s="5" t="n"/>
    </row>
    <row r="24" ht="22" customHeight="1">
      <c r="A24" s="10" t="n"/>
      <c r="B24" s="5" t="n"/>
      <c r="C24" s="10" t="n"/>
      <c r="D24" s="5" t="n"/>
      <c r="E24" s="5" t="n"/>
      <c r="F24" s="5" t="n"/>
      <c r="G24" s="10" t="n"/>
      <c r="H24" s="5" t="n"/>
      <c r="I24" s="5" t="n"/>
      <c r="J24" s="10" t="n"/>
      <c r="K24" s="5" t="n"/>
      <c r="L24" s="11" t="n"/>
      <c r="M24" s="5" t="n"/>
      <c r="N24" s="11" t="n"/>
      <c r="O24" s="5" t="n"/>
      <c r="P24" s="12">
        <f>IF(AND(L24="",N24=""),"",N(N24)-N(L24))</f>
        <v/>
      </c>
      <c r="Q24" s="5" t="n"/>
      <c r="R24" s="7" t="n"/>
      <c r="S24" s="5" t="n"/>
      <c r="T24" s="13">
        <f>IF(OR(P24="",R24=""),"",INT(ROUND(P24*R24,6)))</f>
        <v/>
      </c>
      <c r="U24" s="5" t="n"/>
      <c r="V24" s="5" t="n"/>
      <c r="W24" s="10" t="n"/>
      <c r="X24" s="5" t="n"/>
    </row>
    <row r="25" ht="22" customHeight="1">
      <c r="A25" s="10" t="n"/>
      <c r="B25" s="5" t="n"/>
      <c r="C25" s="10" t="n"/>
      <c r="D25" s="5" t="n"/>
      <c r="E25" s="5" t="n"/>
      <c r="F25" s="5" t="n"/>
      <c r="G25" s="10" t="n"/>
      <c r="H25" s="5" t="n"/>
      <c r="I25" s="5" t="n"/>
      <c r="J25" s="10" t="n"/>
      <c r="K25" s="5" t="n"/>
      <c r="L25" s="11" t="n"/>
      <c r="M25" s="5" t="n"/>
      <c r="N25" s="11" t="n"/>
      <c r="O25" s="5" t="n"/>
      <c r="P25" s="12">
        <f>IF(AND(L25="",N25=""),"",N(N25)-N(L25))</f>
        <v/>
      </c>
      <c r="Q25" s="5" t="n"/>
      <c r="R25" s="7" t="n"/>
      <c r="S25" s="5" t="n"/>
      <c r="T25" s="13">
        <f>IF(OR(P25="",R25=""),"",INT(ROUND(P25*R25,6)))</f>
        <v/>
      </c>
      <c r="U25" s="5" t="n"/>
      <c r="V25" s="5" t="n"/>
      <c r="W25" s="10" t="n"/>
      <c r="X25" s="5" t="n"/>
    </row>
    <row r="26" ht="22" customHeight="1">
      <c r="A26" s="10" t="n"/>
      <c r="B26" s="5" t="n"/>
      <c r="C26" s="10" t="n"/>
      <c r="D26" s="5" t="n"/>
      <c r="E26" s="5" t="n"/>
      <c r="F26" s="5" t="n"/>
      <c r="G26" s="10" t="n"/>
      <c r="H26" s="5" t="n"/>
      <c r="I26" s="5" t="n"/>
      <c r="J26" s="10" t="n"/>
      <c r="K26" s="5" t="n"/>
      <c r="L26" s="11" t="n"/>
      <c r="M26" s="5" t="n"/>
      <c r="N26" s="11" t="n"/>
      <c r="O26" s="5" t="n"/>
      <c r="P26" s="12">
        <f>IF(AND(L26="",N26=""),"",N(N26)-N(L26))</f>
        <v/>
      </c>
      <c r="Q26" s="5" t="n"/>
      <c r="R26" s="7" t="n"/>
      <c r="S26" s="5" t="n"/>
      <c r="T26" s="13">
        <f>IF(OR(P26="",R26=""),"",INT(ROUND(P26*R26,6)))</f>
        <v/>
      </c>
      <c r="U26" s="5" t="n"/>
      <c r="V26" s="5" t="n"/>
      <c r="W26" s="10" t="n"/>
      <c r="X26" s="5" t="n"/>
    </row>
    <row r="27" ht="6" customHeight="1"/>
    <row r="28" ht="34" customHeight="1">
      <c r="A28" s="14" t="inlineStr">
        <is>
          <t>※ 구분: 증가(계약단가) / 감소(계약단가) / 신규(설계변경 당시 단가 × 낙찰률) / 협의(발주기관 요구)</t>
        </is>
      </c>
    </row>
    <row r="29" ht="6" customHeight="1"/>
    <row r="30" ht="24" customHeight="1">
      <c r="A30" s="4" t="inlineStr">
        <is>
          <t xml:space="preserve">  증가 소계</t>
        </is>
      </c>
      <c r="B30" s="5" t="n"/>
      <c r="C30" s="5" t="n"/>
      <c r="D30" s="5" t="n"/>
      <c r="E30" s="5" t="n"/>
      <c r="F30" s="5" t="n"/>
      <c r="G30" s="13">
        <f>SUMIF(T13:T26,"&gt;0")</f>
        <v/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24" customHeight="1">
      <c r="A31" s="4" t="inlineStr">
        <is>
          <t xml:space="preserve">  감소 소계</t>
        </is>
      </c>
      <c r="B31" s="5" t="n"/>
      <c r="C31" s="5" t="n"/>
      <c r="D31" s="5" t="n"/>
      <c r="E31" s="5" t="n"/>
      <c r="F31" s="5" t="n"/>
      <c r="G31" s="13">
        <f>SUMIF(T13:T26,"&lt;0")</f>
        <v/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24" customHeight="1">
      <c r="A32" s="4" t="inlineStr">
        <is>
          <t xml:space="preserve">  증감 합계</t>
        </is>
      </c>
      <c r="B32" s="5" t="n"/>
      <c r="C32" s="5" t="n"/>
      <c r="D32" s="5" t="n"/>
      <c r="E32" s="5" t="n"/>
      <c r="F32" s="5" t="n"/>
      <c r="G32" s="13">
        <f>SUM(T13:T26)</f>
        <v/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24" customHeight="1">
      <c r="A33" s="4" t="inlineStr">
        <is>
          <t xml:space="preserve">  변경 후 계약금액</t>
        </is>
      </c>
      <c r="B33" s="5" t="n"/>
      <c r="C33" s="5" t="n"/>
      <c r="D33" s="5" t="n"/>
      <c r="E33" s="5" t="n"/>
      <c r="F33" s="5" t="n"/>
      <c r="G33" s="7" t="n">
        <v>1011891000</v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6" customHeight="1"/>
    <row r="35" ht="10" customHeight="1"/>
    <row r="36" ht="26" customHeight="1">
      <c r="A36" s="15" t="n">
        <v>46294</v>
      </c>
    </row>
    <row r="37" ht="24" customHeight="1">
      <c r="A37" s="16" t="inlineStr"/>
      <c r="K37" s="17" t="inlineStr">
        <is>
          <t>현장대리인</t>
        </is>
      </c>
      <c r="Q37" s="18" t="inlineStr">
        <is>
          <t>김철수</t>
        </is>
      </c>
      <c r="U37" s="19" t="inlineStr">
        <is>
          <t>(서명 또는 인)</t>
        </is>
      </c>
    </row>
    <row r="38" ht="24" customHeight="1">
      <c r="A38" s="16" t="inlineStr"/>
      <c r="K38" s="17" t="inlineStr">
        <is>
          <t>대표자</t>
        </is>
      </c>
      <c r="Q38" s="18" t="inlineStr">
        <is>
          <t>홍길동</t>
        </is>
      </c>
      <c r="U38" s="19" t="inlineStr">
        <is>
          <t>(서명 또는 인)</t>
        </is>
      </c>
    </row>
    <row r="39" ht="6" customHeight="1"/>
    <row r="41" ht="19.5" customHeight="1">
      <c r="A41" s="20" t="inlineStr">
        <is>
          <t>이 시트는 작성 예시입니다(가상의 현장 · 이름 · 금액). 실제로는 앞 시트에 적으세요.</t>
        </is>
      </c>
    </row>
  </sheetData>
  <mergeCells count="184">
    <mergeCell ref="L17:M17"/>
    <mergeCell ref="A15:B15"/>
    <mergeCell ref="N20:O20"/>
    <mergeCell ref="G13:I13"/>
    <mergeCell ref="P20:Q20"/>
    <mergeCell ref="W15:X15"/>
    <mergeCell ref="G10:X10"/>
    <mergeCell ref="J19:K19"/>
    <mergeCell ref="W24:X24"/>
    <mergeCell ref="L19:M19"/>
    <mergeCell ref="N22:O22"/>
    <mergeCell ref="U38:X38"/>
    <mergeCell ref="G15:I15"/>
    <mergeCell ref="P22:Q22"/>
    <mergeCell ref="C13:F13"/>
    <mergeCell ref="G24:I24"/>
    <mergeCell ref="A3:X3"/>
    <mergeCell ref="L12:M12"/>
    <mergeCell ref="W26:X26"/>
    <mergeCell ref="N12:O12"/>
    <mergeCell ref="A5:F5"/>
    <mergeCell ref="A32:F32"/>
    <mergeCell ref="T22:V22"/>
    <mergeCell ref="C15:F15"/>
    <mergeCell ref="G26:I26"/>
    <mergeCell ref="C24:F24"/>
    <mergeCell ref="L14:M14"/>
    <mergeCell ref="N14:O14"/>
    <mergeCell ref="R12:S12"/>
    <mergeCell ref="K38:P38"/>
    <mergeCell ref="G16:I16"/>
    <mergeCell ref="C26:F26"/>
    <mergeCell ref="A31:F31"/>
    <mergeCell ref="P13:Q13"/>
    <mergeCell ref="A17:B17"/>
    <mergeCell ref="G31:X31"/>
    <mergeCell ref="A22:B22"/>
    <mergeCell ref="T20:V20"/>
    <mergeCell ref="J21:K21"/>
    <mergeCell ref="T14:V14"/>
    <mergeCell ref="L21:M21"/>
    <mergeCell ref="N15:O15"/>
    <mergeCell ref="P15:Q15"/>
    <mergeCell ref="A19:B19"/>
    <mergeCell ref="N24:O24"/>
    <mergeCell ref="P24:Q24"/>
    <mergeCell ref="W14:X14"/>
    <mergeCell ref="R18:S18"/>
    <mergeCell ref="J23:K23"/>
    <mergeCell ref="A7:F7"/>
    <mergeCell ref="N26:O26"/>
    <mergeCell ref="P26:Q26"/>
    <mergeCell ref="C17:F17"/>
    <mergeCell ref="G7:X7"/>
    <mergeCell ref="L16:M16"/>
    <mergeCell ref="N16:O16"/>
    <mergeCell ref="N25:O25"/>
    <mergeCell ref="P25:Q25"/>
    <mergeCell ref="R19:S19"/>
    <mergeCell ref="T26:V26"/>
    <mergeCell ref="A38:J38"/>
    <mergeCell ref="C19:F19"/>
    <mergeCell ref="A33:F33"/>
    <mergeCell ref="R16:S16"/>
    <mergeCell ref="G14:I14"/>
    <mergeCell ref="R25:S25"/>
    <mergeCell ref="G33:X33"/>
    <mergeCell ref="T17:V17"/>
    <mergeCell ref="Q37:T37"/>
    <mergeCell ref="C14:F14"/>
    <mergeCell ref="A26:B26"/>
    <mergeCell ref="J20:K20"/>
    <mergeCell ref="W16:X16"/>
    <mergeCell ref="T19:V19"/>
    <mergeCell ref="L20:M20"/>
    <mergeCell ref="K37:P37"/>
    <mergeCell ref="A9:F9"/>
    <mergeCell ref="A28:X28"/>
    <mergeCell ref="G8:X8"/>
    <mergeCell ref="G9:X9"/>
    <mergeCell ref="J22:K22"/>
    <mergeCell ref="W18:X18"/>
    <mergeCell ref="N13:O13"/>
    <mergeCell ref="L22:M22"/>
    <mergeCell ref="A30:F30"/>
    <mergeCell ref="Q38:T38"/>
    <mergeCell ref="J12:K12"/>
    <mergeCell ref="W17:X17"/>
    <mergeCell ref="P14:Q14"/>
    <mergeCell ref="G17:I17"/>
    <mergeCell ref="R14:S14"/>
    <mergeCell ref="W19:X19"/>
    <mergeCell ref="R23:S23"/>
    <mergeCell ref="G19:I19"/>
    <mergeCell ref="W25:X25"/>
    <mergeCell ref="A41:X41"/>
    <mergeCell ref="T12:V12"/>
    <mergeCell ref="T21:V21"/>
    <mergeCell ref="C18:F18"/>
    <mergeCell ref="W20:X20"/>
    <mergeCell ref="J24:K24"/>
    <mergeCell ref="T23:V23"/>
    <mergeCell ref="L24:M24"/>
    <mergeCell ref="A8:F8"/>
    <mergeCell ref="L18:M18"/>
    <mergeCell ref="N18:O18"/>
    <mergeCell ref="T13:V13"/>
    <mergeCell ref="G20:I20"/>
    <mergeCell ref="W22:X22"/>
    <mergeCell ref="T16:V16"/>
    <mergeCell ref="J26:K26"/>
    <mergeCell ref="A12:B12"/>
    <mergeCell ref="N17:O17"/>
    <mergeCell ref="L26:M26"/>
    <mergeCell ref="P17:Q17"/>
    <mergeCell ref="A10:F10"/>
    <mergeCell ref="A21:B21"/>
    <mergeCell ref="W12:X12"/>
    <mergeCell ref="R20:S20"/>
    <mergeCell ref="G22:I22"/>
    <mergeCell ref="J16:K16"/>
    <mergeCell ref="C20:F20"/>
    <mergeCell ref="W21:X21"/>
    <mergeCell ref="J25:K25"/>
    <mergeCell ref="T18:V18"/>
    <mergeCell ref="L25:M25"/>
    <mergeCell ref="A14:B14"/>
    <mergeCell ref="N19:O19"/>
    <mergeCell ref="G12:I12"/>
    <mergeCell ref="R17:S17"/>
    <mergeCell ref="P19:Q19"/>
    <mergeCell ref="A23:B23"/>
    <mergeCell ref="G21:I21"/>
    <mergeCell ref="R22:S22"/>
    <mergeCell ref="C22:F22"/>
    <mergeCell ref="P12:Q12"/>
    <mergeCell ref="U37:X37"/>
    <mergeCell ref="C12:F12"/>
    <mergeCell ref="G23:I23"/>
    <mergeCell ref="C21:F21"/>
    <mergeCell ref="T25:V25"/>
    <mergeCell ref="A24:B24"/>
    <mergeCell ref="C23:F23"/>
    <mergeCell ref="J14:K14"/>
    <mergeCell ref="G18:I18"/>
    <mergeCell ref="G6:X6"/>
    <mergeCell ref="R13:S13"/>
    <mergeCell ref="J13:K13"/>
    <mergeCell ref="L13:M13"/>
    <mergeCell ref="A16:B16"/>
    <mergeCell ref="N21:O21"/>
    <mergeCell ref="G30:X30"/>
    <mergeCell ref="P21:Q21"/>
    <mergeCell ref="A25:B25"/>
    <mergeCell ref="R15:S15"/>
    <mergeCell ref="J15:K15"/>
    <mergeCell ref="R24:S24"/>
    <mergeCell ref="G5:X5"/>
    <mergeCell ref="L15:M15"/>
    <mergeCell ref="L23:M23"/>
    <mergeCell ref="A18:B18"/>
    <mergeCell ref="N23:O23"/>
    <mergeCell ref="R21:S21"/>
    <mergeCell ref="P23:Q23"/>
    <mergeCell ref="G25:I25"/>
    <mergeCell ref="R26:S26"/>
    <mergeCell ref="P16:Q16"/>
    <mergeCell ref="G32:X32"/>
    <mergeCell ref="C16:F16"/>
    <mergeCell ref="C25:F25"/>
    <mergeCell ref="T15:V15"/>
    <mergeCell ref="T24:V24"/>
    <mergeCell ref="P18:Q18"/>
    <mergeCell ref="A20:B20"/>
    <mergeCell ref="A37:J37"/>
    <mergeCell ref="A1:L1"/>
    <mergeCell ref="J18:K18"/>
    <mergeCell ref="A6:F6"/>
    <mergeCell ref="A13:B13"/>
    <mergeCell ref="W23:X23"/>
    <mergeCell ref="M1:X1"/>
    <mergeCell ref="A36:X36"/>
    <mergeCell ref="W13:X13"/>
    <mergeCell ref="J17:K17"/>
  </mergeCells>
  <conditionalFormatting sqref="L13:L26">
    <cfRule type="expression" priority="1" dxfId="0">
      <formula>AND(ISNUMBER(L13),MOD(L13,1)=0)</formula>
    </cfRule>
  </conditionalFormatting>
  <conditionalFormatting sqref="N13:N26">
    <cfRule type="expression" priority="2" dxfId="0">
      <formula>AND(ISNUMBER(N13),MOD(N13,1)=0)</formula>
    </cfRule>
  </conditionalFormatting>
  <conditionalFormatting sqref="P13:P26">
    <cfRule type="expression" priority="3" dxfId="1">
      <formula>AND(ISNUMBER(P13),MOD(P13,1)=0)</formula>
    </cfRule>
  </conditionalFormatting>
  <dataValidations count="1">
    <dataValidation sqref="A13 A14 A15 A16 A17 A18 A19 A20 A21 A22 A23 A24 A25 A26" showDropDown="0" showInputMessage="0" showErrorMessage="0" allowBlank="1" error="목록에서 고르세요" type="list">
      <formula1>"증가,감소,신규,협의"</formula1>
    </dataValidation>
  </dataValidation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설계변경 산출내역서</dc:title>
  <dcterms:created xmlns:dcterms="http://purl.org/dc/terms/" xmlns:xsi="http://www.w3.org/2001/XMLSchema-instance" xsi:type="dcterms:W3CDTF">2026-10-17T01:00:18Z</dcterms:created>
  <dcterms:modified xmlns:dcterms="http://purl.org/dc/terms/" xmlns:xsi="http://www.w3.org/2001/XMLSchema-instance" xsi:type="dcterms:W3CDTF">2026-10-17T01:00:18Z</dcterms:modified>
</cp:coreProperties>
</file>