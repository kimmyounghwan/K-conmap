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성대비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'기성대비표'!$A$1:$I$31</definedName>
    <definedName name="_xlnm.Print_Area" localSheetId="1">'작성 예시'!$A$1:$I$31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. m. d."/>
    <numFmt numFmtId="165" formatCode="#,##0;[Red]-#,##0;&quot;&quot;"/>
    <numFmt numFmtId="166" formatCode="0.00%;[Red]-0.00%;&quot;&quot;"/>
    <numFmt numFmtId="167" formatCode="yyyy&quot;년&quot; m&quot;월&quot; d&quot;일&quot;"/>
    <numFmt numFmtId="168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shrinkToFit="1"/>
    </xf>
    <xf numFmtId="165" fontId="5" fillId="0" borderId="1" applyAlignment="1" pivotButton="0" quotePrefix="0" xfId="0">
      <alignment horizontal="right" vertical="center" shrinkToFi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right" vertical="center" shrinkToFit="1"/>
    </xf>
    <xf numFmtId="166" fontId="6" fillId="4" borderId="1" applyAlignment="1" pivotButton="0" quotePrefix="0" xfId="0">
      <alignment horizontal="right" vertical="center" shrinkToFit="1"/>
    </xf>
    <xf numFmtId="0" fontId="7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right" vertical="center" shrinkToFit="1"/>
    </xf>
    <xf numFmtId="166" fontId="4" fillId="4" borderId="1" applyAlignment="1" pivotButton="0" quotePrefix="0" xfId="0">
      <alignment horizontal="right" vertical="center" shrinkToFit="1"/>
    </xf>
    <xf numFmtId="0" fontId="6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7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distributed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9.5" customWidth="1" min="7" max="7"/>
    <col width="15" customWidth="1" min="8" max="8"/>
    <col width="13" customWidth="1" min="9" max="9"/>
  </cols>
  <sheetData>
    <row r="1" ht="20" customHeight="1">
      <c r="A1" s="1" t="inlineStr">
        <is>
          <t xml:space="preserve">  K-건설맵  |  k-conmap.com  건설 서식</t>
        </is>
      </c>
      <c r="F1" s="2" t="inlineStr">
        <is>
          <t xml:space="preserve">← 이 1행을 지우고 쓰셔도 됩니다  </t>
        </is>
      </c>
    </row>
    <row r="2" ht="4" customHeight="1"/>
    <row r="3" ht="36" customHeight="1">
      <c r="A3" s="3" t="inlineStr">
        <is>
          <t>기 성 대 비 표</t>
        </is>
      </c>
    </row>
    <row r="4" ht="4" customHeight="1"/>
    <row r="5" ht="22" customHeight="1">
      <c r="A5" s="4" t="inlineStr">
        <is>
          <t>공 사 명</t>
        </is>
      </c>
      <c r="B5" s="5" t="n"/>
      <c r="C5" s="6" t="n"/>
      <c r="D5" s="5" t="n"/>
      <c r="E5" s="5" t="n"/>
      <c r="F5" s="5" t="n"/>
      <c r="G5" s="5" t="n"/>
      <c r="H5" s="5" t="n"/>
      <c r="I5" s="5" t="n"/>
    </row>
    <row r="6" ht="22" customHeight="1">
      <c r="A6" s="4" t="inlineStr">
        <is>
          <t>발 주 기 관</t>
        </is>
      </c>
      <c r="B6" s="5" t="n"/>
      <c r="C6" s="6" t="n"/>
      <c r="D6" s="5" t="n"/>
      <c r="E6" s="5" t="n"/>
      <c r="F6" s="4" t="inlineStr">
        <is>
          <t>작 성 일 자</t>
        </is>
      </c>
      <c r="G6" s="5" t="n"/>
      <c r="H6" s="7" t="n"/>
      <c r="I6" s="5" t="n"/>
    </row>
    <row r="7" ht="22" customHeight="1">
      <c r="A7" s="4" t="inlineStr">
        <is>
          <t>계 약 금 액</t>
        </is>
      </c>
      <c r="B7" s="5" t="n"/>
      <c r="C7" s="8" t="n"/>
      <c r="D7" s="5" t="n"/>
      <c r="E7" s="5" t="n"/>
      <c r="F7" s="4" t="inlineStr">
        <is>
          <t>기 성 회 차</t>
        </is>
      </c>
      <c r="G7" s="5" t="n"/>
      <c r="H7" s="9" t="n"/>
      <c r="I7" s="5" t="n"/>
    </row>
    <row r="8" ht="22" customHeight="1">
      <c r="A8" s="4" t="inlineStr">
        <is>
          <t>공        기</t>
        </is>
      </c>
      <c r="B8" s="5" t="n"/>
      <c r="C8" s="9" t="n"/>
      <c r="D8" s="5" t="n"/>
      <c r="E8" s="5" t="n"/>
      <c r="F8" s="4" t="inlineStr">
        <is>
          <t>기성 기준일</t>
        </is>
      </c>
      <c r="G8" s="5" t="n"/>
      <c r="H8" s="7" t="n"/>
      <c r="I8" s="5" t="n"/>
    </row>
    <row r="9" ht="8" customHeight="1"/>
    <row r="10" ht="24" customHeight="1">
      <c r="A10" s="10" t="inlineStr">
        <is>
          <t>번호</t>
        </is>
      </c>
      <c r="B10" s="10" t="inlineStr">
        <is>
          <t>공    종</t>
        </is>
      </c>
      <c r="C10" s="10" t="inlineStr">
        <is>
          <t>계약금액</t>
        </is>
      </c>
      <c r="D10" s="10" t="inlineStr">
        <is>
          <t>전회까지 누계</t>
        </is>
      </c>
      <c r="E10" s="10" t="inlineStr">
        <is>
          <t>금회 기성</t>
        </is>
      </c>
      <c r="F10" s="10" t="inlineStr">
        <is>
          <t>누계 기성</t>
        </is>
      </c>
      <c r="G10" s="10" t="inlineStr">
        <is>
          <t>기성률</t>
        </is>
      </c>
      <c r="H10" s="10" t="inlineStr">
        <is>
          <t>잔여금액</t>
        </is>
      </c>
      <c r="I10" s="10" t="inlineStr">
        <is>
          <t>비  고</t>
        </is>
      </c>
    </row>
    <row r="11" ht="20" customHeight="1">
      <c r="A11" s="11">
        <f>IF(B11="","",COUNTA(B$11:B11))</f>
        <v/>
      </c>
      <c r="B11" s="6" t="n"/>
      <c r="C11" s="8" t="n"/>
      <c r="D11" s="8" t="n"/>
      <c r="E11" s="8" t="n"/>
      <c r="F11" s="12">
        <f>D11+E11</f>
        <v/>
      </c>
      <c r="G11" s="13">
        <f>IF(N(C11)=0,"",F11/C11)</f>
        <v/>
      </c>
      <c r="H11" s="12">
        <f>IF(C11="","",C11-F11)</f>
        <v/>
      </c>
      <c r="I11" s="14" t="n"/>
    </row>
    <row r="12" ht="20" customHeight="1">
      <c r="A12" s="11">
        <f>IF(B12="","",COUNTA(B$11:B12))</f>
        <v/>
      </c>
      <c r="B12" s="6" t="n"/>
      <c r="C12" s="8" t="n"/>
      <c r="D12" s="8" t="n"/>
      <c r="E12" s="8" t="n"/>
      <c r="F12" s="12">
        <f>D12+E12</f>
        <v/>
      </c>
      <c r="G12" s="13">
        <f>IF(N(C12)=0,"",F12/C12)</f>
        <v/>
      </c>
      <c r="H12" s="12">
        <f>IF(C12="","",C12-F12)</f>
        <v/>
      </c>
      <c r="I12" s="14" t="n"/>
    </row>
    <row r="13" ht="20" customHeight="1">
      <c r="A13" s="11">
        <f>IF(B13="","",COUNTA(B$11:B13))</f>
        <v/>
      </c>
      <c r="B13" s="6" t="n"/>
      <c r="C13" s="8" t="n"/>
      <c r="D13" s="8" t="n"/>
      <c r="E13" s="8" t="n"/>
      <c r="F13" s="12">
        <f>D13+E13</f>
        <v/>
      </c>
      <c r="G13" s="13">
        <f>IF(N(C13)=0,"",F13/C13)</f>
        <v/>
      </c>
      <c r="H13" s="12">
        <f>IF(C13="","",C13-F13)</f>
        <v/>
      </c>
      <c r="I13" s="14" t="n"/>
    </row>
    <row r="14" ht="20" customHeight="1">
      <c r="A14" s="11">
        <f>IF(B14="","",COUNTA(B$11:B14))</f>
        <v/>
      </c>
      <c r="B14" s="6" t="n"/>
      <c r="C14" s="8" t="n"/>
      <c r="D14" s="8" t="n"/>
      <c r="E14" s="8" t="n"/>
      <c r="F14" s="12">
        <f>D14+E14</f>
        <v/>
      </c>
      <c r="G14" s="13">
        <f>IF(N(C14)=0,"",F14/C14)</f>
        <v/>
      </c>
      <c r="H14" s="12">
        <f>IF(C14="","",C14-F14)</f>
        <v/>
      </c>
      <c r="I14" s="14" t="n"/>
    </row>
    <row r="15" ht="20" customHeight="1">
      <c r="A15" s="11">
        <f>IF(B15="","",COUNTA(B$11:B15))</f>
        <v/>
      </c>
      <c r="B15" s="6" t="n"/>
      <c r="C15" s="8" t="n"/>
      <c r="D15" s="8" t="n"/>
      <c r="E15" s="8" t="n"/>
      <c r="F15" s="12">
        <f>D15+E15</f>
        <v/>
      </c>
      <c r="G15" s="13">
        <f>IF(N(C15)=0,"",F15/C15)</f>
        <v/>
      </c>
      <c r="H15" s="12">
        <f>IF(C15="","",C15-F15)</f>
        <v/>
      </c>
      <c r="I15" s="14" t="n"/>
    </row>
    <row r="16" ht="20" customHeight="1">
      <c r="A16" s="11">
        <f>IF(B16="","",COUNTA(B$11:B16))</f>
        <v/>
      </c>
      <c r="B16" s="6" t="n"/>
      <c r="C16" s="8" t="n"/>
      <c r="D16" s="8" t="n"/>
      <c r="E16" s="8" t="n"/>
      <c r="F16" s="12">
        <f>D16+E16</f>
        <v/>
      </c>
      <c r="G16" s="13">
        <f>IF(N(C16)=0,"",F16/C16)</f>
        <v/>
      </c>
      <c r="H16" s="12">
        <f>IF(C16="","",C16-F16)</f>
        <v/>
      </c>
      <c r="I16" s="14" t="n"/>
    </row>
    <row r="17" ht="20" customHeight="1">
      <c r="A17" s="11">
        <f>IF(B17="","",COUNTA(B$11:B17))</f>
        <v/>
      </c>
      <c r="B17" s="6" t="n"/>
      <c r="C17" s="8" t="n"/>
      <c r="D17" s="8" t="n"/>
      <c r="E17" s="8" t="n"/>
      <c r="F17" s="12">
        <f>D17+E17</f>
        <v/>
      </c>
      <c r="G17" s="13">
        <f>IF(N(C17)=0,"",F17/C17)</f>
        <v/>
      </c>
      <c r="H17" s="12">
        <f>IF(C17="","",C17-F17)</f>
        <v/>
      </c>
      <c r="I17" s="14" t="n"/>
    </row>
    <row r="18" ht="20" customHeight="1">
      <c r="A18" s="11">
        <f>IF(B18="","",COUNTA(B$11:B18))</f>
        <v/>
      </c>
      <c r="B18" s="6" t="n"/>
      <c r="C18" s="8" t="n"/>
      <c r="D18" s="8" t="n"/>
      <c r="E18" s="8" t="n"/>
      <c r="F18" s="12">
        <f>D18+E18</f>
        <v/>
      </c>
      <c r="G18" s="13">
        <f>IF(N(C18)=0,"",F18/C18)</f>
        <v/>
      </c>
      <c r="H18" s="12">
        <f>IF(C18="","",C18-F18)</f>
        <v/>
      </c>
      <c r="I18" s="14" t="n"/>
    </row>
    <row r="19" ht="20" customHeight="1">
      <c r="A19" s="11">
        <f>IF(B19="","",COUNTA(B$11:B19))</f>
        <v/>
      </c>
      <c r="B19" s="6" t="n"/>
      <c r="C19" s="8" t="n"/>
      <c r="D19" s="8" t="n"/>
      <c r="E19" s="8" t="n"/>
      <c r="F19" s="12">
        <f>D19+E19</f>
        <v/>
      </c>
      <c r="G19" s="13">
        <f>IF(N(C19)=0,"",F19/C19)</f>
        <v/>
      </c>
      <c r="H19" s="12">
        <f>IF(C19="","",C19-F19)</f>
        <v/>
      </c>
      <c r="I19" s="14" t="n"/>
    </row>
    <row r="20" ht="20" customHeight="1">
      <c r="A20" s="11">
        <f>IF(B20="","",COUNTA(B$11:B20))</f>
        <v/>
      </c>
      <c r="B20" s="6" t="n"/>
      <c r="C20" s="8" t="n"/>
      <c r="D20" s="8" t="n"/>
      <c r="E20" s="8" t="n"/>
      <c r="F20" s="12">
        <f>D20+E20</f>
        <v/>
      </c>
      <c r="G20" s="13">
        <f>IF(N(C20)=0,"",F20/C20)</f>
        <v/>
      </c>
      <c r="H20" s="12">
        <f>IF(C20="","",C20-F20)</f>
        <v/>
      </c>
      <c r="I20" s="14" t="n"/>
    </row>
    <row r="21" ht="20" customHeight="1">
      <c r="A21" s="11">
        <f>IF(B21="","",COUNTA(B$11:B21))</f>
        <v/>
      </c>
      <c r="B21" s="6" t="n"/>
      <c r="C21" s="8" t="n"/>
      <c r="D21" s="8" t="n"/>
      <c r="E21" s="8" t="n"/>
      <c r="F21" s="12">
        <f>D21+E21</f>
        <v/>
      </c>
      <c r="G21" s="13">
        <f>IF(N(C21)=0,"",F21/C21)</f>
        <v/>
      </c>
      <c r="H21" s="12">
        <f>IF(C21="","",C21-F21)</f>
        <v/>
      </c>
      <c r="I21" s="14" t="n"/>
    </row>
    <row r="22" ht="20" customHeight="1">
      <c r="A22" s="11">
        <f>IF(B22="","",COUNTA(B$11:B22))</f>
        <v/>
      </c>
      <c r="B22" s="6" t="n"/>
      <c r="C22" s="8" t="n"/>
      <c r="D22" s="8" t="n"/>
      <c r="E22" s="8" t="n"/>
      <c r="F22" s="12">
        <f>D22+E22</f>
        <v/>
      </c>
      <c r="G22" s="13">
        <f>IF(N(C22)=0,"",F22/C22)</f>
        <v/>
      </c>
      <c r="H22" s="12">
        <f>IF(C22="","",C22-F22)</f>
        <v/>
      </c>
      <c r="I22" s="14" t="n"/>
    </row>
    <row r="23" ht="20" customHeight="1">
      <c r="A23" s="11">
        <f>IF(B23="","",COUNTA(B$11:B23))</f>
        <v/>
      </c>
      <c r="B23" s="6" t="n"/>
      <c r="C23" s="8" t="n"/>
      <c r="D23" s="8" t="n"/>
      <c r="E23" s="8" t="n"/>
      <c r="F23" s="12">
        <f>D23+E23</f>
        <v/>
      </c>
      <c r="G23" s="13">
        <f>IF(N(C23)=0,"",F23/C23)</f>
        <v/>
      </c>
      <c r="H23" s="12">
        <f>IF(C23="","",C23-F23)</f>
        <v/>
      </c>
      <c r="I23" s="14" t="n"/>
    </row>
    <row r="24" ht="20" customHeight="1">
      <c r="A24" s="11">
        <f>IF(B24="","",COUNTA(B$11:B24))</f>
        <v/>
      </c>
      <c r="B24" s="6" t="n"/>
      <c r="C24" s="8" t="n"/>
      <c r="D24" s="8" t="n"/>
      <c r="E24" s="8" t="n"/>
      <c r="F24" s="12">
        <f>D24+E24</f>
        <v/>
      </c>
      <c r="G24" s="13">
        <f>IF(N(C24)=0,"",F24/C24)</f>
        <v/>
      </c>
      <c r="H24" s="12">
        <f>IF(C24="","",C24-F24)</f>
        <v/>
      </c>
      <c r="I24" s="14" t="n"/>
    </row>
    <row r="25" ht="20" customHeight="1">
      <c r="A25" s="11">
        <f>IF(B25="","",COUNTA(B$11:B25))</f>
        <v/>
      </c>
      <c r="B25" s="6" t="n"/>
      <c r="C25" s="8" t="n"/>
      <c r="D25" s="8" t="n"/>
      <c r="E25" s="8" t="n"/>
      <c r="F25" s="12">
        <f>D25+E25</f>
        <v/>
      </c>
      <c r="G25" s="13">
        <f>IF(N(C25)=0,"",F25/C25)</f>
        <v/>
      </c>
      <c r="H25" s="12">
        <f>IF(C25="","",C25-F25)</f>
        <v/>
      </c>
      <c r="I25" s="14" t="n"/>
    </row>
    <row r="26" ht="20" customHeight="1">
      <c r="A26" s="11">
        <f>IF(B26="","",COUNTA(B$11:B26))</f>
        <v/>
      </c>
      <c r="B26" s="6" t="n"/>
      <c r="C26" s="8" t="n"/>
      <c r="D26" s="8" t="n"/>
      <c r="E26" s="8" t="n"/>
      <c r="F26" s="12">
        <f>D26+E26</f>
        <v/>
      </c>
      <c r="G26" s="13">
        <f>IF(N(C26)=0,"",F26/C26)</f>
        <v/>
      </c>
      <c r="H26" s="12">
        <f>IF(C26="","",C26-F26)</f>
        <v/>
      </c>
      <c r="I26" s="14" t="n"/>
    </row>
    <row r="27" ht="22" customHeight="1">
      <c r="A27" s="15" t="inlineStr">
        <is>
          <t>합        계</t>
        </is>
      </c>
      <c r="B27" s="5" t="n"/>
      <c r="C27" s="16">
        <f>SUM(C11:C26)</f>
        <v/>
      </c>
      <c r="D27" s="16">
        <f>SUM(D11:D26)</f>
        <v/>
      </c>
      <c r="E27" s="16">
        <f>SUM(E11:E26)</f>
        <v/>
      </c>
      <c r="F27" s="16">
        <f>SUM(F11:F26)</f>
        <v/>
      </c>
      <c r="G27" s="17">
        <f>IF(N(C27)=0,"",F27/C27)</f>
        <v/>
      </c>
      <c r="H27" s="16">
        <f>IF(N(C27)=0,"",C27-F27)</f>
        <v/>
      </c>
      <c r="I27" s="18" t="inlineStr"/>
    </row>
    <row r="28" ht="20" customHeight="1">
      <c r="A28" s="15" t="inlineStr">
        <is>
          <t>금회 기성률</t>
        </is>
      </c>
      <c r="B28" s="5" t="n"/>
      <c r="C28" s="13">
        <f>IF(N(C27)=0,"",E27/C27)</f>
        <v/>
      </c>
      <c r="D28" s="19">
        <f>IF(N(C7)=0,"",IF(C7=C27,"※ 공종 합계가 계약금액과 같습니다.","⚠ 공종 합계가 계약금액과 "&amp;TEXT(ABS(C7-C27),"#,##0")&amp;"원 다릅니다 — 공종 금액을 확인하세요."))</f>
        <v/>
      </c>
    </row>
    <row r="29" ht="26" customHeight="1">
      <c r="A29" s="20" t="inlineStr">
        <is>
          <t xml:space="preserve">          년        월        일</t>
        </is>
      </c>
    </row>
    <row r="30" ht="24" customHeight="1">
      <c r="A30" s="21" t="inlineStr"/>
      <c r="E30" s="22" t="inlineStr">
        <is>
          <t>현장대리인</t>
        </is>
      </c>
      <c r="G30" s="23" t="n"/>
      <c r="I30" s="24" t="inlineStr">
        <is>
          <t>(인)</t>
        </is>
      </c>
    </row>
    <row r="31" ht="24" customHeight="1">
      <c r="A31" s="21" t="inlineStr"/>
      <c r="E31" s="22" t="inlineStr">
        <is>
          <t>감독(감리)</t>
        </is>
      </c>
      <c r="G31" s="23" t="n"/>
      <c r="I31" s="24" t="inlineStr">
        <is>
          <t>(인)</t>
        </is>
      </c>
    </row>
    <row r="33" ht="19.5" customHeight="1">
      <c r="A33" s="25" t="inlineStr">
        <is>
          <t>하늘색 칸 = 자동 계산 칸(누계·기성률·잔여·합계). 공종·계약금액·전회까지 누계·금회 기성만 적으세요.</t>
        </is>
      </c>
    </row>
    <row r="34" ht="19.5" customHeight="1">
      <c r="A34" s="25" t="inlineStr">
        <is>
          <t>다음 회차: 이 시트를 복사한 뒤 «전회까지 누계» 칸에 이번 «누계 기성» 값을 옮겨 적고 «금회 기성» 을 새로 적습니다.</t>
        </is>
      </c>
    </row>
    <row r="35" ht="19.5" customHeight="1">
      <c r="A35" s="25" t="inlineStr">
        <is>
          <t>잔여금액이 빨간 음수로 나오면 계약금액보다 기성이 많은 것 — 설계변경을 먼저 해야 합니다.</t>
        </is>
      </c>
    </row>
    <row r="36" ht="19.5" customHeight="1">
      <c r="A36" s="25" t="inlineStr">
        <is>
          <t>발주기관이 정한 서식이 있으면 그 서식을 쓰세요.</t>
        </is>
      </c>
    </row>
  </sheetData>
  <mergeCells count="31">
    <mergeCell ref="A1:E1"/>
    <mergeCell ref="F6:G6"/>
    <mergeCell ref="A3:I3"/>
    <mergeCell ref="A6:B6"/>
    <mergeCell ref="F7:G7"/>
    <mergeCell ref="A31:D31"/>
    <mergeCell ref="F1:I1"/>
    <mergeCell ref="H6:I6"/>
    <mergeCell ref="A7:B7"/>
    <mergeCell ref="D28:I28"/>
    <mergeCell ref="A33:I33"/>
    <mergeCell ref="A30:D30"/>
    <mergeCell ref="C8:E8"/>
    <mergeCell ref="C7:E7"/>
    <mergeCell ref="A27:B27"/>
    <mergeCell ref="A35:I35"/>
    <mergeCell ref="E31:F31"/>
    <mergeCell ref="C5:I5"/>
    <mergeCell ref="F8:G8"/>
    <mergeCell ref="A29:I29"/>
    <mergeCell ref="E30:F30"/>
    <mergeCell ref="G30:H30"/>
    <mergeCell ref="H7:I7"/>
    <mergeCell ref="A5:B5"/>
    <mergeCell ref="A34:I34"/>
    <mergeCell ref="A8:B8"/>
    <mergeCell ref="C6:E6"/>
    <mergeCell ref="A36:I36"/>
    <mergeCell ref="A28:B28"/>
    <mergeCell ref="G31:H31"/>
    <mergeCell ref="H8:I8"/>
  </mergeCells>
  <printOptions horizontalCentered="1"/>
  <pageMargins left="0.45" right="0.35" top="0.5" bottom="0.5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I33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9.5" customWidth="1" min="7" max="7"/>
    <col width="15" customWidth="1" min="8" max="8"/>
    <col width="13" customWidth="1" min="9" max="9"/>
  </cols>
  <sheetData>
    <row r="1" ht="20" customHeight="1">
      <c r="A1" s="1" t="inlineStr">
        <is>
          <t xml:space="preserve">  K-건설맵  |  k-conmap.com  건설 서식</t>
        </is>
      </c>
      <c r="F1" s="26" t="inlineStr">
        <is>
          <t xml:space="preserve">작성 예시 (가상의 현장)  </t>
        </is>
      </c>
    </row>
    <row r="2" ht="4" customHeight="1"/>
    <row r="3" ht="36" customHeight="1">
      <c r="A3" s="3" t="inlineStr">
        <is>
          <t>기 성 대 비 표</t>
        </is>
      </c>
    </row>
    <row r="4" ht="4" customHeight="1"/>
    <row r="5" ht="22" customHeight="1">
      <c r="A5" s="4" t="inlineStr">
        <is>
          <t>공 사 명</t>
        </is>
      </c>
      <c r="B5" s="5" t="n"/>
      <c r="C5" s="6" t="inlineStr">
        <is>
          <t>가나지구 배수로 정비공사</t>
        </is>
      </c>
      <c r="D5" s="5" t="n"/>
      <c r="E5" s="5" t="n"/>
      <c r="F5" s="5" t="n"/>
      <c r="G5" s="5" t="n"/>
      <c r="H5" s="5" t="n"/>
      <c r="I5" s="5" t="n"/>
    </row>
    <row r="6" ht="22" customHeight="1">
      <c r="A6" s="4" t="inlineStr">
        <is>
          <t>발 주 기 관</t>
        </is>
      </c>
      <c r="B6" s="5" t="n"/>
      <c r="C6" s="6" t="inlineStr">
        <is>
          <t>가나시 건설과</t>
        </is>
      </c>
      <c r="D6" s="5" t="n"/>
      <c r="E6" s="5" t="n"/>
      <c r="F6" s="4" t="inlineStr">
        <is>
          <t>작 성 일 자</t>
        </is>
      </c>
      <c r="G6" s="5" t="n"/>
      <c r="H6" s="7" t="n">
        <v>46294</v>
      </c>
      <c r="I6" s="5" t="n"/>
    </row>
    <row r="7" ht="22" customHeight="1">
      <c r="A7" s="4" t="inlineStr">
        <is>
          <t>계 약 금 액</t>
        </is>
      </c>
      <c r="B7" s="5" t="n"/>
      <c r="C7" s="8" t="n">
        <v>963241000</v>
      </c>
      <c r="D7" s="5" t="n"/>
      <c r="E7" s="5" t="n"/>
      <c r="F7" s="4" t="inlineStr">
        <is>
          <t>기 성 회 차</t>
        </is>
      </c>
      <c r="G7" s="5" t="n"/>
      <c r="H7" s="9" t="inlineStr">
        <is>
          <t>제3회</t>
        </is>
      </c>
      <c r="I7" s="5" t="n"/>
    </row>
    <row r="8" ht="22" customHeight="1">
      <c r="A8" s="4" t="inlineStr">
        <is>
          <t>공        기</t>
        </is>
      </c>
      <c r="B8" s="5" t="n"/>
      <c r="C8" s="9" t="inlineStr">
        <is>
          <t>2026. 3. 9. ~ 2026. 12. 31.</t>
        </is>
      </c>
      <c r="D8" s="5" t="n"/>
      <c r="E8" s="5" t="n"/>
      <c r="F8" s="4" t="inlineStr">
        <is>
          <t>기성 기준일</t>
        </is>
      </c>
      <c r="G8" s="5" t="n"/>
      <c r="H8" s="7" t="n">
        <v>46290</v>
      </c>
      <c r="I8" s="5" t="n"/>
    </row>
    <row r="9" ht="8" customHeight="1"/>
    <row r="10" ht="24" customHeight="1">
      <c r="A10" s="10" t="inlineStr">
        <is>
          <t>번호</t>
        </is>
      </c>
      <c r="B10" s="10" t="inlineStr">
        <is>
          <t>공    종</t>
        </is>
      </c>
      <c r="C10" s="10" t="inlineStr">
        <is>
          <t>계약금액</t>
        </is>
      </c>
      <c r="D10" s="10" t="inlineStr">
        <is>
          <t>전회까지 누계</t>
        </is>
      </c>
      <c r="E10" s="10" t="inlineStr">
        <is>
          <t>금회 기성</t>
        </is>
      </c>
      <c r="F10" s="10" t="inlineStr">
        <is>
          <t>누계 기성</t>
        </is>
      </c>
      <c r="G10" s="10" t="inlineStr">
        <is>
          <t>기성률</t>
        </is>
      </c>
      <c r="H10" s="10" t="inlineStr">
        <is>
          <t>잔여금액</t>
        </is>
      </c>
      <c r="I10" s="10" t="inlineStr">
        <is>
          <t>비  고</t>
        </is>
      </c>
    </row>
    <row r="11" ht="20" customHeight="1">
      <c r="A11" s="11">
        <f>IF(B11="","",COUNTA(B$11:B11))</f>
        <v/>
      </c>
      <c r="B11" s="6" t="inlineStr">
        <is>
          <t>토공</t>
        </is>
      </c>
      <c r="C11" s="8" t="n">
        <v>118450000</v>
      </c>
      <c r="D11" s="8" t="n">
        <v>96200000</v>
      </c>
      <c r="E11" s="8" t="n">
        <v>22250000</v>
      </c>
      <c r="F11" s="12">
        <f>D11+E11</f>
        <v/>
      </c>
      <c r="G11" s="13">
        <f>IF(N(C11)=0,"",F11/C11)</f>
        <v/>
      </c>
      <c r="H11" s="12">
        <f>IF(C11="","",C11-F11)</f>
        <v/>
      </c>
      <c r="I11" s="14" t="n"/>
    </row>
    <row r="12" ht="20" customHeight="1">
      <c r="A12" s="11">
        <f>IF(B12="","",COUNTA(B$11:B12))</f>
        <v/>
      </c>
      <c r="B12" s="6" t="inlineStr">
        <is>
          <t>배수공</t>
        </is>
      </c>
      <c r="C12" s="8" t="n">
        <v>356820000</v>
      </c>
      <c r="D12" s="8" t="n">
        <v>142700000</v>
      </c>
      <c r="E12" s="8" t="n">
        <v>98450000</v>
      </c>
      <c r="F12" s="12">
        <f>D12+E12</f>
        <v/>
      </c>
      <c r="G12" s="13">
        <f>IF(N(C12)=0,"",F12/C12)</f>
        <v/>
      </c>
      <c r="H12" s="12">
        <f>IF(C12="","",C12-F12)</f>
        <v/>
      </c>
      <c r="I12" s="14" t="n"/>
    </row>
    <row r="13" ht="20" customHeight="1">
      <c r="A13" s="11">
        <f>IF(B13="","",COUNTA(B$11:B13))</f>
        <v/>
      </c>
      <c r="B13" s="6" t="inlineStr">
        <is>
          <t>구조물공</t>
        </is>
      </c>
      <c r="C13" s="8" t="n">
        <v>142300000</v>
      </c>
      <c r="D13" s="8" t="n">
        <v>35600000</v>
      </c>
      <c r="E13" s="8" t="n">
        <v>41280000</v>
      </c>
      <c r="F13" s="12">
        <f>D13+E13</f>
        <v/>
      </c>
      <c r="G13" s="13">
        <f>IF(N(C13)=0,"",F13/C13)</f>
        <v/>
      </c>
      <c r="H13" s="12">
        <f>IF(C13="","",C13-F13)</f>
        <v/>
      </c>
      <c r="I13" s="14" t="n"/>
    </row>
    <row r="14" ht="20" customHeight="1">
      <c r="A14" s="11">
        <f>IF(B14="","",COUNTA(B$11:B14))</f>
        <v/>
      </c>
      <c r="B14" s="6" t="inlineStr">
        <is>
          <t>포장공</t>
        </is>
      </c>
      <c r="C14" s="8" t="n">
        <v>88760000</v>
      </c>
      <c r="D14" s="8" t="n"/>
      <c r="E14" s="8" t="n"/>
      <c r="F14" s="12">
        <f>D14+E14</f>
        <v/>
      </c>
      <c r="G14" s="13">
        <f>IF(N(C14)=0,"",F14/C14)</f>
        <v/>
      </c>
      <c r="H14" s="12">
        <f>IF(C14="","",C14-F14)</f>
        <v/>
      </c>
      <c r="I14" s="14" t="inlineStr">
        <is>
          <t>10월 착수 예정</t>
        </is>
      </c>
    </row>
    <row r="15" ht="20" customHeight="1">
      <c r="A15" s="11">
        <f>IF(B15="","",COUNTA(B$11:B15))</f>
        <v/>
      </c>
      <c r="B15" s="6" t="inlineStr">
        <is>
          <t>부대공</t>
        </is>
      </c>
      <c r="C15" s="8" t="n">
        <v>41230000</v>
      </c>
      <c r="D15" s="8" t="n"/>
      <c r="E15" s="8" t="n">
        <v>6150000</v>
      </c>
      <c r="F15" s="12">
        <f>D15+E15</f>
        <v/>
      </c>
      <c r="G15" s="13">
        <f>IF(N(C15)=0,"",F15/C15)</f>
        <v/>
      </c>
      <c r="H15" s="12">
        <f>IF(C15="","",C15-F15)</f>
        <v/>
      </c>
      <c r="I15" s="14" t="n"/>
    </row>
    <row r="16" ht="20" customHeight="1">
      <c r="A16" s="11">
        <f>IF(B16="","",COUNTA(B$11:B16))</f>
        <v/>
      </c>
      <c r="B16" s="6" t="inlineStr">
        <is>
          <t>제경비</t>
        </is>
      </c>
      <c r="C16" s="8" t="n">
        <v>128113000</v>
      </c>
      <c r="D16" s="8" t="n">
        <v>38430000</v>
      </c>
      <c r="E16" s="8" t="n">
        <v>26280000</v>
      </c>
      <c r="F16" s="12">
        <f>D16+E16</f>
        <v/>
      </c>
      <c r="G16" s="13">
        <f>IF(N(C16)=0,"",F16/C16)</f>
        <v/>
      </c>
      <c r="H16" s="12">
        <f>IF(C16="","",C16-F16)</f>
        <v/>
      </c>
      <c r="I16" s="14" t="inlineStr">
        <is>
          <t>간접비·관리비·이윤</t>
        </is>
      </c>
    </row>
    <row r="17" ht="20" customHeight="1">
      <c r="A17" s="11">
        <f>IF(B17="","",COUNTA(B$11:B17))</f>
        <v/>
      </c>
      <c r="B17" s="6" t="inlineStr">
        <is>
          <t>부가가치세</t>
        </is>
      </c>
      <c r="C17" s="8" t="n">
        <v>87568000</v>
      </c>
      <c r="D17" s="8" t="n">
        <v>31293000</v>
      </c>
      <c r="E17" s="8" t="n">
        <v>19441000</v>
      </c>
      <c r="F17" s="12">
        <f>D17+E17</f>
        <v/>
      </c>
      <c r="G17" s="13">
        <f>IF(N(C17)=0,"",F17/C17)</f>
        <v/>
      </c>
      <c r="H17" s="12">
        <f>IF(C17="","",C17-F17)</f>
        <v/>
      </c>
      <c r="I17" s="14" t="n"/>
    </row>
    <row r="18" ht="20" customHeight="1">
      <c r="A18" s="11">
        <f>IF(B18="","",COUNTA(B$11:B18))</f>
        <v/>
      </c>
      <c r="B18" s="6" t="n"/>
      <c r="C18" s="8" t="n"/>
      <c r="D18" s="8" t="n"/>
      <c r="E18" s="8" t="n"/>
      <c r="F18" s="12">
        <f>D18+E18</f>
        <v/>
      </c>
      <c r="G18" s="13">
        <f>IF(N(C18)=0,"",F18/C18)</f>
        <v/>
      </c>
      <c r="H18" s="12">
        <f>IF(C18="","",C18-F18)</f>
        <v/>
      </c>
      <c r="I18" s="14" t="n"/>
    </row>
    <row r="19" ht="20" customHeight="1">
      <c r="A19" s="11">
        <f>IF(B19="","",COUNTA(B$11:B19))</f>
        <v/>
      </c>
      <c r="B19" s="6" t="n"/>
      <c r="C19" s="8" t="n"/>
      <c r="D19" s="8" t="n"/>
      <c r="E19" s="8" t="n"/>
      <c r="F19" s="12">
        <f>D19+E19</f>
        <v/>
      </c>
      <c r="G19" s="13">
        <f>IF(N(C19)=0,"",F19/C19)</f>
        <v/>
      </c>
      <c r="H19" s="12">
        <f>IF(C19="","",C19-F19)</f>
        <v/>
      </c>
      <c r="I19" s="14" t="n"/>
    </row>
    <row r="20" ht="20" customHeight="1">
      <c r="A20" s="11">
        <f>IF(B20="","",COUNTA(B$11:B20))</f>
        <v/>
      </c>
      <c r="B20" s="6" t="n"/>
      <c r="C20" s="8" t="n"/>
      <c r="D20" s="8" t="n"/>
      <c r="E20" s="8" t="n"/>
      <c r="F20" s="12">
        <f>D20+E20</f>
        <v/>
      </c>
      <c r="G20" s="13">
        <f>IF(N(C20)=0,"",F20/C20)</f>
        <v/>
      </c>
      <c r="H20" s="12">
        <f>IF(C20="","",C20-F20)</f>
        <v/>
      </c>
      <c r="I20" s="14" t="n"/>
    </row>
    <row r="21" ht="20" customHeight="1">
      <c r="A21" s="11">
        <f>IF(B21="","",COUNTA(B$11:B21))</f>
        <v/>
      </c>
      <c r="B21" s="6" t="n"/>
      <c r="C21" s="8" t="n"/>
      <c r="D21" s="8" t="n"/>
      <c r="E21" s="8" t="n"/>
      <c r="F21" s="12">
        <f>D21+E21</f>
        <v/>
      </c>
      <c r="G21" s="13">
        <f>IF(N(C21)=0,"",F21/C21)</f>
        <v/>
      </c>
      <c r="H21" s="12">
        <f>IF(C21="","",C21-F21)</f>
        <v/>
      </c>
      <c r="I21" s="14" t="n"/>
    </row>
    <row r="22" ht="20" customHeight="1">
      <c r="A22" s="11">
        <f>IF(B22="","",COUNTA(B$11:B22))</f>
        <v/>
      </c>
      <c r="B22" s="6" t="n"/>
      <c r="C22" s="8" t="n"/>
      <c r="D22" s="8" t="n"/>
      <c r="E22" s="8" t="n"/>
      <c r="F22" s="12">
        <f>D22+E22</f>
        <v/>
      </c>
      <c r="G22" s="13">
        <f>IF(N(C22)=0,"",F22/C22)</f>
        <v/>
      </c>
      <c r="H22" s="12">
        <f>IF(C22="","",C22-F22)</f>
        <v/>
      </c>
      <c r="I22" s="14" t="n"/>
    </row>
    <row r="23" ht="20" customHeight="1">
      <c r="A23" s="11">
        <f>IF(B23="","",COUNTA(B$11:B23))</f>
        <v/>
      </c>
      <c r="B23" s="6" t="n"/>
      <c r="C23" s="8" t="n"/>
      <c r="D23" s="8" t="n"/>
      <c r="E23" s="8" t="n"/>
      <c r="F23" s="12">
        <f>D23+E23</f>
        <v/>
      </c>
      <c r="G23" s="13">
        <f>IF(N(C23)=0,"",F23/C23)</f>
        <v/>
      </c>
      <c r="H23" s="12">
        <f>IF(C23="","",C23-F23)</f>
        <v/>
      </c>
      <c r="I23" s="14" t="n"/>
    </row>
    <row r="24" ht="20" customHeight="1">
      <c r="A24" s="11">
        <f>IF(B24="","",COUNTA(B$11:B24))</f>
        <v/>
      </c>
      <c r="B24" s="6" t="n"/>
      <c r="C24" s="8" t="n"/>
      <c r="D24" s="8" t="n"/>
      <c r="E24" s="8" t="n"/>
      <c r="F24" s="12">
        <f>D24+E24</f>
        <v/>
      </c>
      <c r="G24" s="13">
        <f>IF(N(C24)=0,"",F24/C24)</f>
        <v/>
      </c>
      <c r="H24" s="12">
        <f>IF(C24="","",C24-F24)</f>
        <v/>
      </c>
      <c r="I24" s="14" t="n"/>
    </row>
    <row r="25" ht="20" customHeight="1">
      <c r="A25" s="11">
        <f>IF(B25="","",COUNTA(B$11:B25))</f>
        <v/>
      </c>
      <c r="B25" s="6" t="n"/>
      <c r="C25" s="8" t="n"/>
      <c r="D25" s="8" t="n"/>
      <c r="E25" s="8" t="n"/>
      <c r="F25" s="12">
        <f>D25+E25</f>
        <v/>
      </c>
      <c r="G25" s="13">
        <f>IF(N(C25)=0,"",F25/C25)</f>
        <v/>
      </c>
      <c r="H25" s="12">
        <f>IF(C25="","",C25-F25)</f>
        <v/>
      </c>
      <c r="I25" s="14" t="n"/>
    </row>
    <row r="26" ht="20" customHeight="1">
      <c r="A26" s="11">
        <f>IF(B26="","",COUNTA(B$11:B26))</f>
        <v/>
      </c>
      <c r="B26" s="6" t="n"/>
      <c r="C26" s="8" t="n"/>
      <c r="D26" s="8" t="n"/>
      <c r="E26" s="8" t="n"/>
      <c r="F26" s="12">
        <f>D26+E26</f>
        <v/>
      </c>
      <c r="G26" s="13">
        <f>IF(N(C26)=0,"",F26/C26)</f>
        <v/>
      </c>
      <c r="H26" s="12">
        <f>IF(C26="","",C26-F26)</f>
        <v/>
      </c>
      <c r="I26" s="14" t="n"/>
    </row>
    <row r="27" ht="22" customHeight="1">
      <c r="A27" s="15" t="inlineStr">
        <is>
          <t>합        계</t>
        </is>
      </c>
      <c r="B27" s="5" t="n"/>
      <c r="C27" s="16">
        <f>SUM(C11:C26)</f>
        <v/>
      </c>
      <c r="D27" s="16">
        <f>SUM(D11:D26)</f>
        <v/>
      </c>
      <c r="E27" s="16">
        <f>SUM(E11:E26)</f>
        <v/>
      </c>
      <c r="F27" s="16">
        <f>SUM(F11:F26)</f>
        <v/>
      </c>
      <c r="G27" s="17">
        <f>IF(N(C27)=0,"",F27/C27)</f>
        <v/>
      </c>
      <c r="H27" s="16">
        <f>IF(N(C27)=0,"",C27-F27)</f>
        <v/>
      </c>
      <c r="I27" s="18" t="inlineStr"/>
    </row>
    <row r="28" ht="20" customHeight="1">
      <c r="A28" s="15" t="inlineStr">
        <is>
          <t>금회 기성률</t>
        </is>
      </c>
      <c r="B28" s="5" t="n"/>
      <c r="C28" s="13">
        <f>IF(N(C27)=0,"",E27/C27)</f>
        <v/>
      </c>
      <c r="D28" s="19">
        <f>IF(N(C7)=0,"",IF(C7=C27,"※ 공종 합계가 계약금액과 같습니다.","⚠ 공종 합계가 계약금액과 "&amp;TEXT(ABS(C7-C27),"#,##0")&amp;"원 다릅니다 — 공종 금액을 확인하세요."))</f>
        <v/>
      </c>
    </row>
    <row r="29" ht="26" customHeight="1">
      <c r="A29" s="20" t="n">
        <v>46294</v>
      </c>
    </row>
    <row r="30" ht="24" customHeight="1">
      <c r="A30" s="21" t="inlineStr"/>
      <c r="E30" s="22" t="inlineStr">
        <is>
          <t>현장대리인</t>
        </is>
      </c>
      <c r="G30" s="23" t="inlineStr">
        <is>
          <t>김철수</t>
        </is>
      </c>
      <c r="I30" s="24" t="inlineStr">
        <is>
          <t>(인)</t>
        </is>
      </c>
    </row>
    <row r="31" ht="24" customHeight="1">
      <c r="A31" s="21" t="inlineStr"/>
      <c r="E31" s="22" t="inlineStr">
        <is>
          <t>감독(감리)</t>
        </is>
      </c>
      <c r="G31" s="23" t="inlineStr">
        <is>
          <t>박감독</t>
        </is>
      </c>
      <c r="I31" s="24" t="inlineStr">
        <is>
          <t>(인)</t>
        </is>
      </c>
    </row>
    <row r="33" ht="19.5" customHeight="1">
      <c r="A33" s="25" t="inlineStr">
        <is>
          <t>이 시트는 작성 예시입니다(가상의 공사). 실제로는 앞 시트에 적으세요.</t>
        </is>
      </c>
    </row>
  </sheetData>
  <mergeCells count="28">
    <mergeCell ref="A1:E1"/>
    <mergeCell ref="F6:G6"/>
    <mergeCell ref="A3:I3"/>
    <mergeCell ref="A6:B6"/>
    <mergeCell ref="F7:G7"/>
    <mergeCell ref="A31:D31"/>
    <mergeCell ref="F1:I1"/>
    <mergeCell ref="H6:I6"/>
    <mergeCell ref="A7:B7"/>
    <mergeCell ref="D28:I28"/>
    <mergeCell ref="A33:I33"/>
    <mergeCell ref="A30:D30"/>
    <mergeCell ref="C8:E8"/>
    <mergeCell ref="C7:E7"/>
    <mergeCell ref="A27:B27"/>
    <mergeCell ref="E31:F31"/>
    <mergeCell ref="C5:I5"/>
    <mergeCell ref="F8:G8"/>
    <mergeCell ref="A29:I29"/>
    <mergeCell ref="E30:F30"/>
    <mergeCell ref="G30:H30"/>
    <mergeCell ref="H7:I7"/>
    <mergeCell ref="A5:B5"/>
    <mergeCell ref="A8:B8"/>
    <mergeCell ref="C6:E6"/>
    <mergeCell ref="A28:B28"/>
    <mergeCell ref="G31:H31"/>
    <mergeCell ref="H8:I8"/>
  </mergeCells>
  <printOptions horizontalCentered="1"/>
  <pageMargins left="0.45" right="0.35" top="0.5" bottom="0.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기성대비표</dc:title>
  <dcterms:created xmlns:dcterms="http://purl.org/dc/terms/" xmlns:xsi="http://www.w3.org/2001/XMLSchema-instance" xsi:type="dcterms:W3CDTF">2026-10-17T01:01:55Z</dcterms:created>
  <dcterms:modified xmlns:dcterms="http://purl.org/dc/terms/" xmlns:xsi="http://www.w3.org/2001/XMLSchema-instance" xsi:type="dcterms:W3CDTF">2026-10-17T01:01:55Z</dcterms:modified>
</cp:coreProperties>
</file>