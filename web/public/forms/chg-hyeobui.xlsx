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협의단가 산정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'협의단가 산정서'!$A$1:$X$33</definedName>
    <definedName name="_xlnm.Print_Area" localSheetId="1">'작성 예시'!$A$1:$X$33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%;[Red]-0.000%;&quot;&quot;"/>
    <numFmt numFmtId="165" formatCode="#,##0.###;[Red]-#,##0.###;&quot;&quot;"/>
    <numFmt numFmtId="166" formatCode="#,##0;[Red]-#,##0;&quot;&quot;"/>
    <numFmt numFmtId="167" formatCode="yyyy&quot;년&quot; m&quot;월&quot; d&quot;일&quot;"/>
    <numFmt numFmtId="168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협 의 단 가 산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품명·규격</t>
        </is>
      </c>
      <c r="B10" s="5" t="n"/>
      <c r="C10" s="5" t="n"/>
      <c r="D10" s="5" t="n"/>
      <c r="E10" s="5" t="n"/>
      <c r="F10" s="8" t="inlineStr">
        <is>
          <t>단위</t>
        </is>
      </c>
      <c r="G10" s="5" t="n"/>
      <c r="H10" s="8" t="inlineStr">
        <is>
          <t>수량</t>
        </is>
      </c>
      <c r="I10" s="5" t="n"/>
      <c r="J10" s="8" t="inlineStr">
        <is>
          <t>① 변경 당시 단가</t>
        </is>
      </c>
      <c r="K10" s="5" t="n"/>
      <c r="L10" s="5" t="n"/>
      <c r="M10" s="8" t="inlineStr">
        <is>
          <t>② ①×낙찰률</t>
        </is>
      </c>
      <c r="N10" s="5" t="n"/>
      <c r="O10" s="5" t="n"/>
      <c r="P10" s="8" t="inlineStr">
        <is>
          <t>중간값 (①+②)÷2</t>
        </is>
      </c>
      <c r="Q10" s="5" t="n"/>
      <c r="R10" s="5" t="n"/>
      <c r="S10" s="8" t="inlineStr">
        <is>
          <t>협의 단가</t>
        </is>
      </c>
      <c r="T10" s="5" t="n"/>
      <c r="U10" s="5" t="n"/>
      <c r="V10" s="8" t="inlineStr">
        <is>
          <t>금액</t>
        </is>
      </c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9" t="n"/>
      <c r="G11" s="5" t="n"/>
      <c r="H11" s="10" t="n"/>
      <c r="I11" s="5" t="n"/>
      <c r="J11" s="11" t="n"/>
      <c r="K11" s="5" t="n"/>
      <c r="L11" s="5" t="n"/>
      <c r="M11" s="12">
        <f>IF(J11="","",INT(ROUND(J11*G8,6)))</f>
        <v/>
      </c>
      <c r="N11" s="5" t="n"/>
      <c r="O11" s="5" t="n"/>
      <c r="P11" s="12">
        <f>IF(J11="","",INT(ROUND((J11+M11)/2,6)))</f>
        <v/>
      </c>
      <c r="Q11" s="5" t="n"/>
      <c r="R11" s="5" t="n"/>
      <c r="S11" s="11" t="n"/>
      <c r="T11" s="5" t="n"/>
      <c r="U11" s="5" t="n"/>
      <c r="V11" s="12">
        <f>IF(OR(H11="",J11=""),"",INT(ROUND(H11*IF(S11="",P11,S11),6)))</f>
        <v/>
      </c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10" t="n"/>
      <c r="I12" s="5" t="n"/>
      <c r="J12" s="11" t="n"/>
      <c r="K12" s="5" t="n"/>
      <c r="L12" s="5" t="n"/>
      <c r="M12" s="12">
        <f>IF(J12="","",INT(ROUND(J12*G8,6)))</f>
        <v/>
      </c>
      <c r="N12" s="5" t="n"/>
      <c r="O12" s="5" t="n"/>
      <c r="P12" s="12">
        <f>IF(J12="","",INT(ROUND((J12+M12)/2,6)))</f>
        <v/>
      </c>
      <c r="Q12" s="5" t="n"/>
      <c r="R12" s="5" t="n"/>
      <c r="S12" s="11" t="n"/>
      <c r="T12" s="5" t="n"/>
      <c r="U12" s="5" t="n"/>
      <c r="V12" s="12">
        <f>IF(OR(H12="",J12=""),"",INT(ROUND(H12*IF(S12="",P12,S12),6)))</f>
        <v/>
      </c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10" t="n"/>
      <c r="I13" s="5" t="n"/>
      <c r="J13" s="11" t="n"/>
      <c r="K13" s="5" t="n"/>
      <c r="L13" s="5" t="n"/>
      <c r="M13" s="12">
        <f>IF(J13="","",INT(ROUND(J13*G8,6)))</f>
        <v/>
      </c>
      <c r="N13" s="5" t="n"/>
      <c r="O13" s="5" t="n"/>
      <c r="P13" s="12">
        <f>IF(J13="","",INT(ROUND((J13+M13)/2,6)))</f>
        <v/>
      </c>
      <c r="Q13" s="5" t="n"/>
      <c r="R13" s="5" t="n"/>
      <c r="S13" s="11" t="n"/>
      <c r="T13" s="5" t="n"/>
      <c r="U13" s="5" t="n"/>
      <c r="V13" s="12">
        <f>IF(OR(H13="",J13=""),"",INT(ROUND(H13*IF(S13="",P13,S13),6)))</f>
        <v/>
      </c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10" t="n"/>
      <c r="I14" s="5" t="n"/>
      <c r="J14" s="11" t="n"/>
      <c r="K14" s="5" t="n"/>
      <c r="L14" s="5" t="n"/>
      <c r="M14" s="12">
        <f>IF(J14="","",INT(ROUND(J14*G8,6)))</f>
        <v/>
      </c>
      <c r="N14" s="5" t="n"/>
      <c r="O14" s="5" t="n"/>
      <c r="P14" s="12">
        <f>IF(J14="","",INT(ROUND((J14+M14)/2,6)))</f>
        <v/>
      </c>
      <c r="Q14" s="5" t="n"/>
      <c r="R14" s="5" t="n"/>
      <c r="S14" s="11" t="n"/>
      <c r="T14" s="5" t="n"/>
      <c r="U14" s="5" t="n"/>
      <c r="V14" s="12">
        <f>IF(OR(H14="",J14=""),"",INT(ROUND(H14*IF(S14="",P14,S14),6)))</f>
        <v/>
      </c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10" t="n"/>
      <c r="I15" s="5" t="n"/>
      <c r="J15" s="11" t="n"/>
      <c r="K15" s="5" t="n"/>
      <c r="L15" s="5" t="n"/>
      <c r="M15" s="12">
        <f>IF(J15="","",INT(ROUND(J15*G8,6)))</f>
        <v/>
      </c>
      <c r="N15" s="5" t="n"/>
      <c r="O15" s="5" t="n"/>
      <c r="P15" s="12">
        <f>IF(J15="","",INT(ROUND((J15+M15)/2,6)))</f>
        <v/>
      </c>
      <c r="Q15" s="5" t="n"/>
      <c r="R15" s="5" t="n"/>
      <c r="S15" s="11" t="n"/>
      <c r="T15" s="5" t="n"/>
      <c r="U15" s="5" t="n"/>
      <c r="V15" s="12">
        <f>IF(OR(H15="",J15=""),"",INT(ROUND(H15*IF(S15="",P15,S15),6)))</f>
        <v/>
      </c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10" t="n"/>
      <c r="I16" s="5" t="n"/>
      <c r="J16" s="11" t="n"/>
      <c r="K16" s="5" t="n"/>
      <c r="L16" s="5" t="n"/>
      <c r="M16" s="12">
        <f>IF(J16="","",INT(ROUND(J16*G8,6)))</f>
        <v/>
      </c>
      <c r="N16" s="5" t="n"/>
      <c r="O16" s="5" t="n"/>
      <c r="P16" s="12">
        <f>IF(J16="","",INT(ROUND((J16+M16)/2,6)))</f>
        <v/>
      </c>
      <c r="Q16" s="5" t="n"/>
      <c r="R16" s="5" t="n"/>
      <c r="S16" s="11" t="n"/>
      <c r="T16" s="5" t="n"/>
      <c r="U16" s="5" t="n"/>
      <c r="V16" s="12">
        <f>IF(OR(H16="",J16=""),"",INT(ROUND(H16*IF(S16="",P16,S16),6)))</f>
        <v/>
      </c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10" t="n"/>
      <c r="I17" s="5" t="n"/>
      <c r="J17" s="11" t="n"/>
      <c r="K17" s="5" t="n"/>
      <c r="L17" s="5" t="n"/>
      <c r="M17" s="12">
        <f>IF(J17="","",INT(ROUND(J17*G8,6)))</f>
        <v/>
      </c>
      <c r="N17" s="5" t="n"/>
      <c r="O17" s="5" t="n"/>
      <c r="P17" s="12">
        <f>IF(J17="","",INT(ROUND((J17+M17)/2,6)))</f>
        <v/>
      </c>
      <c r="Q17" s="5" t="n"/>
      <c r="R17" s="5" t="n"/>
      <c r="S17" s="11" t="n"/>
      <c r="T17" s="5" t="n"/>
      <c r="U17" s="5" t="n"/>
      <c r="V17" s="12">
        <f>IF(OR(H17="",J17=""),"",INT(ROUND(H17*IF(S17="",P17,S17),6)))</f>
        <v/>
      </c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10" t="n"/>
      <c r="I18" s="5" t="n"/>
      <c r="J18" s="11" t="n"/>
      <c r="K18" s="5" t="n"/>
      <c r="L18" s="5" t="n"/>
      <c r="M18" s="12">
        <f>IF(J18="","",INT(ROUND(J18*G8,6)))</f>
        <v/>
      </c>
      <c r="N18" s="5" t="n"/>
      <c r="O18" s="5" t="n"/>
      <c r="P18" s="12">
        <f>IF(J18="","",INT(ROUND((J18+M18)/2,6)))</f>
        <v/>
      </c>
      <c r="Q18" s="5" t="n"/>
      <c r="R18" s="5" t="n"/>
      <c r="S18" s="11" t="n"/>
      <c r="T18" s="5" t="n"/>
      <c r="U18" s="5" t="n"/>
      <c r="V18" s="12">
        <f>IF(OR(H18="",J18=""),"",INT(ROUND(H18*IF(S18="",P18,S18),6)))</f>
        <v/>
      </c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9" t="n"/>
      <c r="G19" s="5" t="n"/>
      <c r="H19" s="10" t="n"/>
      <c r="I19" s="5" t="n"/>
      <c r="J19" s="11" t="n"/>
      <c r="K19" s="5" t="n"/>
      <c r="L19" s="5" t="n"/>
      <c r="M19" s="12">
        <f>IF(J19="","",INT(ROUND(J19*G8,6)))</f>
        <v/>
      </c>
      <c r="N19" s="5" t="n"/>
      <c r="O19" s="5" t="n"/>
      <c r="P19" s="12">
        <f>IF(J19="","",INT(ROUND((J19+M19)/2,6)))</f>
        <v/>
      </c>
      <c r="Q19" s="5" t="n"/>
      <c r="R19" s="5" t="n"/>
      <c r="S19" s="11" t="n"/>
      <c r="T19" s="5" t="n"/>
      <c r="U19" s="5" t="n"/>
      <c r="V19" s="12">
        <f>IF(OR(H19="",J19=""),"",INT(ROUND(H19*IF(S19="",P19,S19),6)))</f>
        <v/>
      </c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9" t="n"/>
      <c r="G20" s="5" t="n"/>
      <c r="H20" s="10" t="n"/>
      <c r="I20" s="5" t="n"/>
      <c r="J20" s="11" t="n"/>
      <c r="K20" s="5" t="n"/>
      <c r="L20" s="5" t="n"/>
      <c r="M20" s="12">
        <f>IF(J20="","",INT(ROUND(J20*G8,6)))</f>
        <v/>
      </c>
      <c r="N20" s="5" t="n"/>
      <c r="O20" s="5" t="n"/>
      <c r="P20" s="12">
        <f>IF(J20="","",INT(ROUND((J20+M20)/2,6)))</f>
        <v/>
      </c>
      <c r="Q20" s="5" t="n"/>
      <c r="R20" s="5" t="n"/>
      <c r="S20" s="11" t="n"/>
      <c r="T20" s="5" t="n"/>
      <c r="U20" s="5" t="n"/>
      <c r="V20" s="12">
        <f>IF(OR(H20="",J20=""),"",INT(ROUND(H20*IF(S20="",P20,S20),6)))</f>
        <v/>
      </c>
      <c r="W20" s="5" t="n"/>
      <c r="X20" s="5" t="n"/>
    </row>
    <row r="21" ht="22" customHeight="1">
      <c r="A21" s="13" t="inlineStr">
        <is>
          <t>합        계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4">
        <f>SUM(V11:V20)</f>
        <v/>
      </c>
      <c r="W21" s="5" t="n"/>
      <c r="X21" s="5" t="n"/>
    </row>
    <row r="22" ht="6" customHeight="1"/>
    <row r="23" ht="34" customHeight="1">
      <c r="A23" s="15" t="inlineStr">
        <is>
          <t>※ 협의가 이루어지지 않는 경우의 기준값이 «중간값» 입니다. 협의 결과를 «협의 단가» 에 적습니다.</t>
        </is>
      </c>
    </row>
    <row r="24" ht="6" customHeight="1"/>
    <row r="25" ht="24" customHeight="1">
      <c r="A25" s="4" t="inlineStr">
        <is>
          <t xml:space="preserve">  협의 일자</t>
        </is>
      </c>
      <c r="B25" s="5" t="n"/>
      <c r="C25" s="5" t="n"/>
      <c r="D25" s="5" t="n"/>
      <c r="E25" s="5" t="n"/>
      <c r="F25" s="5" t="n"/>
      <c r="G25" s="16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협의 참석자</t>
        </is>
      </c>
      <c r="B26" s="5" t="n"/>
      <c r="C26" s="5" t="n"/>
      <c r="D26" s="5" t="n"/>
      <c r="E26" s="5" t="n"/>
      <c r="F26" s="5" t="n"/>
      <c r="G26" s="6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합의 내용</t>
        </is>
      </c>
      <c r="B27" s="5" t="n"/>
      <c r="C27" s="5" t="n"/>
      <c r="D27" s="5" t="n"/>
      <c r="E27" s="5" t="n"/>
      <c r="F27" s="5" t="n"/>
      <c r="G27" s="6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7" t="inlineStr">
        <is>
          <t xml:space="preserve">          년        월        일</t>
        </is>
      </c>
    </row>
    <row r="31" ht="24" customHeight="1">
      <c r="A31" s="18" t="inlineStr"/>
      <c r="K31" s="19" t="inlineStr">
        <is>
          <t>시공자</t>
        </is>
      </c>
      <c r="Q31" s="20" t="n"/>
      <c r="U31" s="21" t="inlineStr">
        <is>
          <t>(서명 또는 인)</t>
        </is>
      </c>
    </row>
    <row r="32" ht="24" customHeight="1">
      <c r="A32" s="18" t="inlineStr"/>
      <c r="K32" s="19" t="inlineStr">
        <is>
          <t>발주기관</t>
        </is>
      </c>
      <c r="Q32" s="20" t="n"/>
      <c r="U32" s="21" t="inlineStr">
        <is>
          <t>(서명 또는 인)</t>
        </is>
      </c>
    </row>
    <row r="33" ht="6" customHeight="1"/>
    <row r="35" ht="34" customHeight="1">
      <c r="A35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2" t="inlineStr">
        <is>
          <t>발주기관이 정한 서식이 있으면 그 서식을 쓰세요. 이 줄과 1행은 지워도 됩니다.</t>
        </is>
      </c>
    </row>
  </sheetData>
  <mergeCells count="119">
    <mergeCell ref="V10:X10"/>
    <mergeCell ref="S14:U14"/>
    <mergeCell ref="F16:G16"/>
    <mergeCell ref="H10:I10"/>
    <mergeCell ref="A11:E11"/>
    <mergeCell ref="S13:U13"/>
    <mergeCell ref="K31:P31"/>
    <mergeCell ref="P17:R17"/>
    <mergeCell ref="M12:O12"/>
    <mergeCell ref="J11:L11"/>
    <mergeCell ref="A3:X3"/>
    <mergeCell ref="S15:U15"/>
    <mergeCell ref="F15:G15"/>
    <mergeCell ref="P19:R19"/>
    <mergeCell ref="U31:X31"/>
    <mergeCell ref="A5:F5"/>
    <mergeCell ref="P12:R12"/>
    <mergeCell ref="P14:R14"/>
    <mergeCell ref="V12:X12"/>
    <mergeCell ref="F13:G13"/>
    <mergeCell ref="V21:X21"/>
    <mergeCell ref="H13:I13"/>
    <mergeCell ref="V14:X14"/>
    <mergeCell ref="J13:L13"/>
    <mergeCell ref="H15:I15"/>
    <mergeCell ref="V13:X13"/>
    <mergeCell ref="S17:U17"/>
    <mergeCell ref="S11:U11"/>
    <mergeCell ref="M20:O20"/>
    <mergeCell ref="A7:F7"/>
    <mergeCell ref="J15:L15"/>
    <mergeCell ref="M11:O11"/>
    <mergeCell ref="A32:J32"/>
    <mergeCell ref="G7:X7"/>
    <mergeCell ref="F10:G10"/>
    <mergeCell ref="F19:G19"/>
    <mergeCell ref="A27:F27"/>
    <mergeCell ref="M15:O15"/>
    <mergeCell ref="P16:R16"/>
    <mergeCell ref="J16:L16"/>
    <mergeCell ref="A21:U21"/>
    <mergeCell ref="A31:J31"/>
    <mergeCell ref="F20:G20"/>
    <mergeCell ref="F18:G18"/>
    <mergeCell ref="P18:R18"/>
    <mergeCell ref="A25:F25"/>
    <mergeCell ref="G26:X26"/>
    <mergeCell ref="F17:G17"/>
    <mergeCell ref="H17:I17"/>
    <mergeCell ref="M14:O14"/>
    <mergeCell ref="H11:I11"/>
    <mergeCell ref="A12:E12"/>
    <mergeCell ref="G25:X25"/>
    <mergeCell ref="H19:I19"/>
    <mergeCell ref="A14:E14"/>
    <mergeCell ref="V17:X17"/>
    <mergeCell ref="P20:R20"/>
    <mergeCell ref="S16:U16"/>
    <mergeCell ref="U32:X32"/>
    <mergeCell ref="H12:I12"/>
    <mergeCell ref="A30:X30"/>
    <mergeCell ref="J14:L14"/>
    <mergeCell ref="Q31:T31"/>
    <mergeCell ref="S18:U18"/>
    <mergeCell ref="V20:X20"/>
    <mergeCell ref="H14:I14"/>
    <mergeCell ref="A26:F26"/>
    <mergeCell ref="V15:X15"/>
    <mergeCell ref="A16:E16"/>
    <mergeCell ref="A8:F8"/>
    <mergeCell ref="M17:O17"/>
    <mergeCell ref="A18:E18"/>
    <mergeCell ref="S20:U20"/>
    <mergeCell ref="V16:X16"/>
    <mergeCell ref="M19:O19"/>
    <mergeCell ref="A35:X35"/>
    <mergeCell ref="H16:I16"/>
    <mergeCell ref="J18:L18"/>
    <mergeCell ref="V18:X18"/>
    <mergeCell ref="J17:L17"/>
    <mergeCell ref="S12:U12"/>
    <mergeCell ref="A20:E20"/>
    <mergeCell ref="J10:L10"/>
    <mergeCell ref="J19:L19"/>
    <mergeCell ref="G27:X27"/>
    <mergeCell ref="F14:G14"/>
    <mergeCell ref="A13:E13"/>
    <mergeCell ref="V19:X19"/>
    <mergeCell ref="F11:G11"/>
    <mergeCell ref="M10:O10"/>
    <mergeCell ref="P11:R11"/>
    <mergeCell ref="H20:I20"/>
    <mergeCell ref="A15:E15"/>
    <mergeCell ref="K32:P32"/>
    <mergeCell ref="M13:O13"/>
    <mergeCell ref="G6:X6"/>
    <mergeCell ref="J20:L20"/>
    <mergeCell ref="M16:O16"/>
    <mergeCell ref="Q32:T32"/>
    <mergeCell ref="S10:U10"/>
    <mergeCell ref="V11:X11"/>
    <mergeCell ref="F12:G12"/>
    <mergeCell ref="S19:U19"/>
    <mergeCell ref="M18:O18"/>
    <mergeCell ref="G5:X5"/>
    <mergeCell ref="P13:R13"/>
    <mergeCell ref="A23:X23"/>
    <mergeCell ref="J12:L12"/>
    <mergeCell ref="P15:R15"/>
    <mergeCell ref="A17:E17"/>
    <mergeCell ref="P10:R10"/>
    <mergeCell ref="A10:E10"/>
    <mergeCell ref="A1:L1"/>
    <mergeCell ref="H18:I18"/>
    <mergeCell ref="A19:E19"/>
    <mergeCell ref="A6:F6"/>
    <mergeCell ref="M1:X1"/>
    <mergeCell ref="A36:X36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협 의 단 가 산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inlineStr">
        <is>
          <t>실정보고 제3호(2026. 6. 2.)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7" t="n">
        <v>0.87452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품명·규격</t>
        </is>
      </c>
      <c r="B10" s="5" t="n"/>
      <c r="C10" s="5" t="n"/>
      <c r="D10" s="5" t="n"/>
      <c r="E10" s="5" t="n"/>
      <c r="F10" s="8" t="inlineStr">
        <is>
          <t>단위</t>
        </is>
      </c>
      <c r="G10" s="5" t="n"/>
      <c r="H10" s="8" t="inlineStr">
        <is>
          <t>수량</t>
        </is>
      </c>
      <c r="I10" s="5" t="n"/>
      <c r="J10" s="8" t="inlineStr">
        <is>
          <t>① 변경 당시 단가</t>
        </is>
      </c>
      <c r="K10" s="5" t="n"/>
      <c r="L10" s="5" t="n"/>
      <c r="M10" s="8" t="inlineStr">
        <is>
          <t>② ①×낙찰률</t>
        </is>
      </c>
      <c r="N10" s="5" t="n"/>
      <c r="O10" s="5" t="n"/>
      <c r="P10" s="8" t="inlineStr">
        <is>
          <t>중간값 (①+②)÷2</t>
        </is>
      </c>
      <c r="Q10" s="5" t="n"/>
      <c r="R10" s="5" t="n"/>
      <c r="S10" s="8" t="inlineStr">
        <is>
          <t>협의 단가</t>
        </is>
      </c>
      <c r="T10" s="5" t="n"/>
      <c r="U10" s="5" t="n"/>
      <c r="V10" s="8" t="inlineStr">
        <is>
          <t>금액</t>
        </is>
      </c>
      <c r="W10" s="5" t="n"/>
      <c r="X10" s="5" t="n"/>
    </row>
    <row r="11" ht="22" customHeight="1">
      <c r="A11" s="9" t="inlineStr">
        <is>
          <t>PE 이중벽관 D600</t>
        </is>
      </c>
      <c r="B11" s="5" t="n"/>
      <c r="C11" s="5" t="n"/>
      <c r="D11" s="5" t="n"/>
      <c r="E11" s="5" t="n"/>
      <c r="F11" s="9" t="inlineStr">
        <is>
          <t>m</t>
        </is>
      </c>
      <c r="G11" s="5" t="n"/>
      <c r="H11" s="10" t="n">
        <v>42</v>
      </c>
      <c r="I11" s="5" t="n"/>
      <c r="J11" s="11" t="n">
        <v>186500</v>
      </c>
      <c r="K11" s="5" t="n"/>
      <c r="L11" s="5" t="n"/>
      <c r="M11" s="12">
        <f>IF(J11="","",INT(ROUND(J11*G8,6)))</f>
        <v/>
      </c>
      <c r="N11" s="5" t="n"/>
      <c r="O11" s="5" t="n"/>
      <c r="P11" s="12">
        <f>IF(J11="","",INT(ROUND((J11+M11)/2,6)))</f>
        <v/>
      </c>
      <c r="Q11" s="5" t="n"/>
      <c r="R11" s="5" t="n"/>
      <c r="S11" s="11" t="n"/>
      <c r="T11" s="5" t="n"/>
      <c r="U11" s="5" t="n"/>
      <c r="V11" s="12">
        <f>IF(OR(H11="",J11=""),"",INT(ROUND(H11*IF(S11="",P11,S11),6)))</f>
        <v/>
      </c>
      <c r="W11" s="5" t="n"/>
      <c r="X11" s="5" t="n"/>
    </row>
    <row r="12" ht="22" customHeight="1">
      <c r="A12" s="9" t="inlineStr">
        <is>
          <t>집수정 1.2×1.2</t>
        </is>
      </c>
      <c r="B12" s="5" t="n"/>
      <c r="C12" s="5" t="n"/>
      <c r="D12" s="5" t="n"/>
      <c r="E12" s="5" t="n"/>
      <c r="F12" s="9" t="inlineStr">
        <is>
          <t>개소</t>
        </is>
      </c>
      <c r="G12" s="5" t="n"/>
      <c r="H12" s="10" t="n">
        <v>3</v>
      </c>
      <c r="I12" s="5" t="n"/>
      <c r="J12" s="11" t="n">
        <v>1245000</v>
      </c>
      <c r="K12" s="5" t="n"/>
      <c r="L12" s="5" t="n"/>
      <c r="M12" s="12">
        <f>IF(J12="","",INT(ROUND(J12*G8,6)))</f>
        <v/>
      </c>
      <c r="N12" s="5" t="n"/>
      <c r="O12" s="5" t="n"/>
      <c r="P12" s="12">
        <f>IF(J12="","",INT(ROUND((J12+M12)/2,6)))</f>
        <v/>
      </c>
      <c r="Q12" s="5" t="n"/>
      <c r="R12" s="5" t="n"/>
      <c r="S12" s="11" t="n"/>
      <c r="T12" s="5" t="n"/>
      <c r="U12" s="5" t="n"/>
      <c r="V12" s="12">
        <f>IF(OR(H12="",J12=""),"",INT(ROUND(H12*IF(S12="",P12,S12),6)))</f>
        <v/>
      </c>
      <c r="W12" s="5" t="n"/>
      <c r="X12" s="5" t="n"/>
    </row>
    <row r="13" ht="22" customHeight="1">
      <c r="A13" s="9" t="inlineStr">
        <is>
          <t>가물막이(톤마대)</t>
        </is>
      </c>
      <c r="B13" s="5" t="n"/>
      <c r="C13" s="5" t="n"/>
      <c r="D13" s="5" t="n"/>
      <c r="E13" s="5" t="n"/>
      <c r="F13" s="9" t="inlineStr">
        <is>
          <t>개</t>
        </is>
      </c>
      <c r="G13" s="5" t="n"/>
      <c r="H13" s="10" t="n">
        <v>60</v>
      </c>
      <c r="I13" s="5" t="n"/>
      <c r="J13" s="11" t="n">
        <v>38400</v>
      </c>
      <c r="K13" s="5" t="n"/>
      <c r="L13" s="5" t="n"/>
      <c r="M13" s="12">
        <f>IF(J13="","",INT(ROUND(J13*G8,6)))</f>
        <v/>
      </c>
      <c r="N13" s="5" t="n"/>
      <c r="O13" s="5" t="n"/>
      <c r="P13" s="12">
        <f>IF(J13="","",INT(ROUND((J13+M13)/2,6)))</f>
        <v/>
      </c>
      <c r="Q13" s="5" t="n"/>
      <c r="R13" s="5" t="n"/>
      <c r="S13" s="11" t="n">
        <v>36000</v>
      </c>
      <c r="T13" s="5" t="n"/>
      <c r="U13" s="5" t="n"/>
      <c r="V13" s="12">
        <f>IF(OR(H13="",J13=""),"",INT(ROUND(H13*IF(S13="",P13,S13),6)))</f>
        <v/>
      </c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10" t="n"/>
      <c r="I14" s="5" t="n"/>
      <c r="J14" s="11" t="n"/>
      <c r="K14" s="5" t="n"/>
      <c r="L14" s="5" t="n"/>
      <c r="M14" s="12">
        <f>IF(J14="","",INT(ROUND(J14*G8,6)))</f>
        <v/>
      </c>
      <c r="N14" s="5" t="n"/>
      <c r="O14" s="5" t="n"/>
      <c r="P14" s="12">
        <f>IF(J14="","",INT(ROUND((J14+M14)/2,6)))</f>
        <v/>
      </c>
      <c r="Q14" s="5" t="n"/>
      <c r="R14" s="5" t="n"/>
      <c r="S14" s="11" t="n"/>
      <c r="T14" s="5" t="n"/>
      <c r="U14" s="5" t="n"/>
      <c r="V14" s="12">
        <f>IF(OR(H14="",J14=""),"",INT(ROUND(H14*IF(S14="",P14,S14),6)))</f>
        <v/>
      </c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10" t="n"/>
      <c r="I15" s="5" t="n"/>
      <c r="J15" s="11" t="n"/>
      <c r="K15" s="5" t="n"/>
      <c r="L15" s="5" t="n"/>
      <c r="M15" s="12">
        <f>IF(J15="","",INT(ROUND(J15*G8,6)))</f>
        <v/>
      </c>
      <c r="N15" s="5" t="n"/>
      <c r="O15" s="5" t="n"/>
      <c r="P15" s="12">
        <f>IF(J15="","",INT(ROUND((J15+M15)/2,6)))</f>
        <v/>
      </c>
      <c r="Q15" s="5" t="n"/>
      <c r="R15" s="5" t="n"/>
      <c r="S15" s="11" t="n"/>
      <c r="T15" s="5" t="n"/>
      <c r="U15" s="5" t="n"/>
      <c r="V15" s="12">
        <f>IF(OR(H15="",J15=""),"",INT(ROUND(H15*IF(S15="",P15,S15),6)))</f>
        <v/>
      </c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10" t="n"/>
      <c r="I16" s="5" t="n"/>
      <c r="J16" s="11" t="n"/>
      <c r="K16" s="5" t="n"/>
      <c r="L16" s="5" t="n"/>
      <c r="M16" s="12">
        <f>IF(J16="","",INT(ROUND(J16*G8,6)))</f>
        <v/>
      </c>
      <c r="N16" s="5" t="n"/>
      <c r="O16" s="5" t="n"/>
      <c r="P16" s="12">
        <f>IF(J16="","",INT(ROUND((J16+M16)/2,6)))</f>
        <v/>
      </c>
      <c r="Q16" s="5" t="n"/>
      <c r="R16" s="5" t="n"/>
      <c r="S16" s="11" t="n"/>
      <c r="T16" s="5" t="n"/>
      <c r="U16" s="5" t="n"/>
      <c r="V16" s="12">
        <f>IF(OR(H16="",J16=""),"",INT(ROUND(H16*IF(S16="",P16,S16),6)))</f>
        <v/>
      </c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10" t="n"/>
      <c r="I17" s="5" t="n"/>
      <c r="J17" s="11" t="n"/>
      <c r="K17" s="5" t="n"/>
      <c r="L17" s="5" t="n"/>
      <c r="M17" s="12">
        <f>IF(J17="","",INT(ROUND(J17*G8,6)))</f>
        <v/>
      </c>
      <c r="N17" s="5" t="n"/>
      <c r="O17" s="5" t="n"/>
      <c r="P17" s="12">
        <f>IF(J17="","",INT(ROUND((J17+M17)/2,6)))</f>
        <v/>
      </c>
      <c r="Q17" s="5" t="n"/>
      <c r="R17" s="5" t="n"/>
      <c r="S17" s="11" t="n"/>
      <c r="T17" s="5" t="n"/>
      <c r="U17" s="5" t="n"/>
      <c r="V17" s="12">
        <f>IF(OR(H17="",J17=""),"",INT(ROUND(H17*IF(S17="",P17,S17),6)))</f>
        <v/>
      </c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10" t="n"/>
      <c r="I18" s="5" t="n"/>
      <c r="J18" s="11" t="n"/>
      <c r="K18" s="5" t="n"/>
      <c r="L18" s="5" t="n"/>
      <c r="M18" s="12">
        <f>IF(J18="","",INT(ROUND(J18*G8,6)))</f>
        <v/>
      </c>
      <c r="N18" s="5" t="n"/>
      <c r="O18" s="5" t="n"/>
      <c r="P18" s="12">
        <f>IF(J18="","",INT(ROUND((J18+M18)/2,6)))</f>
        <v/>
      </c>
      <c r="Q18" s="5" t="n"/>
      <c r="R18" s="5" t="n"/>
      <c r="S18" s="11" t="n"/>
      <c r="T18" s="5" t="n"/>
      <c r="U18" s="5" t="n"/>
      <c r="V18" s="12">
        <f>IF(OR(H18="",J18=""),"",INT(ROUND(H18*IF(S18="",P18,S18),6)))</f>
        <v/>
      </c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9" t="n"/>
      <c r="G19" s="5" t="n"/>
      <c r="H19" s="10" t="n"/>
      <c r="I19" s="5" t="n"/>
      <c r="J19" s="11" t="n"/>
      <c r="K19" s="5" t="n"/>
      <c r="L19" s="5" t="n"/>
      <c r="M19" s="12">
        <f>IF(J19="","",INT(ROUND(J19*G8,6)))</f>
        <v/>
      </c>
      <c r="N19" s="5" t="n"/>
      <c r="O19" s="5" t="n"/>
      <c r="P19" s="12">
        <f>IF(J19="","",INT(ROUND((J19+M19)/2,6)))</f>
        <v/>
      </c>
      <c r="Q19" s="5" t="n"/>
      <c r="R19" s="5" t="n"/>
      <c r="S19" s="11" t="n"/>
      <c r="T19" s="5" t="n"/>
      <c r="U19" s="5" t="n"/>
      <c r="V19" s="12">
        <f>IF(OR(H19="",J19=""),"",INT(ROUND(H19*IF(S19="",P19,S19),6)))</f>
        <v/>
      </c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9" t="n"/>
      <c r="G20" s="5" t="n"/>
      <c r="H20" s="10" t="n"/>
      <c r="I20" s="5" t="n"/>
      <c r="J20" s="11" t="n"/>
      <c r="K20" s="5" t="n"/>
      <c r="L20" s="5" t="n"/>
      <c r="M20" s="12">
        <f>IF(J20="","",INT(ROUND(J20*G8,6)))</f>
        <v/>
      </c>
      <c r="N20" s="5" t="n"/>
      <c r="O20" s="5" t="n"/>
      <c r="P20" s="12">
        <f>IF(J20="","",INT(ROUND((J20+M20)/2,6)))</f>
        <v/>
      </c>
      <c r="Q20" s="5" t="n"/>
      <c r="R20" s="5" t="n"/>
      <c r="S20" s="11" t="n"/>
      <c r="T20" s="5" t="n"/>
      <c r="U20" s="5" t="n"/>
      <c r="V20" s="12">
        <f>IF(OR(H20="",J20=""),"",INT(ROUND(H20*IF(S20="",P20,S20),6)))</f>
        <v/>
      </c>
      <c r="W20" s="5" t="n"/>
      <c r="X20" s="5" t="n"/>
    </row>
    <row r="21" ht="22" customHeight="1">
      <c r="A21" s="13" t="inlineStr">
        <is>
          <t>합        계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4">
        <f>SUM(V11:V20)</f>
        <v/>
      </c>
      <c r="W21" s="5" t="n"/>
      <c r="X21" s="5" t="n"/>
    </row>
    <row r="22" ht="6" customHeight="1"/>
    <row r="23" ht="34" customHeight="1">
      <c r="A23" s="15" t="inlineStr">
        <is>
          <t>※ 협의가 이루어지지 않는 경우의 기준값이 «중간값» 입니다. 협의 결과를 «협의 단가» 에 적습니다.</t>
        </is>
      </c>
    </row>
    <row r="24" ht="6" customHeight="1"/>
    <row r="25" ht="24" customHeight="1">
      <c r="A25" s="4" t="inlineStr">
        <is>
          <t xml:space="preserve">  협의 일자</t>
        </is>
      </c>
      <c r="B25" s="5" t="n"/>
      <c r="C25" s="5" t="n"/>
      <c r="D25" s="5" t="n"/>
      <c r="E25" s="5" t="n"/>
      <c r="F25" s="5" t="n"/>
      <c r="G25" s="16" t="n">
        <v>46185</v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협의 참석자</t>
        </is>
      </c>
      <c r="B26" s="5" t="n"/>
      <c r="C26" s="5" t="n"/>
      <c r="D26" s="5" t="n"/>
      <c r="E26" s="5" t="n"/>
      <c r="F26" s="5" t="n"/>
      <c r="G26" s="6" t="inlineStr">
        <is>
          <t>가나시 건설과 박감독 · 예시건설(주) 김철수</t>
        </is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합의 내용</t>
        </is>
      </c>
      <c r="B27" s="5" t="n"/>
      <c r="C27" s="5" t="n"/>
      <c r="D27" s="5" t="n"/>
      <c r="E27" s="5" t="n"/>
      <c r="F27" s="5" t="n"/>
      <c r="G27" s="6" t="inlineStr">
        <is>
          <t>PE관·집수정은 중간값, 가물막이는 협의 단가 36,000원으로 합의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7" t="n">
        <v>46294</v>
      </c>
    </row>
    <row r="31" ht="24" customHeight="1">
      <c r="A31" s="18" t="inlineStr"/>
      <c r="K31" s="19" t="inlineStr">
        <is>
          <t>시공자</t>
        </is>
      </c>
      <c r="Q31" s="20" t="inlineStr">
        <is>
          <t>김철수</t>
        </is>
      </c>
      <c r="U31" s="21" t="inlineStr">
        <is>
          <t>(서명 또는 인)</t>
        </is>
      </c>
    </row>
    <row r="32" ht="24" customHeight="1">
      <c r="A32" s="18" t="inlineStr"/>
      <c r="K32" s="19" t="inlineStr">
        <is>
          <t>발주기관</t>
        </is>
      </c>
      <c r="Q32" s="20" t="inlineStr">
        <is>
          <t>박감독</t>
        </is>
      </c>
      <c r="U32" s="21" t="inlineStr">
        <is>
          <t>(서명 또는 인)</t>
        </is>
      </c>
    </row>
    <row r="33" ht="6" customHeight="1"/>
    <row r="35" ht="19.5" customHeight="1">
      <c r="A35" s="22" t="inlineStr">
        <is>
          <t>이 시트는 작성 예시입니다(가상의 현장 · 이름 · 금액). 실제로는 앞 시트에 적으세요.</t>
        </is>
      </c>
    </row>
  </sheetData>
  <mergeCells count="118">
    <mergeCell ref="V10:X10"/>
    <mergeCell ref="S14:U14"/>
    <mergeCell ref="F16:G16"/>
    <mergeCell ref="H10:I10"/>
    <mergeCell ref="A11:E11"/>
    <mergeCell ref="S13:U13"/>
    <mergeCell ref="K31:P31"/>
    <mergeCell ref="P17:R17"/>
    <mergeCell ref="M12:O12"/>
    <mergeCell ref="J11:L11"/>
    <mergeCell ref="A3:X3"/>
    <mergeCell ref="S15:U15"/>
    <mergeCell ref="F15:G15"/>
    <mergeCell ref="P19:R19"/>
    <mergeCell ref="U31:X31"/>
    <mergeCell ref="A5:F5"/>
    <mergeCell ref="P12:R12"/>
    <mergeCell ref="P14:R14"/>
    <mergeCell ref="V12:X12"/>
    <mergeCell ref="F13:G13"/>
    <mergeCell ref="V21:X21"/>
    <mergeCell ref="H13:I13"/>
    <mergeCell ref="V14:X14"/>
    <mergeCell ref="J13:L13"/>
    <mergeCell ref="H15:I15"/>
    <mergeCell ref="V13:X13"/>
    <mergeCell ref="S17:U17"/>
    <mergeCell ref="S11:U11"/>
    <mergeCell ref="M20:O20"/>
    <mergeCell ref="A7:F7"/>
    <mergeCell ref="J15:L15"/>
    <mergeCell ref="M11:O11"/>
    <mergeCell ref="A32:J32"/>
    <mergeCell ref="G7:X7"/>
    <mergeCell ref="F10:G10"/>
    <mergeCell ref="F19:G19"/>
    <mergeCell ref="A27:F27"/>
    <mergeCell ref="M15:O15"/>
    <mergeCell ref="P16:R16"/>
    <mergeCell ref="J16:L16"/>
    <mergeCell ref="A21:U21"/>
    <mergeCell ref="A31:J31"/>
    <mergeCell ref="F20:G20"/>
    <mergeCell ref="F18:G18"/>
    <mergeCell ref="P18:R18"/>
    <mergeCell ref="A25:F25"/>
    <mergeCell ref="G26:X26"/>
    <mergeCell ref="F17:G17"/>
    <mergeCell ref="H17:I17"/>
    <mergeCell ref="M14:O14"/>
    <mergeCell ref="H11:I11"/>
    <mergeCell ref="A12:E12"/>
    <mergeCell ref="G25:X25"/>
    <mergeCell ref="H19:I19"/>
    <mergeCell ref="A14:E14"/>
    <mergeCell ref="V17:X17"/>
    <mergeCell ref="P20:R20"/>
    <mergeCell ref="S16:U16"/>
    <mergeCell ref="U32:X32"/>
    <mergeCell ref="H12:I12"/>
    <mergeCell ref="A30:X30"/>
    <mergeCell ref="J14:L14"/>
    <mergeCell ref="Q31:T31"/>
    <mergeCell ref="S18:U18"/>
    <mergeCell ref="V20:X20"/>
    <mergeCell ref="H14:I14"/>
    <mergeCell ref="A26:F26"/>
    <mergeCell ref="V15:X15"/>
    <mergeCell ref="A16:E16"/>
    <mergeCell ref="A8:F8"/>
    <mergeCell ref="M17:O17"/>
    <mergeCell ref="A18:E18"/>
    <mergeCell ref="S20:U20"/>
    <mergeCell ref="V16:X16"/>
    <mergeCell ref="M19:O19"/>
    <mergeCell ref="A35:X35"/>
    <mergeCell ref="H16:I16"/>
    <mergeCell ref="J18:L18"/>
    <mergeCell ref="V18:X18"/>
    <mergeCell ref="J17:L17"/>
    <mergeCell ref="S12:U12"/>
    <mergeCell ref="A20:E20"/>
    <mergeCell ref="J10:L10"/>
    <mergeCell ref="J19:L19"/>
    <mergeCell ref="G27:X27"/>
    <mergeCell ref="F14:G14"/>
    <mergeCell ref="A13:E13"/>
    <mergeCell ref="V19:X19"/>
    <mergeCell ref="F11:G11"/>
    <mergeCell ref="M10:O10"/>
    <mergeCell ref="P11:R11"/>
    <mergeCell ref="H20:I20"/>
    <mergeCell ref="A15:E15"/>
    <mergeCell ref="K32:P32"/>
    <mergeCell ref="M13:O13"/>
    <mergeCell ref="G6:X6"/>
    <mergeCell ref="J20:L20"/>
    <mergeCell ref="M16:O16"/>
    <mergeCell ref="Q32:T32"/>
    <mergeCell ref="S10:U10"/>
    <mergeCell ref="V11:X11"/>
    <mergeCell ref="F12:G12"/>
    <mergeCell ref="S19:U19"/>
    <mergeCell ref="M18:O18"/>
    <mergeCell ref="G5:X5"/>
    <mergeCell ref="P13:R13"/>
    <mergeCell ref="A23:X23"/>
    <mergeCell ref="J12:L12"/>
    <mergeCell ref="P15:R15"/>
    <mergeCell ref="A17:E17"/>
    <mergeCell ref="P10:R10"/>
    <mergeCell ref="A10:E10"/>
    <mergeCell ref="A1:L1"/>
    <mergeCell ref="H18:I18"/>
    <mergeCell ref="A19:E19"/>
    <mergeCell ref="A6:F6"/>
    <mergeCell ref="M1:X1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협의단가 산정서</dc:title>
  <dcterms:created xmlns:dcterms="http://purl.org/dc/terms/" xmlns:xsi="http://www.w3.org/2001/XMLSchema-instance" xsi:type="dcterms:W3CDTF">2026-09-29T04:41:17Z</dcterms:created>
  <dcterms:modified xmlns:dcterms="http://purl.org/dc/terms/" xmlns:xsi="http://www.w3.org/2001/XMLSchema-instance" xsi:type="dcterms:W3CDTF">2026-09-29T04:41:18Z</dcterms:modified>
</cp:coreProperties>
</file>