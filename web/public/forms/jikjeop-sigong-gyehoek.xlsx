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17호선\착공계\"/>
    </mc:Choice>
  </mc:AlternateContent>
  <xr:revisionPtr revIDLastSave="0" documentId="13_ncr:1_{602CCD33-9E36-4675-80CA-20EE2E3BA9F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직접시공계획서(변경양식)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" hidden="1">[1]화전내!#REF!</definedName>
    <definedName name="_Dist_Bin" hidden="1">[2]조명시설!#REF!</definedName>
    <definedName name="_Dist_Values" hidden="1">[2]조명시설!#REF!</definedName>
    <definedName name="_Fill" localSheetId="0" hidden="1">[3]음료실행!#REF!</definedName>
    <definedName name="_Fill" hidden="1">[3]음료실행!#REF!</definedName>
    <definedName name="_xlnm._FilterDatabase" hidden="1">#REF!</definedName>
    <definedName name="_Key1" localSheetId="0" hidden="1">#REF!</definedName>
    <definedName name="_Key1" hidden="1">#REF!</definedName>
    <definedName name="_Key2" hidden="1">#REF!</definedName>
    <definedName name="_MatMult_A" hidden="1">[4]재료비!#REF!</definedName>
    <definedName name="_Order1" hidden="1">0</definedName>
    <definedName name="_Order2" hidden="1">255</definedName>
    <definedName name="_Parse_In" hidden="1">#REF!</definedName>
    <definedName name="_Sort" localSheetId="0" hidden="1">#REF!</definedName>
    <definedName name="_Sort" hidden="1">#REF!</definedName>
    <definedName name="ACX" hidden="1">#REF!</definedName>
    <definedName name="alslsdkjfjs" hidden="1">#REF!</definedName>
    <definedName name="AREA0002" hidden="1">#REF!</definedName>
    <definedName name="ASC" hidden="1">'[5]98수문일위'!$A$1:$P$2004</definedName>
    <definedName name="asdfasdfasdfasfcasx" hidden="1">'[6]98수문일위'!$A$1:$P$2004</definedName>
    <definedName name="AWEGAWEG" hidden="1">#REF!</definedName>
    <definedName name="AWG" hidden="1">#REF!</definedName>
    <definedName name="AWGRA" hidden="1">#REF!</definedName>
    <definedName name="AWGRWGAW" hidden="1">#REF!</definedName>
    <definedName name="DFASDF" hidden="1">#REF!</definedName>
    <definedName name="DJYDTYJ" hidden="1">#REF!</definedName>
    <definedName name="DRJDRTH" hidden="1">#REF!</definedName>
    <definedName name="DTYJTH" hidden="1">#REF!</definedName>
    <definedName name="ff" hidden="1">#REF!</definedName>
    <definedName name="FYUKGFYUK" hidden="1">#REF!</definedName>
    <definedName name="HTML_CodePage" hidden="1">949</definedName>
    <definedName name="HTML_Control" hidden="1">{"'건축내역'!$A$1:$L$413"}</definedName>
    <definedName name="HTML_Description" hidden="1">""</definedName>
    <definedName name="HTML_Email" hidden="1">""</definedName>
    <definedName name="HTML_Header" hidden="1">"건축내역"</definedName>
    <definedName name="HTML_LastUpdate" hidden="1">"00-11-13"</definedName>
    <definedName name="HTML_LineAfter" hidden="1">FALSE</definedName>
    <definedName name="HTML_LineBefore" hidden="1">FALSE</definedName>
    <definedName name="HTML_Name" hidden="1">"HongJin Agriculture Korea"</definedName>
    <definedName name="HTML_OBDlg2" hidden="1">TRUE</definedName>
    <definedName name="HTML_OBDlg4" hidden="1">TRUE</definedName>
    <definedName name="HTML_OS" hidden="1">0</definedName>
    <definedName name="HTML_PathFile" hidden="1">"C:\001WORK\MyHTML.htm"</definedName>
    <definedName name="HTML_Title" hidden="1">"cost2010"</definedName>
    <definedName name="mm" hidden="1">{#N/A,#N/A,TRUE,"토적및재료집계";#N/A,#N/A,TRUE,"토적및재료집계";#N/A,#N/A,TRUE,"단위량"}</definedName>
    <definedName name="_xlnm.Print_Area" localSheetId="0">'직접시공계획서(변경양식)'!$A$1:$M$47</definedName>
    <definedName name="QWERQWER" hidden="1">#REF!</definedName>
    <definedName name="QWERT" hidden="1">#REF!</definedName>
    <definedName name="RFYIFIOYGOPIO" hidden="1">#REF!</definedName>
    <definedName name="SdAS" hidden="1">'[5]98수문일위'!$A$1:$P$2004</definedName>
    <definedName name="SDF" hidden="1">#REF!</definedName>
    <definedName name="SDGAS" hidden="1">#REF!</definedName>
    <definedName name="SDRTHST" hidden="1">#REF!</definedName>
    <definedName name="TYRY" hidden="1">#REF!</definedName>
    <definedName name="v" hidden="1">{#N/A,#N/A,TRUE,"토적및재료집계";#N/A,#N/A,TRUE,"토적및재료집계";#N/A,#N/A,TRUE,"단위량"}</definedName>
    <definedName name="VHFG" hidden="1">#REF!</definedName>
    <definedName name="wrn.신용찬." hidden="1">{#N/A,#N/A,TRUE,"토적및재료집계";#N/A,#N/A,TRUE,"토적및재료집계";#N/A,#N/A,TRUE,"단위량"}</definedName>
    <definedName name="XCVBGSDFGSER" hidden="1">#REF!</definedName>
    <definedName name="zx" hidden="1">[7]노임단가!#REF!</definedName>
    <definedName name="개거" hidden="1">#REF!</definedName>
    <definedName name="건축" hidden="1">{#N/A,#N/A,TRUE,"토적및재료집계";#N/A,#N/A,TRUE,"토적및재료집계";#N/A,#N/A,TRUE,"단위량"}</definedName>
    <definedName name="공사원가계산서" hidden="1">{#N/A,#N/A,TRUE,"토적및재료집계";#N/A,#N/A,TRUE,"토적및재료집계";#N/A,#N/A,TRUE,"단위량"}</definedName>
    <definedName name="기타경비1" hidden="1">{#N/A,#N/A,TRUE,"토적및재료집계";#N/A,#N/A,TRUE,"토적및재료집계";#N/A,#N/A,TRUE,"단위량"}</definedName>
    <definedName name="ㄴㅁ" hidden="1">{#N/A,#N/A,TRUE,"토적및재료집계";#N/A,#N/A,TRUE,"토적및재료집계";#N/A,#N/A,TRUE,"단위량"}</definedName>
    <definedName name="ㄴㅁㄴㅇㄹ" hidden="1">#REF!</definedName>
    <definedName name="ㄴㅇㄹㄷ" hidden="1">#REF!</definedName>
    <definedName name="ㄴㅇㄻ" hidden="1">#REF!</definedName>
    <definedName name="ㄴㅇㄼㅈㄷㄹ" hidden="1">'[6]98수문일위'!$A$1:$P$2004</definedName>
    <definedName name="ㄴㅇㅁㄴㅇ" hidden="1">{#N/A,#N/A,TRUE,"토적및재료집계";#N/A,#N/A,TRUE,"토적및재료집계";#N/A,#N/A,TRUE,"단위량"}</definedName>
    <definedName name="ㄴㅇㅇ" hidden="1">#REF!</definedName>
    <definedName name="ㄴㅇㅇㅇㅇㅇㅇ" hidden="1">{#N/A,#N/A,TRUE,"토적및재료집계";#N/A,#N/A,TRUE,"토적및재료집계";#N/A,#N/A,TRUE,"단위량"}</definedName>
    <definedName name="ㄴㅇㅍㅁㄴㅇㄹ" hidden="1">'[5]98수문일위'!$A$1:$P$2004</definedName>
    <definedName name="ㄷ" hidden="1">{#N/A,#N/A,TRUE,"토적및재료집계";#N/A,#N/A,TRUE,"토적및재료집계";#N/A,#N/A,TRUE,"단위량"}</definedName>
    <definedName name="단가산출근거" hidden="1">'[8]토량1-1'!#REF!</definedName>
    <definedName name="ㄹ" hidden="1">{#N/A,#N/A,TRUE,"토적및재료집계";#N/A,#N/A,TRUE,"토적및재료집계";#N/A,#N/A,TRUE,"단위량"}</definedName>
    <definedName name="ㄹㄴ" hidden="1">#REF!</definedName>
    <definedName name="ㄹㄹㄹ" hidden="1">#REF!</definedName>
    <definedName name="ㄹㅇㄹㅈㄷㅊ" hidden="1">'[5]98수문일위'!$A$1:$P$2004</definedName>
    <definedName name="ㅀ" hidden="1">{#N/A,#N/A,TRUE,"토적및재료집계";#N/A,#N/A,TRUE,"토적및재료집계";#N/A,#N/A,TRUE,"단위량"}</definedName>
    <definedName name="ㅁㄴ" hidden="1">#REF!</definedName>
    <definedName name="ㅁㄴㅇㄴ" hidden="1">{#N/A,#N/A,TRUE,"토적및재료집계";#N/A,#N/A,TRUE,"토적및재료집계";#N/A,#N/A,TRUE,"단위량"}</definedName>
    <definedName name="ㅁㄴㅇㄹ" hidden="1">#REF!</definedName>
    <definedName name="ㅁㄴㅇ류" hidden="1">#REF!</definedName>
    <definedName name="ㅁㄴㅇㄻㄴㅇㄹㄴ" hidden="1">#REF!</definedName>
    <definedName name="ㅁㄴㅇㅍㄴㅇㄴ" hidden="1">'[6]98수문일위'!$A$1:$P$2004</definedName>
    <definedName name="ㅁㄴㅊㅍㅁㅌㅊ펌ㄴㅇㄹ" hidden="1">#REF!</definedName>
    <definedName name="ㅁㄻㄴㅇㄹㄴㅇㄹㄴ" hidden="1">#REF!</definedName>
    <definedName name="ㅁ인ㅍㅁ닟ㅍㅁㄴㅇㄹ" hidden="1">#REF!</definedName>
    <definedName name="ㅁ읾ㄴㅇㄻ" hidden="1">#REF!</definedName>
    <definedName name="ㅁㅈㄷㅅㅂㄱ흎ㅊ퓨" hidden="1">#REF!</definedName>
    <definedName name="ㅁㅊㅇㅍㅁㄴㅇㄻㄴㅇㄹ" hidden="1">#REF!</definedName>
    <definedName name="메롱이랑께롱" hidden="1">{#N/A,#N/A,TRUE,"토적및재료집계";#N/A,#N/A,TRUE,"토적및재료집계";#N/A,#N/A,TRUE,"단위량"}</definedName>
    <definedName name="변경원가" hidden="1">#REF!</definedName>
    <definedName name="ㅅ" hidden="1">{#N/A,#N/A,TRUE,"토적및재료집계";#N/A,#N/A,TRUE,"토적및재료집계";#N/A,#N/A,TRUE,"단위량"}</definedName>
    <definedName name="ㅅㅅ" hidden="1">{#N/A,#N/A,TRUE,"토적및재료집계";#N/A,#N/A,TRUE,"토적및재료집계";#N/A,#N/A,TRUE,"단위량"}</definedName>
    <definedName name="ㅇ1207">[9]화설내!$D$6</definedName>
    <definedName name="ㅇㄹ" hidden="1">'[10]98수문일위'!$A$1:$P$2004</definedName>
    <definedName name="ㅇㄻㄴㅇㄻㄴㅇㄹ" hidden="1">#REF!</definedName>
    <definedName name="ㅇㅈㄷㅄㅂㅈㄷㄱ" hidden="1">#REF!</definedName>
    <definedName name="이름충돌" hidden="1">{#N/A,#N/A,TRUE,"토적및재료집계";#N/A,#N/A,TRUE,"토적및재료집계";#N/A,#N/A,TRUE,"단위량"}</definedName>
    <definedName name="ㅈㄷㄻㅇㄹ" hidden="1">#REF!</definedName>
    <definedName name="ㅈㄷㄻㅈ" hidden="1">#REF!</definedName>
    <definedName name="자재단가근거" hidden="1">#REF!</definedName>
    <definedName name="제수문" hidden="1">#REF!</definedName>
    <definedName name="직매54P" hidden="1">{#N/A,#N/A,TRUE,"토적및재료집계";#N/A,#N/A,TRUE,"토적및재료집계";#N/A,#N/A,TRUE,"단위량"}</definedName>
    <definedName name="ㅊㅍ" hidden="1">#REF!</definedName>
    <definedName name="케이블간지" hidden="1">{#N/A,#N/A,TRUE,"토적및재료집계";#N/A,#N/A,TRUE,"토적및재료집계";#N/A,#N/A,TRUE,"단위량"}</definedName>
    <definedName name="ㅍ" hidden="1">'[10]98수문일위'!$A$1:$P$2004</definedName>
    <definedName name="ㅍㄴㅇㄹ" hidden="1">#REF!</definedName>
    <definedName name="ㅍㅇㄴ" hidden="1">'[5]98수문일위'!$A$1:$P$2004</definedName>
    <definedName name="ㅍㅋㅌㅊㅍㅇㄷ" hidden="1">'[5]98수문일위'!$A$1:$P$2004</definedName>
    <definedName name="ㅍㅍ" hidden="1">{#N/A,#N/A,TRUE,"토적및재료집계";#N/A,#N/A,TRUE,"토적및재료집계";#N/A,#N/A,TRUE,"단위량"}</definedName>
    <definedName name="표지1" hidden="1">#REF!</definedName>
    <definedName name="ㅎㄴㅇㅁㄹ" hidden="1">'[11]98수문일위'!$A$1:$P$2004</definedName>
    <definedName name="하서TMTC구매설치총괄" hidden="1">[12]노임단가!#REF!</definedName>
    <definedName name="ㅗ" hidden="1">{#N/A,#N/A,TRUE,"토적및재료집계";#N/A,#N/A,TRUE,"토적및재료집계";#N/A,#N/A,TRUE,"단위량"}</definedName>
    <definedName name="ㅗㅅㄱ" hidden="1">{#N/A,#N/A,TRUE,"토적및재료집계";#N/A,#N/A,TRUE,"토적및재료집계";#N/A,#N/A,TRUE,"단위량"}</definedName>
    <definedName name="ㅗㅗㅗ" hidden="1">{#N/A,#N/A,TRUE,"토적및재료집계";#N/A,#N/A,TRUE,"토적및재료집계";#N/A,#N/A,TRUE,"단위량"}</definedName>
    <definedName name="ㅘㅗ허ㅎ" hidden="1">#REF!</definedName>
    <definedName name="ㅛ" hidden="1">{#N/A,#N/A,TRUE,"토적및재료집계";#N/A,#N/A,TRUE,"토적및재료집계";#N/A,#N/A,TRUE,"단위량"}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1" l="1"/>
  <c r="D37" i="1"/>
  <c r="Q23" i="1"/>
  <c r="A43" i="1"/>
  <c r="L37" i="1"/>
  <c r="C18" i="1" l="1"/>
  <c r="O37" i="1"/>
  <c r="O23" i="1"/>
</calcChain>
</file>

<file path=xl/sharedStrings.xml><?xml version="1.0" encoding="utf-8"?>
<sst xmlns="http://schemas.openxmlformats.org/spreadsheetml/2006/main" count="60" uniqueCount="58">
  <si>
    <r>
      <t>■ 건설산업기본법 시행규칙</t>
    </r>
    <r>
      <rPr>
        <sz val="8"/>
        <color indexed="8"/>
        <rFont val="맑은 고딕"/>
        <family val="3"/>
        <charset val="129"/>
        <scheme val="minor"/>
      </rPr>
      <t>[별지 제22호의6서식]</t>
    </r>
  </si>
  <si>
    <t>공사명</t>
  </si>
  <si>
    <t>①공종</t>
  </si>
  <si>
    <t>현장소재지</t>
    <phoneticPr fontId="4" type="noConversion"/>
  </si>
  <si>
    <t>발주자</t>
  </si>
  <si>
    <r>
      <t>상호</t>
    </r>
    <r>
      <rPr>
        <sz val="9"/>
        <color indexed="8"/>
        <rFont val="맑은 고딕"/>
        <family val="3"/>
        <charset val="129"/>
        <scheme val="minor"/>
      </rPr>
      <t>(기관명)</t>
    </r>
  </si>
  <si>
    <t>구분</t>
  </si>
  <si>
    <t>대표자</t>
  </si>
  <si>
    <r>
      <t xml:space="preserve">[ </t>
    </r>
    <r>
      <rPr>
        <sz val="9"/>
        <color indexed="8"/>
        <rFont val="맑은 고딕"/>
        <family val="3"/>
        <charset val="129"/>
        <scheme val="minor"/>
      </rPr>
      <t>∨ ] 공공기관 [ ] 민간</t>
    </r>
  </si>
  <si>
    <t>주소</t>
    <phoneticPr fontId="4" type="noConversion"/>
  </si>
  <si>
    <t>수급인</t>
  </si>
  <si>
    <t>상호</t>
    <phoneticPr fontId="4" type="noConversion"/>
  </si>
  <si>
    <t>대표자</t>
    <phoneticPr fontId="4" type="noConversion"/>
  </si>
  <si>
    <t>영업소 소재지</t>
    <phoneticPr fontId="4" type="noConversion"/>
  </si>
  <si>
    <t>도급방법</t>
  </si>
  <si>
    <r>
      <t>[</t>
    </r>
    <r>
      <rPr>
        <sz val="9"/>
        <color indexed="8"/>
        <rFont val="맑은 고딕"/>
        <family val="3"/>
        <charset val="129"/>
        <scheme val="minor"/>
      </rPr>
      <t xml:space="preserve">∨] 단독도급 </t>
    </r>
  </si>
  <si>
    <r>
      <t xml:space="preserve">[ ] </t>
    </r>
    <r>
      <rPr>
        <sz val="9"/>
        <color indexed="8"/>
        <rFont val="맑은 고딕"/>
        <family val="3"/>
        <charset val="129"/>
        <scheme val="minor"/>
      </rPr>
      <t>공동도급([ ] 공동이행방식 [ ] 분담이행방식 [ ] 주계약자관리방식)</t>
    </r>
  </si>
  <si>
    <t>계약성질</t>
  </si>
  <si>
    <r>
      <t xml:space="preserve">[ V ] </t>
    </r>
    <r>
      <rPr>
        <sz val="9"/>
        <color indexed="8"/>
        <rFont val="맑은 고딕"/>
        <family val="3"/>
        <charset val="129"/>
        <scheme val="minor"/>
      </rPr>
      <t>장기계속공사 [  ] 기타공사</t>
    </r>
    <phoneticPr fontId="4" type="noConversion"/>
  </si>
  <si>
    <t>②계약일</t>
  </si>
  <si>
    <t>③착공일</t>
  </si>
  <si>
    <t>④준공</t>
  </si>
  <si>
    <t>예정일</t>
    <phoneticPr fontId="9" type="noConversion"/>
  </si>
  <si>
    <t>⑤총 노무비</t>
  </si>
  <si>
    <t>직접시공계획</t>
  </si>
  <si>
    <r>
      <t>하도급</t>
    </r>
    <r>
      <rPr>
        <sz val="9"/>
        <color indexed="8"/>
        <rFont val="맑은 고딕"/>
        <family val="3"/>
        <charset val="129"/>
        <scheme val="minor"/>
      </rPr>
      <t>(예정) 공종</t>
    </r>
  </si>
  <si>
    <t>⑥세부공종</t>
  </si>
  <si>
    <t>금액</t>
  </si>
  <si>
    <t>직접시공비율</t>
    <phoneticPr fontId="4" type="noConversion"/>
  </si>
  <si>
    <t>⑦직접시공 금액 합계</t>
  </si>
  <si>
    <r>
      <t>⑧하도급</t>
    </r>
    <r>
      <rPr>
        <sz val="10"/>
        <color indexed="8"/>
        <rFont val="맑은 고딕"/>
        <family val="3"/>
        <charset val="129"/>
        <scheme val="minor"/>
      </rPr>
      <t>(예정) 
  금액 합계</t>
    </r>
    <phoneticPr fontId="4" type="noConversion"/>
  </si>
  <si>
    <r>
      <t>(</t>
    </r>
    <r>
      <rPr>
        <sz val="10"/>
        <color indexed="8"/>
        <rFont val="맑은 고딕"/>
        <family val="3"/>
        <charset val="129"/>
        <scheme val="minor"/>
      </rPr>
      <t>직접시공 노무비)</t>
    </r>
  </si>
  <si>
    <r>
      <t>「건설산업기본법」 제</t>
    </r>
    <r>
      <rPr>
        <sz val="10"/>
        <color indexed="8"/>
        <rFont val="맑은 고딕"/>
        <family val="3"/>
        <charset val="129"/>
        <scheme val="minor"/>
      </rPr>
      <t>28조의2에 따라 건설공사의 직접시공계획을 통보합니다.</t>
    </r>
  </si>
  <si>
    <t>귀하</t>
    <phoneticPr fontId="4" type="noConversion"/>
  </si>
  <si>
    <t>구비서류</t>
  </si>
  <si>
    <r>
      <t xml:space="preserve">1. </t>
    </r>
    <r>
      <rPr>
        <sz val="8"/>
        <color indexed="8"/>
        <rFont val="맑은 고딕"/>
        <family val="3"/>
        <charset val="129"/>
      </rPr>
      <t>직접 시공 및 하도급 할 공사량ㆍ공사단가 및 공사금액</t>
    </r>
    <r>
      <rPr>
        <sz val="8"/>
        <color indexed="8"/>
        <rFont val="돋움체"/>
        <family val="3"/>
        <charset val="129"/>
      </rPr>
      <t>(</t>
    </r>
    <r>
      <rPr>
        <sz val="8"/>
        <color indexed="8"/>
        <rFont val="맑은 고딕"/>
        <family val="3"/>
        <charset val="129"/>
      </rPr>
      <t>노무비</t>
    </r>
    <r>
      <rPr>
        <sz val="8"/>
        <color indexed="8"/>
        <rFont val="돋움체"/>
        <family val="3"/>
        <charset val="129"/>
      </rPr>
      <t>)</t>
    </r>
    <r>
      <rPr>
        <sz val="8"/>
        <color indexed="8"/>
        <rFont val="맑은 고딕"/>
        <family val="3"/>
        <charset val="129"/>
      </rPr>
      <t>이 명시된 공사내역서</t>
    </r>
  </si>
  <si>
    <r>
      <t>210mm×297mm[</t>
    </r>
    <r>
      <rPr>
        <sz val="8"/>
        <color indexed="8"/>
        <rFont val="맑은 고딕"/>
        <family val="3"/>
        <charset val="129"/>
      </rPr>
      <t>백상지</t>
    </r>
    <r>
      <rPr>
        <sz val="8"/>
        <color indexed="8"/>
        <rFont val="돋움체"/>
        <family val="3"/>
        <charset val="129"/>
      </rPr>
      <t>(80g/</t>
    </r>
    <r>
      <rPr>
        <sz val="8"/>
        <color indexed="8"/>
        <rFont val="맑은 고딕"/>
        <family val="3"/>
        <charset val="129"/>
      </rPr>
      <t>㎡</t>
    </r>
    <r>
      <rPr>
        <sz val="8"/>
        <color indexed="8"/>
        <rFont val="돋움체"/>
        <family val="3"/>
        <charset val="129"/>
      </rPr>
      <t xml:space="preserve">) </t>
    </r>
    <r>
      <rPr>
        <sz val="8"/>
        <color indexed="8"/>
        <rFont val="맑은 고딕"/>
        <family val="3"/>
        <charset val="129"/>
      </rPr>
      <t>또는 중질지</t>
    </r>
    <r>
      <rPr>
        <sz val="8"/>
        <color indexed="8"/>
        <rFont val="돋움체"/>
        <family val="3"/>
        <charset val="129"/>
      </rPr>
      <t>(80g/</t>
    </r>
    <r>
      <rPr>
        <sz val="8"/>
        <color indexed="8"/>
        <rFont val="맑은 고딕"/>
        <family val="3"/>
        <charset val="129"/>
      </rPr>
      <t>㎡</t>
    </r>
    <r>
      <rPr>
        <sz val="8"/>
        <color indexed="8"/>
        <rFont val="돋움체"/>
        <family val="3"/>
        <charset val="129"/>
      </rPr>
      <t>)]</t>
    </r>
  </si>
  <si>
    <t>노무비확인</t>
    <phoneticPr fontId="4" type="noConversion"/>
  </si>
  <si>
    <t>여수시</t>
    <phoneticPr fontId="4" type="noConversion"/>
  </si>
  <si>
    <t>건설공사의 직접시공계획서</t>
    <phoneticPr fontId="4" type="noConversion"/>
  </si>
  <si>
    <t>토목</t>
    <phoneticPr fontId="4" type="noConversion"/>
  </si>
  <si>
    <r>
      <t>직접시공 공종</t>
    </r>
    <r>
      <rPr>
        <sz val="9"/>
        <color indexed="8"/>
        <rFont val="맑은 고딕"/>
        <family val="3"/>
        <charset val="129"/>
        <scheme val="minor"/>
      </rPr>
      <t>(기능인력 투입예정 인원 :   1,926  명)</t>
    </r>
    <phoneticPr fontId="4" type="noConversion"/>
  </si>
  <si>
    <t>2025년   06월   09   일</t>
    <phoneticPr fontId="4" type="noConversion"/>
  </si>
  <si>
    <t>국도17호선순천월등계월지구도로정비공사</t>
    <phoneticPr fontId="4" type="noConversion"/>
  </si>
  <si>
    <t>전남순천시월등면계월리일원</t>
    <phoneticPr fontId="4" type="noConversion"/>
  </si>
  <si>
    <t>순천국토관리사무소</t>
    <phoneticPr fontId="4" type="noConversion"/>
  </si>
  <si>
    <t>대영스틸산업주식회사</t>
    <phoneticPr fontId="4" type="noConversion"/>
  </si>
  <si>
    <t>전남 장성군 동화면연산로149</t>
    <phoneticPr fontId="4" type="noConversion"/>
  </si>
  <si>
    <t>2025년06월20일</t>
    <phoneticPr fontId="4" type="noConversion"/>
  </si>
  <si>
    <t>2025년06월27일</t>
    <phoneticPr fontId="4" type="noConversion"/>
  </si>
  <si>
    <t>2026년06월21일</t>
    <phoneticPr fontId="4" type="noConversion"/>
  </si>
  <si>
    <t>2. 배수공</t>
    <phoneticPr fontId="4" type="noConversion"/>
  </si>
  <si>
    <t>1. 토공</t>
    <phoneticPr fontId="4" type="noConversion"/>
  </si>
  <si>
    <t>3.포장공</t>
    <phoneticPr fontId="4" type="noConversion"/>
  </si>
  <si>
    <t>4.부대공</t>
    <phoneticPr fontId="4" type="noConversion"/>
  </si>
  <si>
    <t>5.간접노무비</t>
    <phoneticPr fontId="4" type="noConversion"/>
  </si>
  <si>
    <t>주영완</t>
    <phoneticPr fontId="4" type="noConversion"/>
  </si>
  <si>
    <r>
      <t xml:space="preserve">수급인   대영스틸산업주식회사   대표이사   주영완      </t>
    </r>
    <r>
      <rPr>
        <sz val="11"/>
        <color indexed="8"/>
        <rFont val="맑은 고딕"/>
        <family val="3"/>
        <charset val="129"/>
        <scheme val="minor"/>
      </rPr>
      <t xml:space="preserve"> (서명 또는 인)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</si>
</sst>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₩&quot;#,##0;[Red]\-&quot;₩&quot;#,##0"/>
    <numFmt numFmtId="41" formatCode="_-* #,##0_-;\-* #,##0_-;_-* &quot;-&quot;_-;_-@_-"/>
    <numFmt numFmtId="176" formatCode="&quot;(일&quot;&quot;금&quot;\ @&quot;원)&quot;"/>
    <numFmt numFmtId="177" formatCode="_-* #,##0.00_-;\-* #,##0.00_-;_-* &quot;-&quot;_-;_-@_-"/>
    <numFmt numFmtId="178" formatCode="#,##0&quot;원&quot;"/>
  </numFmts>
  <fonts count="18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color rgb="FF000000"/>
      <name val="맑은 고딕"/>
      <family val="3"/>
      <charset val="129"/>
      <scheme val="minor"/>
    </font>
    <font>
      <sz val="8"/>
      <color indexed="8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indexed="8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color rgb="FF000000"/>
      <name val="굴림"/>
      <family val="3"/>
      <charset val="129"/>
    </font>
    <font>
      <sz val="10"/>
      <color indexed="8"/>
      <name val="맑은 고딕"/>
      <family val="3"/>
      <charset val="129"/>
      <scheme val="minor"/>
    </font>
    <font>
      <sz val="11"/>
      <color rgb="FFFF0000"/>
      <name val="돋움"/>
      <family val="3"/>
      <charset val="129"/>
    </font>
    <font>
      <sz val="11"/>
      <color rgb="FF000000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8"/>
      <color rgb="FF000000"/>
      <name val="돋움체"/>
      <family val="3"/>
      <charset val="129"/>
    </font>
    <font>
      <sz val="8"/>
      <color indexed="8"/>
      <name val="맑은 고딕"/>
      <family val="3"/>
      <charset val="129"/>
    </font>
    <font>
      <sz val="8"/>
      <color indexed="8"/>
      <name val="돋움체"/>
      <family val="3"/>
      <charset val="129"/>
    </font>
  </fonts>
  <fills count="2">
    <fill>
      <patternFill patternType="none"/>
    </fill>
    <fill>
      <patternFill patternType="gray125"/>
    </fill>
  </fills>
  <borders count="7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7F7F7F"/>
      </bottom>
      <diagonal/>
    </border>
    <border>
      <left/>
      <right style="thin">
        <color rgb="FF7F7F7F"/>
      </right>
      <top style="thin">
        <color rgb="FF000000"/>
      </top>
      <bottom style="thin">
        <color rgb="FF7F7F7F"/>
      </bottom>
      <diagonal/>
    </border>
    <border>
      <left style="thin">
        <color rgb="FF7F7F7F"/>
      </left>
      <right/>
      <top style="thin">
        <color rgb="FF000000"/>
      </top>
      <bottom style="thin">
        <color rgb="FF7F7F7F"/>
      </bottom>
      <diagonal/>
    </border>
    <border>
      <left/>
      <right/>
      <top style="thin">
        <color rgb="FF000000"/>
      </top>
      <bottom style="thin">
        <color rgb="FF7F7F7F"/>
      </bottom>
      <diagonal/>
    </border>
    <border>
      <left/>
      <right style="thin">
        <color rgb="FF000000"/>
      </right>
      <top style="thin">
        <color rgb="FF000000"/>
      </top>
      <bottom style="thin">
        <color rgb="FF7F7F7F"/>
      </bottom>
      <diagonal/>
    </border>
    <border>
      <left style="thin">
        <color rgb="FF000000"/>
      </left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/>
      <right style="thin">
        <color rgb="FF000000"/>
      </right>
      <top style="thin">
        <color rgb="FF7F7F7F"/>
      </top>
      <bottom/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thin">
        <color rgb="FF000000"/>
      </right>
      <top/>
      <bottom style="thin">
        <color rgb="FF7F7F7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000000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7F7F7F"/>
      </right>
      <top/>
      <bottom style="thin">
        <color rgb="FF000000"/>
      </bottom>
      <diagonal/>
    </border>
    <border>
      <left style="thin">
        <color rgb="FF7F7F7F"/>
      </left>
      <right/>
      <top style="thin">
        <color rgb="FF7F7F7F"/>
      </top>
      <bottom style="thin">
        <color rgb="FF000000"/>
      </bottom>
      <diagonal/>
    </border>
    <border>
      <left/>
      <right/>
      <top style="thin">
        <color rgb="FF7F7F7F"/>
      </top>
      <bottom style="thin">
        <color rgb="FF000000"/>
      </bottom>
      <diagonal/>
    </border>
    <border>
      <left/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7F7F7F"/>
      </right>
      <top style="thin">
        <color rgb="FF000000"/>
      </top>
      <bottom/>
      <diagonal/>
    </border>
    <border>
      <left style="thin">
        <color rgb="FF7F7F7F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000000"/>
      </left>
      <right/>
      <top style="thin">
        <color rgb="FF7F7F7F"/>
      </top>
      <bottom style="thin">
        <color rgb="FF000000"/>
      </bottom>
      <diagonal/>
    </border>
    <border>
      <left/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 style="hair">
        <color rgb="FF7F7F7F"/>
      </right>
      <top style="thin">
        <color rgb="FF7F7F7F"/>
      </top>
      <bottom style="thin">
        <color rgb="FF7F7F7F"/>
      </bottom>
      <diagonal/>
    </border>
    <border>
      <left style="hair">
        <color rgb="FF7F7F7F"/>
      </left>
      <right style="hair">
        <color rgb="FF7F7F7F"/>
      </right>
      <top style="thin">
        <color rgb="FF7F7F7F"/>
      </top>
      <bottom style="thin">
        <color rgb="FF7F7F7F"/>
      </bottom>
      <diagonal/>
    </border>
    <border>
      <left style="hair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hair">
        <color rgb="FF7F7F7F"/>
      </right>
      <top style="thin">
        <color rgb="FF7F7F7F"/>
      </top>
      <bottom style="thin">
        <color rgb="FF7F7F7F"/>
      </bottom>
      <diagonal/>
    </border>
    <border>
      <left style="hair">
        <color rgb="FF7F7F7F"/>
      </left>
      <right style="thin">
        <color rgb="FF000000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hair">
        <color rgb="FF7F7F7F"/>
      </right>
      <top style="thin">
        <color rgb="FF7F7F7F"/>
      </top>
      <bottom/>
      <diagonal/>
    </border>
    <border>
      <left style="hair">
        <color rgb="FF7F7F7F"/>
      </left>
      <right style="hair">
        <color rgb="FF7F7F7F"/>
      </right>
      <top style="thin">
        <color rgb="FF7F7F7F"/>
      </top>
      <bottom/>
      <diagonal/>
    </border>
    <border>
      <left style="hair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hair">
        <color rgb="FF7F7F7F"/>
      </right>
      <top style="thin">
        <color rgb="FF7F7F7F"/>
      </top>
      <bottom/>
      <diagonal/>
    </border>
    <border>
      <left style="hair">
        <color rgb="FF7F7F7F"/>
      </left>
      <right style="thin">
        <color rgb="FF000000"/>
      </right>
      <top style="thin">
        <color rgb="FF7F7F7F"/>
      </top>
      <bottom/>
      <diagonal/>
    </border>
    <border>
      <left style="thin">
        <color rgb="FF000000"/>
      </left>
      <right style="hair">
        <color rgb="FF7F7F7F"/>
      </right>
      <top/>
      <bottom style="thin">
        <color rgb="FF000000"/>
      </bottom>
      <diagonal/>
    </border>
    <border>
      <left style="hair">
        <color rgb="FF7F7F7F"/>
      </left>
      <right style="hair">
        <color rgb="FF7F7F7F"/>
      </right>
      <top/>
      <bottom style="thin">
        <color rgb="FF000000"/>
      </bottom>
      <diagonal/>
    </border>
    <border>
      <left style="hair">
        <color rgb="FF7F7F7F"/>
      </left>
      <right style="thin">
        <color rgb="FF7F7F7F"/>
      </right>
      <top/>
      <bottom style="thin">
        <color rgb="FF000000"/>
      </bottom>
      <diagonal/>
    </border>
    <border>
      <left style="thin">
        <color rgb="FF7F7F7F"/>
      </left>
      <right style="hair">
        <color rgb="FF7F7F7F"/>
      </right>
      <top/>
      <bottom style="thin">
        <color rgb="FF000000"/>
      </bottom>
      <diagonal/>
    </border>
    <border>
      <left style="hair">
        <color rgb="FF7F7F7F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ck">
        <color rgb="FF7F7F7F"/>
      </bottom>
      <diagonal/>
    </border>
    <border>
      <left/>
      <right/>
      <top/>
      <bottom style="thick">
        <color rgb="FF7F7F7F"/>
      </bottom>
      <diagonal/>
    </border>
    <border>
      <left/>
      <right style="thin">
        <color rgb="FF000000"/>
      </right>
      <top/>
      <bottom style="thick">
        <color rgb="FF7F7F7F"/>
      </bottom>
      <diagonal/>
    </border>
    <border>
      <left style="thin">
        <color rgb="FF000000"/>
      </left>
      <right/>
      <top style="thick">
        <color rgb="FF7F7F7F"/>
      </top>
      <bottom style="thin">
        <color rgb="FF5D5D5D"/>
      </bottom>
      <diagonal/>
    </border>
    <border>
      <left/>
      <right/>
      <top style="thick">
        <color rgb="FF7F7F7F"/>
      </top>
      <bottom style="thin">
        <color rgb="FF5D5D5D"/>
      </bottom>
      <diagonal/>
    </border>
    <border>
      <left/>
      <right style="thin">
        <color rgb="FF000000"/>
      </right>
      <top style="thick">
        <color rgb="FF7F7F7F"/>
      </top>
      <bottom style="thin">
        <color rgb="FF5D5D5D"/>
      </bottom>
      <diagonal/>
    </border>
    <border>
      <left style="thin">
        <color rgb="FF000000"/>
      </left>
      <right style="thin">
        <color rgb="FF5D5D5D"/>
      </right>
      <top style="thin">
        <color rgb="FF5D5D5D"/>
      </top>
      <bottom/>
      <diagonal/>
    </border>
    <border>
      <left style="thin">
        <color rgb="FF5D5D5D"/>
      </left>
      <right/>
      <top style="thin">
        <color rgb="FF5D5D5D"/>
      </top>
      <bottom/>
      <diagonal/>
    </border>
    <border>
      <left/>
      <right/>
      <top style="thin">
        <color rgb="FF5D5D5D"/>
      </top>
      <bottom/>
      <diagonal/>
    </border>
    <border>
      <left/>
      <right style="thin">
        <color rgb="FF000000"/>
      </right>
      <top style="thin">
        <color rgb="FF5D5D5D"/>
      </top>
      <bottom/>
      <diagonal/>
    </border>
    <border>
      <left style="thin">
        <color rgb="FF000000"/>
      </left>
      <right style="thin">
        <color rgb="FF5D5D5D"/>
      </right>
      <top/>
      <bottom style="thin">
        <color rgb="FF000000"/>
      </bottom>
      <diagonal/>
    </border>
    <border>
      <left style="thin">
        <color rgb="FF5D5D5D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50">
    <xf numFmtId="0" fontId="0" fillId="0" borderId="0" xfId="0"/>
    <xf numFmtId="0" fontId="0" fillId="0" borderId="0" xfId="0" applyAlignment="1">
      <alignment vertical="center"/>
    </xf>
    <xf numFmtId="0" fontId="7" fillId="0" borderId="11" xfId="0" applyFont="1" applyBorder="1" applyAlignment="1">
      <alignment horizontal="justify" vertical="center" wrapText="1"/>
    </xf>
    <xf numFmtId="177" fontId="0" fillId="0" borderId="0" xfId="1" applyNumberFormat="1" applyFont="1" applyAlignment="1">
      <alignment vertical="center"/>
    </xf>
    <xf numFmtId="10" fontId="12" fillId="0" borderId="0" xfId="2" applyNumberFormat="1" applyFont="1" applyAlignment="1">
      <alignment vertical="center"/>
    </xf>
    <xf numFmtId="0" fontId="13" fillId="0" borderId="58" xfId="0" applyFont="1" applyBorder="1" applyAlignment="1">
      <alignment horizontal="left" vertical="center" wrapText="1"/>
    </xf>
    <xf numFmtId="0" fontId="13" fillId="0" borderId="59" xfId="0" applyFont="1" applyBorder="1" applyAlignment="1">
      <alignment horizontal="left" vertical="center" wrapText="1"/>
    </xf>
    <xf numFmtId="0" fontId="0" fillId="0" borderId="70" xfId="0" applyBorder="1" applyAlignment="1">
      <alignment vertical="center"/>
    </xf>
    <xf numFmtId="0" fontId="0" fillId="0" borderId="71" xfId="0" applyBorder="1" applyAlignment="1">
      <alignment vertical="center"/>
    </xf>
    <xf numFmtId="0" fontId="2" fillId="0" borderId="63" xfId="0" applyFont="1" applyBorder="1" applyAlignment="1">
      <alignment horizontal="center" vertical="center" wrapText="1"/>
    </xf>
    <xf numFmtId="0" fontId="2" fillId="0" borderId="67" xfId="0" applyFont="1" applyBorder="1" applyAlignment="1">
      <alignment horizontal="center" vertical="center" wrapText="1"/>
    </xf>
    <xf numFmtId="0" fontId="15" fillId="0" borderId="64" xfId="0" applyFont="1" applyBorder="1" applyAlignment="1">
      <alignment horizontal="justify" vertical="center" wrapText="1"/>
    </xf>
    <xf numFmtId="0" fontId="15" fillId="0" borderId="65" xfId="0" applyFont="1" applyBorder="1" applyAlignment="1">
      <alignment horizontal="justify" vertical="center" wrapText="1"/>
    </xf>
    <xf numFmtId="0" fontId="15" fillId="0" borderId="66" xfId="0" applyFont="1" applyBorder="1" applyAlignment="1">
      <alignment horizontal="justify" vertical="center" wrapText="1"/>
    </xf>
    <xf numFmtId="0" fontId="15" fillId="0" borderId="68" xfId="0" applyFont="1" applyBorder="1" applyAlignment="1">
      <alignment horizontal="justify" vertical="center" wrapText="1"/>
    </xf>
    <xf numFmtId="0" fontId="15" fillId="0" borderId="1" xfId="0" applyFont="1" applyBorder="1" applyAlignment="1">
      <alignment horizontal="justify" vertical="center" wrapText="1"/>
    </xf>
    <xf numFmtId="0" fontId="15" fillId="0" borderId="69" xfId="0" applyFont="1" applyBorder="1" applyAlignment="1">
      <alignment horizontal="justify" vertical="center" wrapText="1"/>
    </xf>
    <xf numFmtId="0" fontId="15" fillId="0" borderId="28" xfId="0" applyFont="1" applyBorder="1" applyAlignment="1">
      <alignment horizontal="right" vertical="center" wrapText="1"/>
    </xf>
    <xf numFmtId="0" fontId="15" fillId="0" borderId="29" xfId="0" applyFont="1" applyBorder="1" applyAlignment="1">
      <alignment horizontal="right" vertical="center" wrapText="1"/>
    </xf>
    <xf numFmtId="0" fontId="15" fillId="0" borderId="30" xfId="0" applyFont="1" applyBorder="1" applyAlignment="1">
      <alignment horizontal="right" vertical="center" wrapText="1"/>
    </xf>
    <xf numFmtId="0" fontId="5" fillId="0" borderId="31" xfId="0" applyFont="1" applyBorder="1" applyAlignment="1">
      <alignment horizontal="justify" vertical="center" wrapText="1"/>
    </xf>
    <xf numFmtId="0" fontId="5" fillId="0" borderId="34" xfId="0" applyFont="1" applyBorder="1" applyAlignment="1">
      <alignment horizontal="justify" vertical="center" wrapText="1"/>
    </xf>
    <xf numFmtId="0" fontId="5" fillId="0" borderId="35" xfId="0" applyFont="1" applyBorder="1" applyAlignment="1">
      <alignment horizontal="justify" vertical="center" wrapText="1"/>
    </xf>
    <xf numFmtId="31" fontId="5" fillId="0" borderId="17" xfId="0" applyNumberFormat="1" applyFont="1" applyBorder="1" applyAlignment="1">
      <alignment horizontal="right" vertical="center" wrapText="1"/>
    </xf>
    <xf numFmtId="31" fontId="5" fillId="0" borderId="0" xfId="0" applyNumberFormat="1" applyFont="1" applyAlignment="1">
      <alignment horizontal="right" vertical="center" wrapText="1"/>
    </xf>
    <xf numFmtId="31" fontId="5" fillId="0" borderId="56" xfId="0" applyNumberFormat="1" applyFont="1" applyBorder="1" applyAlignment="1">
      <alignment horizontal="right" vertical="center" wrapText="1"/>
    </xf>
    <xf numFmtId="0" fontId="13" fillId="0" borderId="17" xfId="0" applyFont="1" applyBorder="1" applyAlignment="1">
      <alignment horizontal="right" vertical="center" wrapText="1"/>
    </xf>
    <xf numFmtId="0" fontId="13" fillId="0" borderId="0" xfId="0" applyFont="1" applyAlignment="1">
      <alignment horizontal="right" vertical="center" wrapText="1"/>
    </xf>
    <xf numFmtId="0" fontId="13" fillId="0" borderId="56" xfId="0" applyFont="1" applyBorder="1" applyAlignment="1">
      <alignment horizontal="right" vertical="center" wrapText="1"/>
    </xf>
    <xf numFmtId="0" fontId="13" fillId="0" borderId="57" xfId="0" applyFont="1" applyBorder="1" applyAlignment="1">
      <alignment horizontal="left" vertical="center" wrapText="1"/>
    </xf>
    <xf numFmtId="0" fontId="13" fillId="0" borderId="58" xfId="0" applyFont="1" applyBorder="1" applyAlignment="1">
      <alignment horizontal="left" vertical="center" wrapText="1"/>
    </xf>
    <xf numFmtId="0" fontId="5" fillId="0" borderId="60" xfId="0" applyFont="1" applyBorder="1" applyAlignment="1">
      <alignment horizontal="right" vertical="center" wrapText="1"/>
    </xf>
    <xf numFmtId="0" fontId="5" fillId="0" borderId="61" xfId="0" applyFont="1" applyBorder="1" applyAlignment="1">
      <alignment horizontal="right" vertical="center" wrapText="1"/>
    </xf>
    <xf numFmtId="0" fontId="5" fillId="0" borderId="62" xfId="0" applyFont="1" applyBorder="1" applyAlignment="1">
      <alignment horizontal="right" vertical="center" wrapText="1"/>
    </xf>
    <xf numFmtId="0" fontId="5" fillId="0" borderId="41" xfId="0" applyFont="1" applyBorder="1" applyAlignment="1">
      <alignment vertical="center" shrinkToFit="1"/>
    </xf>
    <xf numFmtId="0" fontId="5" fillId="0" borderId="42" xfId="0" applyFont="1" applyBorder="1" applyAlignment="1">
      <alignment vertical="center" shrinkToFit="1"/>
    </xf>
    <xf numFmtId="0" fontId="5" fillId="0" borderId="42" xfId="0" applyFont="1" applyBorder="1" applyAlignment="1">
      <alignment horizontal="right" vertical="center" wrapText="1"/>
    </xf>
    <xf numFmtId="0" fontId="5" fillId="0" borderId="43" xfId="0" applyFont="1" applyBorder="1" applyAlignment="1">
      <alignment horizontal="right" vertical="center" wrapText="1"/>
    </xf>
    <xf numFmtId="0" fontId="5" fillId="0" borderId="44" xfId="0" applyFont="1" applyBorder="1" applyAlignment="1">
      <alignment horizontal="justify" vertical="center" wrapText="1"/>
    </xf>
    <xf numFmtId="0" fontId="5" fillId="0" borderId="42" xfId="0" applyFont="1" applyBorder="1" applyAlignment="1">
      <alignment horizontal="justify" vertical="center" wrapText="1"/>
    </xf>
    <xf numFmtId="0" fontId="5" fillId="0" borderId="45" xfId="0" applyFont="1" applyBorder="1" applyAlignment="1">
      <alignment horizontal="justify" vertical="center" wrapText="1"/>
    </xf>
    <xf numFmtId="0" fontId="5" fillId="0" borderId="46" xfId="0" applyFont="1" applyBorder="1" applyAlignment="1">
      <alignment vertical="center" shrinkToFit="1"/>
    </xf>
    <xf numFmtId="0" fontId="5" fillId="0" borderId="47" xfId="0" applyFont="1" applyBorder="1" applyAlignment="1">
      <alignment vertical="center" shrinkToFit="1"/>
    </xf>
    <xf numFmtId="178" fontId="5" fillId="0" borderId="47" xfId="0" applyNumberFormat="1" applyFont="1" applyBorder="1" applyAlignment="1">
      <alignment horizontal="right" vertical="center" wrapText="1"/>
    </xf>
    <xf numFmtId="178" fontId="5" fillId="0" borderId="48" xfId="0" applyNumberFormat="1" applyFont="1" applyBorder="1" applyAlignment="1">
      <alignment horizontal="right" vertical="center" wrapText="1"/>
    </xf>
    <xf numFmtId="178" fontId="5" fillId="0" borderId="52" xfId="0" applyNumberFormat="1" applyFont="1" applyBorder="1" applyAlignment="1">
      <alignment horizontal="right" vertical="center" wrapText="1"/>
    </xf>
    <xf numFmtId="178" fontId="5" fillId="0" borderId="53" xfId="0" applyNumberFormat="1" applyFont="1" applyBorder="1" applyAlignment="1">
      <alignment horizontal="right" vertical="center" wrapText="1"/>
    </xf>
    <xf numFmtId="0" fontId="5" fillId="0" borderId="49" xfId="0" applyFont="1" applyBorder="1" applyAlignment="1">
      <alignment horizontal="justify" vertical="center" wrapText="1"/>
    </xf>
    <xf numFmtId="0" fontId="5" fillId="0" borderId="47" xfId="0" applyFont="1" applyBorder="1" applyAlignment="1">
      <alignment horizontal="justify" vertical="center" wrapText="1"/>
    </xf>
    <xf numFmtId="0" fontId="5" fillId="0" borderId="54" xfId="0" applyFont="1" applyBorder="1" applyAlignment="1">
      <alignment horizontal="justify" vertical="center" wrapText="1"/>
    </xf>
    <xf numFmtId="0" fontId="5" fillId="0" borderId="52" xfId="0" applyFont="1" applyBorder="1" applyAlignment="1">
      <alignment horizontal="justify" vertical="center" wrapText="1"/>
    </xf>
    <xf numFmtId="178" fontId="5" fillId="0" borderId="50" xfId="0" applyNumberFormat="1" applyFont="1" applyBorder="1" applyAlignment="1">
      <alignment horizontal="right" vertical="center" wrapText="1"/>
    </xf>
    <xf numFmtId="178" fontId="5" fillId="0" borderId="55" xfId="0" applyNumberFormat="1" applyFont="1" applyBorder="1" applyAlignment="1">
      <alignment horizontal="right" vertical="center" wrapText="1"/>
    </xf>
    <xf numFmtId="0" fontId="5" fillId="0" borderId="51" xfId="0" applyFont="1" applyBorder="1" applyAlignment="1">
      <alignment vertical="center" shrinkToFit="1"/>
    </xf>
    <xf numFmtId="0" fontId="5" fillId="0" borderId="52" xfId="0" applyFont="1" applyBorder="1" applyAlignment="1">
      <alignment vertical="center" shrinkToFit="1"/>
    </xf>
    <xf numFmtId="41" fontId="5" fillId="0" borderId="42" xfId="1" applyFont="1" applyBorder="1" applyAlignment="1">
      <alignment horizontal="right" vertical="center" wrapText="1"/>
    </xf>
    <xf numFmtId="41" fontId="5" fillId="0" borderId="43" xfId="1" applyFont="1" applyBorder="1" applyAlignment="1">
      <alignment horizontal="right" vertical="center" wrapText="1"/>
    </xf>
    <xf numFmtId="41" fontId="5" fillId="0" borderId="42" xfId="1" applyFont="1" applyBorder="1" applyAlignment="1">
      <alignment horizontal="justify" vertical="center" wrapText="1"/>
    </xf>
    <xf numFmtId="41" fontId="5" fillId="0" borderId="45" xfId="1" applyFont="1" applyBorder="1" applyAlignment="1">
      <alignment horizontal="justify" vertical="center" wrapText="1"/>
    </xf>
    <xf numFmtId="0" fontId="7" fillId="0" borderId="41" xfId="0" applyFont="1" applyBorder="1" applyAlignment="1">
      <alignment vertical="center" shrinkToFit="1"/>
    </xf>
    <xf numFmtId="0" fontId="7" fillId="0" borderId="42" xfId="0" applyFont="1" applyBorder="1" applyAlignment="1">
      <alignment vertical="center" shrinkToFit="1"/>
    </xf>
    <xf numFmtId="41" fontId="7" fillId="0" borderId="42" xfId="1" applyFont="1" applyBorder="1" applyAlignment="1">
      <alignment horizontal="right" vertical="center" wrapText="1"/>
    </xf>
    <xf numFmtId="41" fontId="7" fillId="0" borderId="43" xfId="1" applyFont="1" applyBorder="1" applyAlignment="1">
      <alignment horizontal="right" vertical="center" wrapText="1"/>
    </xf>
    <xf numFmtId="0" fontId="7" fillId="0" borderId="44" xfId="0" applyFont="1" applyBorder="1" applyAlignment="1">
      <alignment horizontal="justify" vertical="center" wrapText="1"/>
    </xf>
    <xf numFmtId="0" fontId="7" fillId="0" borderId="42" xfId="0" applyFont="1" applyBorder="1" applyAlignment="1">
      <alignment horizontal="justify" vertical="center" wrapText="1"/>
    </xf>
    <xf numFmtId="41" fontId="7" fillId="0" borderId="42" xfId="1" applyFont="1" applyBorder="1" applyAlignment="1">
      <alignment horizontal="justify" vertical="center" wrapText="1"/>
    </xf>
    <xf numFmtId="41" fontId="7" fillId="0" borderId="45" xfId="1" applyFont="1" applyBorder="1" applyAlignment="1">
      <alignment horizontal="justify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6" fontId="7" fillId="0" borderId="25" xfId="0" applyNumberFormat="1" applyFont="1" applyBorder="1" applyAlignment="1">
      <alignment vertical="center" shrinkToFit="1"/>
    </xf>
    <xf numFmtId="176" fontId="7" fillId="0" borderId="26" xfId="0" applyNumberFormat="1" applyFont="1" applyBorder="1" applyAlignment="1">
      <alignment vertical="center" shrinkToFit="1"/>
    </xf>
    <xf numFmtId="6" fontId="7" fillId="0" borderId="26" xfId="0" applyNumberFormat="1" applyFont="1" applyBorder="1" applyAlignment="1">
      <alignment horizontal="left" vertical="center" wrapText="1"/>
    </xf>
    <xf numFmtId="6" fontId="7" fillId="0" borderId="27" xfId="0" applyNumberFormat="1" applyFont="1" applyBorder="1" applyAlignment="1">
      <alignment horizontal="left" vertical="center" wrapText="1"/>
    </xf>
    <xf numFmtId="0" fontId="10" fillId="0" borderId="28" xfId="0" applyFont="1" applyBorder="1" applyAlignment="1">
      <alignment horizontal="justify" vertical="center" wrapText="1"/>
    </xf>
    <xf numFmtId="0" fontId="10" fillId="0" borderId="29" xfId="0" applyFont="1" applyBorder="1" applyAlignment="1">
      <alignment horizontal="justify" vertical="center" wrapText="1"/>
    </xf>
    <xf numFmtId="0" fontId="10" fillId="0" borderId="30" xfId="0" applyFont="1" applyBorder="1" applyAlignment="1">
      <alignment horizontal="justify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justify" vertical="center" wrapText="1"/>
    </xf>
    <xf numFmtId="0" fontId="7" fillId="0" borderId="20" xfId="0" applyFont="1" applyBorder="1" applyAlignment="1">
      <alignment horizontal="justify" vertical="center" wrapText="1"/>
    </xf>
    <xf numFmtId="0" fontId="7" fillId="0" borderId="22" xfId="0" applyFont="1" applyBorder="1" applyAlignment="1">
      <alignment horizontal="justify" vertical="center" wrapText="1"/>
    </xf>
    <xf numFmtId="0" fontId="7" fillId="0" borderId="21" xfId="0" applyFont="1" applyBorder="1" applyAlignment="1">
      <alignment horizontal="justify" vertical="center" wrapText="1"/>
    </xf>
    <xf numFmtId="0" fontId="7" fillId="0" borderId="25" xfId="0" applyFont="1" applyBorder="1" applyAlignment="1">
      <alignment horizontal="justify" vertical="center" wrapText="1"/>
    </xf>
    <xf numFmtId="0" fontId="7" fillId="0" borderId="26" xfId="0" applyFont="1" applyBorder="1" applyAlignment="1">
      <alignment horizontal="justify" vertical="center" wrapText="1"/>
    </xf>
    <xf numFmtId="0" fontId="7" fillId="0" borderId="27" xfId="0" applyFont="1" applyBorder="1" applyAlignment="1">
      <alignment horizontal="justify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31" fontId="7" fillId="0" borderId="9" xfId="0" applyNumberFormat="1" applyFont="1" applyBorder="1" applyAlignment="1">
      <alignment vertical="center" shrinkToFit="1"/>
    </xf>
    <xf numFmtId="31" fontId="7" fillId="0" borderId="8" xfId="0" applyNumberFormat="1" applyFont="1" applyBorder="1" applyAlignment="1">
      <alignment vertical="center" shrinkToFit="1"/>
    </xf>
    <xf numFmtId="31" fontId="7" fillId="0" borderId="14" xfId="0" applyNumberFormat="1" applyFont="1" applyBorder="1" applyAlignment="1">
      <alignment vertical="center" shrinkToFit="1"/>
    </xf>
    <xf numFmtId="31" fontId="7" fillId="0" borderId="13" xfId="0" applyNumberFormat="1" applyFont="1" applyBorder="1" applyAlignment="1">
      <alignment vertical="center" shrinkToFit="1"/>
    </xf>
    <xf numFmtId="0" fontId="7" fillId="0" borderId="37" xfId="0" applyFont="1" applyBorder="1" applyAlignment="1">
      <alignment horizontal="justify" vertical="center" wrapText="1"/>
    </xf>
    <xf numFmtId="0" fontId="7" fillId="0" borderId="38" xfId="0" applyFont="1" applyBorder="1" applyAlignment="1">
      <alignment horizontal="justify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31" fontId="7" fillId="0" borderId="7" xfId="0" applyNumberFormat="1" applyFont="1" applyBorder="1" applyAlignment="1">
      <alignment vertical="center" shrinkToFit="1"/>
    </xf>
    <xf numFmtId="31" fontId="7" fillId="0" borderId="11" xfId="0" applyNumberFormat="1" applyFont="1" applyBorder="1" applyAlignment="1">
      <alignment vertical="center" shrinkToFit="1"/>
    </xf>
    <xf numFmtId="31" fontId="7" fillId="0" borderId="12" xfId="0" applyNumberFormat="1" applyFont="1" applyBorder="1" applyAlignment="1">
      <alignment vertical="center" shrinkToFit="1"/>
    </xf>
    <xf numFmtId="31" fontId="7" fillId="0" borderId="16" xfId="0" applyNumberFormat="1" applyFont="1" applyBorder="1" applyAlignment="1">
      <alignment vertical="center" shrinkToFit="1"/>
    </xf>
    <xf numFmtId="0" fontId="7" fillId="0" borderId="1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justify" vertical="center" wrapText="1"/>
    </xf>
    <xf numFmtId="0" fontId="7" fillId="0" borderId="29" xfId="0" applyFont="1" applyBorder="1" applyAlignment="1">
      <alignment horizontal="justify" vertical="center" wrapText="1"/>
    </xf>
    <xf numFmtId="0" fontId="7" fillId="0" borderId="30" xfId="0" applyFont="1" applyBorder="1" applyAlignment="1">
      <alignment horizontal="justify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justify" vertical="center" wrapText="1"/>
    </xf>
    <xf numFmtId="0" fontId="7" fillId="0" borderId="34" xfId="0" applyFont="1" applyBorder="1" applyAlignment="1">
      <alignment horizontal="justify" vertical="center" wrapText="1"/>
    </xf>
    <xf numFmtId="0" fontId="7" fillId="0" borderId="35" xfId="0" applyFont="1" applyBorder="1" applyAlignment="1">
      <alignment horizontal="justify" vertical="center" wrapText="1"/>
    </xf>
    <xf numFmtId="0" fontId="7" fillId="0" borderId="14" xfId="0" applyFont="1" applyBorder="1" applyAlignment="1">
      <alignment horizontal="justify" vertical="center" wrapText="1"/>
    </xf>
    <xf numFmtId="0" fontId="7" fillId="0" borderId="15" xfId="0" applyFont="1" applyBorder="1" applyAlignment="1">
      <alignment horizontal="justify" vertical="center" wrapText="1"/>
    </xf>
    <xf numFmtId="0" fontId="7" fillId="0" borderId="16" xfId="0" applyFont="1" applyBorder="1" applyAlignment="1">
      <alignment horizontal="justify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justify" vertical="center" wrapText="1"/>
    </xf>
    <xf numFmtId="0" fontId="7" fillId="0" borderId="10" xfId="0" applyFont="1" applyBorder="1" applyAlignment="1">
      <alignment horizontal="justify" vertical="center" wrapText="1"/>
    </xf>
    <xf numFmtId="0" fontId="7" fillId="0" borderId="8" xfId="0" applyFont="1" applyBorder="1" applyAlignment="1">
      <alignment horizontal="justify" vertical="center" wrapText="1"/>
    </xf>
    <xf numFmtId="0" fontId="7" fillId="0" borderId="11" xfId="0" applyFont="1" applyBorder="1" applyAlignment="1">
      <alignment horizontal="justify" vertical="center" wrapText="1"/>
    </xf>
    <xf numFmtId="0" fontId="7" fillId="0" borderId="14" xfId="0" applyFont="1" applyBorder="1" applyAlignment="1">
      <alignment horizontal="left" vertical="center" wrapText="1"/>
    </xf>
    <xf numFmtId="0" fontId="7" fillId="0" borderId="15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justify" vertical="center" wrapText="1"/>
    </xf>
    <xf numFmtId="0" fontId="2" fillId="0" borderId="0" xfId="0" applyFont="1" applyAlignment="1">
      <alignment horizontal="justify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justify" vertical="center" wrapText="1"/>
    </xf>
    <xf numFmtId="0" fontId="7" fillId="0" borderId="5" xfId="0" applyFont="1" applyBorder="1" applyAlignment="1">
      <alignment horizontal="justify" vertical="center" wrapText="1"/>
    </xf>
    <xf numFmtId="0" fontId="7" fillId="0" borderId="6" xfId="0" applyFont="1" applyBorder="1" applyAlignment="1">
      <alignment horizontal="justify" vertical="center" wrapText="1"/>
    </xf>
    <xf numFmtId="0" fontId="7" fillId="0" borderId="14" xfId="0" applyFont="1" applyBorder="1" applyAlignment="1">
      <alignment vertical="center" shrinkToFit="1"/>
    </xf>
    <xf numFmtId="0" fontId="7" fillId="0" borderId="15" xfId="0" applyFont="1" applyBorder="1" applyAlignment="1">
      <alignment vertical="center" shrinkToFit="1"/>
    </xf>
    <xf numFmtId="0" fontId="7" fillId="0" borderId="16" xfId="0" applyFont="1" applyBorder="1" applyAlignment="1">
      <alignment vertical="center" shrinkToFi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54868;&#51204;&#45236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W\&#51076;&#49884;&#51089;&#50629;&#49892;\hb\&#49340;&#49328;1&#51648;&#44396;(&#49892;&#49884;)\&#51452;&#44277;&#49688;&#47049;\&#51068;&#50948;&#45824;&#44032;98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&#44148;&#52629;&#49892;&#54665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9888;&#54805;&#50864;\&#50689;&#45224;&#53448;&#54889;\&#49892;&#54665;&#50696;&#49328;\&#49892;&#54665;&#50696;&#49328;1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30.1.39\&#49464;&#50868;&#51333;&#54633;&#44148;&#49444;(&#51452;)%20&#44277;&#50976;&#54260;&#45908;\juns1107\&#45236;&#50669;&#49436;\&#50900;&#48324;&#49444;&#44228;&#45236;&#50669;\99&#49444;&#44228;&#51032;&#47280;&#45236;&#50669;\&#44277;&#49324;&#48708;99-10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30.1.39\&#49464;&#50868;&#51333;&#54633;&#44148;&#49444;(&#51452;)%20&#44277;&#50976;&#54260;&#45908;\&#50629;&#47924;&#54260;&#45908;\&#45236;&#50669;&#49436;\&#50900;&#48324;&#49444;&#44228;&#45236;&#50669;&#49436;\juns&#50629;&#47924;&#54260;&#45908;\&#45236;&#50669;&#49436;\&#50900;&#48324;&#49444;&#44228;&#45236;&#50669;\99&#49444;&#44228;&#51032;&#47280;&#45236;&#50669;\&#44277;&#49324;&#48708;99-1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SOffice\Excel\work\&#45236;&#50669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/&#44032;&#52377;&#45224;&#49328;/&#51222;&#54000;2&#52264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54868;&#49444;&#45236;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30.1.39\&#49464;&#50868;&#51333;&#54633;&#44148;&#49444;(&#51452;)%20&#44277;&#50976;&#54260;&#45908;\2001&#52572;&#50980;&#47925;&#50629;&#47924;&#54260;&#45908;\&#54788;&#51109;&#48324;&#49444;&#44228;\&#44592;&#53440;&#51648;&#44396;11&#50900;\&#51109;&#55141;&#51648;&#48512;\juns&#50629;&#47924;&#54260;&#45908;\&#45236;&#50669;&#49436;\&#50900;&#48324;&#49444;&#44228;&#45236;&#50669;\99&#49444;&#44228;&#51032;&#47280;&#45236;&#50669;\&#44277;&#49324;&#48708;99-1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30.1.39\&#49464;&#50868;&#51333;&#54633;&#44148;&#49444;(&#51452;)%20&#44277;&#50976;&#54260;&#45908;\2000&#52572;&#50980;&#47925;&#50629;&#47924;&#54260;&#45908;\&#51068;&#48152;&#50629;&#47924;\99&#49444;&#44228;&#51032;&#47280;&#45236;&#50669;\&#44277;&#49324;&#48708;99-1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124;&#49688;1\&#48176;&#49688;&#44060;&#49440;\My%20Documents\data\My%20Documents\&#50641;&#49472;&#51088;&#47308;\&#45453;&#50629;&#44592;&#48152;&#44277;&#49324;\&#50868;&#49328;&#51648;&#44396;\2002&#48372;&#50756;\MSOffice\Excel\work\&#45236;&#5066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내역집계"/>
      <sheetName val="건축+기계+토목"/>
      <sheetName val="화전내"/>
    </sheetNames>
    <sheetDataSet>
      <sheetData sheetId="0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일위대가"/>
      <sheetName val="조명시설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음료실행"/>
      <sheetName val="금액비교"/>
    </sheet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예산총괄표"/>
      <sheetName val="재료비"/>
      <sheetName val="경비총괄표"/>
      <sheetName val="1. 검사비외"/>
      <sheetName val="3.공사운영비"/>
      <sheetName val="2.외주공사비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98수문일위"/>
      <sheetName val="98자재단가"/>
      <sheetName val="98년도"/>
      <sheetName val="99년도1월 "/>
      <sheetName val="99년도4월 "/>
      <sheetName val="99년도7월"/>
      <sheetName val="99년도9월"/>
      <sheetName val="해평이토변"/>
      <sheetName val="녹동자동비22560"/>
      <sheetName val="녹동자동비22760"/>
      <sheetName val="광양도이자동비"/>
      <sheetName val="도암천자동비"/>
      <sheetName val="광양신아배수문"/>
      <sheetName val="창포지구"/>
      <sheetName val="도양자동비"/>
      <sheetName val="회문지구"/>
      <sheetName val="토기공"/>
      <sheetName val="옥룡제"/>
      <sheetName val="봉덕보"/>
      <sheetName val="봉덕보 1"/>
      <sheetName val="난간"/>
    </sheetNames>
    <sheetDataSet>
      <sheetData sheetId="0" refreshError="1"/>
      <sheetData sheetId="1" refreshError="1">
        <row r="2">
          <cell r="A2" t="str">
            <v>★ 본 수문용 일위대가표를 수정할때는 아래사항을 유의하기바람</v>
          </cell>
        </row>
        <row r="3">
          <cell r="A3" t="str">
            <v>1. 사용장비 손료는 단가항목이 공란인것은 토목에서 받아 기입하고, 다른것은 시중물가지에서 해당 단가를 찾아  수정할것</v>
          </cell>
        </row>
        <row r="4">
          <cell r="A4" t="str">
            <v xml:space="preserve">2. 도장비 산출 내역중 자재비는 별도 기입할것.          </v>
          </cell>
        </row>
        <row r="11">
          <cell r="G11" t="str">
            <v>'98 년도  노 임  단 가 표</v>
          </cell>
        </row>
        <row r="12">
          <cell r="E12" t="str">
            <v xml:space="preserve"> </v>
          </cell>
        </row>
        <row r="13">
          <cell r="A13" t="str">
            <v>종       별</v>
          </cell>
          <cell r="C13" t="str">
            <v>재 료 또 는</v>
          </cell>
          <cell r="D13" t="str">
            <v>원 수</v>
          </cell>
          <cell r="E13" t="str">
            <v>단위</v>
          </cell>
          <cell r="F13" t="str">
            <v>총   액</v>
          </cell>
          <cell r="G13" t="str">
            <v>노   무   비</v>
          </cell>
          <cell r="I13" t="str">
            <v>재   료   비</v>
          </cell>
          <cell r="K13" t="str">
            <v>경      비</v>
          </cell>
          <cell r="M13" t="str">
            <v>비   고</v>
          </cell>
        </row>
        <row r="14">
          <cell r="C14" t="str">
            <v xml:space="preserve">규       격 </v>
          </cell>
          <cell r="F14" t="str">
            <v>금   액</v>
          </cell>
          <cell r="G14" t="str">
            <v>단  가</v>
          </cell>
          <cell r="H14" t="str">
            <v>금   액</v>
          </cell>
          <cell r="I14" t="str">
            <v>단  가</v>
          </cell>
          <cell r="J14" t="str">
            <v>금   액</v>
          </cell>
          <cell r="K14" t="str">
            <v>단  가</v>
          </cell>
          <cell r="L14" t="str">
            <v>금   액</v>
          </cell>
        </row>
        <row r="15">
          <cell r="A15" t="str">
            <v>형  틀  목  공</v>
          </cell>
          <cell r="C15" t="str">
            <v xml:space="preserve"> </v>
          </cell>
          <cell r="D15">
            <v>1</v>
          </cell>
          <cell r="E15" t="str">
            <v>일</v>
          </cell>
          <cell r="H15">
            <v>75306</v>
          </cell>
        </row>
        <row r="16">
          <cell r="A16" t="str">
            <v>절    단    공</v>
          </cell>
          <cell r="D16">
            <v>1</v>
          </cell>
          <cell r="E16" t="str">
            <v>"</v>
          </cell>
          <cell r="H16">
            <v>65881</v>
          </cell>
        </row>
        <row r="17">
          <cell r="A17" t="str">
            <v>석          공</v>
          </cell>
          <cell r="D17">
            <v>1</v>
          </cell>
          <cell r="E17" t="str">
            <v>"</v>
          </cell>
          <cell r="H17">
            <v>77005</v>
          </cell>
        </row>
        <row r="18">
          <cell r="A18" t="str">
            <v>특 수 비 계 공</v>
          </cell>
          <cell r="D18">
            <v>1</v>
          </cell>
          <cell r="E18" t="str">
            <v>"</v>
          </cell>
          <cell r="H18">
            <v>85884</v>
          </cell>
        </row>
        <row r="19">
          <cell r="A19" t="str">
            <v>비    계    공</v>
          </cell>
          <cell r="D19">
            <v>1</v>
          </cell>
          <cell r="E19" t="str">
            <v>"</v>
          </cell>
          <cell r="H19">
            <v>79467</v>
          </cell>
        </row>
        <row r="20">
          <cell r="A20" t="str">
            <v>도    장    공</v>
          </cell>
          <cell r="D20">
            <v>1</v>
          </cell>
          <cell r="E20" t="str">
            <v>일</v>
          </cell>
          <cell r="H20">
            <v>63038</v>
          </cell>
        </row>
        <row r="21">
          <cell r="A21" t="str">
            <v>플랜트기계설치공</v>
          </cell>
          <cell r="D21">
            <v>1</v>
          </cell>
          <cell r="E21" t="str">
            <v>"</v>
          </cell>
          <cell r="H21">
            <v>80805</v>
          </cell>
        </row>
        <row r="22">
          <cell r="A22" t="str">
            <v>플랜트  용접공</v>
          </cell>
          <cell r="D22">
            <v>1</v>
          </cell>
          <cell r="E22" t="str">
            <v>"</v>
          </cell>
          <cell r="H22">
            <v>95379</v>
          </cell>
        </row>
        <row r="23">
          <cell r="A23" t="str">
            <v>플랜트  제관공</v>
          </cell>
          <cell r="D23">
            <v>1</v>
          </cell>
          <cell r="E23" t="str">
            <v>"</v>
          </cell>
          <cell r="H23">
            <v>81966</v>
          </cell>
        </row>
        <row r="24">
          <cell r="A24" t="str">
            <v>플랜트  배관공</v>
          </cell>
          <cell r="D24">
            <v>1</v>
          </cell>
          <cell r="E24" t="str">
            <v>"</v>
          </cell>
          <cell r="H24">
            <v>97219</v>
          </cell>
        </row>
        <row r="25">
          <cell r="A25" t="str">
            <v>측    량    사</v>
          </cell>
          <cell r="D25">
            <v>1</v>
          </cell>
          <cell r="E25" t="str">
            <v>일</v>
          </cell>
          <cell r="H25">
            <v>58506</v>
          </cell>
        </row>
        <row r="26">
          <cell r="A26" t="str">
            <v>측량사    조수</v>
          </cell>
          <cell r="D26">
            <v>1</v>
          </cell>
          <cell r="E26" t="str">
            <v>"</v>
          </cell>
          <cell r="H26">
            <v>38777</v>
          </cell>
        </row>
        <row r="27">
          <cell r="A27" t="str">
            <v>플랜트    전공</v>
          </cell>
          <cell r="D27">
            <v>1</v>
          </cell>
          <cell r="E27" t="str">
            <v>"</v>
          </cell>
          <cell r="H27">
            <v>64285</v>
          </cell>
        </row>
        <row r="28">
          <cell r="A28" t="str">
            <v>특  별  인  부</v>
          </cell>
          <cell r="D28">
            <v>1</v>
          </cell>
          <cell r="E28" t="str">
            <v>"</v>
          </cell>
          <cell r="H28">
            <v>57379</v>
          </cell>
        </row>
        <row r="29">
          <cell r="A29" t="str">
            <v>보  통  인  부</v>
          </cell>
          <cell r="D29">
            <v>1</v>
          </cell>
          <cell r="E29" t="str">
            <v>"</v>
          </cell>
          <cell r="H29">
            <v>37736</v>
          </cell>
        </row>
        <row r="30">
          <cell r="A30" t="str">
            <v>중기 운전 기사</v>
          </cell>
          <cell r="D30">
            <v>1</v>
          </cell>
          <cell r="E30" t="str">
            <v>일</v>
          </cell>
          <cell r="H30">
            <v>56951</v>
          </cell>
        </row>
        <row r="31">
          <cell r="A31" t="str">
            <v>중  기  조  장</v>
          </cell>
          <cell r="D31">
            <v>1</v>
          </cell>
          <cell r="E31" t="str">
            <v>"</v>
          </cell>
          <cell r="H31">
            <v>55484</v>
          </cell>
        </row>
        <row r="32">
          <cell r="A32" t="str">
            <v>운전수(기  계)</v>
          </cell>
          <cell r="D32">
            <v>1</v>
          </cell>
          <cell r="E32" t="str">
            <v>"</v>
          </cell>
          <cell r="H32">
            <v>54325</v>
          </cell>
        </row>
        <row r="33">
          <cell r="A33" t="str">
            <v>운전사(운반차)</v>
          </cell>
          <cell r="D33">
            <v>1</v>
          </cell>
          <cell r="E33" t="str">
            <v>"</v>
          </cell>
          <cell r="H33">
            <v>51077</v>
          </cell>
        </row>
        <row r="34">
          <cell r="A34" t="str">
            <v>종       별</v>
          </cell>
          <cell r="C34" t="str">
            <v>재 료 또 는</v>
          </cell>
          <cell r="D34" t="str">
            <v xml:space="preserve">원 수 </v>
          </cell>
          <cell r="E34" t="str">
            <v>단 위</v>
          </cell>
          <cell r="F34" t="str">
            <v>총   액</v>
          </cell>
          <cell r="G34" t="str">
            <v>노   무   비</v>
          </cell>
          <cell r="I34" t="str">
            <v>재   료   비</v>
          </cell>
          <cell r="K34" t="str">
            <v>경      비</v>
          </cell>
          <cell r="M34" t="str">
            <v>비   고</v>
          </cell>
        </row>
        <row r="35">
          <cell r="C35" t="str">
            <v xml:space="preserve">규       격 </v>
          </cell>
          <cell r="F35" t="str">
            <v>금   액</v>
          </cell>
          <cell r="G35" t="str">
            <v>단  가</v>
          </cell>
          <cell r="H35" t="str">
            <v>금   액</v>
          </cell>
          <cell r="I35" t="str">
            <v>단  가</v>
          </cell>
          <cell r="J35" t="str">
            <v>금   액</v>
          </cell>
          <cell r="K35" t="str">
            <v>단  가</v>
          </cell>
          <cell r="L35" t="str">
            <v>금   액</v>
          </cell>
        </row>
        <row r="36">
          <cell r="A36" t="str">
            <v>중기 운전 조수</v>
          </cell>
          <cell r="D36">
            <v>1</v>
          </cell>
          <cell r="E36" t="str">
            <v>"</v>
          </cell>
          <cell r="H36">
            <v>42762</v>
          </cell>
        </row>
        <row r="37">
          <cell r="A37" t="str">
            <v>기    계    공</v>
          </cell>
          <cell r="D37">
            <v>1</v>
          </cell>
          <cell r="E37" t="str">
            <v>일</v>
          </cell>
          <cell r="H37">
            <v>58906</v>
          </cell>
        </row>
        <row r="38">
          <cell r="A38" t="str">
            <v>용접공 (일 반)</v>
          </cell>
          <cell r="D38">
            <v>1</v>
          </cell>
          <cell r="E38" t="str">
            <v>"</v>
          </cell>
          <cell r="H38">
            <v>74016</v>
          </cell>
        </row>
        <row r="39">
          <cell r="A39" t="str">
            <v>리    벳    공</v>
          </cell>
          <cell r="D39">
            <v>1</v>
          </cell>
          <cell r="E39" t="str">
            <v>"</v>
          </cell>
          <cell r="H39">
            <v>71579</v>
          </cell>
        </row>
        <row r="40">
          <cell r="A40" t="str">
            <v>계    령    공</v>
          </cell>
          <cell r="D40">
            <v>1</v>
          </cell>
          <cell r="E40" t="str">
            <v>"</v>
          </cell>
          <cell r="H40">
            <v>41937</v>
          </cell>
          <cell r="L40" t="str">
            <v xml:space="preserve"> </v>
          </cell>
        </row>
        <row r="41">
          <cell r="A41" t="str">
            <v>제    도    공</v>
          </cell>
          <cell r="D41">
            <v>1</v>
          </cell>
          <cell r="E41" t="str">
            <v>"</v>
          </cell>
          <cell r="H41">
            <v>32747</v>
          </cell>
        </row>
        <row r="42">
          <cell r="A42" t="str">
            <v>현    도    공</v>
          </cell>
          <cell r="C42" t="str">
            <v xml:space="preserve"> </v>
          </cell>
          <cell r="D42">
            <v>1</v>
          </cell>
          <cell r="E42" t="str">
            <v>일</v>
          </cell>
          <cell r="H42">
            <v>28487</v>
          </cell>
        </row>
        <row r="43">
          <cell r="A43" t="str">
            <v>마    킹    공</v>
          </cell>
          <cell r="D43">
            <v>1</v>
          </cell>
          <cell r="E43" t="str">
            <v>"</v>
          </cell>
          <cell r="H43">
            <v>26924</v>
          </cell>
        </row>
        <row r="44">
          <cell r="A44" t="str">
            <v>산 소 절 단 공</v>
          </cell>
          <cell r="D44">
            <v>1</v>
          </cell>
          <cell r="E44" t="str">
            <v>"</v>
          </cell>
          <cell r="H44">
            <v>31794</v>
          </cell>
        </row>
        <row r="45">
          <cell r="A45" t="str">
            <v>샤    링    공</v>
          </cell>
          <cell r="D45">
            <v>1</v>
          </cell>
          <cell r="E45" t="str">
            <v>"</v>
          </cell>
          <cell r="H45">
            <v>29508</v>
          </cell>
        </row>
        <row r="46">
          <cell r="A46" t="str">
            <v>프  레  스  공</v>
          </cell>
          <cell r="D46">
            <v>1</v>
          </cell>
          <cell r="E46" t="str">
            <v>"</v>
          </cell>
          <cell r="H46">
            <v>26250</v>
          </cell>
        </row>
        <row r="47">
          <cell r="A47" t="str">
            <v>보    링    공</v>
          </cell>
          <cell r="D47">
            <v>1</v>
          </cell>
          <cell r="E47" t="str">
            <v>일</v>
          </cell>
          <cell r="H47">
            <v>28378</v>
          </cell>
        </row>
        <row r="48">
          <cell r="A48" t="str">
            <v>밀    링    공</v>
          </cell>
          <cell r="D48">
            <v>1</v>
          </cell>
          <cell r="E48" t="str">
            <v>"</v>
          </cell>
          <cell r="H48">
            <v>27252</v>
          </cell>
        </row>
        <row r="49">
          <cell r="A49" t="str">
            <v>방 전 절 단 공</v>
          </cell>
          <cell r="D49">
            <v>1</v>
          </cell>
          <cell r="E49" t="str">
            <v>"</v>
          </cell>
          <cell r="H49">
            <v>27047</v>
          </cell>
        </row>
        <row r="50">
          <cell r="A50" t="str">
            <v>드    링    공</v>
          </cell>
          <cell r="D50">
            <v>1</v>
          </cell>
          <cell r="E50" t="str">
            <v>"</v>
          </cell>
          <cell r="H50">
            <v>27215</v>
          </cell>
        </row>
        <row r="51">
          <cell r="A51" t="str">
            <v>수 동 선 반 공</v>
          </cell>
          <cell r="D51">
            <v>1</v>
          </cell>
          <cell r="E51" t="str">
            <v>"</v>
          </cell>
          <cell r="H51">
            <v>27350</v>
          </cell>
        </row>
        <row r="52">
          <cell r="A52" t="str">
            <v>프  레  나  공</v>
          </cell>
          <cell r="D52">
            <v>1</v>
          </cell>
          <cell r="E52" t="str">
            <v>일</v>
          </cell>
          <cell r="H52">
            <v>25035</v>
          </cell>
        </row>
        <row r="53">
          <cell r="A53" t="str">
            <v>3 본  로 라 공</v>
          </cell>
          <cell r="D53">
            <v>1</v>
          </cell>
          <cell r="E53" t="str">
            <v>"</v>
          </cell>
          <cell r="H53">
            <v>34250</v>
          </cell>
        </row>
        <row r="54">
          <cell r="A54" t="str">
            <v>벤 딩 머 쉰 공</v>
          </cell>
          <cell r="D54">
            <v>1</v>
          </cell>
          <cell r="E54" t="str">
            <v>"</v>
          </cell>
          <cell r="H54">
            <v>29076</v>
          </cell>
        </row>
        <row r="55">
          <cell r="A55" t="str">
            <v>열  처  리  공</v>
          </cell>
          <cell r="D55">
            <v>1</v>
          </cell>
          <cell r="E55" t="str">
            <v>"</v>
          </cell>
          <cell r="H55">
            <v>25392</v>
          </cell>
        </row>
        <row r="56">
          <cell r="A56" t="str">
            <v>용    접    공</v>
          </cell>
          <cell r="D56">
            <v>1</v>
          </cell>
          <cell r="E56" t="str">
            <v>"</v>
          </cell>
          <cell r="H56">
            <v>27908</v>
          </cell>
        </row>
        <row r="57">
          <cell r="A57" t="str">
            <v>종       별</v>
          </cell>
          <cell r="C57" t="str">
            <v>재 료 또 는</v>
          </cell>
          <cell r="D57" t="str">
            <v xml:space="preserve">원 수 </v>
          </cell>
          <cell r="E57" t="str">
            <v>단 위</v>
          </cell>
          <cell r="F57" t="str">
            <v>총   액</v>
          </cell>
          <cell r="G57" t="str">
            <v>노   무   비</v>
          </cell>
          <cell r="I57" t="str">
            <v>재   료   비</v>
          </cell>
          <cell r="K57" t="str">
            <v>경      비</v>
          </cell>
          <cell r="M57" t="str">
            <v>비   고</v>
          </cell>
        </row>
        <row r="58">
          <cell r="C58" t="str">
            <v xml:space="preserve">규       격 </v>
          </cell>
          <cell r="F58" t="str">
            <v>금   액</v>
          </cell>
          <cell r="G58" t="str">
            <v>단  가</v>
          </cell>
          <cell r="H58" t="str">
            <v>금   액</v>
          </cell>
          <cell r="I58" t="str">
            <v>단  가</v>
          </cell>
          <cell r="J58" t="str">
            <v>금   액</v>
          </cell>
          <cell r="K58" t="str">
            <v>단  가</v>
          </cell>
          <cell r="L58" t="str">
            <v>금   액</v>
          </cell>
        </row>
        <row r="59">
          <cell r="A59" t="str">
            <v>그 라 인 다 공</v>
          </cell>
          <cell r="D59">
            <v>1</v>
          </cell>
          <cell r="E59" t="str">
            <v>일</v>
          </cell>
          <cell r="H59">
            <v>26032</v>
          </cell>
        </row>
        <row r="60">
          <cell r="A60" t="str">
            <v>비파괴  시험공</v>
          </cell>
          <cell r="D60">
            <v>1</v>
          </cell>
          <cell r="E60" t="str">
            <v>"</v>
          </cell>
          <cell r="H60">
            <v>64472</v>
          </cell>
        </row>
        <row r="61">
          <cell r="A61" t="str">
            <v>기계 기사 1 급</v>
          </cell>
          <cell r="C61" t="str">
            <v>(중급기술자)</v>
          </cell>
          <cell r="D61">
            <v>1</v>
          </cell>
          <cell r="E61" t="str">
            <v>"</v>
          </cell>
          <cell r="H61">
            <v>97488</v>
          </cell>
        </row>
        <row r="62">
          <cell r="A62" t="str">
            <v>기계 기사 2 급</v>
          </cell>
          <cell r="C62" t="str">
            <v>(초급기술자)</v>
          </cell>
          <cell r="D62">
            <v>1</v>
          </cell>
          <cell r="E62" t="str">
            <v>"</v>
          </cell>
          <cell r="H62">
            <v>69405</v>
          </cell>
        </row>
        <row r="63">
          <cell r="A63" t="str">
            <v>철    공</v>
          </cell>
          <cell r="D63">
            <v>1</v>
          </cell>
          <cell r="E63" t="str">
            <v>"</v>
          </cell>
          <cell r="H63">
            <v>72430</v>
          </cell>
        </row>
        <row r="64">
          <cell r="A64" t="str">
            <v>잠 수 부</v>
          </cell>
          <cell r="D64">
            <v>1</v>
          </cell>
          <cell r="E64" t="str">
            <v xml:space="preserve">일 </v>
          </cell>
          <cell r="H64">
            <v>81832</v>
          </cell>
        </row>
        <row r="65">
          <cell r="A65" t="str">
            <v>선    부</v>
          </cell>
          <cell r="D65">
            <v>1</v>
          </cell>
          <cell r="E65" t="str">
            <v xml:space="preserve">일 </v>
          </cell>
          <cell r="H65">
            <v>40088</v>
          </cell>
        </row>
        <row r="66">
          <cell r="A66" t="str">
            <v>조 력 공</v>
          </cell>
          <cell r="D66">
            <v>1</v>
          </cell>
          <cell r="E66" t="str">
            <v xml:space="preserve">일 </v>
          </cell>
          <cell r="H66">
            <v>48912</v>
          </cell>
        </row>
        <row r="67">
          <cell r="A67" t="str">
            <v>품질관리공(시험사1급)</v>
          </cell>
          <cell r="D67">
            <v>1</v>
          </cell>
          <cell r="E67" t="str">
            <v xml:space="preserve">일 </v>
          </cell>
          <cell r="H67">
            <v>47867</v>
          </cell>
          <cell r="L67" t="str">
            <v xml:space="preserve"> </v>
          </cell>
        </row>
        <row r="68">
          <cell r="A68" t="str">
            <v>특급기술자(건설및기타)</v>
          </cell>
          <cell r="D68">
            <v>1</v>
          </cell>
          <cell r="E68" t="str">
            <v xml:space="preserve">일 </v>
          </cell>
          <cell r="H68">
            <v>142203</v>
          </cell>
          <cell r="L68" t="str">
            <v xml:space="preserve"> </v>
          </cell>
        </row>
        <row r="69">
          <cell r="A69" t="str">
            <v>고급기술자(    "     )</v>
          </cell>
          <cell r="D69">
            <v>1</v>
          </cell>
          <cell r="E69" t="str">
            <v xml:space="preserve">일 </v>
          </cell>
          <cell r="H69">
            <v>117410</v>
          </cell>
          <cell r="L69" t="str">
            <v xml:space="preserve"> </v>
          </cell>
        </row>
        <row r="70">
          <cell r="A70" t="str">
            <v>중급기술자(    "     )</v>
          </cell>
          <cell r="D70">
            <v>1</v>
          </cell>
          <cell r="E70" t="str">
            <v xml:space="preserve">일 </v>
          </cell>
          <cell r="H70">
            <v>97488</v>
          </cell>
          <cell r="L70" t="str">
            <v xml:space="preserve"> </v>
          </cell>
        </row>
        <row r="71">
          <cell r="A71" t="str">
            <v>초급기술자(    "     )</v>
          </cell>
          <cell r="D71">
            <v>1</v>
          </cell>
          <cell r="E71" t="str">
            <v xml:space="preserve">일 </v>
          </cell>
          <cell r="H71">
            <v>69405</v>
          </cell>
          <cell r="L71" t="str">
            <v xml:space="preserve"> </v>
          </cell>
        </row>
        <row r="72">
          <cell r="A72" t="str">
            <v>고급기능사(    "     )</v>
          </cell>
          <cell r="D72">
            <v>1</v>
          </cell>
          <cell r="E72" t="str">
            <v xml:space="preserve">일 </v>
          </cell>
          <cell r="H72">
            <v>68094</v>
          </cell>
          <cell r="L72" t="str">
            <v xml:space="preserve"> </v>
          </cell>
        </row>
        <row r="73">
          <cell r="A73" t="str">
            <v>중급기능사(    "     )</v>
          </cell>
          <cell r="D73">
            <v>1</v>
          </cell>
          <cell r="E73" t="str">
            <v xml:space="preserve">일 </v>
          </cell>
          <cell r="H73">
            <v>60249</v>
          </cell>
          <cell r="L73" t="str">
            <v xml:space="preserve"> </v>
          </cell>
        </row>
        <row r="74">
          <cell r="A74" t="str">
            <v>초급기능사(    "     )</v>
          </cell>
          <cell r="D74">
            <v>1</v>
          </cell>
          <cell r="E74" t="str">
            <v xml:space="preserve">일 </v>
          </cell>
          <cell r="H74">
            <v>48652</v>
          </cell>
          <cell r="L74" t="str">
            <v xml:space="preserve"> </v>
          </cell>
        </row>
        <row r="75">
          <cell r="C75" t="str">
            <v xml:space="preserve"> </v>
          </cell>
        </row>
        <row r="76">
          <cell r="C76" t="str">
            <v xml:space="preserve"> 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1">
          <cell r="B81" t="str">
            <v>'98 년도  소 모 자 재  단 가 표</v>
          </cell>
        </row>
        <row r="82">
          <cell r="E82" t="str">
            <v xml:space="preserve"> </v>
          </cell>
        </row>
        <row r="83">
          <cell r="A83" t="str">
            <v>종       별</v>
          </cell>
          <cell r="C83" t="str">
            <v>재 료 또 는</v>
          </cell>
          <cell r="D83" t="str">
            <v xml:space="preserve">원 수 </v>
          </cell>
          <cell r="E83" t="str">
            <v>단 위</v>
          </cell>
          <cell r="F83" t="str">
            <v>총   액</v>
          </cell>
          <cell r="G83" t="str">
            <v>노   무   비</v>
          </cell>
          <cell r="I83" t="str">
            <v>재   료   비</v>
          </cell>
          <cell r="K83" t="str">
            <v>경      비</v>
          </cell>
          <cell r="M83" t="str">
            <v>비   고</v>
          </cell>
        </row>
        <row r="84">
          <cell r="C84" t="str">
            <v xml:space="preserve">규       격 </v>
          </cell>
          <cell r="F84" t="str">
            <v>금   액</v>
          </cell>
          <cell r="G84" t="str">
            <v>단  가</v>
          </cell>
          <cell r="H84" t="str">
            <v>금   액</v>
          </cell>
          <cell r="I84" t="str">
            <v>단  가</v>
          </cell>
          <cell r="J84" t="str">
            <v>금   액</v>
          </cell>
          <cell r="K84" t="str">
            <v>단  가</v>
          </cell>
          <cell r="L84" t="str">
            <v>금   액</v>
          </cell>
        </row>
        <row r="85">
          <cell r="A85" t="str">
            <v>산          소</v>
          </cell>
          <cell r="C85" t="str">
            <v>6,000 L</v>
          </cell>
          <cell r="D85">
            <v>1</v>
          </cell>
          <cell r="E85" t="str">
            <v>병</v>
          </cell>
          <cell r="J85">
            <v>12000</v>
          </cell>
        </row>
        <row r="86">
          <cell r="A86" t="str">
            <v>아  세  치  렌</v>
          </cell>
          <cell r="C86" t="str">
            <v>4,500 L</v>
          </cell>
          <cell r="D86">
            <v>1</v>
          </cell>
          <cell r="E86" t="str">
            <v>"</v>
          </cell>
          <cell r="J86">
            <v>55392</v>
          </cell>
        </row>
        <row r="87">
          <cell r="B87" t="str">
            <v xml:space="preserve">  "</v>
          </cell>
          <cell r="C87" t="str">
            <v>2,100 L</v>
          </cell>
          <cell r="D87">
            <v>1</v>
          </cell>
          <cell r="E87" t="str">
            <v>"</v>
          </cell>
          <cell r="J87">
            <v>25849</v>
          </cell>
        </row>
        <row r="88">
          <cell r="A88" t="str">
            <v>STS 용  접  봉</v>
          </cell>
          <cell r="C88" t="str">
            <v>4Φx350L</v>
          </cell>
          <cell r="D88">
            <v>1</v>
          </cell>
          <cell r="E88" t="str">
            <v>kg</v>
          </cell>
          <cell r="J88">
            <v>5460</v>
          </cell>
        </row>
        <row r="89">
          <cell r="A89" t="str">
            <v>SS400  용 접 봉</v>
          </cell>
          <cell r="C89" t="str">
            <v>"</v>
          </cell>
          <cell r="D89">
            <v>1</v>
          </cell>
          <cell r="E89" t="str">
            <v>"</v>
          </cell>
          <cell r="J89">
            <v>1260</v>
          </cell>
        </row>
        <row r="90">
          <cell r="A90" t="str">
            <v>전  력  요  금</v>
          </cell>
          <cell r="D90">
            <v>1</v>
          </cell>
          <cell r="E90" t="str">
            <v>Kwh</v>
          </cell>
          <cell r="J90">
            <v>61.6</v>
          </cell>
        </row>
        <row r="91">
          <cell r="A91" t="str">
            <v>함          석</v>
          </cell>
          <cell r="C91" t="str">
            <v>#32x3'x6'</v>
          </cell>
          <cell r="D91">
            <v>1</v>
          </cell>
          <cell r="E91" t="str">
            <v>매</v>
          </cell>
          <cell r="J91">
            <v>2597</v>
          </cell>
        </row>
        <row r="92">
          <cell r="B92" t="str">
            <v xml:space="preserve">  "</v>
          </cell>
          <cell r="C92" t="str">
            <v>#31x3'x6'</v>
          </cell>
          <cell r="D92">
            <v>1</v>
          </cell>
          <cell r="E92" t="str">
            <v>"</v>
          </cell>
          <cell r="J92">
            <v>2825</v>
          </cell>
        </row>
        <row r="93">
          <cell r="A93" t="str">
            <v>경          유</v>
          </cell>
          <cell r="D93">
            <v>1</v>
          </cell>
          <cell r="E93" t="str">
            <v>L</v>
          </cell>
          <cell r="J93">
            <v>526.4</v>
          </cell>
        </row>
        <row r="94">
          <cell r="A94" t="str">
            <v>코  크  스</v>
          </cell>
          <cell r="D94">
            <v>1</v>
          </cell>
          <cell r="E94" t="str">
            <v>kg</v>
          </cell>
          <cell r="J94">
            <v>183</v>
          </cell>
        </row>
        <row r="95">
          <cell r="A95" t="str">
            <v>그라인다돌</v>
          </cell>
          <cell r="D95">
            <v>1</v>
          </cell>
          <cell r="E95" t="str">
            <v>개</v>
          </cell>
          <cell r="J95">
            <v>3380</v>
          </cell>
        </row>
        <row r="96">
          <cell r="A96" t="str">
            <v>노   즐</v>
          </cell>
          <cell r="D96">
            <v>1</v>
          </cell>
          <cell r="E96" t="str">
            <v>"</v>
          </cell>
          <cell r="J96">
            <v>32000</v>
          </cell>
        </row>
        <row r="97">
          <cell r="A97" t="str">
            <v>아  세  치  렌</v>
          </cell>
          <cell r="C97" t="str">
            <v>4,500 L</v>
          </cell>
          <cell r="D97">
            <v>1</v>
          </cell>
          <cell r="E97" t="str">
            <v>kg</v>
          </cell>
          <cell r="J97">
            <v>10500</v>
          </cell>
        </row>
        <row r="98">
          <cell r="B98" t="str">
            <v>- 엔진유</v>
          </cell>
          <cell r="E98" t="str">
            <v>L</v>
          </cell>
          <cell r="J98">
            <v>1250</v>
          </cell>
        </row>
        <row r="99">
          <cell r="B99" t="str">
            <v>- 구리이스</v>
          </cell>
          <cell r="E99" t="str">
            <v>KG</v>
          </cell>
          <cell r="J99">
            <v>2323</v>
          </cell>
        </row>
        <row r="100">
          <cell r="B100" t="str">
            <v>- 규사</v>
          </cell>
          <cell r="E100" t="str">
            <v>TON</v>
          </cell>
          <cell r="J100">
            <v>25000</v>
          </cell>
        </row>
        <row r="101">
          <cell r="B101" t="str">
            <v>- SAND</v>
          </cell>
          <cell r="E101" t="str">
            <v>㎥</v>
          </cell>
          <cell r="J101">
            <v>7000</v>
          </cell>
        </row>
        <row r="102">
          <cell r="B102" t="str">
            <v>- POWER BRUSH</v>
          </cell>
          <cell r="E102" t="str">
            <v>KG</v>
          </cell>
          <cell r="J102">
            <v>5000</v>
          </cell>
        </row>
        <row r="103">
          <cell r="A103" t="str">
            <v>종       별</v>
          </cell>
          <cell r="C103" t="str">
            <v>재 료 또 는</v>
          </cell>
          <cell r="D103" t="str">
            <v xml:space="preserve">원 수 </v>
          </cell>
          <cell r="E103" t="str">
            <v>단 위</v>
          </cell>
          <cell r="F103" t="str">
            <v>총   액</v>
          </cell>
          <cell r="G103" t="str">
            <v>노   무   비</v>
          </cell>
          <cell r="I103" t="str">
            <v>재   료   비</v>
          </cell>
          <cell r="K103" t="str">
            <v>경      비</v>
          </cell>
          <cell r="M103" t="str">
            <v>비   고</v>
          </cell>
        </row>
        <row r="104">
          <cell r="C104" t="str">
            <v xml:space="preserve">규       격 </v>
          </cell>
          <cell r="F104" t="str">
            <v>금   액</v>
          </cell>
          <cell r="G104" t="str">
            <v>단  가</v>
          </cell>
          <cell r="H104" t="str">
            <v>금   액</v>
          </cell>
          <cell r="I104" t="str">
            <v>단  가</v>
          </cell>
          <cell r="J104" t="str">
            <v>금   액</v>
          </cell>
          <cell r="K104" t="str">
            <v>단  가</v>
          </cell>
          <cell r="L104" t="str">
            <v>금   액</v>
          </cell>
        </row>
        <row r="105">
          <cell r="B105" t="str">
            <v>- WIRE BRUSH</v>
          </cell>
          <cell r="E105" t="str">
            <v>KG</v>
          </cell>
          <cell r="J105">
            <v>2000</v>
          </cell>
        </row>
        <row r="106">
          <cell r="B106" t="str">
            <v>- 세척제</v>
          </cell>
          <cell r="E106" t="str">
            <v>KG</v>
          </cell>
          <cell r="J106">
            <v>10500</v>
          </cell>
        </row>
        <row r="107">
          <cell r="B107" t="str">
            <v>- 넝마</v>
          </cell>
          <cell r="E107" t="str">
            <v>KG</v>
          </cell>
          <cell r="J107">
            <v>1363</v>
          </cell>
          <cell r="K107" t="str">
            <v>(적산정보 492)</v>
          </cell>
        </row>
        <row r="108">
          <cell r="B108" t="str">
            <v>- 세라믹코팅제</v>
          </cell>
          <cell r="E108" t="str">
            <v>KG</v>
          </cell>
          <cell r="J108">
            <v>168300</v>
          </cell>
        </row>
        <row r="109">
          <cell r="B109" t="str">
            <v>- 희석제</v>
          </cell>
          <cell r="E109" t="str">
            <v>통</v>
          </cell>
          <cell r="J109">
            <v>5120</v>
          </cell>
        </row>
        <row r="110">
          <cell r="B110" t="str">
            <v>ZINC RICH PRIMER</v>
          </cell>
          <cell r="E110" t="str">
            <v>L</v>
          </cell>
          <cell r="J110">
            <v>7945</v>
          </cell>
        </row>
        <row r="111">
          <cell r="B111" t="str">
            <v>신      나</v>
          </cell>
          <cell r="J111">
            <v>2111</v>
          </cell>
        </row>
        <row r="112">
          <cell r="B112" t="str">
            <v>방 오 도 료</v>
          </cell>
          <cell r="J112">
            <v>9231</v>
          </cell>
        </row>
        <row r="113">
          <cell r="B113" t="str">
            <v>신  나(ANTI FAULING)</v>
          </cell>
          <cell r="J113">
            <v>1530</v>
          </cell>
        </row>
        <row r="114">
          <cell r="B114" t="str">
            <v>TAL EPOXY</v>
          </cell>
          <cell r="J114">
            <v>3570</v>
          </cell>
        </row>
        <row r="115">
          <cell r="B115" t="str">
            <v>PURE EPOXY</v>
          </cell>
          <cell r="J115">
            <v>4010</v>
          </cell>
        </row>
        <row r="127">
          <cell r="B127" t="str">
            <v>'98 년도  사 용 장 비 경 비  단 가 표</v>
          </cell>
        </row>
        <row r="128">
          <cell r="E128" t="str">
            <v xml:space="preserve"> </v>
          </cell>
        </row>
        <row r="129">
          <cell r="A129" t="str">
            <v>종       별</v>
          </cell>
          <cell r="C129" t="str">
            <v>재 료 또 는</v>
          </cell>
          <cell r="D129" t="str">
            <v xml:space="preserve">원 수 </v>
          </cell>
          <cell r="E129" t="str">
            <v>단 위</v>
          </cell>
          <cell r="F129" t="str">
            <v>총   액</v>
          </cell>
          <cell r="G129" t="str">
            <v>노   무   비</v>
          </cell>
          <cell r="I129" t="str">
            <v>재   료   비</v>
          </cell>
          <cell r="K129" t="str">
            <v>경      비</v>
          </cell>
          <cell r="M129" t="str">
            <v>비   고</v>
          </cell>
        </row>
        <row r="130">
          <cell r="C130" t="str">
            <v xml:space="preserve">규       격 </v>
          </cell>
          <cell r="F130" t="str">
            <v>금   액</v>
          </cell>
          <cell r="G130" t="str">
            <v>단  가</v>
          </cell>
          <cell r="H130" t="str">
            <v>금   액</v>
          </cell>
          <cell r="I130" t="str">
            <v>단  가</v>
          </cell>
          <cell r="J130" t="str">
            <v>금   액</v>
          </cell>
          <cell r="K130" t="str">
            <v>단  가</v>
          </cell>
          <cell r="L130" t="str">
            <v>금   액</v>
          </cell>
        </row>
        <row r="131">
          <cell r="A131" t="str">
            <v>Lathe</v>
          </cell>
          <cell r="C131" t="str">
            <v>12ftx7.5Hp</v>
          </cell>
          <cell r="D131">
            <v>1</v>
          </cell>
          <cell r="E131" t="str">
            <v>hr</v>
          </cell>
          <cell r="H131">
            <v>3418</v>
          </cell>
          <cell r="L131">
            <v>3775</v>
          </cell>
        </row>
        <row r="132">
          <cell r="A132" t="str">
            <v>Planer</v>
          </cell>
          <cell r="C132" t="str">
            <v>4ftx8ft</v>
          </cell>
          <cell r="D132">
            <v>1</v>
          </cell>
          <cell r="E132" t="str">
            <v>"</v>
          </cell>
          <cell r="H132">
            <v>3129</v>
          </cell>
          <cell r="L132">
            <v>2743</v>
          </cell>
        </row>
        <row r="133">
          <cell r="A133" t="str">
            <v>Boring Machine</v>
          </cell>
          <cell r="C133" t="str">
            <v>horizontal type 3Hp</v>
          </cell>
        </row>
        <row r="134">
          <cell r="D134">
            <v>1</v>
          </cell>
          <cell r="E134" t="str">
            <v>"</v>
          </cell>
          <cell r="H134">
            <v>3547</v>
          </cell>
          <cell r="L134">
            <v>8928</v>
          </cell>
        </row>
        <row r="135">
          <cell r="A135" t="str">
            <v>Union Melt Welder</v>
          </cell>
          <cell r="C135" t="str">
            <v>5.5 KVA</v>
          </cell>
          <cell r="D135">
            <v>1</v>
          </cell>
          <cell r="E135" t="str">
            <v>"</v>
          </cell>
          <cell r="H135">
            <v>3488</v>
          </cell>
          <cell r="L135">
            <v>1797</v>
          </cell>
        </row>
        <row r="136">
          <cell r="A136" t="str">
            <v>Gouging Machine</v>
          </cell>
          <cell r="C136" t="str">
            <v>중형</v>
          </cell>
          <cell r="D136">
            <v>1</v>
          </cell>
          <cell r="E136" t="str">
            <v>"</v>
          </cell>
          <cell r="H136">
            <v>3380</v>
          </cell>
          <cell r="L136">
            <v>670</v>
          </cell>
        </row>
        <row r="137">
          <cell r="A137" t="str">
            <v>Gas Cutting Machine</v>
          </cell>
        </row>
        <row r="138">
          <cell r="C138" t="str">
            <v>auto 중형</v>
          </cell>
          <cell r="D138">
            <v>1</v>
          </cell>
          <cell r="E138" t="str">
            <v>hr</v>
          </cell>
          <cell r="H138">
            <v>11922</v>
          </cell>
          <cell r="L138">
            <v>119</v>
          </cell>
        </row>
        <row r="139">
          <cell r="B139" t="str">
            <v xml:space="preserve">  "</v>
          </cell>
          <cell r="C139" t="str">
            <v>manual 중형</v>
          </cell>
          <cell r="D139">
            <v>1</v>
          </cell>
          <cell r="E139" t="str">
            <v>"</v>
          </cell>
          <cell r="H139">
            <v>3974</v>
          </cell>
          <cell r="L139">
            <v>115</v>
          </cell>
        </row>
        <row r="140">
          <cell r="A140" t="str">
            <v>Gas Heating Touch</v>
          </cell>
          <cell r="C140" t="str">
            <v>중형</v>
          </cell>
          <cell r="D140">
            <v>1</v>
          </cell>
          <cell r="E140" t="str">
            <v>"</v>
          </cell>
          <cell r="H140">
            <v>3174</v>
          </cell>
          <cell r="L140">
            <v>115</v>
          </cell>
        </row>
        <row r="141">
          <cell r="A141" t="str">
            <v>A.C Welder</v>
          </cell>
          <cell r="C141" t="str">
            <v>5.5 KVA</v>
          </cell>
          <cell r="D141">
            <v>1</v>
          </cell>
          <cell r="E141" t="str">
            <v>"</v>
          </cell>
          <cell r="L141">
            <v>107</v>
          </cell>
        </row>
        <row r="142">
          <cell r="B142" t="str">
            <v xml:space="preserve"> "</v>
          </cell>
          <cell r="C142" t="str">
            <v>10 KVA</v>
          </cell>
          <cell r="D142">
            <v>1</v>
          </cell>
          <cell r="E142" t="str">
            <v>"</v>
          </cell>
          <cell r="L142">
            <v>155</v>
          </cell>
        </row>
        <row r="143">
          <cell r="A143" t="str">
            <v>D.C Welder</v>
          </cell>
          <cell r="C143" t="str">
            <v>300A  5.5KW</v>
          </cell>
          <cell r="D143">
            <v>1</v>
          </cell>
          <cell r="E143" t="str">
            <v>hr</v>
          </cell>
          <cell r="L143">
            <v>359</v>
          </cell>
        </row>
        <row r="144">
          <cell r="A144" t="str">
            <v>Gas Welder</v>
          </cell>
          <cell r="C144" t="str">
            <v>대형</v>
          </cell>
          <cell r="D144">
            <v>1</v>
          </cell>
          <cell r="E144" t="str">
            <v>"</v>
          </cell>
          <cell r="L144">
            <v>149.5</v>
          </cell>
        </row>
        <row r="145">
          <cell r="B145" t="str">
            <v xml:space="preserve"> "</v>
          </cell>
          <cell r="C145" t="str">
            <v>중형</v>
          </cell>
          <cell r="D145">
            <v>1</v>
          </cell>
          <cell r="E145" t="str">
            <v>"</v>
          </cell>
          <cell r="L145">
            <v>115</v>
          </cell>
        </row>
        <row r="146">
          <cell r="A146" t="str">
            <v>Hydro Press</v>
          </cell>
          <cell r="C146" t="str">
            <v>300ton</v>
          </cell>
          <cell r="D146">
            <v>1</v>
          </cell>
          <cell r="E146" t="str">
            <v>"</v>
          </cell>
          <cell r="H146">
            <v>3281</v>
          </cell>
          <cell r="L146">
            <v>8463</v>
          </cell>
        </row>
        <row r="147">
          <cell r="B147" t="str">
            <v xml:space="preserve"> "</v>
          </cell>
          <cell r="C147" t="str">
            <v>100ton</v>
          </cell>
          <cell r="D147">
            <v>1</v>
          </cell>
          <cell r="E147" t="str">
            <v>"</v>
          </cell>
          <cell r="H147">
            <v>3281</v>
          </cell>
          <cell r="L147">
            <v>6045</v>
          </cell>
        </row>
        <row r="148">
          <cell r="A148" t="str">
            <v>Bending Roller</v>
          </cell>
          <cell r="C148" t="str">
            <v>23ft</v>
          </cell>
          <cell r="D148">
            <v>1</v>
          </cell>
          <cell r="E148" t="str">
            <v>hr</v>
          </cell>
          <cell r="H148">
            <v>4281</v>
          </cell>
          <cell r="L148">
            <v>6323</v>
          </cell>
        </row>
        <row r="149">
          <cell r="A149" t="str">
            <v>종       별</v>
          </cell>
          <cell r="C149" t="str">
            <v>재 료 또 는</v>
          </cell>
          <cell r="D149" t="str">
            <v xml:space="preserve">원 수 </v>
          </cell>
          <cell r="E149" t="str">
            <v>단 위</v>
          </cell>
          <cell r="F149" t="str">
            <v>총   액</v>
          </cell>
          <cell r="G149" t="str">
            <v>노   무   비</v>
          </cell>
          <cell r="I149" t="str">
            <v>재   료   비</v>
          </cell>
          <cell r="K149" t="str">
            <v>경      비</v>
          </cell>
          <cell r="M149" t="str">
            <v>비   고</v>
          </cell>
        </row>
        <row r="150">
          <cell r="C150" t="str">
            <v xml:space="preserve">규       격 </v>
          </cell>
          <cell r="F150" t="str">
            <v>금   액</v>
          </cell>
          <cell r="G150" t="str">
            <v>단  가</v>
          </cell>
          <cell r="H150" t="str">
            <v>금   액</v>
          </cell>
          <cell r="I150" t="str">
            <v>단  가</v>
          </cell>
          <cell r="J150" t="str">
            <v>금   액</v>
          </cell>
          <cell r="K150" t="str">
            <v>단  가</v>
          </cell>
          <cell r="L150" t="str">
            <v>금   액</v>
          </cell>
        </row>
        <row r="151">
          <cell r="A151" t="str">
            <v>Edge Bending Roller</v>
          </cell>
        </row>
        <row r="152">
          <cell r="C152" t="str">
            <v>23ft</v>
          </cell>
          <cell r="D152">
            <v>1</v>
          </cell>
          <cell r="E152" t="str">
            <v>"</v>
          </cell>
          <cell r="H152">
            <v>4281</v>
          </cell>
          <cell r="L152">
            <v>9484.5</v>
          </cell>
        </row>
        <row r="153">
          <cell r="A153" t="str">
            <v>Shearing Machine</v>
          </cell>
          <cell r="D153">
            <v>1</v>
          </cell>
          <cell r="E153" t="str">
            <v>"</v>
          </cell>
          <cell r="H153">
            <v>3688</v>
          </cell>
          <cell r="L153">
            <v>3209</v>
          </cell>
        </row>
        <row r="154">
          <cell r="A154" t="str">
            <v>Drilling Machine</v>
          </cell>
          <cell r="C154" t="str">
            <v xml:space="preserve"> 3 Hp</v>
          </cell>
          <cell r="D154">
            <v>1</v>
          </cell>
          <cell r="E154" t="str">
            <v>"</v>
          </cell>
          <cell r="H154">
            <v>3401</v>
          </cell>
          <cell r="L154">
            <v>576</v>
          </cell>
        </row>
        <row r="155">
          <cell r="B155" t="str">
            <v xml:space="preserve">  "</v>
          </cell>
          <cell r="C155" t="str">
            <v>radial 5Hp</v>
          </cell>
          <cell r="D155">
            <v>1</v>
          </cell>
          <cell r="E155" t="str">
            <v>"</v>
          </cell>
          <cell r="H155">
            <v>3401</v>
          </cell>
          <cell r="L155">
            <v>1720</v>
          </cell>
        </row>
        <row r="156">
          <cell r="A156" t="str">
            <v>Portable Drill</v>
          </cell>
          <cell r="C156" t="str">
            <v>0.5 Hp</v>
          </cell>
          <cell r="D156">
            <v>1</v>
          </cell>
          <cell r="E156" t="str">
            <v>hr</v>
          </cell>
          <cell r="H156" t="str">
            <v xml:space="preserve"> </v>
          </cell>
          <cell r="L156">
            <v>12</v>
          </cell>
        </row>
        <row r="157">
          <cell r="B157" t="str">
            <v xml:space="preserve">  "</v>
          </cell>
          <cell r="C157" t="str">
            <v>1.5 Hp</v>
          </cell>
          <cell r="D157">
            <v>1</v>
          </cell>
          <cell r="E157" t="str">
            <v>"</v>
          </cell>
          <cell r="H157" t="str">
            <v xml:space="preserve"> </v>
          </cell>
          <cell r="L157">
            <v>14</v>
          </cell>
        </row>
        <row r="158">
          <cell r="A158" t="str">
            <v>Portable Grinder</v>
          </cell>
          <cell r="C158" t="str">
            <v>0.5 Hp</v>
          </cell>
          <cell r="D158">
            <v>1</v>
          </cell>
          <cell r="E158" t="str">
            <v>hr</v>
          </cell>
          <cell r="L158">
            <v>22</v>
          </cell>
        </row>
        <row r="159">
          <cell r="A159" t="str">
            <v>Air Compressor</v>
          </cell>
          <cell r="C159" t="str">
            <v>5.9㎥/min</v>
          </cell>
          <cell r="D159">
            <v>1</v>
          </cell>
          <cell r="E159" t="str">
            <v>"</v>
          </cell>
          <cell r="H159">
            <v>9681</v>
          </cell>
          <cell r="J159">
            <v>6189</v>
          </cell>
          <cell r="L159">
            <v>3137</v>
          </cell>
        </row>
        <row r="160">
          <cell r="B160" t="str">
            <v xml:space="preserve">  "</v>
          </cell>
          <cell r="C160" t="str">
            <v>8.9㎥/min</v>
          </cell>
          <cell r="D160">
            <v>1</v>
          </cell>
          <cell r="E160" t="str">
            <v>"</v>
          </cell>
          <cell r="H160">
            <v>9681</v>
          </cell>
          <cell r="J160">
            <v>8779</v>
          </cell>
          <cell r="L160">
            <v>6250</v>
          </cell>
        </row>
        <row r="161">
          <cell r="A161" t="str">
            <v>Over Head Crane</v>
          </cell>
          <cell r="C161" t="str">
            <v>20ton</v>
          </cell>
          <cell r="D161">
            <v>1</v>
          </cell>
          <cell r="E161" t="str">
            <v>"</v>
          </cell>
          <cell r="H161">
            <v>9681</v>
          </cell>
          <cell r="L161">
            <v>3338</v>
          </cell>
        </row>
        <row r="162">
          <cell r="B162" t="str">
            <v xml:space="preserve">  "</v>
          </cell>
          <cell r="C162" t="str">
            <v>30ton</v>
          </cell>
          <cell r="D162">
            <v>1</v>
          </cell>
          <cell r="E162" t="str">
            <v>hr</v>
          </cell>
          <cell r="H162">
            <v>9681</v>
          </cell>
          <cell r="L162">
            <v>4123</v>
          </cell>
        </row>
        <row r="163">
          <cell r="A163" t="str">
            <v>Truck Crane</v>
          </cell>
          <cell r="C163" t="str">
            <v>10ton</v>
          </cell>
          <cell r="D163">
            <v>1</v>
          </cell>
          <cell r="E163" t="str">
            <v>"</v>
          </cell>
          <cell r="H163">
            <v>18615</v>
          </cell>
          <cell r="J163">
            <v>3486</v>
          </cell>
          <cell r="L163">
            <v>20487</v>
          </cell>
        </row>
        <row r="164">
          <cell r="B164" t="str">
            <v xml:space="preserve">  "</v>
          </cell>
          <cell r="C164" t="str">
            <v>15ton</v>
          </cell>
          <cell r="D164">
            <v>1</v>
          </cell>
          <cell r="E164" t="str">
            <v>"</v>
          </cell>
          <cell r="H164">
            <v>18615</v>
          </cell>
          <cell r="J164">
            <v>4285</v>
          </cell>
          <cell r="L164">
            <v>30731</v>
          </cell>
        </row>
        <row r="165">
          <cell r="B165" t="str">
            <v xml:space="preserve">  "</v>
          </cell>
          <cell r="C165" t="str">
            <v>20ton</v>
          </cell>
          <cell r="D165">
            <v>1</v>
          </cell>
          <cell r="E165" t="str">
            <v>"</v>
          </cell>
          <cell r="H165">
            <v>18615</v>
          </cell>
          <cell r="J165">
            <v>4939</v>
          </cell>
          <cell r="L165">
            <v>40975</v>
          </cell>
        </row>
        <row r="166">
          <cell r="B166" t="str">
            <v xml:space="preserve">  "</v>
          </cell>
          <cell r="C166" t="str">
            <v>30ton</v>
          </cell>
          <cell r="D166">
            <v>1</v>
          </cell>
          <cell r="E166" t="str">
            <v>"</v>
          </cell>
          <cell r="H166">
            <v>18615</v>
          </cell>
          <cell r="J166">
            <v>7046</v>
          </cell>
          <cell r="L166">
            <v>44939</v>
          </cell>
        </row>
        <row r="167">
          <cell r="B167" t="str">
            <v xml:space="preserve">  "</v>
          </cell>
          <cell r="C167" t="str">
            <v>40ton</v>
          </cell>
          <cell r="D167">
            <v>1</v>
          </cell>
          <cell r="E167" t="str">
            <v>"</v>
          </cell>
          <cell r="H167">
            <v>18615</v>
          </cell>
          <cell r="J167">
            <v>8730</v>
          </cell>
          <cell r="L167">
            <v>55621</v>
          </cell>
        </row>
        <row r="168">
          <cell r="A168" t="str">
            <v>Winch</v>
          </cell>
          <cell r="C168" t="str">
            <v>10Hp</v>
          </cell>
          <cell r="D168">
            <v>1</v>
          </cell>
          <cell r="E168" t="str">
            <v>hr</v>
          </cell>
          <cell r="H168">
            <v>9235</v>
          </cell>
          <cell r="L168">
            <v>850</v>
          </cell>
        </row>
        <row r="169">
          <cell r="A169" t="str">
            <v>"</v>
          </cell>
          <cell r="C169" t="str">
            <v>50Hp</v>
          </cell>
          <cell r="D169">
            <v>1</v>
          </cell>
          <cell r="E169" t="str">
            <v>"</v>
          </cell>
          <cell r="H169">
            <v>9235</v>
          </cell>
          <cell r="L169">
            <v>5209</v>
          </cell>
        </row>
        <row r="170">
          <cell r="A170" t="str">
            <v>Truck</v>
          </cell>
          <cell r="C170" t="str">
            <v>6ton</v>
          </cell>
          <cell r="D170">
            <v>1</v>
          </cell>
          <cell r="E170" t="str">
            <v>"</v>
          </cell>
          <cell r="H170">
            <v>8683</v>
          </cell>
          <cell r="J170">
            <v>8110</v>
          </cell>
          <cell r="L170">
            <v>4902</v>
          </cell>
        </row>
        <row r="171">
          <cell r="A171" t="str">
            <v>Trailer</v>
          </cell>
          <cell r="C171" t="str">
            <v>20ton</v>
          </cell>
          <cell r="D171">
            <v>1</v>
          </cell>
          <cell r="E171" t="str">
            <v>"</v>
          </cell>
          <cell r="H171">
            <v>9681</v>
          </cell>
          <cell r="J171">
            <v>15109</v>
          </cell>
          <cell r="L171">
            <v>20345</v>
          </cell>
        </row>
        <row r="172">
          <cell r="A172" t="str">
            <v>종       별</v>
          </cell>
          <cell r="C172" t="str">
            <v>재 료 또 는</v>
          </cell>
          <cell r="D172" t="str">
            <v xml:space="preserve">원 수 </v>
          </cell>
          <cell r="E172" t="str">
            <v>단 위</v>
          </cell>
          <cell r="F172" t="str">
            <v>총   액</v>
          </cell>
          <cell r="G172" t="str">
            <v>노   무   비</v>
          </cell>
          <cell r="I172" t="str">
            <v>재   료   비</v>
          </cell>
          <cell r="K172" t="str">
            <v>경      비</v>
          </cell>
          <cell r="M172" t="str">
            <v>비   고</v>
          </cell>
        </row>
        <row r="173">
          <cell r="C173" t="str">
            <v xml:space="preserve">규       격 </v>
          </cell>
          <cell r="F173" t="str">
            <v>금   액</v>
          </cell>
          <cell r="G173" t="str">
            <v>단  가</v>
          </cell>
          <cell r="H173" t="str">
            <v>금   액</v>
          </cell>
          <cell r="I173" t="str">
            <v>단  가</v>
          </cell>
          <cell r="J173" t="str">
            <v>금   액</v>
          </cell>
          <cell r="K173" t="str">
            <v>단  가</v>
          </cell>
          <cell r="L173" t="str">
            <v>금   액</v>
          </cell>
        </row>
        <row r="174">
          <cell r="A174" t="str">
            <v>Trailer</v>
          </cell>
          <cell r="C174" t="str">
            <v>30ton</v>
          </cell>
          <cell r="D174">
            <v>1</v>
          </cell>
          <cell r="E174" t="str">
            <v>"</v>
          </cell>
          <cell r="H174">
            <v>8683</v>
          </cell>
          <cell r="J174">
            <v>15763</v>
          </cell>
          <cell r="L174">
            <v>27414</v>
          </cell>
        </row>
        <row r="175">
          <cell r="A175" t="str">
            <v>Fork Lift</v>
          </cell>
          <cell r="C175" t="str">
            <v>3.5ton</v>
          </cell>
          <cell r="D175">
            <v>1</v>
          </cell>
          <cell r="E175" t="str">
            <v>hr</v>
          </cell>
          <cell r="H175">
            <v>9681</v>
          </cell>
          <cell r="J175">
            <v>5116</v>
          </cell>
          <cell r="L175">
            <v>3470</v>
          </cell>
        </row>
        <row r="176">
          <cell r="B176" t="str">
            <v xml:space="preserve"> "</v>
          </cell>
          <cell r="C176" t="str">
            <v>5.0ton</v>
          </cell>
          <cell r="D176">
            <v>1</v>
          </cell>
          <cell r="E176" t="str">
            <v>"</v>
          </cell>
          <cell r="H176">
            <v>9681</v>
          </cell>
          <cell r="J176">
            <v>5116.08</v>
          </cell>
          <cell r="L176">
            <v>4863</v>
          </cell>
        </row>
        <row r="177">
          <cell r="B177" t="str">
            <v xml:space="preserve"> "</v>
          </cell>
          <cell r="C177" t="str">
            <v>7.5ton</v>
          </cell>
          <cell r="D177">
            <v>1</v>
          </cell>
          <cell r="E177" t="str">
            <v>"</v>
          </cell>
          <cell r="H177">
            <v>9681</v>
          </cell>
          <cell r="J177">
            <v>5898</v>
          </cell>
          <cell r="L177">
            <v>5845</v>
          </cell>
        </row>
        <row r="178">
          <cell r="A178" t="str">
            <v>발 전 기</v>
          </cell>
          <cell r="C178" t="str">
            <v>50 kw</v>
          </cell>
          <cell r="D178">
            <v>1</v>
          </cell>
          <cell r="E178" t="str">
            <v>"</v>
          </cell>
          <cell r="H178">
            <v>9235</v>
          </cell>
          <cell r="J178">
            <v>8338</v>
          </cell>
          <cell r="L178">
            <v>4912</v>
          </cell>
        </row>
        <row r="179">
          <cell r="A179" t="str">
            <v>AIR HOSE</v>
          </cell>
          <cell r="C179" t="str">
            <v>3/4 "</v>
          </cell>
          <cell r="D179">
            <v>1</v>
          </cell>
          <cell r="E179" t="str">
            <v>"</v>
          </cell>
          <cell r="L179">
            <v>48</v>
          </cell>
        </row>
        <row r="180">
          <cell r="A180" t="str">
            <v>브라스트기</v>
          </cell>
          <cell r="D180">
            <v>1</v>
          </cell>
          <cell r="E180" t="str">
            <v>"</v>
          </cell>
          <cell r="L180">
            <v>659</v>
          </cell>
        </row>
        <row r="181">
          <cell r="A181" t="str">
            <v>건  조  기</v>
          </cell>
          <cell r="D181">
            <v>1</v>
          </cell>
          <cell r="E181" t="str">
            <v>"</v>
          </cell>
          <cell r="L181">
            <v>211</v>
          </cell>
        </row>
        <row r="182">
          <cell r="A182" t="str">
            <v>방  진  복</v>
          </cell>
          <cell r="D182">
            <v>1</v>
          </cell>
          <cell r="E182" t="str">
            <v>"</v>
          </cell>
          <cell r="L182">
            <v>107</v>
          </cell>
        </row>
        <row r="183">
          <cell r="A183" t="str">
            <v>방  진  모</v>
          </cell>
          <cell r="D183">
            <v>1</v>
          </cell>
          <cell r="E183" t="str">
            <v>"</v>
          </cell>
          <cell r="L183">
            <v>21</v>
          </cell>
        </row>
        <row r="196">
          <cell r="B196" t="str">
            <v>'98 년도  사 용 장 비 경 비  산 출 표</v>
          </cell>
        </row>
        <row r="197">
          <cell r="E197" t="str">
            <v xml:space="preserve"> </v>
          </cell>
        </row>
        <row r="198">
          <cell r="A198" t="str">
            <v>종       별</v>
          </cell>
          <cell r="C198" t="str">
            <v>재 료 또 는</v>
          </cell>
          <cell r="D198" t="str">
            <v xml:space="preserve">원 수 </v>
          </cell>
          <cell r="E198" t="str">
            <v>단 위</v>
          </cell>
          <cell r="F198" t="str">
            <v>총   액</v>
          </cell>
          <cell r="G198" t="str">
            <v>노   무   비</v>
          </cell>
          <cell r="I198" t="str">
            <v>재   료   비</v>
          </cell>
          <cell r="K198" t="str">
            <v>경      비</v>
          </cell>
          <cell r="M198" t="str">
            <v>비   고</v>
          </cell>
        </row>
        <row r="199">
          <cell r="C199" t="str">
            <v xml:space="preserve">규       격 </v>
          </cell>
          <cell r="F199" t="str">
            <v>금   액</v>
          </cell>
          <cell r="G199" t="str">
            <v>단  가</v>
          </cell>
          <cell r="H199" t="str">
            <v>금   액</v>
          </cell>
          <cell r="I199" t="str">
            <v>단  가</v>
          </cell>
          <cell r="J199" t="str">
            <v>금   액</v>
          </cell>
          <cell r="K199" t="str">
            <v>단  가</v>
          </cell>
          <cell r="L199" t="str">
            <v>금   액</v>
          </cell>
        </row>
        <row r="200">
          <cell r="A200" t="str">
            <v>Truck</v>
          </cell>
          <cell r="C200" t="str">
            <v>6ton</v>
          </cell>
          <cell r="D200">
            <v>1</v>
          </cell>
          <cell r="E200" t="str">
            <v>hr</v>
          </cell>
          <cell r="H200">
            <v>8683</v>
          </cell>
          <cell r="J200">
            <v>8110</v>
          </cell>
        </row>
        <row r="202">
          <cell r="B202" t="str">
            <v>- 경유</v>
          </cell>
          <cell r="D202">
            <v>10.7</v>
          </cell>
          <cell r="E202" t="str">
            <v>L</v>
          </cell>
          <cell r="I202">
            <v>526.4</v>
          </cell>
          <cell r="J202">
            <v>5632</v>
          </cell>
        </row>
        <row r="203">
          <cell r="B203" t="str">
            <v>- 잡유</v>
          </cell>
          <cell r="C203" t="str">
            <v>주연료*44%</v>
          </cell>
          <cell r="D203">
            <v>1</v>
          </cell>
          <cell r="E203" t="str">
            <v>식</v>
          </cell>
          <cell r="J203">
            <v>2478</v>
          </cell>
        </row>
        <row r="204">
          <cell r="B204" t="str">
            <v>- 조종원</v>
          </cell>
          <cell r="D204">
            <v>0.17</v>
          </cell>
          <cell r="E204" t="str">
            <v>인</v>
          </cell>
          <cell r="G204">
            <v>51077</v>
          </cell>
          <cell r="H204">
            <v>8683</v>
          </cell>
        </row>
        <row r="206">
          <cell r="A206" t="str">
            <v>Truck Crane</v>
          </cell>
          <cell r="C206" t="str">
            <v>15ton</v>
          </cell>
          <cell r="D206">
            <v>1</v>
          </cell>
          <cell r="E206" t="str">
            <v>hr</v>
          </cell>
          <cell r="H206">
            <v>18615</v>
          </cell>
          <cell r="J206">
            <v>4285</v>
          </cell>
        </row>
        <row r="208">
          <cell r="B208" t="str">
            <v>- 경유</v>
          </cell>
          <cell r="D208">
            <v>5.9</v>
          </cell>
          <cell r="E208" t="str">
            <v>L</v>
          </cell>
          <cell r="I208">
            <v>526.4</v>
          </cell>
          <cell r="J208">
            <v>3105.76</v>
          </cell>
        </row>
        <row r="209">
          <cell r="B209" t="str">
            <v>- 잡유</v>
          </cell>
          <cell r="C209" t="str">
            <v>주연료*38%</v>
          </cell>
          <cell r="D209">
            <v>1</v>
          </cell>
          <cell r="E209" t="str">
            <v>식</v>
          </cell>
          <cell r="J209">
            <v>1180.1888000000001</v>
          </cell>
        </row>
        <row r="210">
          <cell r="B210" t="str">
            <v>- 조종원</v>
          </cell>
          <cell r="D210">
            <v>0.17</v>
          </cell>
          <cell r="E210" t="str">
            <v>인</v>
          </cell>
          <cell r="G210">
            <v>56951</v>
          </cell>
          <cell r="H210">
            <v>9681.67</v>
          </cell>
        </row>
        <row r="211">
          <cell r="B211" t="str">
            <v>- 조수</v>
          </cell>
          <cell r="D211">
            <v>0.17</v>
          </cell>
          <cell r="E211" t="str">
            <v>"</v>
          </cell>
          <cell r="G211">
            <v>42762</v>
          </cell>
          <cell r="H211">
            <v>7269.5400000000009</v>
          </cell>
        </row>
        <row r="212">
          <cell r="B212" t="str">
            <v>- 중기조장</v>
          </cell>
          <cell r="D212">
            <v>0.03</v>
          </cell>
          <cell r="E212" t="str">
            <v>"</v>
          </cell>
          <cell r="G212">
            <v>55484</v>
          </cell>
          <cell r="H212">
            <v>1664.52</v>
          </cell>
        </row>
        <row r="214">
          <cell r="A214" t="str">
            <v>Truck Crane</v>
          </cell>
          <cell r="C214" t="str">
            <v>20ton</v>
          </cell>
          <cell r="D214">
            <v>1</v>
          </cell>
          <cell r="E214" t="str">
            <v>hr</v>
          </cell>
          <cell r="H214">
            <v>18615</v>
          </cell>
          <cell r="J214">
            <v>4939</v>
          </cell>
        </row>
        <row r="216">
          <cell r="B216" t="str">
            <v>- 경유</v>
          </cell>
          <cell r="D216">
            <v>6.8</v>
          </cell>
          <cell r="E216" t="str">
            <v>L</v>
          </cell>
          <cell r="I216">
            <v>526.4</v>
          </cell>
          <cell r="J216">
            <v>3579.5199999999995</v>
          </cell>
        </row>
        <row r="217">
          <cell r="B217" t="str">
            <v>- 잡유</v>
          </cell>
          <cell r="C217" t="str">
            <v>주연료*38%</v>
          </cell>
          <cell r="D217">
            <v>1</v>
          </cell>
          <cell r="E217" t="str">
            <v>식</v>
          </cell>
          <cell r="J217">
            <v>1360.2175999999997</v>
          </cell>
        </row>
        <row r="218">
          <cell r="A218" t="str">
            <v>종       별</v>
          </cell>
          <cell r="C218" t="str">
            <v>재 료 또 는</v>
          </cell>
          <cell r="D218" t="str">
            <v xml:space="preserve">원 수 </v>
          </cell>
          <cell r="E218" t="str">
            <v>단 위</v>
          </cell>
          <cell r="F218" t="str">
            <v>총   액</v>
          </cell>
          <cell r="G218" t="str">
            <v>노   무   비</v>
          </cell>
          <cell r="I218" t="str">
            <v>재   료   비</v>
          </cell>
          <cell r="K218" t="str">
            <v>경      비</v>
          </cell>
          <cell r="M218" t="str">
            <v>비   고</v>
          </cell>
        </row>
        <row r="219">
          <cell r="C219" t="str">
            <v xml:space="preserve">규       격 </v>
          </cell>
          <cell r="F219" t="str">
            <v>금   액</v>
          </cell>
          <cell r="G219" t="str">
            <v>단  가</v>
          </cell>
          <cell r="H219" t="str">
            <v>금   액</v>
          </cell>
          <cell r="I219" t="str">
            <v>단  가</v>
          </cell>
          <cell r="J219" t="str">
            <v>금   액</v>
          </cell>
          <cell r="K219" t="str">
            <v>단  가</v>
          </cell>
          <cell r="L219" t="str">
            <v>금   액</v>
          </cell>
        </row>
        <row r="220">
          <cell r="B220" t="str">
            <v>- 조종원</v>
          </cell>
          <cell r="D220">
            <v>0.17</v>
          </cell>
          <cell r="E220" t="str">
            <v>인</v>
          </cell>
          <cell r="G220">
            <v>56951</v>
          </cell>
          <cell r="H220">
            <v>9681.67</v>
          </cell>
        </row>
        <row r="221">
          <cell r="B221" t="str">
            <v>- 조수</v>
          </cell>
          <cell r="D221">
            <v>0.17</v>
          </cell>
          <cell r="E221" t="str">
            <v>"</v>
          </cell>
          <cell r="G221">
            <v>42762</v>
          </cell>
          <cell r="H221">
            <v>7269.5400000000009</v>
          </cell>
        </row>
        <row r="222">
          <cell r="B222" t="str">
            <v>- 중기조장</v>
          </cell>
          <cell r="D222">
            <v>0.03</v>
          </cell>
          <cell r="E222" t="str">
            <v>"</v>
          </cell>
          <cell r="G222">
            <v>55484</v>
          </cell>
          <cell r="H222">
            <v>1664.52</v>
          </cell>
        </row>
        <row r="224">
          <cell r="A224" t="str">
            <v>Truck Crane</v>
          </cell>
          <cell r="C224" t="str">
            <v>30ton</v>
          </cell>
          <cell r="D224">
            <v>1</v>
          </cell>
          <cell r="E224" t="str">
            <v>hr</v>
          </cell>
          <cell r="H224">
            <v>18615</v>
          </cell>
          <cell r="J224">
            <v>7046</v>
          </cell>
        </row>
        <row r="226">
          <cell r="B226" t="str">
            <v>- 경유</v>
          </cell>
          <cell r="D226">
            <v>9.6999999999999993</v>
          </cell>
          <cell r="E226" t="str">
            <v>L</v>
          </cell>
          <cell r="I226">
            <v>526.4</v>
          </cell>
          <cell r="J226">
            <v>5106.079999999999</v>
          </cell>
          <cell r="L226" t="str">
            <v xml:space="preserve"> </v>
          </cell>
        </row>
        <row r="227">
          <cell r="B227" t="str">
            <v>- 잡유</v>
          </cell>
          <cell r="C227" t="str">
            <v>주연료*38%</v>
          </cell>
          <cell r="D227">
            <v>1</v>
          </cell>
          <cell r="E227" t="str">
            <v>식</v>
          </cell>
          <cell r="J227">
            <v>1940.3103999999994</v>
          </cell>
        </row>
        <row r="228">
          <cell r="B228" t="str">
            <v>- 조종원</v>
          </cell>
          <cell r="D228">
            <v>0.17</v>
          </cell>
          <cell r="E228" t="str">
            <v>인</v>
          </cell>
          <cell r="G228">
            <v>56951</v>
          </cell>
          <cell r="H228">
            <v>9681.67</v>
          </cell>
        </row>
        <row r="229">
          <cell r="B229" t="str">
            <v>- 조수</v>
          </cell>
          <cell r="D229">
            <v>0.17</v>
          </cell>
          <cell r="E229" t="str">
            <v>"</v>
          </cell>
          <cell r="G229">
            <v>42762</v>
          </cell>
          <cell r="H229">
            <v>7269.5400000000009</v>
          </cell>
        </row>
        <row r="230">
          <cell r="B230" t="str">
            <v>- 중기조장</v>
          </cell>
          <cell r="D230">
            <v>0.03</v>
          </cell>
          <cell r="E230" t="str">
            <v>"</v>
          </cell>
          <cell r="G230">
            <v>55484</v>
          </cell>
          <cell r="H230">
            <v>1664.52</v>
          </cell>
        </row>
        <row r="232">
          <cell r="A232" t="str">
            <v>Truck Crane</v>
          </cell>
          <cell r="C232" t="str">
            <v>40ton</v>
          </cell>
          <cell r="D232">
            <v>1</v>
          </cell>
          <cell r="E232" t="str">
            <v>hr</v>
          </cell>
          <cell r="H232">
            <v>18615</v>
          </cell>
          <cell r="J232">
            <v>8730</v>
          </cell>
        </row>
        <row r="234">
          <cell r="B234" t="str">
            <v>- 경유</v>
          </cell>
          <cell r="D234">
            <v>10.7</v>
          </cell>
          <cell r="E234" t="str">
            <v>L</v>
          </cell>
          <cell r="I234">
            <v>526.4</v>
          </cell>
          <cell r="J234">
            <v>5632.48</v>
          </cell>
          <cell r="L234" t="str">
            <v xml:space="preserve"> </v>
          </cell>
        </row>
        <row r="235">
          <cell r="B235" t="str">
            <v>- 잡유</v>
          </cell>
          <cell r="C235" t="str">
            <v>주연료*55%</v>
          </cell>
          <cell r="D235">
            <v>1</v>
          </cell>
          <cell r="E235" t="str">
            <v>식</v>
          </cell>
          <cell r="J235">
            <v>3097.8639999999996</v>
          </cell>
        </row>
        <row r="236">
          <cell r="B236" t="str">
            <v>- 조종원</v>
          </cell>
          <cell r="D236">
            <v>0.17</v>
          </cell>
          <cell r="E236" t="str">
            <v>인</v>
          </cell>
          <cell r="G236">
            <v>56951</v>
          </cell>
          <cell r="H236">
            <v>9681.67</v>
          </cell>
        </row>
        <row r="237">
          <cell r="B237" t="str">
            <v>- 조수</v>
          </cell>
          <cell r="D237">
            <v>0.17</v>
          </cell>
          <cell r="E237" t="str">
            <v>"</v>
          </cell>
          <cell r="G237">
            <v>42762</v>
          </cell>
          <cell r="H237">
            <v>7269.5400000000009</v>
          </cell>
        </row>
        <row r="238">
          <cell r="B238" t="str">
            <v>- 중기조장</v>
          </cell>
          <cell r="D238">
            <v>0.03</v>
          </cell>
          <cell r="E238" t="str">
            <v>"</v>
          </cell>
          <cell r="G238">
            <v>55484</v>
          </cell>
          <cell r="H238">
            <v>1664.52</v>
          </cell>
        </row>
        <row r="241">
          <cell r="A241" t="str">
            <v>종       별</v>
          </cell>
          <cell r="C241" t="str">
            <v>재 료 또 는</v>
          </cell>
          <cell r="D241" t="str">
            <v xml:space="preserve">원 수 </v>
          </cell>
          <cell r="E241" t="str">
            <v>단 위</v>
          </cell>
          <cell r="F241" t="str">
            <v>총   액</v>
          </cell>
          <cell r="G241" t="str">
            <v>노   무   비</v>
          </cell>
          <cell r="I241" t="str">
            <v>재   료   비</v>
          </cell>
          <cell r="K241" t="str">
            <v>경      비</v>
          </cell>
          <cell r="M241" t="str">
            <v>비   고</v>
          </cell>
        </row>
        <row r="242">
          <cell r="C242" t="str">
            <v xml:space="preserve">규       격 </v>
          </cell>
          <cell r="F242" t="str">
            <v>금   액</v>
          </cell>
          <cell r="G242" t="str">
            <v>단  가</v>
          </cell>
          <cell r="H242" t="str">
            <v>금   액</v>
          </cell>
          <cell r="I242" t="str">
            <v>단  가</v>
          </cell>
          <cell r="J242" t="str">
            <v>금   액</v>
          </cell>
          <cell r="K242" t="str">
            <v>단  가</v>
          </cell>
          <cell r="L242" t="str">
            <v>금   액</v>
          </cell>
        </row>
        <row r="243">
          <cell r="A243" t="str">
            <v>Tower Crane</v>
          </cell>
          <cell r="C243" t="str">
            <v>5ton</v>
          </cell>
          <cell r="D243">
            <v>1</v>
          </cell>
          <cell r="E243" t="str">
            <v>hr</v>
          </cell>
          <cell r="J243">
            <v>543</v>
          </cell>
        </row>
        <row r="245">
          <cell r="B245" t="str">
            <v xml:space="preserve">- Wire Rope </v>
          </cell>
          <cell r="C245" t="str">
            <v>18m/mΦ</v>
          </cell>
          <cell r="D245">
            <v>0.36</v>
          </cell>
          <cell r="E245" t="str">
            <v>m</v>
          </cell>
          <cell r="I245">
            <v>1509</v>
          </cell>
          <cell r="J245">
            <v>543</v>
          </cell>
        </row>
        <row r="246">
          <cell r="A246" t="str">
            <v>Fork Lift Truck</v>
          </cell>
          <cell r="C246" t="str">
            <v>3.5ton</v>
          </cell>
          <cell r="D246">
            <v>1</v>
          </cell>
          <cell r="E246" t="str">
            <v>hr</v>
          </cell>
          <cell r="H246">
            <v>9681</v>
          </cell>
          <cell r="J246">
            <v>5116</v>
          </cell>
        </row>
        <row r="248">
          <cell r="B248" t="str">
            <v>- 경유</v>
          </cell>
          <cell r="D248">
            <v>7.2</v>
          </cell>
          <cell r="E248" t="str">
            <v>L</v>
          </cell>
          <cell r="I248">
            <v>526.4</v>
          </cell>
          <cell r="J248">
            <v>3790.08</v>
          </cell>
        </row>
        <row r="249">
          <cell r="B249" t="str">
            <v>- 잡유</v>
          </cell>
          <cell r="C249" t="str">
            <v>주연료*35%</v>
          </cell>
          <cell r="D249">
            <v>1</v>
          </cell>
          <cell r="E249" t="str">
            <v>식</v>
          </cell>
          <cell r="J249">
            <v>1326.5279999999998</v>
          </cell>
        </row>
        <row r="250">
          <cell r="B250" t="str">
            <v>- 조종원</v>
          </cell>
          <cell r="D250">
            <v>0.17</v>
          </cell>
          <cell r="E250" t="str">
            <v>인</v>
          </cell>
          <cell r="G250">
            <v>56951</v>
          </cell>
          <cell r="H250">
            <v>9681</v>
          </cell>
        </row>
        <row r="251">
          <cell r="A251" t="str">
            <v>Fork Lift Truck</v>
          </cell>
          <cell r="C251" t="str">
            <v>5.0ton</v>
          </cell>
          <cell r="D251">
            <v>1</v>
          </cell>
          <cell r="E251" t="str">
            <v>hr</v>
          </cell>
          <cell r="H251">
            <v>9681</v>
          </cell>
          <cell r="J251">
            <v>5116.08</v>
          </cell>
        </row>
        <row r="253">
          <cell r="B253" t="str">
            <v>- 경유</v>
          </cell>
          <cell r="D253">
            <v>7.2</v>
          </cell>
          <cell r="E253" t="str">
            <v>L</v>
          </cell>
          <cell r="I253">
            <v>526.4</v>
          </cell>
          <cell r="J253">
            <v>3790.08</v>
          </cell>
        </row>
        <row r="254">
          <cell r="B254" t="str">
            <v>- 잡유</v>
          </cell>
          <cell r="C254" t="str">
            <v>주연료*35%</v>
          </cell>
          <cell r="D254">
            <v>1</v>
          </cell>
          <cell r="E254" t="str">
            <v>식</v>
          </cell>
          <cell r="J254">
            <v>1326</v>
          </cell>
        </row>
        <row r="255">
          <cell r="B255" t="str">
            <v>- 조종원</v>
          </cell>
          <cell r="D255">
            <v>0.17</v>
          </cell>
          <cell r="E255" t="str">
            <v>인</v>
          </cell>
          <cell r="G255">
            <v>56951</v>
          </cell>
          <cell r="H255">
            <v>9681</v>
          </cell>
        </row>
        <row r="257">
          <cell r="A257" t="str">
            <v>Fork Lift Truck</v>
          </cell>
          <cell r="C257" t="str">
            <v>7.5ton</v>
          </cell>
          <cell r="D257">
            <v>1</v>
          </cell>
          <cell r="E257" t="str">
            <v>hr</v>
          </cell>
          <cell r="H257">
            <v>9681</v>
          </cell>
          <cell r="J257">
            <v>5898</v>
          </cell>
        </row>
        <row r="259">
          <cell r="B259" t="str">
            <v>- 경유</v>
          </cell>
          <cell r="D259">
            <v>8.3000000000000007</v>
          </cell>
          <cell r="E259" t="str">
            <v>L</v>
          </cell>
          <cell r="I259">
            <v>526.4</v>
          </cell>
          <cell r="J259">
            <v>4369.12</v>
          </cell>
        </row>
        <row r="260">
          <cell r="B260" t="str">
            <v>- 잡유</v>
          </cell>
          <cell r="C260" t="str">
            <v>주연료*35%</v>
          </cell>
          <cell r="D260">
            <v>1</v>
          </cell>
          <cell r="E260" t="str">
            <v>식</v>
          </cell>
          <cell r="J260">
            <v>1529.1919999999998</v>
          </cell>
        </row>
        <row r="261">
          <cell r="B261" t="str">
            <v>- 조종원</v>
          </cell>
          <cell r="D261">
            <v>0.17</v>
          </cell>
          <cell r="E261" t="str">
            <v>인</v>
          </cell>
          <cell r="G261">
            <v>56951</v>
          </cell>
          <cell r="H261">
            <v>9681</v>
          </cell>
        </row>
        <row r="264">
          <cell r="A264" t="str">
            <v>종       별</v>
          </cell>
          <cell r="C264" t="str">
            <v>재 료 또 는</v>
          </cell>
          <cell r="D264" t="str">
            <v xml:space="preserve">원 수 </v>
          </cell>
          <cell r="E264" t="str">
            <v>단 위</v>
          </cell>
          <cell r="F264" t="str">
            <v>총   액</v>
          </cell>
          <cell r="G264" t="str">
            <v>노   무   비</v>
          </cell>
          <cell r="I264" t="str">
            <v>재   료   비</v>
          </cell>
          <cell r="K264" t="str">
            <v>경      비</v>
          </cell>
          <cell r="M264" t="str">
            <v>비   고</v>
          </cell>
        </row>
        <row r="265">
          <cell r="C265" t="str">
            <v xml:space="preserve">규       격 </v>
          </cell>
          <cell r="F265" t="str">
            <v>금   액</v>
          </cell>
          <cell r="G265" t="str">
            <v>단  가</v>
          </cell>
          <cell r="H265" t="str">
            <v>금   액</v>
          </cell>
          <cell r="I265" t="str">
            <v>단  가</v>
          </cell>
          <cell r="J265" t="str">
            <v>금   액</v>
          </cell>
          <cell r="K265" t="str">
            <v>단  가</v>
          </cell>
          <cell r="L265" t="str">
            <v>금   액</v>
          </cell>
        </row>
        <row r="266">
          <cell r="A266" t="str">
            <v>Trailer</v>
          </cell>
          <cell r="C266" t="str">
            <v>30ton</v>
          </cell>
          <cell r="D266">
            <v>1</v>
          </cell>
          <cell r="E266" t="str">
            <v>hr</v>
          </cell>
          <cell r="H266">
            <v>8683</v>
          </cell>
          <cell r="J266">
            <v>15763</v>
          </cell>
        </row>
        <row r="268">
          <cell r="B268" t="str">
            <v>- 경유</v>
          </cell>
          <cell r="D268">
            <v>21.7</v>
          </cell>
          <cell r="E268" t="str">
            <v>L</v>
          </cell>
          <cell r="I268">
            <v>526.4</v>
          </cell>
          <cell r="J268">
            <v>11422.88</v>
          </cell>
        </row>
        <row r="269">
          <cell r="B269" t="str">
            <v>- 잡유</v>
          </cell>
          <cell r="C269" t="str">
            <v>주연료*38%</v>
          </cell>
          <cell r="D269">
            <v>1</v>
          </cell>
          <cell r="E269" t="str">
            <v>식</v>
          </cell>
          <cell r="J269">
            <v>4340.6943999999994</v>
          </cell>
        </row>
        <row r="270">
          <cell r="B270" t="str">
            <v>- 조종원</v>
          </cell>
          <cell r="D270">
            <v>0.17</v>
          </cell>
          <cell r="E270" t="str">
            <v>인</v>
          </cell>
          <cell r="G270">
            <v>51077</v>
          </cell>
          <cell r="H270">
            <v>8683</v>
          </cell>
        </row>
        <row r="272">
          <cell r="A272" t="str">
            <v>Air Compressor</v>
          </cell>
          <cell r="C272" t="str">
            <v>7.1㎥/min</v>
          </cell>
          <cell r="H272">
            <v>9681</v>
          </cell>
          <cell r="J272">
            <v>6189</v>
          </cell>
        </row>
        <row r="274">
          <cell r="B274" t="str">
            <v>- 경유</v>
          </cell>
          <cell r="D274">
            <v>9.8000000000000007</v>
          </cell>
          <cell r="E274" t="str">
            <v>L</v>
          </cell>
          <cell r="I274">
            <v>526.4</v>
          </cell>
          <cell r="J274">
            <v>5158</v>
          </cell>
        </row>
        <row r="275">
          <cell r="B275" t="str">
            <v>- 잡유</v>
          </cell>
          <cell r="C275" t="str">
            <v>주연료*20%</v>
          </cell>
          <cell r="D275">
            <v>1</v>
          </cell>
          <cell r="E275" t="str">
            <v>식</v>
          </cell>
          <cell r="J275">
            <v>1031</v>
          </cell>
        </row>
        <row r="276">
          <cell r="B276" t="str">
            <v>- 조종원</v>
          </cell>
          <cell r="D276">
            <v>0.17</v>
          </cell>
          <cell r="E276" t="str">
            <v>인</v>
          </cell>
          <cell r="G276">
            <v>56951</v>
          </cell>
          <cell r="H276">
            <v>9681</v>
          </cell>
        </row>
        <row r="278">
          <cell r="A278" t="str">
            <v>Air Compressor</v>
          </cell>
          <cell r="C278" t="str">
            <v>10.3㎥/min</v>
          </cell>
          <cell r="H278">
            <v>9681</v>
          </cell>
          <cell r="J278">
            <v>8779</v>
          </cell>
        </row>
        <row r="280">
          <cell r="B280" t="str">
            <v>- 경유</v>
          </cell>
          <cell r="D280">
            <v>13.9</v>
          </cell>
          <cell r="E280" t="str">
            <v>L</v>
          </cell>
          <cell r="I280">
            <v>526.4</v>
          </cell>
          <cell r="J280">
            <v>7316</v>
          </cell>
        </row>
        <row r="281">
          <cell r="B281" t="str">
            <v>- 잡유</v>
          </cell>
          <cell r="C281" t="str">
            <v>주연료*20%</v>
          </cell>
          <cell r="D281">
            <v>1</v>
          </cell>
          <cell r="E281" t="str">
            <v>식</v>
          </cell>
          <cell r="J281">
            <v>1463</v>
          </cell>
        </row>
        <row r="282">
          <cell r="B282" t="str">
            <v>- 조종원</v>
          </cell>
          <cell r="D282">
            <v>0.17</v>
          </cell>
          <cell r="E282" t="str">
            <v>인</v>
          </cell>
          <cell r="G282">
            <v>56951</v>
          </cell>
          <cell r="H282">
            <v>9681</v>
          </cell>
        </row>
        <row r="284">
          <cell r="A284" t="str">
            <v>Trailer</v>
          </cell>
          <cell r="C284" t="str">
            <v>20ton</v>
          </cell>
          <cell r="D284">
            <v>1</v>
          </cell>
          <cell r="E284" t="str">
            <v>hr</v>
          </cell>
          <cell r="H284">
            <v>9681</v>
          </cell>
          <cell r="J284">
            <v>15109</v>
          </cell>
        </row>
        <row r="286">
          <cell r="B286" t="str">
            <v>- 경유</v>
          </cell>
          <cell r="D286">
            <v>20.8</v>
          </cell>
          <cell r="E286" t="str">
            <v>L</v>
          </cell>
          <cell r="I286">
            <v>526.4</v>
          </cell>
          <cell r="J286">
            <v>10949.12</v>
          </cell>
        </row>
        <row r="287">
          <cell r="A287" t="str">
            <v>종       별</v>
          </cell>
          <cell r="C287" t="str">
            <v>재 료 또 는</v>
          </cell>
          <cell r="D287" t="str">
            <v xml:space="preserve">원 수 </v>
          </cell>
          <cell r="E287" t="str">
            <v>단 위</v>
          </cell>
          <cell r="F287" t="str">
            <v>총   액</v>
          </cell>
          <cell r="G287" t="str">
            <v>노   무   비</v>
          </cell>
          <cell r="I287" t="str">
            <v>재   료   비</v>
          </cell>
          <cell r="K287" t="str">
            <v>경      비</v>
          </cell>
          <cell r="M287" t="str">
            <v>비   고</v>
          </cell>
        </row>
        <row r="288">
          <cell r="C288" t="str">
            <v xml:space="preserve">규       격 </v>
          </cell>
          <cell r="F288" t="str">
            <v>금   액</v>
          </cell>
          <cell r="G288" t="str">
            <v>단  가</v>
          </cell>
          <cell r="H288" t="str">
            <v>금   액</v>
          </cell>
          <cell r="I288" t="str">
            <v>단  가</v>
          </cell>
          <cell r="J288" t="str">
            <v>금   액</v>
          </cell>
          <cell r="K288" t="str">
            <v>단  가</v>
          </cell>
          <cell r="L288" t="str">
            <v>금   액</v>
          </cell>
        </row>
        <row r="289">
          <cell r="B289" t="str">
            <v>- 잡유</v>
          </cell>
          <cell r="C289" t="str">
            <v>주연료*38%</v>
          </cell>
          <cell r="D289">
            <v>1</v>
          </cell>
          <cell r="E289" t="str">
            <v>식</v>
          </cell>
          <cell r="J289">
            <v>4160.6656000000003</v>
          </cell>
        </row>
        <row r="290">
          <cell r="B290" t="str">
            <v>- 조종원</v>
          </cell>
          <cell r="D290">
            <v>0.17</v>
          </cell>
          <cell r="E290" t="str">
            <v>인</v>
          </cell>
          <cell r="G290">
            <v>56951</v>
          </cell>
          <cell r="H290">
            <v>9681</v>
          </cell>
        </row>
        <row r="292">
          <cell r="A292" t="str">
            <v>발 전 기</v>
          </cell>
          <cell r="C292" t="str">
            <v>50 kw</v>
          </cell>
          <cell r="D292">
            <v>1</v>
          </cell>
          <cell r="E292" t="str">
            <v>hr</v>
          </cell>
          <cell r="H292">
            <v>9235</v>
          </cell>
          <cell r="J292">
            <v>8338</v>
          </cell>
        </row>
        <row r="294">
          <cell r="B294" t="str">
            <v>- 경유</v>
          </cell>
          <cell r="D294">
            <v>13.2</v>
          </cell>
          <cell r="E294" t="str">
            <v>L</v>
          </cell>
          <cell r="I294">
            <v>526.4</v>
          </cell>
          <cell r="J294">
            <v>6948.48</v>
          </cell>
        </row>
        <row r="295">
          <cell r="B295" t="str">
            <v>- 잡유</v>
          </cell>
          <cell r="C295" t="str">
            <v>주연료*20%</v>
          </cell>
          <cell r="D295">
            <v>1</v>
          </cell>
          <cell r="E295" t="str">
            <v>식</v>
          </cell>
          <cell r="J295">
            <v>1389.6959999999997</v>
          </cell>
        </row>
        <row r="296">
          <cell r="B296" t="str">
            <v>- 조종원</v>
          </cell>
          <cell r="D296">
            <v>0.17</v>
          </cell>
          <cell r="E296" t="str">
            <v>인</v>
          </cell>
          <cell r="G296">
            <v>54325</v>
          </cell>
          <cell r="H296">
            <v>9235</v>
          </cell>
        </row>
        <row r="297">
          <cell r="A297" t="str">
            <v>Truck Crane</v>
          </cell>
          <cell r="C297" t="str">
            <v>10ton</v>
          </cell>
          <cell r="D297">
            <v>1</v>
          </cell>
          <cell r="E297" t="str">
            <v>hr</v>
          </cell>
          <cell r="H297">
            <v>18615</v>
          </cell>
          <cell r="J297">
            <v>3486</v>
          </cell>
        </row>
        <row r="299">
          <cell r="B299" t="str">
            <v>- 경유</v>
          </cell>
          <cell r="D299">
            <v>4.8</v>
          </cell>
          <cell r="E299" t="str">
            <v>L</v>
          </cell>
          <cell r="I299">
            <v>526.4</v>
          </cell>
          <cell r="J299">
            <v>2526.7199999999998</v>
          </cell>
          <cell r="L299" t="str">
            <v xml:space="preserve"> </v>
          </cell>
        </row>
        <row r="300">
          <cell r="B300" t="str">
            <v>- 잡유</v>
          </cell>
          <cell r="C300" t="str">
            <v>주연료*38%</v>
          </cell>
          <cell r="D300">
            <v>1</v>
          </cell>
          <cell r="E300" t="str">
            <v>식</v>
          </cell>
          <cell r="J300">
            <v>960.15359999999987</v>
          </cell>
        </row>
        <row r="301">
          <cell r="B301" t="str">
            <v>- 조종원</v>
          </cell>
          <cell r="D301">
            <v>0.17</v>
          </cell>
          <cell r="E301" t="str">
            <v>인</v>
          </cell>
          <cell r="G301">
            <v>56951</v>
          </cell>
          <cell r="H301">
            <v>9681.67</v>
          </cell>
        </row>
        <row r="302">
          <cell r="B302" t="str">
            <v>- 조수</v>
          </cell>
          <cell r="D302">
            <v>0.17</v>
          </cell>
          <cell r="E302" t="str">
            <v>"</v>
          </cell>
          <cell r="G302">
            <v>42762</v>
          </cell>
          <cell r="H302">
            <v>7269.54</v>
          </cell>
        </row>
        <row r="303">
          <cell r="B303" t="str">
            <v>- 중기조장</v>
          </cell>
          <cell r="D303">
            <v>0.03</v>
          </cell>
          <cell r="E303" t="str">
            <v>"</v>
          </cell>
          <cell r="G303">
            <v>55484</v>
          </cell>
          <cell r="H303">
            <v>1664.52</v>
          </cell>
        </row>
        <row r="311">
          <cell r="E311" t="str">
            <v xml:space="preserve"> </v>
          </cell>
        </row>
        <row r="312">
          <cell r="B312" t="str">
            <v>'98 년 도  수 문 일 위 대 가 표  총 괄</v>
          </cell>
        </row>
        <row r="314">
          <cell r="A314" t="str">
            <v>종       별</v>
          </cell>
          <cell r="C314" t="str">
            <v>재 료 또 는</v>
          </cell>
          <cell r="D314" t="str">
            <v xml:space="preserve">원 수 </v>
          </cell>
          <cell r="E314" t="str">
            <v>단 위</v>
          </cell>
          <cell r="F314" t="str">
            <v>총   액</v>
          </cell>
          <cell r="G314" t="str">
            <v>노   무   비</v>
          </cell>
          <cell r="I314" t="str">
            <v>재   료   비</v>
          </cell>
          <cell r="K314" t="str">
            <v>경      비</v>
          </cell>
          <cell r="M314" t="str">
            <v>비   고</v>
          </cell>
        </row>
        <row r="315">
          <cell r="C315" t="str">
            <v xml:space="preserve">규       격 </v>
          </cell>
          <cell r="F315" t="str">
            <v>금   액</v>
          </cell>
          <cell r="G315" t="str">
            <v>단  가</v>
          </cell>
          <cell r="H315" t="str">
            <v>금   액</v>
          </cell>
          <cell r="I315" t="str">
            <v>단  가</v>
          </cell>
          <cell r="J315" t="str">
            <v>금   액</v>
          </cell>
          <cell r="K315" t="str">
            <v>단  가</v>
          </cell>
          <cell r="L315" t="str">
            <v>금   액</v>
          </cell>
        </row>
        <row r="316">
          <cell r="A316" t="str">
            <v xml:space="preserve">◈ROLLER GATE </v>
          </cell>
          <cell r="C316" t="str">
            <v xml:space="preserve"> </v>
          </cell>
        </row>
        <row r="317">
          <cell r="A317" t="str">
            <v xml:space="preserve"> </v>
          </cell>
          <cell r="B317" t="str">
            <v>⊙ 제작 가공비</v>
          </cell>
        </row>
        <row r="318">
          <cell r="A318" t="str">
            <v xml:space="preserve"> </v>
          </cell>
          <cell r="B318" t="str">
            <v>▷GATE LEAF</v>
          </cell>
          <cell r="C318" t="str">
            <v>소   계</v>
          </cell>
          <cell r="F318">
            <v>1668518</v>
          </cell>
          <cell r="H318">
            <v>1322330</v>
          </cell>
          <cell r="J318">
            <v>237292</v>
          </cell>
          <cell r="L318">
            <v>108896</v>
          </cell>
        </row>
        <row r="319">
          <cell r="A319" t="str">
            <v xml:space="preserve"> </v>
          </cell>
          <cell r="C319" t="str">
            <v>인 건 비</v>
          </cell>
          <cell r="D319">
            <v>1</v>
          </cell>
          <cell r="E319" t="str">
            <v>TON</v>
          </cell>
          <cell r="F319">
            <v>1195828</v>
          </cell>
          <cell r="H319">
            <v>1195828</v>
          </cell>
        </row>
        <row r="320">
          <cell r="A320" t="str">
            <v xml:space="preserve"> </v>
          </cell>
          <cell r="C320" t="str">
            <v>사용장비경비</v>
          </cell>
          <cell r="D320">
            <v>1</v>
          </cell>
          <cell r="E320" t="str">
            <v>TON</v>
          </cell>
          <cell r="F320">
            <v>247732</v>
          </cell>
          <cell r="H320">
            <v>126502</v>
          </cell>
          <cell r="J320">
            <v>31430</v>
          </cell>
          <cell r="L320">
            <v>89800</v>
          </cell>
        </row>
        <row r="321">
          <cell r="A321" t="str">
            <v xml:space="preserve"> </v>
          </cell>
          <cell r="C321" t="str">
            <v>소모자재비</v>
          </cell>
          <cell r="D321">
            <v>1</v>
          </cell>
          <cell r="E321" t="str">
            <v>TON</v>
          </cell>
          <cell r="F321">
            <v>224958</v>
          </cell>
          <cell r="J321">
            <v>205862</v>
          </cell>
          <cell r="L321">
            <v>19096</v>
          </cell>
        </row>
        <row r="323">
          <cell r="A323" t="str">
            <v xml:space="preserve"> </v>
          </cell>
          <cell r="B323" t="str">
            <v>▷GUIDE FRAME</v>
          </cell>
          <cell r="C323" t="str">
            <v>소   계</v>
          </cell>
          <cell r="F323">
            <v>4324511</v>
          </cell>
          <cell r="H323">
            <v>3911039</v>
          </cell>
          <cell r="J323">
            <v>289792</v>
          </cell>
          <cell r="L323">
            <v>123680</v>
          </cell>
        </row>
        <row r="324">
          <cell r="A324" t="str">
            <v xml:space="preserve"> </v>
          </cell>
          <cell r="C324" t="str">
            <v>인 건 비</v>
          </cell>
          <cell r="D324">
            <v>1</v>
          </cell>
          <cell r="E324" t="str">
            <v>TON</v>
          </cell>
          <cell r="F324">
            <v>3784537</v>
          </cell>
          <cell r="H324">
            <v>3784537</v>
          </cell>
        </row>
        <row r="325">
          <cell r="A325" t="str">
            <v xml:space="preserve"> </v>
          </cell>
          <cell r="C325" t="str">
            <v>사용장비경비</v>
          </cell>
          <cell r="D325">
            <v>1</v>
          </cell>
          <cell r="E325" t="str">
            <v>TON</v>
          </cell>
          <cell r="F325">
            <v>247732</v>
          </cell>
          <cell r="H325">
            <v>126502</v>
          </cell>
          <cell r="J325">
            <v>31430</v>
          </cell>
          <cell r="L325">
            <v>89800</v>
          </cell>
          <cell r="M325" t="str">
            <v>ROLLER GATE
LEAF 적용</v>
          </cell>
        </row>
        <row r="326">
          <cell r="A326" t="str">
            <v xml:space="preserve"> </v>
          </cell>
          <cell r="C326" t="str">
            <v>소모자재비</v>
          </cell>
          <cell r="D326">
            <v>1</v>
          </cell>
          <cell r="E326" t="str">
            <v>TON</v>
          </cell>
          <cell r="F326">
            <v>292242</v>
          </cell>
          <cell r="J326">
            <v>258362</v>
          </cell>
          <cell r="L326">
            <v>33880</v>
          </cell>
        </row>
        <row r="328">
          <cell r="A328" t="str">
            <v xml:space="preserve"> </v>
          </cell>
          <cell r="B328" t="str">
            <v>⊙ 설  치  비</v>
          </cell>
        </row>
        <row r="329">
          <cell r="A329" t="str">
            <v xml:space="preserve"> </v>
          </cell>
          <cell r="B329" t="str">
            <v>▷GATE LEAF</v>
          </cell>
          <cell r="C329" t="str">
            <v>소   계</v>
          </cell>
          <cell r="F329">
            <v>2471576</v>
          </cell>
          <cell r="H329">
            <v>1670029</v>
          </cell>
          <cell r="J329">
            <v>226123</v>
          </cell>
          <cell r="L329">
            <v>575424</v>
          </cell>
        </row>
        <row r="330">
          <cell r="A330" t="str">
            <v>종       별</v>
          </cell>
          <cell r="C330" t="str">
            <v>재 료 또 는</v>
          </cell>
          <cell r="D330" t="str">
            <v xml:space="preserve">원 수 </v>
          </cell>
          <cell r="E330" t="str">
            <v>단 위</v>
          </cell>
          <cell r="F330" t="str">
            <v>총   액</v>
          </cell>
          <cell r="G330" t="str">
            <v>노   무   비</v>
          </cell>
          <cell r="I330" t="str">
            <v>재   료   비</v>
          </cell>
          <cell r="K330" t="str">
            <v>경      비</v>
          </cell>
          <cell r="M330" t="str">
            <v>비   고</v>
          </cell>
        </row>
        <row r="331">
          <cell r="C331" t="str">
            <v xml:space="preserve">규       격 </v>
          </cell>
          <cell r="F331" t="str">
            <v>금   액</v>
          </cell>
          <cell r="G331" t="str">
            <v>단  가</v>
          </cell>
          <cell r="H331" t="str">
            <v>금   액</v>
          </cell>
          <cell r="I331" t="str">
            <v>단  가</v>
          </cell>
          <cell r="J331" t="str">
            <v>금   액</v>
          </cell>
          <cell r="K331" t="str">
            <v>단  가</v>
          </cell>
          <cell r="L331" t="str">
            <v>금   액</v>
          </cell>
        </row>
        <row r="332">
          <cell r="A332" t="str">
            <v xml:space="preserve"> </v>
          </cell>
          <cell r="C332" t="str">
            <v>인 건 비</v>
          </cell>
          <cell r="D332">
            <v>1</v>
          </cell>
          <cell r="E332" t="str">
            <v>TON</v>
          </cell>
          <cell r="F332">
            <v>1091285</v>
          </cell>
          <cell r="H332">
            <v>1091285</v>
          </cell>
        </row>
        <row r="333">
          <cell r="A333" t="str">
            <v xml:space="preserve"> </v>
          </cell>
          <cell r="C333" t="str">
            <v>사용장비경비</v>
          </cell>
          <cell r="D333">
            <v>1</v>
          </cell>
          <cell r="E333" t="str">
            <v>TON</v>
          </cell>
          <cell r="F333">
            <v>1341424</v>
          </cell>
          <cell r="H333">
            <v>578744</v>
          </cell>
          <cell r="J333">
            <v>187256</v>
          </cell>
          <cell r="L333">
            <v>575424</v>
          </cell>
        </row>
        <row r="334">
          <cell r="A334" t="str">
            <v xml:space="preserve"> </v>
          </cell>
          <cell r="C334" t="str">
            <v>소모자재비</v>
          </cell>
          <cell r="D334">
            <v>1</v>
          </cell>
          <cell r="E334" t="str">
            <v>TON</v>
          </cell>
          <cell r="F334">
            <v>38867</v>
          </cell>
          <cell r="J334">
            <v>38867</v>
          </cell>
        </row>
        <row r="336">
          <cell r="A336" t="str">
            <v xml:space="preserve"> </v>
          </cell>
          <cell r="B336" t="str">
            <v>▷GUIDE FRAME</v>
          </cell>
          <cell r="C336" t="str">
            <v>소   계</v>
          </cell>
          <cell r="F336">
            <v>5148432</v>
          </cell>
          <cell r="H336">
            <v>4267975</v>
          </cell>
          <cell r="J336">
            <v>305033</v>
          </cell>
          <cell r="L336">
            <v>575424</v>
          </cell>
        </row>
        <row r="337">
          <cell r="A337" t="str">
            <v xml:space="preserve"> </v>
          </cell>
          <cell r="C337" t="str">
            <v>인 건 비</v>
          </cell>
          <cell r="D337">
            <v>1</v>
          </cell>
          <cell r="E337" t="str">
            <v>TON</v>
          </cell>
          <cell r="F337">
            <v>3689231</v>
          </cell>
          <cell r="H337">
            <v>3689231</v>
          </cell>
        </row>
        <row r="338">
          <cell r="A338" t="str">
            <v xml:space="preserve"> </v>
          </cell>
          <cell r="C338" t="str">
            <v>사용장비경비</v>
          </cell>
          <cell r="D338">
            <v>1</v>
          </cell>
          <cell r="E338" t="str">
            <v>TON</v>
          </cell>
          <cell r="F338">
            <v>1341424</v>
          </cell>
          <cell r="H338">
            <v>578744</v>
          </cell>
          <cell r="J338">
            <v>187256</v>
          </cell>
          <cell r="L338">
            <v>575424</v>
          </cell>
        </row>
        <row r="339">
          <cell r="A339" t="str">
            <v xml:space="preserve"> </v>
          </cell>
          <cell r="C339" t="str">
            <v>소모자재비</v>
          </cell>
          <cell r="D339">
            <v>1</v>
          </cell>
          <cell r="E339" t="str">
            <v>TON</v>
          </cell>
          <cell r="F339">
            <v>117777</v>
          </cell>
          <cell r="J339">
            <v>117777</v>
          </cell>
        </row>
        <row r="341">
          <cell r="A341" t="str">
            <v xml:space="preserve"> </v>
          </cell>
          <cell r="B341" t="str">
            <v>▷ HOIST</v>
          </cell>
          <cell r="C341" t="str">
            <v>소   계</v>
          </cell>
          <cell r="F341">
            <v>2100502</v>
          </cell>
          <cell r="H341">
            <v>1186896</v>
          </cell>
          <cell r="J341">
            <v>275550</v>
          </cell>
          <cell r="L341">
            <v>638056</v>
          </cell>
        </row>
        <row r="342">
          <cell r="A342" t="str">
            <v xml:space="preserve"> </v>
          </cell>
          <cell r="C342" t="str">
            <v>인 건 비</v>
          </cell>
          <cell r="D342">
            <v>1</v>
          </cell>
          <cell r="E342" t="str">
            <v>TON</v>
          </cell>
          <cell r="F342">
            <v>687704</v>
          </cell>
          <cell r="H342">
            <v>687704</v>
          </cell>
        </row>
        <row r="343">
          <cell r="A343" t="str">
            <v xml:space="preserve"> </v>
          </cell>
          <cell r="C343" t="str">
            <v>사용장비경비</v>
          </cell>
          <cell r="D343">
            <v>1</v>
          </cell>
          <cell r="E343" t="str">
            <v>TON</v>
          </cell>
          <cell r="F343">
            <v>1384600</v>
          </cell>
          <cell r="H343">
            <v>499192</v>
          </cell>
          <cell r="J343">
            <v>247352</v>
          </cell>
          <cell r="L343">
            <v>638056</v>
          </cell>
        </row>
        <row r="344">
          <cell r="A344" t="str">
            <v xml:space="preserve"> </v>
          </cell>
          <cell r="C344" t="str">
            <v>소모자재비</v>
          </cell>
          <cell r="D344">
            <v>1</v>
          </cell>
          <cell r="E344" t="str">
            <v>TON</v>
          </cell>
          <cell r="F344">
            <v>28198</v>
          </cell>
          <cell r="J344">
            <v>28198</v>
          </cell>
        </row>
        <row r="345">
          <cell r="A345" t="str">
            <v>◈ STOP LOG</v>
          </cell>
        </row>
        <row r="346">
          <cell r="B346" t="str">
            <v>⊙ 제작 가공비</v>
          </cell>
        </row>
        <row r="347">
          <cell r="B347" t="str">
            <v>▷GATE LEAF</v>
          </cell>
          <cell r="C347" t="str">
            <v>소   계</v>
          </cell>
          <cell r="F347">
            <v>1301484.2280000001</v>
          </cell>
          <cell r="H347">
            <v>1137185</v>
          </cell>
          <cell r="J347">
            <v>65315</v>
          </cell>
          <cell r="L347">
            <v>98984.228000000003</v>
          </cell>
        </row>
        <row r="348">
          <cell r="C348" t="str">
            <v>인 건 비</v>
          </cell>
          <cell r="E348" t="str">
            <v>TON</v>
          </cell>
          <cell r="F348">
            <v>985817</v>
          </cell>
          <cell r="H348">
            <v>985817</v>
          </cell>
        </row>
        <row r="349">
          <cell r="A349" t="str">
            <v>종       별</v>
          </cell>
          <cell r="C349" t="str">
            <v>재 료 또 는</v>
          </cell>
          <cell r="D349" t="str">
            <v xml:space="preserve">원 수 </v>
          </cell>
          <cell r="E349" t="str">
            <v>단 위</v>
          </cell>
          <cell r="F349" t="str">
            <v>총   액</v>
          </cell>
          <cell r="G349" t="str">
            <v>노   무   비</v>
          </cell>
          <cell r="I349" t="str">
            <v>재   료   비</v>
          </cell>
          <cell r="K349" t="str">
            <v>경      비</v>
          </cell>
          <cell r="M349" t="str">
            <v>비   고</v>
          </cell>
        </row>
        <row r="350">
          <cell r="C350" t="str">
            <v xml:space="preserve">규       격 </v>
          </cell>
          <cell r="F350" t="str">
            <v>금   액</v>
          </cell>
          <cell r="G350" t="str">
            <v>단  가</v>
          </cell>
          <cell r="H350" t="str">
            <v>금   액</v>
          </cell>
          <cell r="I350" t="str">
            <v>단  가</v>
          </cell>
          <cell r="J350" t="str">
            <v>금   액</v>
          </cell>
          <cell r="K350" t="str">
            <v>단  가</v>
          </cell>
          <cell r="L350" t="str">
            <v>금   액</v>
          </cell>
        </row>
        <row r="351">
          <cell r="C351" t="str">
            <v>사용장비경비</v>
          </cell>
          <cell r="E351" t="str">
            <v>TON</v>
          </cell>
          <cell r="F351">
            <v>289048.228</v>
          </cell>
          <cell r="H351">
            <v>151368</v>
          </cell>
          <cell r="J351">
            <v>38696</v>
          </cell>
          <cell r="L351">
            <v>98984.228000000003</v>
          </cell>
        </row>
        <row r="352">
          <cell r="A352" t="str">
            <v xml:space="preserve"> </v>
          </cell>
          <cell r="C352" t="str">
            <v>소모자재비</v>
          </cell>
          <cell r="E352" t="str">
            <v>TON</v>
          </cell>
          <cell r="F352">
            <v>26619</v>
          </cell>
          <cell r="J352">
            <v>26619</v>
          </cell>
        </row>
        <row r="354">
          <cell r="A354" t="str">
            <v xml:space="preserve"> </v>
          </cell>
          <cell r="B354" t="str">
            <v>▷GUIDE FRAME</v>
          </cell>
          <cell r="C354" t="str">
            <v>소   계</v>
          </cell>
          <cell r="F354">
            <v>4324511</v>
          </cell>
          <cell r="H354">
            <v>3911039</v>
          </cell>
          <cell r="J354">
            <v>289792</v>
          </cell>
          <cell r="L354">
            <v>123680</v>
          </cell>
          <cell r="M354" t="str">
            <v>ROLLER GATE 
GUIDE FRAME적용</v>
          </cell>
        </row>
        <row r="355">
          <cell r="A355" t="str">
            <v xml:space="preserve"> </v>
          </cell>
          <cell r="C355" t="str">
            <v>인 건 비</v>
          </cell>
          <cell r="E355" t="str">
            <v>TON</v>
          </cell>
          <cell r="F355">
            <v>3784537</v>
          </cell>
          <cell r="H355">
            <v>3784537</v>
          </cell>
          <cell r="M355" t="str">
            <v>"</v>
          </cell>
        </row>
        <row r="356">
          <cell r="A356" t="str">
            <v xml:space="preserve"> </v>
          </cell>
          <cell r="C356" t="str">
            <v>사용장비경비</v>
          </cell>
          <cell r="E356" t="str">
            <v>TON</v>
          </cell>
          <cell r="F356">
            <v>247732</v>
          </cell>
          <cell r="H356">
            <v>126502</v>
          </cell>
          <cell r="J356">
            <v>31430</v>
          </cell>
          <cell r="L356">
            <v>89800</v>
          </cell>
          <cell r="M356" t="str">
            <v>"</v>
          </cell>
        </row>
        <row r="357">
          <cell r="C357" t="str">
            <v>소모자재비</v>
          </cell>
          <cell r="E357" t="str">
            <v>TON</v>
          </cell>
          <cell r="F357">
            <v>292242</v>
          </cell>
          <cell r="J357">
            <v>258362</v>
          </cell>
          <cell r="L357">
            <v>33880</v>
          </cell>
          <cell r="M357" t="str">
            <v>"</v>
          </cell>
        </row>
        <row r="359">
          <cell r="B359" t="str">
            <v>▷LIFTING BEAM</v>
          </cell>
          <cell r="C359" t="str">
            <v>소   계</v>
          </cell>
          <cell r="F359">
            <v>1301484.2280000001</v>
          </cell>
          <cell r="H359">
            <v>1137185</v>
          </cell>
          <cell r="J359">
            <v>65315</v>
          </cell>
          <cell r="L359">
            <v>98984.228000000003</v>
          </cell>
          <cell r="M359" t="str">
            <v>STOP LOG LEAF
적용</v>
          </cell>
        </row>
        <row r="360">
          <cell r="C360" t="str">
            <v>인 건 비</v>
          </cell>
          <cell r="E360" t="str">
            <v>TON</v>
          </cell>
          <cell r="F360">
            <v>985817</v>
          </cell>
          <cell r="H360">
            <v>985817</v>
          </cell>
          <cell r="M360" t="str">
            <v>"</v>
          </cell>
        </row>
        <row r="361">
          <cell r="C361" t="str">
            <v>사용장비경비</v>
          </cell>
          <cell r="E361" t="str">
            <v>TON</v>
          </cell>
          <cell r="F361">
            <v>289048.228</v>
          </cell>
          <cell r="H361">
            <v>151368</v>
          </cell>
          <cell r="J361">
            <v>38696</v>
          </cell>
          <cell r="L361">
            <v>98984.228000000003</v>
          </cell>
          <cell r="M361" t="str">
            <v>"</v>
          </cell>
        </row>
        <row r="362">
          <cell r="C362" t="str">
            <v>소모자재비</v>
          </cell>
          <cell r="E362" t="str">
            <v>TON</v>
          </cell>
          <cell r="F362">
            <v>26619</v>
          </cell>
          <cell r="J362">
            <v>26619</v>
          </cell>
          <cell r="M362" t="str">
            <v>"</v>
          </cell>
        </row>
        <row r="363">
          <cell r="B363" t="str">
            <v>⊙ 설  치  비</v>
          </cell>
        </row>
        <row r="364">
          <cell r="B364" t="str">
            <v>▷GATE LEAF</v>
          </cell>
          <cell r="C364" t="str">
            <v>소   계</v>
          </cell>
          <cell r="F364">
            <v>1483011</v>
          </cell>
          <cell r="H364">
            <v>862692</v>
          </cell>
          <cell r="J364">
            <v>237294</v>
          </cell>
          <cell r="L364">
            <v>383025</v>
          </cell>
        </row>
        <row r="365">
          <cell r="C365" t="str">
            <v>인 건 비</v>
          </cell>
          <cell r="E365" t="str">
            <v>TON</v>
          </cell>
          <cell r="F365">
            <v>562444</v>
          </cell>
          <cell r="H365">
            <v>562444</v>
          </cell>
        </row>
        <row r="366">
          <cell r="C366" t="str">
            <v>사용장비경비</v>
          </cell>
          <cell r="E366" t="str">
            <v>TON</v>
          </cell>
          <cell r="F366">
            <v>744864</v>
          </cell>
          <cell r="H366">
            <v>300248</v>
          </cell>
          <cell r="J366">
            <v>80440</v>
          </cell>
          <cell r="L366">
            <v>364176</v>
          </cell>
        </row>
        <row r="367">
          <cell r="C367" t="str">
            <v>소모자재비</v>
          </cell>
          <cell r="E367" t="str">
            <v>TON</v>
          </cell>
          <cell r="F367">
            <v>175703</v>
          </cell>
          <cell r="J367">
            <v>156854</v>
          </cell>
          <cell r="L367">
            <v>18849</v>
          </cell>
        </row>
        <row r="368">
          <cell r="A368" t="str">
            <v>종       별</v>
          </cell>
          <cell r="C368" t="str">
            <v>재 료 또 는</v>
          </cell>
          <cell r="D368" t="str">
            <v xml:space="preserve">원 수 </v>
          </cell>
          <cell r="E368" t="str">
            <v>단 위</v>
          </cell>
          <cell r="F368" t="str">
            <v>총   액</v>
          </cell>
          <cell r="G368" t="str">
            <v>노   무   비</v>
          </cell>
          <cell r="I368" t="str">
            <v>재   료   비</v>
          </cell>
          <cell r="K368" t="str">
            <v>경      비</v>
          </cell>
          <cell r="M368" t="str">
            <v>비   고</v>
          </cell>
        </row>
        <row r="369">
          <cell r="C369" t="str">
            <v xml:space="preserve">규       격 </v>
          </cell>
          <cell r="F369" t="str">
            <v>금   액</v>
          </cell>
          <cell r="G369" t="str">
            <v>단  가</v>
          </cell>
          <cell r="H369" t="str">
            <v>금   액</v>
          </cell>
          <cell r="I369" t="str">
            <v>단  가</v>
          </cell>
          <cell r="J369" t="str">
            <v>금   액</v>
          </cell>
          <cell r="K369" t="str">
            <v>단  가</v>
          </cell>
          <cell r="L369" t="str">
            <v>금   액</v>
          </cell>
        </row>
        <row r="370">
          <cell r="B370" t="str">
            <v>▷GUIDE FRAME</v>
          </cell>
          <cell r="C370" t="str">
            <v>⇒ ROLLER GATE 적용</v>
          </cell>
        </row>
        <row r="371">
          <cell r="A371" t="str">
            <v xml:space="preserve"> </v>
          </cell>
          <cell r="B371" t="str">
            <v>▷LIFTING BEAM</v>
          </cell>
          <cell r="C371" t="str">
            <v>⇒ STOP LOG LEAF 적용</v>
          </cell>
        </row>
        <row r="373">
          <cell r="A373" t="str">
            <v>◈ RADIAL GATE</v>
          </cell>
        </row>
        <row r="374">
          <cell r="A374" t="str">
            <v xml:space="preserve"> </v>
          </cell>
          <cell r="B374" t="str">
            <v>⊙ 제작 가공비</v>
          </cell>
        </row>
        <row r="376">
          <cell r="A376" t="str">
            <v xml:space="preserve"> </v>
          </cell>
          <cell r="B376" t="str">
            <v>▷GATE LEAF</v>
          </cell>
          <cell r="C376" t="str">
            <v>소   계</v>
          </cell>
          <cell r="F376">
            <v>2124730</v>
          </cell>
          <cell r="H376">
            <v>1660499</v>
          </cell>
          <cell r="J376">
            <v>304929</v>
          </cell>
          <cell r="L376">
            <v>159302</v>
          </cell>
        </row>
        <row r="377">
          <cell r="A377" t="str">
            <v xml:space="preserve"> </v>
          </cell>
          <cell r="C377" t="str">
            <v>인 건 비</v>
          </cell>
          <cell r="E377" t="str">
            <v>TON</v>
          </cell>
          <cell r="F377">
            <v>1502694</v>
          </cell>
          <cell r="H377">
            <v>1502694</v>
          </cell>
        </row>
        <row r="378">
          <cell r="A378" t="str">
            <v xml:space="preserve"> </v>
          </cell>
          <cell r="C378" t="str">
            <v>사용장비경비</v>
          </cell>
          <cell r="E378" t="str">
            <v>TON</v>
          </cell>
          <cell r="F378">
            <v>341716</v>
          </cell>
          <cell r="H378">
            <v>157805</v>
          </cell>
          <cell r="J378">
            <v>47401</v>
          </cell>
          <cell r="L378">
            <v>136510</v>
          </cell>
        </row>
        <row r="379">
          <cell r="A379" t="str">
            <v xml:space="preserve"> </v>
          </cell>
          <cell r="C379" t="str">
            <v>소모자재비</v>
          </cell>
          <cell r="E379" t="str">
            <v>TON</v>
          </cell>
          <cell r="F379">
            <v>280320</v>
          </cell>
          <cell r="J379">
            <v>257528</v>
          </cell>
          <cell r="L379">
            <v>22792</v>
          </cell>
        </row>
        <row r="381">
          <cell r="A381" t="str">
            <v xml:space="preserve"> </v>
          </cell>
          <cell r="B381" t="str">
            <v>▷GUIDE FRAME</v>
          </cell>
          <cell r="C381" t="str">
            <v>소   계</v>
          </cell>
          <cell r="F381">
            <v>4842008</v>
          </cell>
          <cell r="H381">
            <v>4473673</v>
          </cell>
          <cell r="J381">
            <v>195173</v>
          </cell>
          <cell r="L381">
            <v>173162</v>
          </cell>
        </row>
        <row r="382">
          <cell r="A382" t="str">
            <v xml:space="preserve"> </v>
          </cell>
          <cell r="B382" t="str">
            <v xml:space="preserve"> </v>
          </cell>
          <cell r="C382" t="str">
            <v>인 건 비</v>
          </cell>
          <cell r="E382" t="str">
            <v>TON</v>
          </cell>
          <cell r="F382">
            <v>4315868</v>
          </cell>
          <cell r="H382">
            <v>4315868</v>
          </cell>
        </row>
        <row r="383">
          <cell r="A383" t="str">
            <v xml:space="preserve"> </v>
          </cell>
          <cell r="B383" t="str">
            <v xml:space="preserve"> </v>
          </cell>
          <cell r="C383" t="str">
            <v>사용장비경비</v>
          </cell>
          <cell r="E383" t="str">
            <v>TON</v>
          </cell>
          <cell r="F383">
            <v>341716</v>
          </cell>
          <cell r="H383">
            <v>157805</v>
          </cell>
          <cell r="J383">
            <v>47401</v>
          </cell>
          <cell r="L383">
            <v>136510</v>
          </cell>
          <cell r="M383" t="str">
            <v>RADIAL GATE
LEAF 적용</v>
          </cell>
        </row>
        <row r="384">
          <cell r="A384" t="str">
            <v xml:space="preserve"> </v>
          </cell>
          <cell r="C384" t="str">
            <v>소모자재비</v>
          </cell>
          <cell r="E384" t="str">
            <v>TON</v>
          </cell>
          <cell r="F384">
            <v>184424</v>
          </cell>
          <cell r="J384">
            <v>147772</v>
          </cell>
          <cell r="L384">
            <v>36652</v>
          </cell>
        </row>
        <row r="388">
          <cell r="A388" t="str">
            <v>종       별</v>
          </cell>
          <cell r="C388" t="str">
            <v>재 료 또 는</v>
          </cell>
          <cell r="D388" t="str">
            <v xml:space="preserve">원 수 </v>
          </cell>
          <cell r="E388" t="str">
            <v>단 위</v>
          </cell>
          <cell r="F388" t="str">
            <v>총   액</v>
          </cell>
          <cell r="G388" t="str">
            <v>노   무   비</v>
          </cell>
          <cell r="I388" t="str">
            <v>재   료   비</v>
          </cell>
          <cell r="K388" t="str">
            <v>경      비</v>
          </cell>
          <cell r="M388" t="str">
            <v>비   고</v>
          </cell>
        </row>
        <row r="389">
          <cell r="C389" t="str">
            <v xml:space="preserve">규       격 </v>
          </cell>
          <cell r="F389" t="str">
            <v>금   액</v>
          </cell>
          <cell r="G389" t="str">
            <v>단  가</v>
          </cell>
          <cell r="H389" t="str">
            <v>금   액</v>
          </cell>
          <cell r="I389" t="str">
            <v>단  가</v>
          </cell>
          <cell r="J389" t="str">
            <v>금   액</v>
          </cell>
          <cell r="K389" t="str">
            <v>단  가</v>
          </cell>
          <cell r="L389" t="str">
            <v>금   액</v>
          </cell>
        </row>
        <row r="390">
          <cell r="B390" t="str">
            <v>▷ANCHORAGE</v>
          </cell>
          <cell r="C390" t="str">
            <v>소   계</v>
          </cell>
          <cell r="F390">
            <v>3706842</v>
          </cell>
          <cell r="H390">
            <v>3389225</v>
          </cell>
          <cell r="J390">
            <v>155235</v>
          </cell>
          <cell r="L390">
            <v>162382</v>
          </cell>
        </row>
        <row r="391">
          <cell r="C391" t="str">
            <v>인 건 비</v>
          </cell>
          <cell r="E391" t="str">
            <v>TON</v>
          </cell>
          <cell r="F391">
            <v>3231420</v>
          </cell>
          <cell r="H391">
            <v>3231420</v>
          </cell>
        </row>
        <row r="392">
          <cell r="C392" t="str">
            <v>사용장비경비</v>
          </cell>
          <cell r="E392" t="str">
            <v>TON</v>
          </cell>
          <cell r="F392">
            <v>341716</v>
          </cell>
          <cell r="H392">
            <v>157805</v>
          </cell>
          <cell r="J392">
            <v>47401</v>
          </cell>
          <cell r="L392">
            <v>136510</v>
          </cell>
          <cell r="M392" t="str">
            <v>RADIAL GATE
LEAF 적용</v>
          </cell>
        </row>
        <row r="393">
          <cell r="C393" t="str">
            <v>소모자재비</v>
          </cell>
          <cell r="E393" t="str">
            <v>TON</v>
          </cell>
          <cell r="F393">
            <v>133706</v>
          </cell>
          <cell r="J393">
            <v>107834</v>
          </cell>
          <cell r="L393">
            <v>25872</v>
          </cell>
        </row>
        <row r="395">
          <cell r="B395" t="str">
            <v>⊙ 설  치  비</v>
          </cell>
        </row>
        <row r="397">
          <cell r="B397" t="str">
            <v>▷GATE LEAF</v>
          </cell>
          <cell r="C397" t="str">
            <v>소   계</v>
          </cell>
          <cell r="F397">
            <v>3544844.4</v>
          </cell>
          <cell r="H397">
            <v>2061690</v>
          </cell>
          <cell r="J397">
            <v>360170.4</v>
          </cell>
          <cell r="L397">
            <v>1122984</v>
          </cell>
        </row>
        <row r="398">
          <cell r="C398" t="str">
            <v>인 건 비</v>
          </cell>
          <cell r="E398" t="str">
            <v>TON</v>
          </cell>
          <cell r="F398">
            <v>1192994</v>
          </cell>
          <cell r="H398">
            <v>1192994</v>
          </cell>
        </row>
        <row r="399">
          <cell r="A399" t="str">
            <v xml:space="preserve"> </v>
          </cell>
          <cell r="C399" t="str">
            <v>사용장비경비</v>
          </cell>
          <cell r="E399" t="str">
            <v>TON</v>
          </cell>
          <cell r="F399">
            <v>2312752</v>
          </cell>
          <cell r="H399">
            <v>868696</v>
          </cell>
          <cell r="J399">
            <v>321072</v>
          </cell>
          <cell r="K399" t="str">
            <v xml:space="preserve"> </v>
          </cell>
          <cell r="L399">
            <v>1122984</v>
          </cell>
        </row>
        <row r="400">
          <cell r="C400" t="str">
            <v>소모자재비</v>
          </cell>
          <cell r="E400" t="str">
            <v>TON</v>
          </cell>
          <cell r="F400">
            <v>39098.400000000001</v>
          </cell>
          <cell r="J400">
            <v>39098.400000000001</v>
          </cell>
        </row>
        <row r="401">
          <cell r="A401" t="str">
            <v xml:space="preserve"> </v>
          </cell>
        </row>
        <row r="402">
          <cell r="A402" t="str">
            <v xml:space="preserve"> </v>
          </cell>
          <cell r="B402" t="str">
            <v>▷GUIDE FRAME</v>
          </cell>
          <cell r="C402" t="str">
            <v>소   계</v>
          </cell>
          <cell r="F402">
            <v>11345142</v>
          </cell>
          <cell r="H402">
            <v>10426754</v>
          </cell>
          <cell r="J402">
            <v>282044</v>
          </cell>
          <cell r="L402">
            <v>636344</v>
          </cell>
        </row>
        <row r="403">
          <cell r="A403" t="str">
            <v xml:space="preserve"> </v>
          </cell>
          <cell r="C403" t="str">
            <v>인 건 비</v>
          </cell>
          <cell r="E403" t="str">
            <v>TON</v>
          </cell>
          <cell r="F403">
            <v>9780858</v>
          </cell>
          <cell r="H403">
            <v>9780858</v>
          </cell>
        </row>
        <row r="404">
          <cell r="A404" t="str">
            <v xml:space="preserve"> </v>
          </cell>
          <cell r="C404" t="str">
            <v>사용장비경비</v>
          </cell>
          <cell r="E404" t="str">
            <v>TON</v>
          </cell>
          <cell r="F404">
            <v>1533472</v>
          </cell>
          <cell r="H404">
            <v>645896</v>
          </cell>
          <cell r="J404">
            <v>251232</v>
          </cell>
          <cell r="K404" t="str">
            <v xml:space="preserve"> </v>
          </cell>
          <cell r="L404">
            <v>636344</v>
          </cell>
        </row>
        <row r="405">
          <cell r="A405" t="str">
            <v xml:space="preserve"> </v>
          </cell>
          <cell r="C405" t="str">
            <v>소모자재비</v>
          </cell>
          <cell r="E405" t="str">
            <v>TON</v>
          </cell>
          <cell r="F405">
            <v>30812</v>
          </cell>
          <cell r="J405">
            <v>30812</v>
          </cell>
        </row>
        <row r="407">
          <cell r="A407" t="str">
            <v>종       별</v>
          </cell>
          <cell r="C407" t="str">
            <v>재 료 또 는</v>
          </cell>
          <cell r="D407" t="str">
            <v xml:space="preserve">원 수 </v>
          </cell>
          <cell r="E407" t="str">
            <v>단 위</v>
          </cell>
          <cell r="F407" t="str">
            <v>총   액</v>
          </cell>
          <cell r="G407" t="str">
            <v>노   무   비</v>
          </cell>
          <cell r="I407" t="str">
            <v>재   료   비</v>
          </cell>
          <cell r="K407" t="str">
            <v>경      비</v>
          </cell>
          <cell r="M407" t="str">
            <v>비   고</v>
          </cell>
        </row>
        <row r="408">
          <cell r="C408" t="str">
            <v xml:space="preserve">규       격 </v>
          </cell>
          <cell r="F408" t="str">
            <v>금   액</v>
          </cell>
          <cell r="G408" t="str">
            <v>단  가</v>
          </cell>
          <cell r="H408" t="str">
            <v>금   액</v>
          </cell>
          <cell r="I408" t="str">
            <v>단  가</v>
          </cell>
          <cell r="J408" t="str">
            <v>금   액</v>
          </cell>
          <cell r="K408" t="str">
            <v>단  가</v>
          </cell>
          <cell r="L408" t="str">
            <v>금   액</v>
          </cell>
        </row>
        <row r="409">
          <cell r="A409" t="str">
            <v xml:space="preserve"> </v>
          </cell>
          <cell r="B409" t="str">
            <v>▷ANCHORAGE</v>
          </cell>
          <cell r="C409" t="str">
            <v>소   계</v>
          </cell>
          <cell r="F409">
            <v>3544844.4</v>
          </cell>
          <cell r="H409">
            <v>2061690</v>
          </cell>
          <cell r="J409">
            <v>360170.4</v>
          </cell>
          <cell r="L409">
            <v>1122984</v>
          </cell>
        </row>
        <row r="410">
          <cell r="A410" t="str">
            <v xml:space="preserve"> </v>
          </cell>
          <cell r="C410" t="str">
            <v>인 건 비</v>
          </cell>
          <cell r="E410" t="str">
            <v>TON</v>
          </cell>
          <cell r="F410">
            <v>1192994</v>
          </cell>
          <cell r="H410">
            <v>1192994</v>
          </cell>
          <cell r="M410" t="str">
            <v>RADIAL GATE 
LEAF 적용</v>
          </cell>
        </row>
        <row r="411">
          <cell r="A411" t="str">
            <v xml:space="preserve"> </v>
          </cell>
          <cell r="C411" t="str">
            <v>사용장비경비</v>
          </cell>
          <cell r="E411" t="str">
            <v>TON</v>
          </cell>
          <cell r="F411">
            <v>2312752</v>
          </cell>
          <cell r="H411">
            <v>868696</v>
          </cell>
          <cell r="J411">
            <v>321072</v>
          </cell>
          <cell r="L411">
            <v>1122984</v>
          </cell>
          <cell r="M411" t="str">
            <v>"</v>
          </cell>
        </row>
        <row r="412">
          <cell r="A412" t="str">
            <v xml:space="preserve"> </v>
          </cell>
          <cell r="C412" t="str">
            <v>소모자재비</v>
          </cell>
          <cell r="E412" t="str">
            <v>TON</v>
          </cell>
          <cell r="F412">
            <v>39098.400000000001</v>
          </cell>
          <cell r="J412">
            <v>39098.400000000001</v>
          </cell>
          <cell r="M412" t="str">
            <v>"</v>
          </cell>
        </row>
        <row r="414">
          <cell r="B414" t="str">
            <v>▷ HOIST</v>
          </cell>
          <cell r="C414" t="str">
            <v>소   계</v>
          </cell>
          <cell r="F414">
            <v>1509190</v>
          </cell>
          <cell r="H414">
            <v>1047968</v>
          </cell>
          <cell r="J414">
            <v>84566</v>
          </cell>
          <cell r="L414">
            <v>376656</v>
          </cell>
        </row>
        <row r="415">
          <cell r="A415" t="str">
            <v xml:space="preserve"> </v>
          </cell>
          <cell r="C415" t="str">
            <v>인 건 비</v>
          </cell>
          <cell r="E415" t="str">
            <v>TON</v>
          </cell>
          <cell r="F415">
            <v>687704</v>
          </cell>
          <cell r="H415">
            <v>687704</v>
          </cell>
          <cell r="M415" t="str">
            <v>ROLLER HOIST와
동일</v>
          </cell>
        </row>
        <row r="416">
          <cell r="A416" t="str">
            <v xml:space="preserve"> </v>
          </cell>
          <cell r="C416" t="str">
            <v>사용장비경비</v>
          </cell>
          <cell r="E416" t="str">
            <v>TON</v>
          </cell>
          <cell r="F416">
            <v>793288</v>
          </cell>
          <cell r="H416">
            <v>360264</v>
          </cell>
          <cell r="J416">
            <v>56368</v>
          </cell>
          <cell r="L416">
            <v>376656</v>
          </cell>
        </row>
        <row r="417">
          <cell r="A417" t="str">
            <v xml:space="preserve"> </v>
          </cell>
          <cell r="C417" t="str">
            <v>소모자재비</v>
          </cell>
          <cell r="E417" t="str">
            <v>TON</v>
          </cell>
          <cell r="F417">
            <v>28198</v>
          </cell>
          <cell r="J417">
            <v>28198</v>
          </cell>
          <cell r="M417" t="str">
            <v>ROLLER HOIST와
동일</v>
          </cell>
        </row>
        <row r="418">
          <cell r="A418" t="str">
            <v xml:space="preserve"> </v>
          </cell>
        </row>
        <row r="419">
          <cell r="A419" t="str">
            <v>◈ TRASH RACK</v>
          </cell>
        </row>
        <row r="420">
          <cell r="B420" t="str">
            <v>⊙ 제작가공비</v>
          </cell>
          <cell r="C420" t="str">
            <v>소   계</v>
          </cell>
          <cell r="F420">
            <v>8169306</v>
          </cell>
          <cell r="H420">
            <v>7960762</v>
          </cell>
          <cell r="J420">
            <v>118744</v>
          </cell>
          <cell r="L420">
            <v>89800</v>
          </cell>
        </row>
        <row r="421">
          <cell r="C421" t="str">
            <v>인  건  비</v>
          </cell>
          <cell r="E421" t="str">
            <v>TON</v>
          </cell>
          <cell r="F421">
            <v>7834260</v>
          </cell>
          <cell r="H421">
            <v>7834260</v>
          </cell>
        </row>
        <row r="422">
          <cell r="C422" t="str">
            <v>사용장비경비</v>
          </cell>
          <cell r="E422" t="str">
            <v>TON</v>
          </cell>
          <cell r="F422">
            <v>247732</v>
          </cell>
          <cell r="H422">
            <v>126502</v>
          </cell>
          <cell r="J422">
            <v>31430</v>
          </cell>
          <cell r="L422">
            <v>89800</v>
          </cell>
          <cell r="M422" t="str">
            <v>ROLLER GATE
LEAF 적용</v>
          </cell>
        </row>
        <row r="423">
          <cell r="A423" t="str">
            <v xml:space="preserve"> </v>
          </cell>
          <cell r="C423" t="str">
            <v>소모자재비</v>
          </cell>
          <cell r="E423" t="str">
            <v>TON</v>
          </cell>
          <cell r="F423">
            <v>87314</v>
          </cell>
          <cell r="J423">
            <v>87314</v>
          </cell>
        </row>
        <row r="425">
          <cell r="A425" t="str">
            <v xml:space="preserve"> </v>
          </cell>
          <cell r="B425" t="str">
            <v>⊙ 설  치  비</v>
          </cell>
          <cell r="C425" t="str">
            <v>소   계</v>
          </cell>
          <cell r="F425">
            <v>2369875</v>
          </cell>
          <cell r="H425">
            <v>1599040</v>
          </cell>
          <cell r="J425">
            <v>195411</v>
          </cell>
          <cell r="L425">
            <v>575424</v>
          </cell>
        </row>
        <row r="426">
          <cell r="A426" t="str">
            <v>종       별</v>
          </cell>
          <cell r="C426" t="str">
            <v>재 료 또 는</v>
          </cell>
          <cell r="D426" t="str">
            <v xml:space="preserve">원 수 </v>
          </cell>
          <cell r="E426" t="str">
            <v>단 위</v>
          </cell>
          <cell r="F426" t="str">
            <v>총   액</v>
          </cell>
          <cell r="G426" t="str">
            <v>노   무   비</v>
          </cell>
          <cell r="I426" t="str">
            <v>재   료   비</v>
          </cell>
          <cell r="K426" t="str">
            <v>경      비</v>
          </cell>
          <cell r="M426" t="str">
            <v>비   고</v>
          </cell>
        </row>
        <row r="427">
          <cell r="C427" t="str">
            <v xml:space="preserve">규       격 </v>
          </cell>
          <cell r="F427" t="str">
            <v>금   액</v>
          </cell>
          <cell r="G427" t="str">
            <v>단  가</v>
          </cell>
          <cell r="H427" t="str">
            <v>금   액</v>
          </cell>
          <cell r="I427" t="str">
            <v>단  가</v>
          </cell>
          <cell r="J427" t="str">
            <v>금   액</v>
          </cell>
          <cell r="K427" t="str">
            <v>단  가</v>
          </cell>
          <cell r="L427" t="str">
            <v>금   액</v>
          </cell>
        </row>
        <row r="428">
          <cell r="A428" t="str">
            <v xml:space="preserve"> </v>
          </cell>
          <cell r="C428" t="str">
            <v>인  건  비</v>
          </cell>
          <cell r="E428" t="str">
            <v>TON</v>
          </cell>
          <cell r="F428">
            <v>1020296</v>
          </cell>
          <cell r="H428">
            <v>1020296</v>
          </cell>
        </row>
        <row r="429">
          <cell r="A429" t="str">
            <v xml:space="preserve"> </v>
          </cell>
          <cell r="C429" t="str">
            <v>사용장비경비</v>
          </cell>
          <cell r="E429" t="str">
            <v>TON</v>
          </cell>
          <cell r="F429">
            <v>1341424</v>
          </cell>
          <cell r="H429">
            <v>578744</v>
          </cell>
          <cell r="J429">
            <v>187256</v>
          </cell>
          <cell r="L429">
            <v>575424</v>
          </cell>
          <cell r="M429" t="str">
            <v>ROLLER GATE
LEAF 적용</v>
          </cell>
        </row>
        <row r="430">
          <cell r="A430" t="str">
            <v xml:space="preserve"> </v>
          </cell>
          <cell r="C430" t="str">
            <v>소모자재비</v>
          </cell>
          <cell r="E430" t="str">
            <v>TON</v>
          </cell>
          <cell r="F430">
            <v>8155</v>
          </cell>
          <cell r="J430">
            <v>8155</v>
          </cell>
        </row>
        <row r="431">
          <cell r="A431" t="str">
            <v xml:space="preserve"> </v>
          </cell>
        </row>
        <row r="432">
          <cell r="A432" t="str">
            <v>◈ 잡철물 제작,설치 (SCREEN등)</v>
          </cell>
        </row>
        <row r="433">
          <cell r="B433" t="str">
            <v>▷ 간단한 구조</v>
          </cell>
          <cell r="C433" t="str">
            <v>100 %</v>
          </cell>
          <cell r="F433">
            <v>2792160</v>
          </cell>
          <cell r="H433">
            <v>2636784</v>
          </cell>
          <cell r="J433">
            <v>65284</v>
          </cell>
          <cell r="L433">
            <v>90092</v>
          </cell>
        </row>
        <row r="434">
          <cell r="B434" t="str">
            <v>▷ 복잡한 구조</v>
          </cell>
          <cell r="C434" t="str">
            <v>140 %</v>
          </cell>
          <cell r="F434">
            <v>3909022</v>
          </cell>
          <cell r="H434">
            <v>3691497</v>
          </cell>
          <cell r="J434">
            <v>91397</v>
          </cell>
          <cell r="L434">
            <v>126128</v>
          </cell>
        </row>
        <row r="435">
          <cell r="A435" t="str">
            <v xml:space="preserve"> </v>
          </cell>
        </row>
        <row r="436">
          <cell r="A436" t="str">
            <v>◈ 도   장   비 - Ⅰ- (기존 도장 방식)</v>
          </cell>
        </row>
        <row r="437">
          <cell r="A437">
            <v>1</v>
          </cell>
          <cell r="B437" t="str">
            <v>▷ SAND BLASTING</v>
          </cell>
          <cell r="E437" t="str">
            <v>㎡</v>
          </cell>
          <cell r="F437">
            <v>9436</v>
          </cell>
          <cell r="H437">
            <v>4928</v>
          </cell>
          <cell r="J437">
            <v>2852</v>
          </cell>
          <cell r="L437">
            <v>1656</v>
          </cell>
        </row>
        <row r="438">
          <cell r="A438">
            <v>2</v>
          </cell>
          <cell r="B438" t="str">
            <v>▷ PRIMERY COATING (유기질)</v>
          </cell>
          <cell r="D438" t="str">
            <v>(  20μ)</v>
          </cell>
          <cell r="E438" t="str">
            <v>㎡</v>
          </cell>
          <cell r="F438">
            <v>1627</v>
          </cell>
          <cell r="H438">
            <v>945</v>
          </cell>
          <cell r="J438">
            <v>664</v>
          </cell>
          <cell r="L438">
            <v>18</v>
          </cell>
        </row>
        <row r="439">
          <cell r="A439">
            <v>3</v>
          </cell>
          <cell r="B439" t="str">
            <v>▷ COVER COATING(PURE EPOXY)</v>
          </cell>
          <cell r="D439" t="str">
            <v>( 280μ)</v>
          </cell>
          <cell r="E439" t="str">
            <v>㎡</v>
          </cell>
          <cell r="F439">
            <v>8981</v>
          </cell>
          <cell r="H439">
            <v>6808</v>
          </cell>
          <cell r="J439">
            <v>2037</v>
          </cell>
          <cell r="L439">
            <v>136</v>
          </cell>
        </row>
        <row r="440">
          <cell r="A440">
            <v>4</v>
          </cell>
          <cell r="B440" t="str">
            <v>▷ COVER COATING(TAL EPOXY)</v>
          </cell>
          <cell r="D440" t="str">
            <v>( 280μ)</v>
          </cell>
          <cell r="E440" t="str">
            <v>㎡</v>
          </cell>
          <cell r="F440">
            <v>8769</v>
          </cell>
          <cell r="H440">
            <v>6808</v>
          </cell>
          <cell r="J440">
            <v>1825</v>
          </cell>
          <cell r="L440">
            <v>136</v>
          </cell>
        </row>
        <row r="441">
          <cell r="A441">
            <v>5</v>
          </cell>
          <cell r="B441" t="str">
            <v>▷ 방 오 도 료</v>
          </cell>
          <cell r="D441" t="str">
            <v>(  80μ)</v>
          </cell>
          <cell r="E441" t="str">
            <v>㎡</v>
          </cell>
          <cell r="F441">
            <v>20722</v>
          </cell>
          <cell r="H441">
            <v>18911</v>
          </cell>
          <cell r="J441">
            <v>1433</v>
          </cell>
          <cell r="L441">
            <v>378</v>
          </cell>
        </row>
        <row r="442">
          <cell r="A442" t="str">
            <v xml:space="preserve"> </v>
          </cell>
        </row>
        <row r="443">
          <cell r="A443" t="str">
            <v>◈ 도   장   비 - Ⅱ- (신공법 도장방식)  ㎡ 당</v>
          </cell>
        </row>
        <row r="444">
          <cell r="A444">
            <v>1</v>
          </cell>
          <cell r="B444" t="str">
            <v>▷ 전처리 (육상용)(WATER SAND JET 공법)</v>
          </cell>
          <cell r="F444">
            <v>14435</v>
          </cell>
          <cell r="H444">
            <v>8755</v>
          </cell>
          <cell r="J444">
            <v>3405</v>
          </cell>
          <cell r="L444">
            <v>2275</v>
          </cell>
        </row>
        <row r="445">
          <cell r="A445">
            <v>2</v>
          </cell>
          <cell r="B445" t="str">
            <v>▷ 전처리 (수중용)(WATER SAND JET 공법)</v>
          </cell>
          <cell r="F445">
            <v>141391</v>
          </cell>
          <cell r="H445">
            <v>111758</v>
          </cell>
          <cell r="J445">
            <v>4458</v>
          </cell>
          <cell r="L445">
            <v>25175</v>
          </cell>
        </row>
        <row r="446">
          <cell r="A446">
            <v>3</v>
          </cell>
          <cell r="B446" t="str">
            <v>▷ 도장 SYSTEM 1 (상시 물속에 잠기는 구조물)</v>
          </cell>
          <cell r="F446">
            <v>26239</v>
          </cell>
          <cell r="H446">
            <v>10076</v>
          </cell>
          <cell r="J446">
            <v>15962</v>
          </cell>
          <cell r="L446">
            <v>201</v>
          </cell>
        </row>
        <row r="448">
          <cell r="A448" t="str">
            <v>종       별</v>
          </cell>
          <cell r="C448" t="str">
            <v>재 료 또 는</v>
          </cell>
          <cell r="D448" t="str">
            <v xml:space="preserve">원 수 </v>
          </cell>
          <cell r="E448" t="str">
            <v>단 위</v>
          </cell>
          <cell r="F448" t="str">
            <v>총   액</v>
          </cell>
          <cell r="G448" t="str">
            <v>노   무   비</v>
          </cell>
          <cell r="I448" t="str">
            <v>재   료   비</v>
          </cell>
          <cell r="K448" t="str">
            <v>경      비</v>
          </cell>
          <cell r="M448" t="str">
            <v>비   고</v>
          </cell>
        </row>
        <row r="449">
          <cell r="C449" t="str">
            <v xml:space="preserve">규       격 </v>
          </cell>
          <cell r="F449" t="str">
            <v>금   액</v>
          </cell>
          <cell r="G449" t="str">
            <v>단  가</v>
          </cell>
          <cell r="H449" t="str">
            <v>금   액</v>
          </cell>
          <cell r="I449" t="str">
            <v>단  가</v>
          </cell>
          <cell r="J449" t="str">
            <v>금   액</v>
          </cell>
          <cell r="K449" t="str">
            <v>단  가</v>
          </cell>
          <cell r="L449" t="str">
            <v>금   액</v>
          </cell>
        </row>
        <row r="450">
          <cell r="A450">
            <v>4</v>
          </cell>
          <cell r="B450" t="str">
            <v>▷ 도장 SYSTEM 2 (해수 가까이 상시 노출되어있는 구조물)</v>
          </cell>
        </row>
        <row r="451">
          <cell r="F451">
            <v>29188</v>
          </cell>
          <cell r="H451">
            <v>13099</v>
          </cell>
          <cell r="J451">
            <v>15828</v>
          </cell>
          <cell r="L451">
            <v>261</v>
          </cell>
        </row>
        <row r="452">
          <cell r="A452">
            <v>5</v>
          </cell>
          <cell r="B452" t="str">
            <v>▷ 도장 SYSTEM 3 (해중에서 작업해야하는 구조물)</v>
          </cell>
        </row>
        <row r="453">
          <cell r="F453">
            <v>86974</v>
          </cell>
          <cell r="H453">
            <v>40916</v>
          </cell>
          <cell r="J453">
            <v>45240</v>
          </cell>
          <cell r="L453">
            <v>818</v>
          </cell>
        </row>
        <row r="454">
          <cell r="A454">
            <v>6</v>
          </cell>
          <cell r="B454" t="str">
            <v xml:space="preserve">▷ CERAMIC COATING (ATO) 200μ </v>
          </cell>
        </row>
        <row r="455">
          <cell r="B455" t="str">
            <v xml:space="preserve">▷1. 바탕만들기 </v>
          </cell>
          <cell r="F455">
            <v>17788</v>
          </cell>
          <cell r="H455">
            <v>16913</v>
          </cell>
          <cell r="J455">
            <v>537</v>
          </cell>
          <cell r="L455">
            <v>338</v>
          </cell>
        </row>
        <row r="456">
          <cell r="B456" t="str">
            <v>▷2. CERAMIC COATING</v>
          </cell>
          <cell r="F456">
            <v>71178</v>
          </cell>
          <cell r="H456">
            <v>5507</v>
          </cell>
          <cell r="J456">
            <v>63337</v>
          </cell>
          <cell r="L456">
            <v>2334</v>
          </cell>
        </row>
        <row r="458">
          <cell r="A458" t="str">
            <v>◈ 비파괴 검사</v>
          </cell>
        </row>
        <row r="459">
          <cell r="A459" t="str">
            <v>1.초음파 탐상검사(U.T) - 1M당</v>
          </cell>
          <cell r="F459">
            <v>54686</v>
          </cell>
          <cell r="H459">
            <v>21307</v>
          </cell>
          <cell r="J459">
            <v>994</v>
          </cell>
          <cell r="L459">
            <v>32385</v>
          </cell>
        </row>
        <row r="460">
          <cell r="A460" t="str">
            <v>2.방사선 투과검사(R.T) - 1매당</v>
          </cell>
          <cell r="F460">
            <v>55824</v>
          </cell>
          <cell r="H460">
            <v>21230</v>
          </cell>
          <cell r="J460">
            <v>2325</v>
          </cell>
          <cell r="L460">
            <v>32269</v>
          </cell>
        </row>
        <row r="461">
          <cell r="A461" t="str">
            <v>3.자분탐상검사(M.T) - 1M당</v>
          </cell>
          <cell r="F461">
            <v>30165</v>
          </cell>
          <cell r="H461">
            <v>11795</v>
          </cell>
          <cell r="J461">
            <v>443</v>
          </cell>
          <cell r="L461">
            <v>17927</v>
          </cell>
        </row>
        <row r="462">
          <cell r="A462" t="str">
            <v>4.액체침투탐상검사(P.T) - 1M당</v>
          </cell>
          <cell r="F462">
            <v>38002</v>
          </cell>
          <cell r="H462">
            <v>14726</v>
          </cell>
          <cell r="J462">
            <v>894</v>
          </cell>
          <cell r="L462">
            <v>22382</v>
          </cell>
        </row>
        <row r="471">
          <cell r="E471" t="str">
            <v xml:space="preserve"> </v>
          </cell>
        </row>
        <row r="472">
          <cell r="B472" t="str">
            <v>ROLLER GATE 제작 인건비</v>
          </cell>
        </row>
        <row r="473">
          <cell r="A473" t="str">
            <v>종       별</v>
          </cell>
          <cell r="C473" t="str">
            <v>재 료 또 는</v>
          </cell>
          <cell r="D473" t="str">
            <v xml:space="preserve">원 수 </v>
          </cell>
          <cell r="E473" t="str">
            <v>단 위</v>
          </cell>
          <cell r="F473" t="str">
            <v>총   액</v>
          </cell>
          <cell r="G473" t="str">
            <v>노   무   비</v>
          </cell>
          <cell r="I473" t="str">
            <v>재   료   비</v>
          </cell>
          <cell r="K473" t="str">
            <v>경      비</v>
          </cell>
          <cell r="M473" t="str">
            <v>비   고</v>
          </cell>
        </row>
        <row r="474">
          <cell r="C474" t="str">
            <v xml:space="preserve">규       격 </v>
          </cell>
          <cell r="F474" t="str">
            <v>금   액</v>
          </cell>
          <cell r="G474" t="str">
            <v>단  가</v>
          </cell>
          <cell r="H474" t="str">
            <v>금   액</v>
          </cell>
          <cell r="I474" t="str">
            <v>단  가</v>
          </cell>
          <cell r="J474" t="str">
            <v>금   액</v>
          </cell>
          <cell r="K474" t="str">
            <v>단  가</v>
          </cell>
          <cell r="L474" t="str">
            <v>금   액</v>
          </cell>
        </row>
        <row r="475">
          <cell r="A475" t="str">
            <v>기 술 관 리</v>
          </cell>
          <cell r="C475" t="str">
            <v>기계기사1급</v>
          </cell>
          <cell r="D475">
            <v>0.5</v>
          </cell>
          <cell r="E475" t="str">
            <v>인</v>
          </cell>
          <cell r="G475">
            <v>97488</v>
          </cell>
          <cell r="H475">
            <v>48744</v>
          </cell>
        </row>
        <row r="476">
          <cell r="A476" t="str">
            <v>본  뜨  기</v>
          </cell>
          <cell r="C476" t="str">
            <v>프랜트제관공</v>
          </cell>
          <cell r="D476">
            <v>0.437</v>
          </cell>
          <cell r="E476" t="str">
            <v>인</v>
          </cell>
          <cell r="G476">
            <v>81966</v>
          </cell>
          <cell r="H476">
            <v>35819</v>
          </cell>
        </row>
        <row r="477">
          <cell r="A477" t="str">
            <v>금  긋  기</v>
          </cell>
          <cell r="C477" t="str">
            <v>프랜트제관공</v>
          </cell>
          <cell r="D477">
            <v>1.161</v>
          </cell>
          <cell r="E477" t="str">
            <v>인</v>
          </cell>
          <cell r="G477">
            <v>81966</v>
          </cell>
          <cell r="H477">
            <v>95162</v>
          </cell>
        </row>
        <row r="478">
          <cell r="A478" t="str">
            <v>절      단</v>
          </cell>
          <cell r="C478" t="str">
            <v>프랜트제관공</v>
          </cell>
          <cell r="D478">
            <v>0.318</v>
          </cell>
          <cell r="E478" t="str">
            <v>인</v>
          </cell>
          <cell r="G478">
            <v>81966</v>
          </cell>
          <cell r="H478">
            <v>26065</v>
          </cell>
        </row>
        <row r="479">
          <cell r="A479" t="str">
            <v>가      공</v>
          </cell>
          <cell r="C479" t="str">
            <v>프랜트제관공</v>
          </cell>
          <cell r="D479">
            <v>1.359</v>
          </cell>
          <cell r="E479" t="str">
            <v>인</v>
          </cell>
          <cell r="G479">
            <v>81966</v>
          </cell>
          <cell r="H479">
            <v>111391</v>
          </cell>
        </row>
        <row r="481">
          <cell r="A481" t="str">
            <v>구 멍 뚫 기</v>
          </cell>
          <cell r="C481" t="str">
            <v>프랜트제관공</v>
          </cell>
          <cell r="D481">
            <v>0.39700000000000002</v>
          </cell>
          <cell r="E481" t="str">
            <v>인</v>
          </cell>
          <cell r="G481">
            <v>81966</v>
          </cell>
          <cell r="H481">
            <v>32540</v>
          </cell>
        </row>
        <row r="482">
          <cell r="A482" t="str">
            <v>용      접</v>
          </cell>
          <cell r="C482" t="str">
            <v>프랜트용접공</v>
          </cell>
          <cell r="D482">
            <v>2.125</v>
          </cell>
          <cell r="E482" t="str">
            <v>인</v>
          </cell>
          <cell r="G482">
            <v>95379</v>
          </cell>
          <cell r="H482">
            <v>202680</v>
          </cell>
        </row>
        <row r="483">
          <cell r="A483" t="str">
            <v>부 품 조 립</v>
          </cell>
          <cell r="C483" t="str">
            <v>비 계 공</v>
          </cell>
          <cell r="D483">
            <v>1.0900000000000001</v>
          </cell>
          <cell r="E483" t="str">
            <v>인</v>
          </cell>
          <cell r="G483">
            <v>79467</v>
          </cell>
          <cell r="H483">
            <v>86619</v>
          </cell>
        </row>
        <row r="484">
          <cell r="C484" t="str">
            <v>프랜트기계설치공</v>
          </cell>
          <cell r="D484">
            <v>1.0900000000000001</v>
          </cell>
          <cell r="E484" t="str">
            <v>인</v>
          </cell>
          <cell r="G484">
            <v>80805</v>
          </cell>
          <cell r="H484">
            <v>88077</v>
          </cell>
        </row>
        <row r="485">
          <cell r="A485" t="str">
            <v>소운반 조립</v>
          </cell>
          <cell r="C485" t="str">
            <v>산소 절단공</v>
          </cell>
          <cell r="D485">
            <v>0.17</v>
          </cell>
          <cell r="E485" t="str">
            <v>인</v>
          </cell>
          <cell r="G485">
            <v>31794</v>
          </cell>
          <cell r="H485">
            <v>5404</v>
          </cell>
        </row>
        <row r="487">
          <cell r="A487" t="str">
            <v>가   조   립</v>
          </cell>
          <cell r="C487" t="str">
            <v>비   계   공</v>
          </cell>
          <cell r="D487">
            <v>0.86399999999999999</v>
          </cell>
          <cell r="E487" t="str">
            <v>인</v>
          </cell>
          <cell r="G487">
            <v>79467</v>
          </cell>
          <cell r="H487">
            <v>68659</v>
          </cell>
        </row>
        <row r="488">
          <cell r="C488" t="str">
            <v>프랜트 제관공</v>
          </cell>
          <cell r="D488">
            <v>1.766</v>
          </cell>
          <cell r="E488" t="str">
            <v>인</v>
          </cell>
          <cell r="G488">
            <v>81966</v>
          </cell>
          <cell r="H488">
            <v>144751</v>
          </cell>
        </row>
        <row r="489">
          <cell r="C489" t="str">
            <v>프랜트 용접공</v>
          </cell>
          <cell r="D489">
            <v>0.85299999999999998</v>
          </cell>
          <cell r="E489" t="str">
            <v>인</v>
          </cell>
          <cell r="G489">
            <v>95379</v>
          </cell>
          <cell r="H489">
            <v>81358</v>
          </cell>
        </row>
        <row r="490">
          <cell r="C490" t="str">
            <v>측   량   사</v>
          </cell>
          <cell r="D490">
            <v>0.14299999999999999</v>
          </cell>
          <cell r="E490" t="str">
            <v>인</v>
          </cell>
          <cell r="G490">
            <v>58506</v>
          </cell>
          <cell r="H490">
            <v>8366</v>
          </cell>
        </row>
        <row r="491">
          <cell r="C491" t="str">
            <v>프랜트기계설치공</v>
          </cell>
          <cell r="D491">
            <v>0.51800000000000002</v>
          </cell>
          <cell r="E491" t="str">
            <v>인</v>
          </cell>
          <cell r="G491">
            <v>80805</v>
          </cell>
          <cell r="H491">
            <v>41856</v>
          </cell>
        </row>
        <row r="492">
          <cell r="E492" t="str">
            <v xml:space="preserve"> </v>
          </cell>
        </row>
        <row r="493">
          <cell r="C493" t="str">
            <v>특 별 인 부</v>
          </cell>
          <cell r="D493">
            <v>0.245</v>
          </cell>
          <cell r="E493" t="str">
            <v>인</v>
          </cell>
          <cell r="G493">
            <v>57379</v>
          </cell>
          <cell r="H493">
            <v>14057</v>
          </cell>
        </row>
        <row r="494">
          <cell r="A494" t="str">
            <v>검사 및 교정</v>
          </cell>
          <cell r="C494" t="str">
            <v>기술관리 제외한</v>
          </cell>
          <cell r="D494" t="str">
            <v>1</v>
          </cell>
          <cell r="E494" t="str">
            <v>식</v>
          </cell>
          <cell r="H494">
            <v>104280</v>
          </cell>
        </row>
        <row r="495">
          <cell r="C495" t="str">
            <v>10%</v>
          </cell>
        </row>
        <row r="497">
          <cell r="B497" t="str">
            <v>계</v>
          </cell>
          <cell r="F497">
            <v>1195828</v>
          </cell>
          <cell r="H497">
            <v>1195828</v>
          </cell>
        </row>
        <row r="499">
          <cell r="A499" t="str">
            <v>ROLLER GATE 제작 사용장비 경비</v>
          </cell>
        </row>
        <row r="500">
          <cell r="E500" t="str">
            <v xml:space="preserve"> </v>
          </cell>
        </row>
        <row r="501">
          <cell r="A501" t="str">
            <v>종       별</v>
          </cell>
          <cell r="C501" t="str">
            <v>재 료 또 는</v>
          </cell>
          <cell r="D501" t="str">
            <v xml:space="preserve">원 수 </v>
          </cell>
          <cell r="E501" t="str">
            <v>단 위</v>
          </cell>
          <cell r="F501" t="str">
            <v>총   액</v>
          </cell>
          <cell r="G501" t="str">
            <v>노   무   비</v>
          </cell>
          <cell r="I501" t="str">
            <v>재   료   비</v>
          </cell>
          <cell r="K501" t="str">
            <v>경      비</v>
          </cell>
          <cell r="M501" t="str">
            <v>비   고</v>
          </cell>
        </row>
        <row r="502">
          <cell r="C502" t="str">
            <v xml:space="preserve">규       격 </v>
          </cell>
          <cell r="F502" t="str">
            <v>금   액</v>
          </cell>
          <cell r="G502" t="str">
            <v>단  가</v>
          </cell>
          <cell r="H502" t="str">
            <v>금   액</v>
          </cell>
          <cell r="I502" t="str">
            <v>단  가</v>
          </cell>
          <cell r="J502" t="str">
            <v>금   액</v>
          </cell>
          <cell r="K502" t="str">
            <v>단  가</v>
          </cell>
          <cell r="L502" t="str">
            <v>금   액</v>
          </cell>
        </row>
        <row r="503">
          <cell r="A503" t="str">
            <v>LATHE</v>
          </cell>
          <cell r="C503" t="str">
            <v>12FT x 7.5HP</v>
          </cell>
          <cell r="D503">
            <v>0.53600000000000003</v>
          </cell>
          <cell r="E503" t="str">
            <v>Hr</v>
          </cell>
          <cell r="G503">
            <v>3418</v>
          </cell>
          <cell r="H503">
            <v>1832</v>
          </cell>
          <cell r="I503" t="str">
            <v xml:space="preserve"> </v>
          </cell>
          <cell r="J503" t="str">
            <v xml:space="preserve"> </v>
          </cell>
          <cell r="K503">
            <v>3775</v>
          </cell>
          <cell r="L503">
            <v>2023</v>
          </cell>
        </row>
        <row r="504">
          <cell r="A504" t="str">
            <v>PLANER</v>
          </cell>
          <cell r="C504" t="str">
            <v>4FT x 8FT</v>
          </cell>
          <cell r="D504">
            <v>7.5999999999999998E-2</v>
          </cell>
          <cell r="E504" t="str">
            <v>Hr</v>
          </cell>
          <cell r="G504">
            <v>3129</v>
          </cell>
          <cell r="H504">
            <v>237</v>
          </cell>
          <cell r="I504" t="str">
            <v xml:space="preserve"> </v>
          </cell>
          <cell r="J504" t="str">
            <v xml:space="preserve"> </v>
          </cell>
          <cell r="K504">
            <v>2743</v>
          </cell>
          <cell r="L504">
            <v>208</v>
          </cell>
        </row>
        <row r="505">
          <cell r="A505" t="str">
            <v>BORING M/C</v>
          </cell>
          <cell r="C505" t="str">
            <v>Hori.type,3HP</v>
          </cell>
          <cell r="D505">
            <v>1.4359999999999999</v>
          </cell>
          <cell r="E505" t="str">
            <v>Hr</v>
          </cell>
          <cell r="G505">
            <v>3547</v>
          </cell>
          <cell r="H505">
            <v>5093</v>
          </cell>
          <cell r="I505" t="str">
            <v xml:space="preserve"> </v>
          </cell>
          <cell r="J505" t="str">
            <v xml:space="preserve"> </v>
          </cell>
          <cell r="K505">
            <v>8928</v>
          </cell>
          <cell r="L505">
            <v>12820</v>
          </cell>
        </row>
        <row r="506">
          <cell r="A506" t="str">
            <v>UNION MELT WELDER</v>
          </cell>
          <cell r="C506" t="str">
            <v>5.5 KVA</v>
          </cell>
          <cell r="D506">
            <v>2.72</v>
          </cell>
          <cell r="E506" t="str">
            <v>Hr</v>
          </cell>
          <cell r="G506">
            <v>3488</v>
          </cell>
          <cell r="H506">
            <v>9487</v>
          </cell>
          <cell r="I506" t="str">
            <v xml:space="preserve"> </v>
          </cell>
          <cell r="J506" t="str">
            <v xml:space="preserve"> </v>
          </cell>
          <cell r="K506">
            <v>1797</v>
          </cell>
          <cell r="L506">
            <v>4887</v>
          </cell>
        </row>
        <row r="507">
          <cell r="A507" t="str">
            <v>A.C WELDER</v>
          </cell>
          <cell r="C507" t="str">
            <v>10KVA</v>
          </cell>
          <cell r="D507">
            <v>8.16</v>
          </cell>
          <cell r="E507" t="str">
            <v>Hr</v>
          </cell>
          <cell r="I507" t="str">
            <v xml:space="preserve"> </v>
          </cell>
          <cell r="J507" t="str">
            <v xml:space="preserve"> </v>
          </cell>
          <cell r="K507">
            <v>155</v>
          </cell>
          <cell r="L507">
            <v>1264</v>
          </cell>
        </row>
        <row r="508">
          <cell r="E508" t="str">
            <v xml:space="preserve"> </v>
          </cell>
          <cell r="I508" t="str">
            <v xml:space="preserve"> </v>
          </cell>
          <cell r="J508" t="str">
            <v xml:space="preserve"> </v>
          </cell>
        </row>
        <row r="509">
          <cell r="A509" t="str">
            <v>GOUGING M/C</v>
          </cell>
          <cell r="C509" t="str">
            <v>중 형</v>
          </cell>
          <cell r="D509">
            <v>1.7</v>
          </cell>
          <cell r="E509" t="str">
            <v>Hr</v>
          </cell>
          <cell r="G509">
            <v>3380</v>
          </cell>
          <cell r="H509">
            <v>5746</v>
          </cell>
          <cell r="I509" t="str">
            <v xml:space="preserve"> </v>
          </cell>
          <cell r="J509" t="str">
            <v xml:space="preserve"> </v>
          </cell>
          <cell r="K509">
            <v>670</v>
          </cell>
          <cell r="L509">
            <v>1139</v>
          </cell>
        </row>
        <row r="510">
          <cell r="A510" t="str">
            <v>GAS CUTTING M/C</v>
          </cell>
          <cell r="C510" t="str">
            <v>Auto형</v>
          </cell>
          <cell r="D510">
            <v>1.016</v>
          </cell>
          <cell r="E510" t="str">
            <v>Hr</v>
          </cell>
          <cell r="G510">
            <v>11922</v>
          </cell>
          <cell r="H510">
            <v>12112</v>
          </cell>
          <cell r="I510" t="str">
            <v xml:space="preserve"> </v>
          </cell>
          <cell r="J510" t="str">
            <v xml:space="preserve"> </v>
          </cell>
          <cell r="K510">
            <v>119</v>
          </cell>
          <cell r="L510">
            <v>120</v>
          </cell>
        </row>
        <row r="511">
          <cell r="A511" t="str">
            <v>GAS CUTTING M/C</v>
          </cell>
          <cell r="C511" t="str">
            <v>수 동</v>
          </cell>
          <cell r="D511">
            <v>1.016</v>
          </cell>
          <cell r="E511" t="str">
            <v>Hr</v>
          </cell>
          <cell r="G511">
            <v>3974</v>
          </cell>
          <cell r="H511">
            <v>4037</v>
          </cell>
          <cell r="I511" t="str">
            <v xml:space="preserve"> </v>
          </cell>
          <cell r="J511" t="str">
            <v xml:space="preserve"> </v>
          </cell>
          <cell r="K511">
            <v>115</v>
          </cell>
          <cell r="L511">
            <v>116</v>
          </cell>
        </row>
        <row r="512">
          <cell r="A512" t="str">
            <v>GAS HEATING TOUCH</v>
          </cell>
          <cell r="C512" t="str">
            <v>중 형</v>
          </cell>
          <cell r="D512">
            <v>3.3279999999999998</v>
          </cell>
          <cell r="E512" t="str">
            <v>Hr</v>
          </cell>
          <cell r="G512">
            <v>3174</v>
          </cell>
          <cell r="H512">
            <v>10563</v>
          </cell>
          <cell r="I512" t="str">
            <v xml:space="preserve"> </v>
          </cell>
          <cell r="J512" t="str">
            <v xml:space="preserve"> </v>
          </cell>
          <cell r="K512">
            <v>115</v>
          </cell>
          <cell r="L512">
            <v>382</v>
          </cell>
        </row>
        <row r="513">
          <cell r="A513" t="str">
            <v>OVER HEAD CRANE</v>
          </cell>
          <cell r="C513" t="str">
            <v>30 TON</v>
          </cell>
          <cell r="D513">
            <v>1.2689999999999999</v>
          </cell>
          <cell r="E513" t="str">
            <v>Hr</v>
          </cell>
          <cell r="G513">
            <v>9681</v>
          </cell>
          <cell r="H513">
            <v>12285</v>
          </cell>
          <cell r="I513" t="str">
            <v xml:space="preserve"> </v>
          </cell>
          <cell r="J513" t="str">
            <v xml:space="preserve"> </v>
          </cell>
          <cell r="K513">
            <v>4123</v>
          </cell>
          <cell r="L513">
            <v>5232</v>
          </cell>
        </row>
        <row r="514">
          <cell r="E514" t="str">
            <v xml:space="preserve"> </v>
          </cell>
          <cell r="I514" t="str">
            <v xml:space="preserve"> </v>
          </cell>
          <cell r="J514" t="str">
            <v xml:space="preserve"> </v>
          </cell>
        </row>
        <row r="515">
          <cell r="A515" t="str">
            <v>HYDRO PRESS</v>
          </cell>
          <cell r="C515" t="str">
            <v>100 TON</v>
          </cell>
          <cell r="D515">
            <v>1.48</v>
          </cell>
          <cell r="E515" t="str">
            <v>Hr</v>
          </cell>
          <cell r="G515">
            <v>3281</v>
          </cell>
          <cell r="H515">
            <v>4855</v>
          </cell>
          <cell r="I515" t="str">
            <v xml:space="preserve"> </v>
          </cell>
          <cell r="J515" t="str">
            <v xml:space="preserve"> </v>
          </cell>
          <cell r="K515">
            <v>6045</v>
          </cell>
          <cell r="L515">
            <v>8946</v>
          </cell>
        </row>
        <row r="516">
          <cell r="A516" t="str">
            <v>BENDING ROLLER</v>
          </cell>
          <cell r="C516" t="str">
            <v>23 FT</v>
          </cell>
          <cell r="D516">
            <v>1.0880000000000001</v>
          </cell>
          <cell r="E516" t="str">
            <v>Hr</v>
          </cell>
          <cell r="G516">
            <v>4281</v>
          </cell>
          <cell r="H516">
            <v>4657</v>
          </cell>
          <cell r="I516" t="str">
            <v xml:space="preserve"> </v>
          </cell>
          <cell r="J516" t="str">
            <v xml:space="preserve"> </v>
          </cell>
          <cell r="K516">
            <v>6323</v>
          </cell>
          <cell r="L516">
            <v>6879</v>
          </cell>
        </row>
        <row r="517">
          <cell r="A517" t="str">
            <v>SHEARING M/C</v>
          </cell>
          <cell r="D517">
            <v>0.25600000000000001</v>
          </cell>
          <cell r="E517" t="str">
            <v>Hr</v>
          </cell>
          <cell r="G517">
            <v>3688</v>
          </cell>
          <cell r="H517">
            <v>944</v>
          </cell>
          <cell r="I517" t="str">
            <v xml:space="preserve"> </v>
          </cell>
          <cell r="J517" t="str">
            <v xml:space="preserve"> </v>
          </cell>
          <cell r="K517">
            <v>3209</v>
          </cell>
          <cell r="L517">
            <v>821</v>
          </cell>
        </row>
        <row r="518">
          <cell r="A518" t="str">
            <v>DRILLING M/C</v>
          </cell>
          <cell r="C518" t="str">
            <v>3 HP</v>
          </cell>
          <cell r="D518">
            <v>1.6319999999999999</v>
          </cell>
          <cell r="E518" t="str">
            <v>Hr</v>
          </cell>
          <cell r="G518">
            <v>3401</v>
          </cell>
          <cell r="H518">
            <v>5550</v>
          </cell>
          <cell r="I518" t="str">
            <v xml:space="preserve"> </v>
          </cell>
          <cell r="J518" t="str">
            <v xml:space="preserve"> </v>
          </cell>
          <cell r="K518">
            <v>576</v>
          </cell>
          <cell r="L518">
            <v>940</v>
          </cell>
        </row>
        <row r="519">
          <cell r="A519" t="str">
            <v>DRILLING M/C</v>
          </cell>
          <cell r="C519" t="str">
            <v>Radial,5 HP</v>
          </cell>
          <cell r="D519">
            <v>0.81599999999999995</v>
          </cell>
          <cell r="E519" t="str">
            <v>Hr</v>
          </cell>
          <cell r="G519">
            <v>3401</v>
          </cell>
          <cell r="H519">
            <v>2775</v>
          </cell>
          <cell r="I519" t="str">
            <v xml:space="preserve"> </v>
          </cell>
          <cell r="J519" t="str">
            <v xml:space="preserve"> </v>
          </cell>
          <cell r="K519">
            <v>1720</v>
          </cell>
          <cell r="L519">
            <v>1403</v>
          </cell>
        </row>
        <row r="520">
          <cell r="E520" t="str">
            <v xml:space="preserve"> </v>
          </cell>
          <cell r="I520" t="str">
            <v xml:space="preserve"> </v>
          </cell>
          <cell r="J520" t="str">
            <v xml:space="preserve"> </v>
          </cell>
        </row>
        <row r="521">
          <cell r="A521" t="str">
            <v>COMPRESSOR</v>
          </cell>
          <cell r="C521" t="str">
            <v>7.1㎥/min</v>
          </cell>
          <cell r="D521">
            <v>3.17</v>
          </cell>
          <cell r="E521" t="str">
            <v>Hr</v>
          </cell>
          <cell r="G521">
            <v>9681</v>
          </cell>
          <cell r="H521">
            <v>30688</v>
          </cell>
          <cell r="I521">
            <v>6189</v>
          </cell>
          <cell r="J521">
            <v>19619</v>
          </cell>
          <cell r="K521">
            <v>3137</v>
          </cell>
          <cell r="L521">
            <v>9944</v>
          </cell>
        </row>
        <row r="522">
          <cell r="A522" t="str">
            <v>PORTABLE DRILL</v>
          </cell>
          <cell r="C522" t="str">
            <v>0.5 HP</v>
          </cell>
          <cell r="D522">
            <v>1.2210000000000001</v>
          </cell>
          <cell r="E522" t="str">
            <v>Hr</v>
          </cell>
          <cell r="K522">
            <v>12</v>
          </cell>
          <cell r="L522">
            <v>14</v>
          </cell>
        </row>
        <row r="523">
          <cell r="A523" t="str">
            <v>TRUCK CRANE</v>
          </cell>
          <cell r="C523" t="str">
            <v>30 TON</v>
          </cell>
          <cell r="D523">
            <v>0.42299999999999999</v>
          </cell>
          <cell r="E523" t="str">
            <v>Hr</v>
          </cell>
          <cell r="G523">
            <v>18615</v>
          </cell>
          <cell r="H523">
            <v>7874</v>
          </cell>
          <cell r="I523">
            <v>7046</v>
          </cell>
          <cell r="J523">
            <v>2980</v>
          </cell>
          <cell r="K523">
            <v>44939</v>
          </cell>
          <cell r="L523">
            <v>19009</v>
          </cell>
        </row>
        <row r="524">
          <cell r="A524" t="str">
            <v>Fork Lift</v>
          </cell>
          <cell r="C524" t="str">
            <v>5 TON</v>
          </cell>
          <cell r="D524">
            <v>0.42299999999999999</v>
          </cell>
          <cell r="E524" t="str">
            <v>Hr</v>
          </cell>
          <cell r="G524">
            <v>9681</v>
          </cell>
          <cell r="H524">
            <v>4095</v>
          </cell>
          <cell r="I524">
            <v>5116.08</v>
          </cell>
          <cell r="J524">
            <v>2164</v>
          </cell>
          <cell r="K524">
            <v>4863</v>
          </cell>
          <cell r="L524">
            <v>2057</v>
          </cell>
        </row>
        <row r="525">
          <cell r="A525" t="str">
            <v>Trailer</v>
          </cell>
          <cell r="C525" t="str">
            <v>30ton</v>
          </cell>
          <cell r="D525">
            <v>0.42299999999999999</v>
          </cell>
          <cell r="E525" t="str">
            <v>Hr</v>
          </cell>
          <cell r="G525">
            <v>8683</v>
          </cell>
          <cell r="H525">
            <v>3672</v>
          </cell>
          <cell r="I525">
            <v>15763</v>
          </cell>
          <cell r="J525">
            <v>6667</v>
          </cell>
          <cell r="K525">
            <v>27414</v>
          </cell>
          <cell r="L525">
            <v>11596</v>
          </cell>
        </row>
        <row r="527">
          <cell r="B527" t="str">
            <v>계</v>
          </cell>
          <cell r="F527">
            <v>247732</v>
          </cell>
          <cell r="H527">
            <v>126502</v>
          </cell>
          <cell r="J527">
            <v>31430</v>
          </cell>
          <cell r="K527" t="str">
            <v xml:space="preserve"> </v>
          </cell>
          <cell r="L527">
            <v>89800</v>
          </cell>
        </row>
        <row r="528">
          <cell r="A528" t="str">
            <v>ROLLER GATE 제작 소모 자재비</v>
          </cell>
        </row>
        <row r="529">
          <cell r="E529" t="str">
            <v xml:space="preserve"> </v>
          </cell>
        </row>
        <row r="530">
          <cell r="A530" t="str">
            <v>종       별</v>
          </cell>
          <cell r="C530" t="str">
            <v>재 료 또 는</v>
          </cell>
          <cell r="D530" t="str">
            <v xml:space="preserve">원 수 </v>
          </cell>
          <cell r="E530" t="str">
            <v>단 위</v>
          </cell>
          <cell r="F530" t="str">
            <v>총   액</v>
          </cell>
          <cell r="G530" t="str">
            <v>노   무   비</v>
          </cell>
          <cell r="I530" t="str">
            <v>재   료   비</v>
          </cell>
          <cell r="K530" t="str">
            <v>경      비</v>
          </cell>
          <cell r="M530" t="str">
            <v>비   고</v>
          </cell>
        </row>
        <row r="531">
          <cell r="C531" t="str">
            <v xml:space="preserve">규       격 </v>
          </cell>
          <cell r="F531" t="str">
            <v>금   액</v>
          </cell>
          <cell r="G531" t="str">
            <v>단  가</v>
          </cell>
          <cell r="H531" t="str">
            <v>금   액</v>
          </cell>
          <cell r="I531" t="str">
            <v>단  가</v>
          </cell>
          <cell r="J531" t="str">
            <v>금   액</v>
          </cell>
          <cell r="K531" t="str">
            <v>단  가</v>
          </cell>
          <cell r="L531" t="str">
            <v>금   액</v>
          </cell>
        </row>
        <row r="533">
          <cell r="A533" t="str">
            <v>산       소</v>
          </cell>
          <cell r="C533" t="str">
            <v>6,000L용</v>
          </cell>
          <cell r="D533">
            <v>3</v>
          </cell>
          <cell r="E533" t="str">
            <v>병</v>
          </cell>
          <cell r="G533" t="str">
            <v xml:space="preserve"> </v>
          </cell>
          <cell r="I533">
            <v>12000</v>
          </cell>
          <cell r="J533">
            <v>36000</v>
          </cell>
        </row>
        <row r="534">
          <cell r="A534" t="str">
            <v>아 세 치 렌</v>
          </cell>
          <cell r="C534" t="str">
            <v>4,500L용</v>
          </cell>
          <cell r="D534">
            <v>2.58</v>
          </cell>
          <cell r="E534" t="str">
            <v>병</v>
          </cell>
          <cell r="I534">
            <v>55392</v>
          </cell>
          <cell r="J534">
            <v>142911</v>
          </cell>
        </row>
        <row r="535">
          <cell r="A535" t="str">
            <v>함       석</v>
          </cell>
          <cell r="C535" t="str">
            <v>#31 x 3' x 6'</v>
          </cell>
          <cell r="D535">
            <v>0.62</v>
          </cell>
          <cell r="E535" t="str">
            <v>매</v>
          </cell>
          <cell r="I535">
            <v>2825</v>
          </cell>
          <cell r="J535">
            <v>1751</v>
          </cell>
        </row>
        <row r="536">
          <cell r="A536" t="str">
            <v>용   접  봉</v>
          </cell>
          <cell r="C536" t="str">
            <v>SS41, 4M/Mx350L</v>
          </cell>
          <cell r="D536">
            <v>20</v>
          </cell>
          <cell r="E536" t="str">
            <v>KG</v>
          </cell>
          <cell r="I536">
            <v>1260</v>
          </cell>
          <cell r="J536">
            <v>25200</v>
          </cell>
        </row>
        <row r="537">
          <cell r="A537" t="str">
            <v>전       력</v>
          </cell>
          <cell r="D537">
            <v>310</v>
          </cell>
          <cell r="E537" t="str">
            <v>KWH</v>
          </cell>
          <cell r="I537" t="str">
            <v xml:space="preserve"> </v>
          </cell>
          <cell r="K537">
            <v>61.6</v>
          </cell>
          <cell r="L537">
            <v>19096</v>
          </cell>
        </row>
        <row r="538">
          <cell r="E538" t="str">
            <v xml:space="preserve"> </v>
          </cell>
          <cell r="I538" t="str">
            <v xml:space="preserve"> </v>
          </cell>
          <cell r="K538" t="str">
            <v xml:space="preserve"> </v>
          </cell>
        </row>
        <row r="540">
          <cell r="B540" t="str">
            <v>계</v>
          </cell>
          <cell r="F540">
            <v>224958</v>
          </cell>
          <cell r="J540">
            <v>205862</v>
          </cell>
          <cell r="L540">
            <v>19096</v>
          </cell>
        </row>
        <row r="557">
          <cell r="A557" t="str">
            <v>ROLLER GATE GUIDE FRAME 제작 인건비</v>
          </cell>
        </row>
        <row r="558">
          <cell r="E558" t="str">
            <v xml:space="preserve"> </v>
          </cell>
        </row>
        <row r="559">
          <cell r="A559" t="str">
            <v>종       별</v>
          </cell>
          <cell r="C559" t="str">
            <v>재 료 또 는</v>
          </cell>
          <cell r="D559" t="str">
            <v xml:space="preserve">원 수 </v>
          </cell>
          <cell r="E559" t="str">
            <v>단 위</v>
          </cell>
          <cell r="F559" t="str">
            <v>총   액</v>
          </cell>
          <cell r="G559" t="str">
            <v>노   무   비</v>
          </cell>
          <cell r="I559" t="str">
            <v>재   료   비</v>
          </cell>
          <cell r="K559" t="str">
            <v>경      비</v>
          </cell>
          <cell r="M559" t="str">
            <v>비   고</v>
          </cell>
        </row>
        <row r="560">
          <cell r="C560" t="str">
            <v xml:space="preserve">규       격 </v>
          </cell>
          <cell r="F560" t="str">
            <v>금   액</v>
          </cell>
          <cell r="G560" t="str">
            <v>단  가</v>
          </cell>
          <cell r="H560" t="str">
            <v>금   액</v>
          </cell>
          <cell r="I560" t="str">
            <v>단  가</v>
          </cell>
          <cell r="J560" t="str">
            <v>금   액</v>
          </cell>
          <cell r="K560" t="str">
            <v>단  가</v>
          </cell>
          <cell r="L560" t="str">
            <v>금   액</v>
          </cell>
        </row>
        <row r="561">
          <cell r="A561" t="str">
            <v>기 술 관 리</v>
          </cell>
          <cell r="C561" t="str">
            <v>기계기사1급</v>
          </cell>
          <cell r="D561">
            <v>2.5</v>
          </cell>
          <cell r="E561" t="str">
            <v>인</v>
          </cell>
          <cell r="G561">
            <v>97488</v>
          </cell>
          <cell r="H561">
            <v>243720</v>
          </cell>
        </row>
        <row r="562">
          <cell r="A562" t="str">
            <v>사      도</v>
          </cell>
          <cell r="C562" t="str">
            <v>제   도   공</v>
          </cell>
          <cell r="D562">
            <v>1</v>
          </cell>
          <cell r="E562" t="str">
            <v>인</v>
          </cell>
          <cell r="G562">
            <v>32747</v>
          </cell>
          <cell r="H562">
            <v>32747</v>
          </cell>
        </row>
        <row r="563">
          <cell r="A563" t="str">
            <v>재료 절단 현도</v>
          </cell>
          <cell r="C563" t="str">
            <v>현   도   공</v>
          </cell>
          <cell r="D563">
            <v>0.63</v>
          </cell>
          <cell r="E563" t="str">
            <v>인</v>
          </cell>
          <cell r="G563">
            <v>28487</v>
          </cell>
          <cell r="H563">
            <v>17946</v>
          </cell>
        </row>
        <row r="564">
          <cell r="A564" t="str">
            <v xml:space="preserve"> </v>
          </cell>
          <cell r="B564" t="str">
            <v>괘    서</v>
          </cell>
          <cell r="C564" t="str">
            <v>마   킹   공</v>
          </cell>
          <cell r="D564">
            <v>1.26</v>
          </cell>
          <cell r="E564" t="str">
            <v>인</v>
          </cell>
          <cell r="G564">
            <v>26924</v>
          </cell>
          <cell r="H564">
            <v>33924</v>
          </cell>
        </row>
        <row r="565">
          <cell r="A565" t="str">
            <v xml:space="preserve"> </v>
          </cell>
          <cell r="B565" t="str">
            <v>절    단</v>
          </cell>
          <cell r="C565" t="str">
            <v>절   단   공</v>
          </cell>
          <cell r="D565">
            <v>0.33</v>
          </cell>
          <cell r="E565" t="str">
            <v>인</v>
          </cell>
          <cell r="G565">
            <v>65881</v>
          </cell>
          <cell r="H565">
            <v>21740</v>
          </cell>
        </row>
        <row r="567">
          <cell r="B567" t="str">
            <v>교    정</v>
          </cell>
          <cell r="C567" t="str">
            <v>프랜트 제관공</v>
          </cell>
          <cell r="D567">
            <v>0.6</v>
          </cell>
          <cell r="E567" t="str">
            <v>인</v>
          </cell>
          <cell r="G567">
            <v>81966</v>
          </cell>
          <cell r="H567">
            <v>49179</v>
          </cell>
        </row>
        <row r="568">
          <cell r="A568" t="str">
            <v>단재가공 괘서</v>
          </cell>
          <cell r="C568" t="str">
            <v>마   킹   공</v>
          </cell>
          <cell r="D568">
            <v>1.26</v>
          </cell>
          <cell r="E568" t="str">
            <v>인</v>
          </cell>
          <cell r="G568">
            <v>26924</v>
          </cell>
          <cell r="H568">
            <v>33924</v>
          </cell>
        </row>
        <row r="569">
          <cell r="A569" t="str">
            <v xml:space="preserve"> </v>
          </cell>
          <cell r="B569" t="str">
            <v>절    단</v>
          </cell>
          <cell r="C569" t="str">
            <v>절   단   공</v>
          </cell>
          <cell r="D569">
            <v>0.16</v>
          </cell>
          <cell r="E569" t="str">
            <v>인</v>
          </cell>
          <cell r="G569">
            <v>65881</v>
          </cell>
          <cell r="H569">
            <v>10540</v>
          </cell>
        </row>
        <row r="570">
          <cell r="B570" t="str">
            <v>EDGE가공</v>
          </cell>
          <cell r="C570" t="str">
            <v>산소 절단공</v>
          </cell>
          <cell r="D570">
            <v>0.17</v>
          </cell>
          <cell r="E570" t="str">
            <v>인</v>
          </cell>
          <cell r="G570">
            <v>31794</v>
          </cell>
          <cell r="H570">
            <v>5404</v>
          </cell>
        </row>
        <row r="571">
          <cell r="A571" t="str">
            <v xml:space="preserve"> </v>
          </cell>
          <cell r="B571" t="str">
            <v>용    접</v>
          </cell>
          <cell r="C571" t="str">
            <v>프랜트 용접공</v>
          </cell>
          <cell r="D571">
            <v>1.3</v>
          </cell>
          <cell r="E571" t="str">
            <v>인</v>
          </cell>
          <cell r="G571">
            <v>95379</v>
          </cell>
          <cell r="H571">
            <v>123992</v>
          </cell>
        </row>
        <row r="573">
          <cell r="A573" t="str">
            <v xml:space="preserve"> </v>
          </cell>
          <cell r="B573" t="str">
            <v>교    정</v>
          </cell>
          <cell r="C573" t="str">
            <v>프랜트 제관공</v>
          </cell>
          <cell r="D573">
            <v>0.75</v>
          </cell>
          <cell r="E573" t="str">
            <v>인</v>
          </cell>
          <cell r="G573">
            <v>81966</v>
          </cell>
          <cell r="H573">
            <v>61474</v>
          </cell>
        </row>
        <row r="574">
          <cell r="B574" t="str">
            <v>HOLING</v>
          </cell>
          <cell r="C574" t="str">
            <v>프랜트 제관공</v>
          </cell>
          <cell r="D574">
            <v>0.15</v>
          </cell>
          <cell r="E574" t="str">
            <v>인</v>
          </cell>
          <cell r="G574">
            <v>81966</v>
          </cell>
          <cell r="H574">
            <v>12294</v>
          </cell>
        </row>
        <row r="575">
          <cell r="A575" t="str">
            <v>부분조립,취부조정</v>
          </cell>
          <cell r="C575" t="str">
            <v>프랜트기계설치공</v>
          </cell>
          <cell r="D575">
            <v>3.7</v>
          </cell>
          <cell r="E575" t="str">
            <v>인</v>
          </cell>
          <cell r="G575">
            <v>80805</v>
          </cell>
          <cell r="H575">
            <v>298978</v>
          </cell>
        </row>
        <row r="576">
          <cell r="A576" t="str">
            <v>용      접</v>
          </cell>
          <cell r="C576" t="str">
            <v>프랜트 용접공</v>
          </cell>
          <cell r="D576">
            <v>8.4</v>
          </cell>
          <cell r="E576" t="str">
            <v>인</v>
          </cell>
          <cell r="G576">
            <v>95379</v>
          </cell>
          <cell r="H576">
            <v>801183</v>
          </cell>
        </row>
        <row r="577">
          <cell r="A577" t="str">
            <v>절      단</v>
          </cell>
          <cell r="C577" t="str">
            <v>절   단   공</v>
          </cell>
          <cell r="D577">
            <v>0.1</v>
          </cell>
          <cell r="E577" t="str">
            <v>인</v>
          </cell>
          <cell r="G577">
            <v>65881</v>
          </cell>
          <cell r="H577">
            <v>6588</v>
          </cell>
        </row>
        <row r="578">
          <cell r="E578" t="str">
            <v xml:space="preserve"> </v>
          </cell>
        </row>
        <row r="579">
          <cell r="A579" t="str">
            <v>교      정</v>
          </cell>
          <cell r="C579" t="str">
            <v>프랜트 제관공</v>
          </cell>
          <cell r="D579">
            <v>1.75</v>
          </cell>
          <cell r="E579" t="str">
            <v>인</v>
          </cell>
          <cell r="G579">
            <v>81966</v>
          </cell>
          <cell r="H579">
            <v>143440</v>
          </cell>
        </row>
        <row r="580">
          <cell r="A580" t="str">
            <v>기 계 가 공</v>
          </cell>
          <cell r="C580" t="str">
            <v>기   계   공</v>
          </cell>
          <cell r="D580">
            <v>1.26</v>
          </cell>
          <cell r="E580" t="str">
            <v>인</v>
          </cell>
          <cell r="G580">
            <v>58906</v>
          </cell>
          <cell r="H580">
            <v>74221</v>
          </cell>
        </row>
        <row r="581">
          <cell r="C581" t="str">
            <v>기계 연마공</v>
          </cell>
          <cell r="D581">
            <v>0.126</v>
          </cell>
          <cell r="E581" t="str">
            <v>인</v>
          </cell>
          <cell r="G581">
            <v>26032</v>
          </cell>
          <cell r="H581">
            <v>3280</v>
          </cell>
        </row>
        <row r="582">
          <cell r="A582" t="str">
            <v>가 조 립,조 립</v>
          </cell>
          <cell r="C582" t="str">
            <v>프랜트기계설치공</v>
          </cell>
          <cell r="D582">
            <v>2</v>
          </cell>
          <cell r="E582" t="str">
            <v>인</v>
          </cell>
          <cell r="G582">
            <v>80805</v>
          </cell>
          <cell r="H582">
            <v>161610</v>
          </cell>
        </row>
        <row r="583">
          <cell r="A583" t="str">
            <v>가 조 립,해 체</v>
          </cell>
          <cell r="C583" t="str">
            <v>프랜트기계설치공</v>
          </cell>
          <cell r="D583">
            <v>1</v>
          </cell>
          <cell r="E583" t="str">
            <v>인</v>
          </cell>
          <cell r="G583">
            <v>80805</v>
          </cell>
          <cell r="H583">
            <v>80805</v>
          </cell>
        </row>
        <row r="584">
          <cell r="E584" t="str">
            <v xml:space="preserve"> </v>
          </cell>
        </row>
        <row r="585">
          <cell r="A585" t="str">
            <v>운 반 조 작</v>
          </cell>
          <cell r="C585" t="str">
            <v>특수 비계공</v>
          </cell>
          <cell r="D585">
            <v>5</v>
          </cell>
          <cell r="E585" t="str">
            <v>인</v>
          </cell>
          <cell r="G585">
            <v>85884</v>
          </cell>
          <cell r="H585">
            <v>429420</v>
          </cell>
        </row>
        <row r="586">
          <cell r="A586" t="str">
            <v>종       별</v>
          </cell>
          <cell r="C586" t="str">
            <v>재 료 또 는</v>
          </cell>
          <cell r="D586" t="str">
            <v xml:space="preserve">원 수 </v>
          </cell>
          <cell r="E586" t="str">
            <v>단 위</v>
          </cell>
          <cell r="F586" t="str">
            <v>총   액</v>
          </cell>
          <cell r="G586" t="str">
            <v>노   무   비</v>
          </cell>
          <cell r="I586" t="str">
            <v>재   료   비</v>
          </cell>
          <cell r="K586" t="str">
            <v>경      비</v>
          </cell>
          <cell r="M586" t="str">
            <v>비   고</v>
          </cell>
        </row>
        <row r="587">
          <cell r="C587" t="str">
            <v xml:space="preserve">규       격 </v>
          </cell>
          <cell r="F587" t="str">
            <v>금   액</v>
          </cell>
          <cell r="G587" t="str">
            <v>단  가</v>
          </cell>
          <cell r="H587" t="str">
            <v>금   액</v>
          </cell>
          <cell r="I587" t="str">
            <v>단  가</v>
          </cell>
          <cell r="J587" t="str">
            <v>금   액</v>
          </cell>
          <cell r="K587" t="str">
            <v>단  가</v>
          </cell>
          <cell r="L587" t="str">
            <v>금   액</v>
          </cell>
        </row>
        <row r="588">
          <cell r="A588" t="str">
            <v>동 력 조 작</v>
          </cell>
          <cell r="C588" t="str">
            <v>플랜트전공</v>
          </cell>
          <cell r="D588">
            <v>1</v>
          </cell>
          <cell r="E588" t="str">
            <v>인</v>
          </cell>
          <cell r="G588">
            <v>64285</v>
          </cell>
          <cell r="H588">
            <v>64285</v>
          </cell>
        </row>
        <row r="589">
          <cell r="A589" t="str">
            <v>보      조</v>
          </cell>
          <cell r="C589" t="str">
            <v>특 별 인 부</v>
          </cell>
          <cell r="D589">
            <v>14.4</v>
          </cell>
          <cell r="E589" t="str">
            <v>인</v>
          </cell>
          <cell r="G589">
            <v>57379</v>
          </cell>
          <cell r="H589">
            <v>826257</v>
          </cell>
        </row>
        <row r="590">
          <cell r="A590" t="str">
            <v>검      사</v>
          </cell>
          <cell r="C590" t="str">
            <v>인건비 7%</v>
          </cell>
          <cell r="D590" t="str">
            <v>1</v>
          </cell>
          <cell r="E590" t="str">
            <v>식</v>
          </cell>
          <cell r="H590">
            <v>247586</v>
          </cell>
        </row>
        <row r="592">
          <cell r="B592" t="str">
            <v>계</v>
          </cell>
          <cell r="F592">
            <v>3784537</v>
          </cell>
          <cell r="H592">
            <v>3784537</v>
          </cell>
        </row>
        <row r="615">
          <cell r="A615" t="str">
            <v>ROLLER GATE GUIDE FRAME 제작 소모 자재비</v>
          </cell>
        </row>
        <row r="616">
          <cell r="E616" t="str">
            <v xml:space="preserve"> </v>
          </cell>
        </row>
        <row r="617">
          <cell r="A617" t="str">
            <v>종       별</v>
          </cell>
          <cell r="C617" t="str">
            <v>재 료 또 는</v>
          </cell>
          <cell r="D617" t="str">
            <v xml:space="preserve">원 수 </v>
          </cell>
          <cell r="E617" t="str">
            <v>단 위</v>
          </cell>
          <cell r="F617" t="str">
            <v>총   액</v>
          </cell>
          <cell r="G617" t="str">
            <v>노   무   비</v>
          </cell>
          <cell r="I617" t="str">
            <v>재   료   비</v>
          </cell>
          <cell r="K617" t="str">
            <v>경      비</v>
          </cell>
          <cell r="M617" t="str">
            <v>비   고</v>
          </cell>
        </row>
        <row r="618">
          <cell r="C618" t="str">
            <v xml:space="preserve">규       격 </v>
          </cell>
          <cell r="F618" t="str">
            <v>금   액</v>
          </cell>
          <cell r="G618" t="str">
            <v>단  가</v>
          </cell>
          <cell r="H618" t="str">
            <v>금   액</v>
          </cell>
          <cell r="I618" t="str">
            <v>단  가</v>
          </cell>
          <cell r="J618" t="str">
            <v>금   액</v>
          </cell>
          <cell r="K618" t="str">
            <v>단  가</v>
          </cell>
          <cell r="L618" t="str">
            <v>금   액</v>
          </cell>
        </row>
        <row r="619">
          <cell r="A619" t="str">
            <v>산       소</v>
          </cell>
          <cell r="C619" t="str">
            <v>6,000L용</v>
          </cell>
          <cell r="D619">
            <v>2.2999999999999998</v>
          </cell>
          <cell r="E619" t="str">
            <v>병</v>
          </cell>
          <cell r="G619" t="str">
            <v xml:space="preserve"> </v>
          </cell>
          <cell r="I619">
            <v>12000</v>
          </cell>
          <cell r="J619">
            <v>27600</v>
          </cell>
        </row>
        <row r="620">
          <cell r="A620" t="str">
            <v>아 세 치 렌</v>
          </cell>
          <cell r="C620" t="str">
            <v>2,100L용</v>
          </cell>
          <cell r="D620">
            <v>1.6</v>
          </cell>
          <cell r="E620" t="str">
            <v>병</v>
          </cell>
          <cell r="I620">
            <v>25849</v>
          </cell>
          <cell r="J620">
            <v>41358</v>
          </cell>
        </row>
        <row r="621">
          <cell r="A621" t="str">
            <v>함       석</v>
          </cell>
          <cell r="C621" t="str">
            <v>#32 x 3' x 6'</v>
          </cell>
          <cell r="D621">
            <v>1.9</v>
          </cell>
          <cell r="E621" t="str">
            <v>매</v>
          </cell>
          <cell r="I621">
            <v>2597</v>
          </cell>
          <cell r="J621">
            <v>4934</v>
          </cell>
        </row>
        <row r="622">
          <cell r="A622" t="str">
            <v>용   접  봉</v>
          </cell>
          <cell r="C622" t="str">
            <v>SS41+STS304,4M/M</v>
          </cell>
          <cell r="D622">
            <v>54.6</v>
          </cell>
          <cell r="E622" t="str">
            <v>KG</v>
          </cell>
          <cell r="I622">
            <v>3360</v>
          </cell>
          <cell r="J622">
            <v>183456</v>
          </cell>
        </row>
        <row r="623">
          <cell r="A623" t="str">
            <v>전       력</v>
          </cell>
          <cell r="D623">
            <v>550</v>
          </cell>
          <cell r="E623" t="str">
            <v>KWH</v>
          </cell>
          <cell r="K623">
            <v>61.6</v>
          </cell>
          <cell r="L623">
            <v>33880</v>
          </cell>
        </row>
        <row r="624">
          <cell r="A624" t="str">
            <v>그라인다돌</v>
          </cell>
          <cell r="C624" t="str">
            <v>300 M/M</v>
          </cell>
          <cell r="D624">
            <v>0.3</v>
          </cell>
          <cell r="E624" t="str">
            <v>개</v>
          </cell>
          <cell r="I624">
            <v>3380</v>
          </cell>
          <cell r="J624">
            <v>1014</v>
          </cell>
        </row>
        <row r="625">
          <cell r="A625" t="str">
            <v xml:space="preserve"> </v>
          </cell>
        </row>
        <row r="627">
          <cell r="B627" t="str">
            <v>계</v>
          </cell>
          <cell r="F627">
            <v>292242</v>
          </cell>
          <cell r="J627">
            <v>258362</v>
          </cell>
          <cell r="L627">
            <v>33880</v>
          </cell>
        </row>
        <row r="628">
          <cell r="F628" t="str">
            <v xml:space="preserve"> </v>
          </cell>
          <cell r="J628" t="str">
            <v xml:space="preserve"> </v>
          </cell>
          <cell r="L628" t="str">
            <v xml:space="preserve"> </v>
          </cell>
        </row>
        <row r="629">
          <cell r="F629" t="str">
            <v xml:space="preserve"> </v>
          </cell>
          <cell r="J629" t="str">
            <v xml:space="preserve"> </v>
          </cell>
          <cell r="L629" t="str">
            <v xml:space="preserve"> </v>
          </cell>
        </row>
        <row r="630">
          <cell r="F630" t="str">
            <v xml:space="preserve"> </v>
          </cell>
          <cell r="J630" t="str">
            <v xml:space="preserve"> </v>
          </cell>
          <cell r="L630" t="str">
            <v xml:space="preserve"> </v>
          </cell>
        </row>
        <row r="631">
          <cell r="F631" t="str">
            <v xml:space="preserve"> </v>
          </cell>
          <cell r="J631" t="str">
            <v xml:space="preserve"> </v>
          </cell>
          <cell r="L631" t="str">
            <v xml:space="preserve"> </v>
          </cell>
        </row>
        <row r="632">
          <cell r="F632" t="str">
            <v xml:space="preserve"> </v>
          </cell>
          <cell r="J632" t="str">
            <v xml:space="preserve"> </v>
          </cell>
          <cell r="L632" t="str">
            <v xml:space="preserve"> </v>
          </cell>
        </row>
        <row r="633">
          <cell r="F633" t="str">
            <v xml:space="preserve"> </v>
          </cell>
          <cell r="J633" t="str">
            <v xml:space="preserve"> </v>
          </cell>
          <cell r="L633" t="str">
            <v xml:space="preserve"> </v>
          </cell>
        </row>
        <row r="634">
          <cell r="F634" t="str">
            <v xml:space="preserve"> </v>
          </cell>
          <cell r="J634" t="str">
            <v xml:space="preserve"> </v>
          </cell>
          <cell r="L634" t="str">
            <v xml:space="preserve"> </v>
          </cell>
        </row>
        <row r="635">
          <cell r="F635" t="str">
            <v xml:space="preserve"> </v>
          </cell>
          <cell r="J635" t="str">
            <v xml:space="preserve"> </v>
          </cell>
          <cell r="L635" t="str">
            <v xml:space="preserve"> </v>
          </cell>
        </row>
        <row r="636">
          <cell r="F636" t="str">
            <v xml:space="preserve"> </v>
          </cell>
          <cell r="J636" t="str">
            <v xml:space="preserve"> </v>
          </cell>
          <cell r="L636" t="str">
            <v xml:space="preserve"> </v>
          </cell>
        </row>
        <row r="637">
          <cell r="F637" t="str">
            <v xml:space="preserve"> </v>
          </cell>
          <cell r="J637" t="str">
            <v xml:space="preserve"> </v>
          </cell>
          <cell r="L637" t="str">
            <v xml:space="preserve"> </v>
          </cell>
        </row>
        <row r="638">
          <cell r="F638" t="str">
            <v xml:space="preserve"> </v>
          </cell>
          <cell r="J638" t="str">
            <v xml:space="preserve"> </v>
          </cell>
          <cell r="L638" t="str">
            <v xml:space="preserve"> </v>
          </cell>
        </row>
        <row r="639">
          <cell r="F639" t="str">
            <v xml:space="preserve"> </v>
          </cell>
          <cell r="J639" t="str">
            <v xml:space="preserve"> </v>
          </cell>
          <cell r="L639" t="str">
            <v xml:space="preserve"> </v>
          </cell>
        </row>
        <row r="640">
          <cell r="F640" t="str">
            <v xml:space="preserve"> </v>
          </cell>
          <cell r="J640" t="str">
            <v xml:space="preserve"> </v>
          </cell>
          <cell r="L640" t="str">
            <v xml:space="preserve"> </v>
          </cell>
        </row>
        <row r="641">
          <cell r="F641" t="str">
            <v xml:space="preserve"> </v>
          </cell>
          <cell r="J641" t="str">
            <v xml:space="preserve"> </v>
          </cell>
          <cell r="L641" t="str">
            <v xml:space="preserve"> </v>
          </cell>
        </row>
        <row r="642">
          <cell r="F642" t="str">
            <v xml:space="preserve"> </v>
          </cell>
          <cell r="J642" t="str">
            <v xml:space="preserve"> </v>
          </cell>
          <cell r="L642" t="str">
            <v xml:space="preserve"> </v>
          </cell>
        </row>
        <row r="643">
          <cell r="F643" t="str">
            <v xml:space="preserve"> </v>
          </cell>
          <cell r="J643" t="str">
            <v xml:space="preserve"> </v>
          </cell>
          <cell r="L643" t="str">
            <v xml:space="preserve"> </v>
          </cell>
        </row>
        <row r="644">
          <cell r="A644" t="str">
            <v>ROLLER GATE 설치 인건비</v>
          </cell>
        </row>
        <row r="645">
          <cell r="E645" t="str">
            <v xml:space="preserve"> </v>
          </cell>
        </row>
        <row r="646">
          <cell r="A646" t="str">
            <v>종       별</v>
          </cell>
          <cell r="C646" t="str">
            <v>재 료 또 는</v>
          </cell>
          <cell r="D646" t="str">
            <v xml:space="preserve">원 수 </v>
          </cell>
          <cell r="E646" t="str">
            <v>단 위</v>
          </cell>
          <cell r="F646" t="str">
            <v>총   액</v>
          </cell>
          <cell r="G646" t="str">
            <v>노   무   비</v>
          </cell>
          <cell r="I646" t="str">
            <v>재   료   비</v>
          </cell>
          <cell r="K646" t="str">
            <v>경      비</v>
          </cell>
          <cell r="M646" t="str">
            <v>비   고</v>
          </cell>
        </row>
        <row r="647">
          <cell r="C647" t="str">
            <v xml:space="preserve">규       격 </v>
          </cell>
          <cell r="F647" t="str">
            <v>금   액</v>
          </cell>
          <cell r="G647" t="str">
            <v>단  가</v>
          </cell>
          <cell r="H647" t="str">
            <v>금   액</v>
          </cell>
          <cell r="I647" t="str">
            <v>단  가</v>
          </cell>
          <cell r="J647" t="str">
            <v>금   액</v>
          </cell>
          <cell r="K647" t="str">
            <v>단  가</v>
          </cell>
          <cell r="L647" t="str">
            <v>금   액</v>
          </cell>
        </row>
        <row r="648">
          <cell r="A648" t="str">
            <v>기 술 관 리</v>
          </cell>
          <cell r="C648" t="str">
            <v>기계기사1급</v>
          </cell>
          <cell r="D648">
            <v>0.5</v>
          </cell>
          <cell r="E648" t="str">
            <v>인</v>
          </cell>
          <cell r="G648">
            <v>97488</v>
          </cell>
          <cell r="H648">
            <v>48744</v>
          </cell>
        </row>
        <row r="649">
          <cell r="A649" t="str">
            <v>형 장 교 정</v>
          </cell>
          <cell r="C649" t="str">
            <v>프랜트 제관공</v>
          </cell>
          <cell r="D649">
            <v>0.81599999999999995</v>
          </cell>
          <cell r="E649" t="str">
            <v>인</v>
          </cell>
          <cell r="G649">
            <v>81966</v>
          </cell>
          <cell r="H649">
            <v>66884</v>
          </cell>
        </row>
        <row r="650">
          <cell r="A650" t="str">
            <v xml:space="preserve"> </v>
          </cell>
          <cell r="C650" t="str">
            <v>비   계   공</v>
          </cell>
          <cell r="D650">
            <v>0.14599999999999999</v>
          </cell>
          <cell r="E650" t="str">
            <v>인</v>
          </cell>
          <cell r="G650">
            <v>79467</v>
          </cell>
          <cell r="H650">
            <v>11602</v>
          </cell>
        </row>
        <row r="651">
          <cell r="A651" t="str">
            <v>소 운 반 제 작</v>
          </cell>
          <cell r="C651" t="str">
            <v>비   계   공</v>
          </cell>
          <cell r="D651">
            <v>1.992</v>
          </cell>
          <cell r="E651" t="str">
            <v>인</v>
          </cell>
          <cell r="G651">
            <v>79467</v>
          </cell>
          <cell r="H651">
            <v>158298</v>
          </cell>
        </row>
        <row r="652">
          <cell r="A652" t="str">
            <v xml:space="preserve"> </v>
          </cell>
          <cell r="C652" t="str">
            <v>프랜트기계설치공</v>
          </cell>
          <cell r="D652">
            <v>0.79100000000000004</v>
          </cell>
          <cell r="E652" t="str">
            <v>인</v>
          </cell>
          <cell r="G652">
            <v>80805</v>
          </cell>
          <cell r="H652">
            <v>63916</v>
          </cell>
        </row>
        <row r="654">
          <cell r="A654" t="str">
            <v>조 립 조 정</v>
          </cell>
          <cell r="C654" t="str">
            <v>비   계   공</v>
          </cell>
          <cell r="D654">
            <v>2.4300000000000002</v>
          </cell>
          <cell r="E654" t="str">
            <v>인</v>
          </cell>
          <cell r="G654">
            <v>79467</v>
          </cell>
          <cell r="H654">
            <v>193104</v>
          </cell>
        </row>
        <row r="655">
          <cell r="A655" t="str">
            <v xml:space="preserve"> </v>
          </cell>
          <cell r="C655" t="str">
            <v>프랜트 제관공</v>
          </cell>
          <cell r="D655">
            <v>2.0350000000000001</v>
          </cell>
          <cell r="E655" t="str">
            <v>인</v>
          </cell>
          <cell r="G655">
            <v>81966</v>
          </cell>
          <cell r="H655">
            <v>166800</v>
          </cell>
        </row>
        <row r="656">
          <cell r="A656" t="str">
            <v xml:space="preserve"> </v>
          </cell>
          <cell r="C656" t="str">
            <v>측   량   사</v>
          </cell>
          <cell r="D656">
            <v>0.81200000000000006</v>
          </cell>
          <cell r="E656" t="str">
            <v>인</v>
          </cell>
          <cell r="G656">
            <v>58506</v>
          </cell>
          <cell r="H656">
            <v>47506</v>
          </cell>
        </row>
        <row r="657">
          <cell r="A657" t="str">
            <v>리  벳  팅</v>
          </cell>
          <cell r="C657" t="str">
            <v>리 벳 팅 공</v>
          </cell>
          <cell r="D657">
            <v>1.4470000000000001</v>
          </cell>
          <cell r="E657" t="str">
            <v>인</v>
          </cell>
          <cell r="G657">
            <v>71579</v>
          </cell>
          <cell r="H657">
            <v>103574</v>
          </cell>
        </row>
        <row r="658">
          <cell r="A658" t="str">
            <v xml:space="preserve"> </v>
          </cell>
          <cell r="C658" t="str">
            <v>플랜트기계설치공</v>
          </cell>
          <cell r="D658">
            <v>0.52700000000000002</v>
          </cell>
          <cell r="E658" t="str">
            <v>인</v>
          </cell>
          <cell r="G658">
            <v>80805</v>
          </cell>
          <cell r="H658">
            <v>42584</v>
          </cell>
        </row>
        <row r="659">
          <cell r="C659" t="str">
            <v xml:space="preserve"> </v>
          </cell>
        </row>
        <row r="660">
          <cell r="A660" t="str">
            <v>용      접</v>
          </cell>
          <cell r="C660" t="str">
            <v>프랜트 용접공</v>
          </cell>
          <cell r="D660">
            <v>0.70499999999999996</v>
          </cell>
          <cell r="E660" t="str">
            <v>인</v>
          </cell>
          <cell r="G660">
            <v>95379</v>
          </cell>
          <cell r="H660">
            <v>67242</v>
          </cell>
        </row>
        <row r="661">
          <cell r="A661" t="str">
            <v xml:space="preserve"> </v>
          </cell>
          <cell r="C661" t="str">
            <v>프랜트 제관공</v>
          </cell>
          <cell r="D661">
            <v>0.187</v>
          </cell>
          <cell r="E661" t="str">
            <v>인</v>
          </cell>
          <cell r="G661">
            <v>81966</v>
          </cell>
          <cell r="H661">
            <v>15327</v>
          </cell>
        </row>
        <row r="662">
          <cell r="A662" t="str">
            <v>전 원 배 선</v>
          </cell>
          <cell r="C662" t="str">
            <v>플랜트 전공</v>
          </cell>
          <cell r="D662">
            <v>0.187</v>
          </cell>
          <cell r="E662" t="str">
            <v>인</v>
          </cell>
          <cell r="G662">
            <v>64285</v>
          </cell>
          <cell r="H662">
            <v>12021</v>
          </cell>
        </row>
        <row r="664">
          <cell r="A664" t="str">
            <v>검사 및 교정</v>
          </cell>
          <cell r="C664" t="str">
            <v xml:space="preserve">기술관리,전원 </v>
          </cell>
          <cell r="D664" t="str">
            <v>1</v>
          </cell>
          <cell r="E664" t="str">
            <v>식</v>
          </cell>
          <cell r="H664">
            <v>93683</v>
          </cell>
        </row>
        <row r="665">
          <cell r="C665" t="str">
            <v>배선 제외 10%</v>
          </cell>
        </row>
        <row r="669">
          <cell r="B669" t="str">
            <v>계</v>
          </cell>
          <cell r="F669">
            <v>1091285</v>
          </cell>
          <cell r="H669">
            <v>1091285</v>
          </cell>
        </row>
        <row r="673">
          <cell r="A673" t="str">
            <v>ROLLER GATE 설치 사용장비 경비</v>
          </cell>
        </row>
        <row r="674">
          <cell r="E674" t="str">
            <v xml:space="preserve"> </v>
          </cell>
        </row>
        <row r="675">
          <cell r="A675" t="str">
            <v>종       별</v>
          </cell>
          <cell r="C675" t="str">
            <v>재 료 또 는</v>
          </cell>
          <cell r="D675" t="str">
            <v xml:space="preserve">원 수 </v>
          </cell>
          <cell r="E675" t="str">
            <v>단 위</v>
          </cell>
          <cell r="F675" t="str">
            <v>총   액</v>
          </cell>
          <cell r="G675" t="str">
            <v>노   무   비</v>
          </cell>
          <cell r="I675" t="str">
            <v>재   료   비</v>
          </cell>
          <cell r="K675" t="str">
            <v>경      비</v>
          </cell>
          <cell r="M675" t="str">
            <v>비   고</v>
          </cell>
        </row>
        <row r="676">
          <cell r="C676" t="str">
            <v xml:space="preserve">규       격 </v>
          </cell>
          <cell r="F676" t="str">
            <v>금   액</v>
          </cell>
          <cell r="G676" t="str">
            <v>단  가</v>
          </cell>
          <cell r="H676" t="str">
            <v>금   액</v>
          </cell>
          <cell r="I676" t="str">
            <v>단  가</v>
          </cell>
          <cell r="J676" t="str">
            <v>금   액</v>
          </cell>
          <cell r="K676" t="str">
            <v>단  가</v>
          </cell>
          <cell r="L676" t="str">
            <v>금   액</v>
          </cell>
        </row>
        <row r="677">
          <cell r="A677" t="str">
            <v>A.C WELDER</v>
          </cell>
          <cell r="C677" t="str">
            <v>10KVA</v>
          </cell>
          <cell r="D677">
            <v>8</v>
          </cell>
          <cell r="E677" t="str">
            <v>Hr</v>
          </cell>
          <cell r="K677">
            <v>155</v>
          </cell>
          <cell r="L677">
            <v>1240</v>
          </cell>
        </row>
        <row r="678">
          <cell r="A678" t="str">
            <v>D.C WELDER</v>
          </cell>
          <cell r="C678" t="str">
            <v>5.5KW</v>
          </cell>
          <cell r="D678">
            <v>32</v>
          </cell>
          <cell r="E678" t="str">
            <v>Hr</v>
          </cell>
          <cell r="K678">
            <v>359</v>
          </cell>
          <cell r="L678">
            <v>11488</v>
          </cell>
        </row>
        <row r="679">
          <cell r="A679" t="str">
            <v>GAS CUTTING M/C</v>
          </cell>
          <cell r="C679" t="str">
            <v>중 형</v>
          </cell>
          <cell r="D679">
            <v>32</v>
          </cell>
          <cell r="E679" t="str">
            <v>Hr</v>
          </cell>
          <cell r="G679">
            <v>3974</v>
          </cell>
          <cell r="H679">
            <v>127168</v>
          </cell>
          <cell r="K679">
            <v>115</v>
          </cell>
          <cell r="L679">
            <v>3680</v>
          </cell>
        </row>
        <row r="680">
          <cell r="A680" t="str">
            <v>GAS WELDER</v>
          </cell>
          <cell r="C680" t="str">
            <v>중 형</v>
          </cell>
          <cell r="D680">
            <v>24</v>
          </cell>
          <cell r="E680" t="str">
            <v>Hr</v>
          </cell>
          <cell r="K680">
            <v>115</v>
          </cell>
          <cell r="L680">
            <v>2760</v>
          </cell>
        </row>
        <row r="681">
          <cell r="A681" t="str">
            <v>PORTABLE DRILL</v>
          </cell>
          <cell r="C681" t="str">
            <v>1.5 HP</v>
          </cell>
          <cell r="D681">
            <v>16</v>
          </cell>
          <cell r="E681" t="str">
            <v>Hr</v>
          </cell>
          <cell r="K681">
            <v>14</v>
          </cell>
          <cell r="L681">
            <v>224</v>
          </cell>
        </row>
        <row r="683">
          <cell r="A683" t="str">
            <v>PORTABLE GRINDER</v>
          </cell>
          <cell r="C683" t="str">
            <v>0.5 HP</v>
          </cell>
          <cell r="D683">
            <v>32</v>
          </cell>
          <cell r="E683" t="str">
            <v>Hr</v>
          </cell>
          <cell r="K683">
            <v>22</v>
          </cell>
          <cell r="L683">
            <v>704</v>
          </cell>
        </row>
        <row r="684">
          <cell r="A684" t="str">
            <v>COMPRESSOR</v>
          </cell>
          <cell r="C684" t="str">
            <v>8.9㎥/min</v>
          </cell>
          <cell r="D684">
            <v>8</v>
          </cell>
          <cell r="E684" t="str">
            <v>Hr</v>
          </cell>
          <cell r="G684">
            <v>9681</v>
          </cell>
          <cell r="H684">
            <v>77448</v>
          </cell>
          <cell r="I684">
            <v>8779</v>
          </cell>
          <cell r="J684">
            <v>70232</v>
          </cell>
          <cell r="K684">
            <v>6250</v>
          </cell>
          <cell r="L684">
            <v>50000</v>
          </cell>
        </row>
        <row r="685">
          <cell r="A685" t="str">
            <v>WINCH</v>
          </cell>
          <cell r="C685" t="str">
            <v>10 HP</v>
          </cell>
          <cell r="D685">
            <v>16</v>
          </cell>
          <cell r="E685" t="str">
            <v>Hr</v>
          </cell>
          <cell r="G685">
            <v>9235</v>
          </cell>
          <cell r="H685">
            <v>147760</v>
          </cell>
          <cell r="K685">
            <v>850</v>
          </cell>
          <cell r="L685">
            <v>13600</v>
          </cell>
        </row>
        <row r="686">
          <cell r="A686" t="str">
            <v>리프트 트럭</v>
          </cell>
          <cell r="C686" t="str">
            <v>7 TON</v>
          </cell>
          <cell r="D686">
            <v>8</v>
          </cell>
          <cell r="E686" t="str">
            <v>Hr</v>
          </cell>
          <cell r="G686">
            <v>9681</v>
          </cell>
          <cell r="H686">
            <v>77448</v>
          </cell>
          <cell r="I686">
            <v>5898</v>
          </cell>
          <cell r="J686">
            <v>47184</v>
          </cell>
          <cell r="K686">
            <v>5845</v>
          </cell>
          <cell r="L686">
            <v>46760</v>
          </cell>
        </row>
        <row r="687">
          <cell r="A687" t="str">
            <v>TRUCK CRANE</v>
          </cell>
          <cell r="C687" t="str">
            <v>40 TON</v>
          </cell>
          <cell r="D687">
            <v>8</v>
          </cell>
          <cell r="E687" t="str">
            <v>Hr</v>
          </cell>
          <cell r="G687">
            <v>18615</v>
          </cell>
          <cell r="H687">
            <v>148920</v>
          </cell>
          <cell r="I687">
            <v>8730</v>
          </cell>
          <cell r="J687">
            <v>69840</v>
          </cell>
          <cell r="K687">
            <v>55621</v>
          </cell>
          <cell r="L687">
            <v>444968</v>
          </cell>
        </row>
        <row r="691">
          <cell r="B691" t="str">
            <v xml:space="preserve"> 계</v>
          </cell>
          <cell r="F691">
            <v>1341424</v>
          </cell>
          <cell r="H691">
            <v>578744</v>
          </cell>
          <cell r="J691">
            <v>187256</v>
          </cell>
          <cell r="L691">
            <v>575424</v>
          </cell>
        </row>
        <row r="699">
          <cell r="J699" t="str">
            <v xml:space="preserve"> </v>
          </cell>
        </row>
        <row r="700">
          <cell r="J700" t="str">
            <v xml:space="preserve"> </v>
          </cell>
        </row>
        <row r="701">
          <cell r="J701" t="str">
            <v xml:space="preserve"> </v>
          </cell>
        </row>
        <row r="702">
          <cell r="A702" t="str">
            <v>ROLLER GATE LEAF 설치 소모 자재비</v>
          </cell>
        </row>
        <row r="703">
          <cell r="E703" t="str">
            <v xml:space="preserve"> </v>
          </cell>
        </row>
        <row r="704">
          <cell r="A704" t="str">
            <v>종       별</v>
          </cell>
          <cell r="C704" t="str">
            <v>재 료 또 는</v>
          </cell>
          <cell r="D704" t="str">
            <v xml:space="preserve">원 수 </v>
          </cell>
          <cell r="E704" t="str">
            <v>단 위</v>
          </cell>
          <cell r="F704" t="str">
            <v>총   액</v>
          </cell>
          <cell r="G704" t="str">
            <v>노   무   비</v>
          </cell>
          <cell r="I704" t="str">
            <v>재   료   비</v>
          </cell>
          <cell r="K704" t="str">
            <v>경      비</v>
          </cell>
          <cell r="M704" t="str">
            <v>비   고</v>
          </cell>
        </row>
        <row r="705">
          <cell r="C705" t="str">
            <v xml:space="preserve">규       격 </v>
          </cell>
          <cell r="F705" t="str">
            <v>금   액</v>
          </cell>
          <cell r="G705" t="str">
            <v>단  가</v>
          </cell>
          <cell r="H705" t="str">
            <v>금   액</v>
          </cell>
          <cell r="I705" t="str">
            <v>단  가</v>
          </cell>
          <cell r="J705" t="str">
            <v>금   액</v>
          </cell>
          <cell r="K705" t="str">
            <v>단  가</v>
          </cell>
          <cell r="L705" t="str">
            <v>금   액</v>
          </cell>
        </row>
        <row r="706">
          <cell r="A706" t="str">
            <v>산       소</v>
          </cell>
          <cell r="C706" t="str">
            <v>6,000L용</v>
          </cell>
          <cell r="D706">
            <v>0.46</v>
          </cell>
          <cell r="E706" t="str">
            <v>병</v>
          </cell>
          <cell r="G706" t="str">
            <v xml:space="preserve"> </v>
          </cell>
          <cell r="I706">
            <v>12000</v>
          </cell>
          <cell r="J706">
            <v>5520</v>
          </cell>
        </row>
        <row r="707">
          <cell r="A707" t="str">
            <v>아 세 치 렌</v>
          </cell>
          <cell r="C707" t="str">
            <v>4,500L용</v>
          </cell>
          <cell r="D707">
            <v>0.39</v>
          </cell>
          <cell r="E707" t="str">
            <v>병</v>
          </cell>
          <cell r="I707">
            <v>55392</v>
          </cell>
          <cell r="J707">
            <v>21602</v>
          </cell>
        </row>
        <row r="708">
          <cell r="A708" t="str">
            <v>용   접  봉</v>
          </cell>
          <cell r="C708" t="str">
            <v>SS400 , 4M/M</v>
          </cell>
          <cell r="D708">
            <v>5.4</v>
          </cell>
          <cell r="E708" t="str">
            <v>KG</v>
          </cell>
          <cell r="I708">
            <v>1260</v>
          </cell>
          <cell r="J708">
            <v>6804</v>
          </cell>
        </row>
        <row r="709">
          <cell r="A709" t="str">
            <v>코  크  스</v>
          </cell>
          <cell r="D709">
            <v>27</v>
          </cell>
          <cell r="E709" t="str">
            <v>KG</v>
          </cell>
          <cell r="I709">
            <v>183</v>
          </cell>
          <cell r="J709">
            <v>4941</v>
          </cell>
        </row>
        <row r="712">
          <cell r="A712" t="str">
            <v xml:space="preserve"> </v>
          </cell>
        </row>
        <row r="713">
          <cell r="L713" t="str">
            <v xml:space="preserve"> </v>
          </cell>
        </row>
        <row r="714">
          <cell r="B714" t="str">
            <v>계</v>
          </cell>
          <cell r="F714">
            <v>38867</v>
          </cell>
          <cell r="J714">
            <v>38867</v>
          </cell>
        </row>
        <row r="715">
          <cell r="A715" t="str">
            <v xml:space="preserve"> </v>
          </cell>
        </row>
        <row r="716">
          <cell r="A716" t="str">
            <v xml:space="preserve"> </v>
          </cell>
        </row>
        <row r="717">
          <cell r="A717" t="str">
            <v xml:space="preserve"> </v>
          </cell>
        </row>
        <row r="718">
          <cell r="A718" t="str">
            <v xml:space="preserve"> </v>
          </cell>
        </row>
        <row r="719">
          <cell r="A719" t="str">
            <v xml:space="preserve"> </v>
          </cell>
        </row>
        <row r="720">
          <cell r="A720" t="str">
            <v xml:space="preserve"> </v>
          </cell>
        </row>
        <row r="721">
          <cell r="A721" t="str">
            <v xml:space="preserve"> </v>
          </cell>
        </row>
        <row r="722">
          <cell r="A722" t="str">
            <v xml:space="preserve"> </v>
          </cell>
        </row>
        <row r="723">
          <cell r="A723" t="str">
            <v xml:space="preserve"> </v>
          </cell>
        </row>
        <row r="724">
          <cell r="A724" t="str">
            <v xml:space="preserve"> </v>
          </cell>
        </row>
        <row r="725">
          <cell r="A725" t="str">
            <v xml:space="preserve"> </v>
          </cell>
        </row>
        <row r="726">
          <cell r="A726" t="str">
            <v xml:space="preserve"> </v>
          </cell>
        </row>
        <row r="727">
          <cell r="A727" t="str">
            <v xml:space="preserve"> </v>
          </cell>
        </row>
        <row r="728">
          <cell r="A728" t="str">
            <v xml:space="preserve"> </v>
          </cell>
        </row>
        <row r="729">
          <cell r="A729" t="str">
            <v xml:space="preserve"> </v>
          </cell>
        </row>
        <row r="730">
          <cell r="A730" t="str">
            <v xml:space="preserve"> </v>
          </cell>
        </row>
        <row r="731">
          <cell r="A731" t="str">
            <v>ROLLER GATE GUIDE FRAME 설치 인건비</v>
          </cell>
        </row>
        <row r="732">
          <cell r="E732" t="str">
            <v xml:space="preserve"> </v>
          </cell>
        </row>
        <row r="733">
          <cell r="A733" t="str">
            <v>종       별</v>
          </cell>
          <cell r="C733" t="str">
            <v>재 료 또 는</v>
          </cell>
          <cell r="D733" t="str">
            <v xml:space="preserve">원 수 </v>
          </cell>
          <cell r="E733" t="str">
            <v>단 위</v>
          </cell>
          <cell r="F733" t="str">
            <v>총   액</v>
          </cell>
          <cell r="G733" t="str">
            <v>노   무   비</v>
          </cell>
          <cell r="I733" t="str">
            <v>재   료   비</v>
          </cell>
          <cell r="K733" t="str">
            <v>경      비</v>
          </cell>
          <cell r="M733" t="str">
            <v>비   고</v>
          </cell>
        </row>
        <row r="734">
          <cell r="C734" t="str">
            <v xml:space="preserve">규       격 </v>
          </cell>
          <cell r="F734" t="str">
            <v>금   액</v>
          </cell>
          <cell r="G734" t="str">
            <v>단  가</v>
          </cell>
          <cell r="H734" t="str">
            <v>금   액</v>
          </cell>
          <cell r="I734" t="str">
            <v>단  가</v>
          </cell>
          <cell r="J734" t="str">
            <v>금   액</v>
          </cell>
          <cell r="K734" t="str">
            <v>단  가</v>
          </cell>
          <cell r="L734" t="str">
            <v>금   액</v>
          </cell>
        </row>
        <row r="735">
          <cell r="A735" t="str">
            <v>기 술 지 도</v>
          </cell>
          <cell r="C735" t="str">
            <v>기계기사1급</v>
          </cell>
          <cell r="D735">
            <v>5.33</v>
          </cell>
          <cell r="E735" t="str">
            <v>인</v>
          </cell>
          <cell r="G735">
            <v>97488</v>
          </cell>
          <cell r="H735">
            <v>519611</v>
          </cell>
        </row>
        <row r="736">
          <cell r="A736" t="str">
            <v>박 스 해 체</v>
          </cell>
          <cell r="C736" t="str">
            <v>목       공</v>
          </cell>
          <cell r="D736">
            <v>0.34</v>
          </cell>
          <cell r="E736" t="str">
            <v>인</v>
          </cell>
          <cell r="G736">
            <v>75306</v>
          </cell>
          <cell r="H736">
            <v>25604</v>
          </cell>
        </row>
        <row r="737">
          <cell r="C737" t="str">
            <v>특 별 인 부</v>
          </cell>
          <cell r="D737">
            <v>0.34</v>
          </cell>
          <cell r="E737" t="str">
            <v>인</v>
          </cell>
          <cell r="G737">
            <v>57379</v>
          </cell>
          <cell r="H737">
            <v>19508</v>
          </cell>
        </row>
        <row r="738">
          <cell r="A738" t="str">
            <v>검       측</v>
          </cell>
          <cell r="C738" t="str">
            <v>플랜트기계설치공</v>
          </cell>
          <cell r="D738">
            <v>0.17</v>
          </cell>
          <cell r="E738" t="str">
            <v>인</v>
          </cell>
          <cell r="G738">
            <v>80805</v>
          </cell>
          <cell r="H738">
            <v>13736</v>
          </cell>
        </row>
        <row r="739">
          <cell r="C739" t="str">
            <v>특 별 인 부</v>
          </cell>
          <cell r="D739">
            <v>0.17</v>
          </cell>
          <cell r="E739" t="str">
            <v>인</v>
          </cell>
          <cell r="G739">
            <v>57379</v>
          </cell>
          <cell r="H739">
            <v>9754</v>
          </cell>
        </row>
        <row r="741">
          <cell r="A741" t="str">
            <v xml:space="preserve">수정 및 교정 </v>
          </cell>
          <cell r="C741" t="str">
            <v>프랜트기계설치공</v>
          </cell>
          <cell r="D741">
            <v>0.34</v>
          </cell>
          <cell r="E741" t="str">
            <v>인</v>
          </cell>
          <cell r="G741">
            <v>80805</v>
          </cell>
          <cell r="H741">
            <v>27473</v>
          </cell>
        </row>
        <row r="742">
          <cell r="C742" t="str">
            <v>특 별 인 부</v>
          </cell>
          <cell r="D742">
            <v>0.17</v>
          </cell>
          <cell r="E742" t="str">
            <v>인</v>
          </cell>
          <cell r="G742">
            <v>57379</v>
          </cell>
          <cell r="H742">
            <v>9754</v>
          </cell>
        </row>
        <row r="743">
          <cell r="A743" t="str">
            <v>설치준비,CHIPPING</v>
          </cell>
          <cell r="C743" t="str">
            <v>석      공</v>
          </cell>
          <cell r="D743">
            <v>1.1499999999999999</v>
          </cell>
          <cell r="E743" t="str">
            <v>인</v>
          </cell>
          <cell r="G743">
            <v>77005</v>
          </cell>
          <cell r="H743">
            <v>88555</v>
          </cell>
        </row>
        <row r="744">
          <cell r="C744" t="str">
            <v>특 별 인 부</v>
          </cell>
          <cell r="D744">
            <v>0.86</v>
          </cell>
          <cell r="E744" t="str">
            <v>인</v>
          </cell>
          <cell r="G744">
            <v>57379</v>
          </cell>
          <cell r="H744">
            <v>49345</v>
          </cell>
        </row>
        <row r="745">
          <cell r="A745" t="str">
            <v>가설 장비 설치</v>
          </cell>
          <cell r="C745" t="str">
            <v>프랜트기계설치공</v>
          </cell>
          <cell r="D745">
            <v>0.19</v>
          </cell>
          <cell r="E745" t="str">
            <v>인</v>
          </cell>
          <cell r="G745">
            <v>80805</v>
          </cell>
          <cell r="H745">
            <v>15352</v>
          </cell>
        </row>
        <row r="747">
          <cell r="C747" t="str">
            <v>프랜트 배관공</v>
          </cell>
          <cell r="D747">
            <v>0.19</v>
          </cell>
          <cell r="E747" t="str">
            <v>인</v>
          </cell>
          <cell r="G747">
            <v>97219</v>
          </cell>
          <cell r="H747">
            <v>18471</v>
          </cell>
        </row>
        <row r="748">
          <cell r="C748" t="str">
            <v>산소 절단공</v>
          </cell>
          <cell r="D748">
            <v>0.12</v>
          </cell>
          <cell r="E748" t="str">
            <v>인</v>
          </cell>
          <cell r="G748">
            <v>31794</v>
          </cell>
          <cell r="H748">
            <v>3815</v>
          </cell>
        </row>
        <row r="749">
          <cell r="C749" t="str">
            <v>프랜트 용접공</v>
          </cell>
          <cell r="D749">
            <v>0.12</v>
          </cell>
          <cell r="E749" t="str">
            <v>인</v>
          </cell>
          <cell r="G749">
            <v>95379</v>
          </cell>
          <cell r="H749">
            <v>11445</v>
          </cell>
        </row>
        <row r="750">
          <cell r="C750" t="str">
            <v>특 별 인 부</v>
          </cell>
          <cell r="D750">
            <v>0.51</v>
          </cell>
          <cell r="E750" t="str">
            <v>인</v>
          </cell>
          <cell r="G750">
            <v>57379</v>
          </cell>
          <cell r="H750">
            <v>29263</v>
          </cell>
        </row>
        <row r="751">
          <cell r="A751" t="str">
            <v>앙카바 정리 작업</v>
          </cell>
          <cell r="C751" t="str">
            <v>산소 절단공</v>
          </cell>
          <cell r="D751">
            <v>0.56000000000000005</v>
          </cell>
          <cell r="E751" t="str">
            <v>인</v>
          </cell>
          <cell r="G751">
            <v>31794</v>
          </cell>
          <cell r="H751">
            <v>17804</v>
          </cell>
        </row>
        <row r="753">
          <cell r="A753" t="str">
            <v xml:space="preserve"> </v>
          </cell>
          <cell r="C753" t="str">
            <v>프랜트기계설치공</v>
          </cell>
          <cell r="D753">
            <v>0.56000000000000005</v>
          </cell>
          <cell r="E753" t="str">
            <v>인</v>
          </cell>
          <cell r="G753">
            <v>80805</v>
          </cell>
          <cell r="H753">
            <v>45250</v>
          </cell>
        </row>
        <row r="754">
          <cell r="A754" t="str">
            <v xml:space="preserve"> </v>
          </cell>
          <cell r="C754" t="str">
            <v>특 별 인 부</v>
          </cell>
          <cell r="D754">
            <v>1.1200000000000001</v>
          </cell>
          <cell r="E754" t="str">
            <v>인</v>
          </cell>
          <cell r="G754">
            <v>57379</v>
          </cell>
          <cell r="H754">
            <v>64264</v>
          </cell>
        </row>
        <row r="755">
          <cell r="A755" t="str">
            <v>조       립</v>
          </cell>
          <cell r="C755" t="str">
            <v>특수 비계공</v>
          </cell>
          <cell r="D755">
            <v>0.79</v>
          </cell>
          <cell r="E755" t="str">
            <v>인</v>
          </cell>
          <cell r="G755">
            <v>85884</v>
          </cell>
          <cell r="H755">
            <v>67848</v>
          </cell>
        </row>
        <row r="756">
          <cell r="A756" t="str">
            <v xml:space="preserve"> </v>
          </cell>
          <cell r="C756" t="str">
            <v>프랜트기계설치공</v>
          </cell>
          <cell r="D756">
            <v>0.59</v>
          </cell>
          <cell r="E756" t="str">
            <v>인</v>
          </cell>
          <cell r="G756">
            <v>80805</v>
          </cell>
          <cell r="H756">
            <v>47674</v>
          </cell>
        </row>
        <row r="757">
          <cell r="C757" t="str">
            <v>산소 절단공</v>
          </cell>
          <cell r="D757">
            <v>0.28999999999999998</v>
          </cell>
          <cell r="E757" t="str">
            <v>인</v>
          </cell>
          <cell r="G757">
            <v>31794</v>
          </cell>
          <cell r="H757">
            <v>9220</v>
          </cell>
        </row>
        <row r="758">
          <cell r="C758" t="str">
            <v>플랜트기계설치공</v>
          </cell>
          <cell r="D758">
            <v>0.28999999999999998</v>
          </cell>
          <cell r="E758" t="str">
            <v>인</v>
          </cell>
          <cell r="G758">
            <v>80805</v>
          </cell>
          <cell r="H758">
            <v>23433</v>
          </cell>
        </row>
        <row r="759">
          <cell r="C759" t="str">
            <v>프랜트 용접공</v>
          </cell>
          <cell r="D759">
            <v>1.6</v>
          </cell>
          <cell r="E759" t="str">
            <v>인</v>
          </cell>
          <cell r="G759">
            <v>95379</v>
          </cell>
          <cell r="H759">
            <v>152606</v>
          </cell>
        </row>
        <row r="760">
          <cell r="A760" t="str">
            <v>종       별</v>
          </cell>
          <cell r="C760" t="str">
            <v>재 료 또 는</v>
          </cell>
          <cell r="D760" t="str">
            <v xml:space="preserve">원 수 </v>
          </cell>
          <cell r="E760" t="str">
            <v>단 위</v>
          </cell>
          <cell r="F760" t="str">
            <v>총   액</v>
          </cell>
          <cell r="G760" t="str">
            <v>노   무   비</v>
          </cell>
          <cell r="I760" t="str">
            <v>재   료   비</v>
          </cell>
          <cell r="K760" t="str">
            <v>경      비</v>
          </cell>
          <cell r="M760" t="str">
            <v>비   고</v>
          </cell>
        </row>
        <row r="761">
          <cell r="C761" t="str">
            <v xml:space="preserve">규       격 </v>
          </cell>
          <cell r="F761" t="str">
            <v>금   액</v>
          </cell>
          <cell r="G761" t="str">
            <v>단  가</v>
          </cell>
          <cell r="H761" t="str">
            <v>금   액</v>
          </cell>
          <cell r="I761" t="str">
            <v>단  가</v>
          </cell>
          <cell r="J761" t="str">
            <v>금   액</v>
          </cell>
          <cell r="K761" t="str">
            <v>단  가</v>
          </cell>
          <cell r="L761" t="str">
            <v>금   액</v>
          </cell>
        </row>
        <row r="762">
          <cell r="C762" t="str">
            <v>특 별 인 부</v>
          </cell>
          <cell r="D762">
            <v>2.77</v>
          </cell>
          <cell r="E762" t="str">
            <v>인</v>
          </cell>
          <cell r="G762">
            <v>57379</v>
          </cell>
          <cell r="H762">
            <v>158939</v>
          </cell>
        </row>
        <row r="763">
          <cell r="A763" t="str">
            <v>쎈   터   링</v>
          </cell>
          <cell r="C763" t="str">
            <v>특수 비계공</v>
          </cell>
          <cell r="D763">
            <v>0.79</v>
          </cell>
          <cell r="E763" t="str">
            <v>인</v>
          </cell>
          <cell r="G763">
            <v>85884</v>
          </cell>
          <cell r="H763">
            <v>67848</v>
          </cell>
        </row>
        <row r="764">
          <cell r="C764" t="str">
            <v>프랜트 용접공</v>
          </cell>
          <cell r="D764">
            <v>4.9000000000000004</v>
          </cell>
          <cell r="E764" t="str">
            <v>인</v>
          </cell>
          <cell r="G764">
            <v>95379</v>
          </cell>
          <cell r="H764">
            <v>467357</v>
          </cell>
        </row>
        <row r="765">
          <cell r="A765" t="str">
            <v xml:space="preserve"> </v>
          </cell>
          <cell r="C765" t="str">
            <v>측   량   사</v>
          </cell>
          <cell r="D765">
            <v>0.59</v>
          </cell>
          <cell r="E765" t="str">
            <v>인</v>
          </cell>
          <cell r="G765">
            <v>58506</v>
          </cell>
          <cell r="H765">
            <v>34518</v>
          </cell>
          <cell r="I765" t="str">
            <v xml:space="preserve"> </v>
          </cell>
        </row>
        <row r="766">
          <cell r="C766" t="str">
            <v>측 량 조 수</v>
          </cell>
          <cell r="D766">
            <v>0.59</v>
          </cell>
          <cell r="E766" t="str">
            <v>인</v>
          </cell>
          <cell r="G766">
            <v>38777</v>
          </cell>
          <cell r="H766">
            <v>22878</v>
          </cell>
        </row>
        <row r="767">
          <cell r="A767" t="str">
            <v xml:space="preserve"> </v>
          </cell>
          <cell r="C767" t="str">
            <v>산소 절단공</v>
          </cell>
          <cell r="D767">
            <v>0.59</v>
          </cell>
          <cell r="E767" t="str">
            <v>인</v>
          </cell>
          <cell r="G767">
            <v>31794</v>
          </cell>
          <cell r="H767">
            <v>18758</v>
          </cell>
        </row>
        <row r="768">
          <cell r="C768" t="str">
            <v>프랜트기계설치공</v>
          </cell>
          <cell r="D768">
            <v>1.48</v>
          </cell>
          <cell r="E768" t="str">
            <v>인</v>
          </cell>
          <cell r="G768">
            <v>80805</v>
          </cell>
          <cell r="H768">
            <v>119591</v>
          </cell>
        </row>
        <row r="769">
          <cell r="A769" t="str">
            <v xml:space="preserve"> </v>
          </cell>
          <cell r="C769" t="str">
            <v>특 별 인 부</v>
          </cell>
          <cell r="D769">
            <v>7.76</v>
          </cell>
          <cell r="E769" t="str">
            <v>인</v>
          </cell>
          <cell r="G769">
            <v>57379</v>
          </cell>
          <cell r="H769">
            <v>445261</v>
          </cell>
        </row>
        <row r="771">
          <cell r="A771" t="str">
            <v>거프집용 앙카설치</v>
          </cell>
          <cell r="C771" t="str">
            <v>산소 절단공</v>
          </cell>
          <cell r="D771">
            <v>0.21</v>
          </cell>
          <cell r="E771" t="str">
            <v>인</v>
          </cell>
          <cell r="G771">
            <v>31794</v>
          </cell>
          <cell r="H771">
            <v>6676</v>
          </cell>
        </row>
        <row r="772">
          <cell r="A772" t="str">
            <v xml:space="preserve"> </v>
          </cell>
          <cell r="C772" t="str">
            <v>프랜트 용접공</v>
          </cell>
          <cell r="D772">
            <v>1.6</v>
          </cell>
          <cell r="E772" t="str">
            <v>인</v>
          </cell>
          <cell r="G772">
            <v>95379</v>
          </cell>
          <cell r="H772">
            <v>152606</v>
          </cell>
        </row>
        <row r="773">
          <cell r="C773" t="str">
            <v>특 별 인 부</v>
          </cell>
          <cell r="D773">
            <v>1.81</v>
          </cell>
          <cell r="E773" t="str">
            <v>인</v>
          </cell>
          <cell r="G773">
            <v>57379</v>
          </cell>
          <cell r="H773">
            <v>103855</v>
          </cell>
        </row>
        <row r="774">
          <cell r="A774" t="str">
            <v>검 사 기 록</v>
          </cell>
          <cell r="C774" t="str">
            <v>측   량   사</v>
          </cell>
          <cell r="D774">
            <v>0.28999999999999998</v>
          </cell>
          <cell r="E774" t="str">
            <v>인</v>
          </cell>
          <cell r="G774">
            <v>58506</v>
          </cell>
          <cell r="H774">
            <v>16966</v>
          </cell>
        </row>
        <row r="775">
          <cell r="C775" t="str">
            <v>측 량 조 수</v>
          </cell>
          <cell r="D775">
            <v>0.28999999999999998</v>
          </cell>
          <cell r="E775" t="str">
            <v>인</v>
          </cell>
          <cell r="G775">
            <v>38777</v>
          </cell>
          <cell r="H775">
            <v>11245</v>
          </cell>
        </row>
        <row r="777">
          <cell r="C777" t="str">
            <v>프랜트기계설치공</v>
          </cell>
          <cell r="D777">
            <v>0.73</v>
          </cell>
          <cell r="E777" t="str">
            <v>인</v>
          </cell>
          <cell r="G777">
            <v>80805</v>
          </cell>
          <cell r="H777">
            <v>58987</v>
          </cell>
        </row>
        <row r="778">
          <cell r="C778" t="str">
            <v>특 별 인 부</v>
          </cell>
          <cell r="D778">
            <v>2.29</v>
          </cell>
          <cell r="E778" t="str">
            <v>인</v>
          </cell>
          <cell r="G778">
            <v>57379</v>
          </cell>
          <cell r="H778">
            <v>131397</v>
          </cell>
        </row>
        <row r="779">
          <cell r="A779" t="str">
            <v>뒷   정   리</v>
          </cell>
          <cell r="C779" t="str">
            <v>특수 비계공</v>
          </cell>
          <cell r="D779">
            <v>0.22</v>
          </cell>
          <cell r="E779" t="str">
            <v>인</v>
          </cell>
          <cell r="G779">
            <v>85884</v>
          </cell>
          <cell r="H779">
            <v>18894</v>
          </cell>
        </row>
        <row r="780">
          <cell r="C780" t="str">
            <v>프랜트기계설치공</v>
          </cell>
          <cell r="D780">
            <v>0.34</v>
          </cell>
          <cell r="E780" t="str">
            <v>인</v>
          </cell>
          <cell r="G780">
            <v>80805</v>
          </cell>
          <cell r="H780">
            <v>27473</v>
          </cell>
        </row>
        <row r="781">
          <cell r="C781" t="str">
            <v>산소 절단공</v>
          </cell>
          <cell r="D781">
            <v>0.22</v>
          </cell>
          <cell r="E781" t="str">
            <v>인</v>
          </cell>
          <cell r="G781">
            <v>31794</v>
          </cell>
          <cell r="H781">
            <v>6994</v>
          </cell>
        </row>
        <row r="783">
          <cell r="C783" t="str">
            <v>특 별 인 부</v>
          </cell>
          <cell r="D783">
            <v>0.56000000000000005</v>
          </cell>
          <cell r="E783" t="str">
            <v>인</v>
          </cell>
          <cell r="G783">
            <v>57379</v>
          </cell>
          <cell r="H783">
            <v>32132</v>
          </cell>
        </row>
        <row r="784">
          <cell r="A784" t="str">
            <v>전기설비,설치유지비</v>
          </cell>
          <cell r="C784" t="str">
            <v>플랜트전공</v>
          </cell>
          <cell r="D784">
            <v>4.25</v>
          </cell>
          <cell r="E784" t="str">
            <v>인</v>
          </cell>
          <cell r="G784">
            <v>64285</v>
          </cell>
          <cell r="H784">
            <v>273211</v>
          </cell>
        </row>
        <row r="785">
          <cell r="A785" t="str">
            <v>철     거</v>
          </cell>
          <cell r="C785" t="str">
            <v>특 별 인 부</v>
          </cell>
          <cell r="D785">
            <v>4.25</v>
          </cell>
          <cell r="E785" t="str">
            <v>인</v>
          </cell>
          <cell r="G785">
            <v>57379</v>
          </cell>
          <cell r="H785">
            <v>243860</v>
          </cell>
        </row>
        <row r="787">
          <cell r="B787" t="str">
            <v>계</v>
          </cell>
          <cell r="F787">
            <v>3689231</v>
          </cell>
          <cell r="H787">
            <v>3689231</v>
          </cell>
        </row>
        <row r="789">
          <cell r="A789" t="str">
            <v>ROLLER GATE GUIDE FRAME 설치 사용장비 경비</v>
          </cell>
        </row>
        <row r="790">
          <cell r="E790" t="str">
            <v xml:space="preserve"> </v>
          </cell>
        </row>
        <row r="791">
          <cell r="A791" t="str">
            <v>종       별</v>
          </cell>
          <cell r="C791" t="str">
            <v>재 료 또 는</v>
          </cell>
          <cell r="D791" t="str">
            <v xml:space="preserve">원 수 </v>
          </cell>
          <cell r="E791" t="str">
            <v>단 위</v>
          </cell>
          <cell r="F791" t="str">
            <v>총   액</v>
          </cell>
          <cell r="G791" t="str">
            <v>노   무   비</v>
          </cell>
          <cell r="I791" t="str">
            <v>재   료   비</v>
          </cell>
          <cell r="K791" t="str">
            <v>경      비</v>
          </cell>
          <cell r="M791" t="str">
            <v>비   고</v>
          </cell>
        </row>
        <row r="792">
          <cell r="C792" t="str">
            <v xml:space="preserve">규       격 </v>
          </cell>
          <cell r="F792" t="str">
            <v>금   액</v>
          </cell>
          <cell r="G792" t="str">
            <v>단  가</v>
          </cell>
          <cell r="H792" t="str">
            <v>금   액</v>
          </cell>
          <cell r="I792" t="str">
            <v>단  가</v>
          </cell>
          <cell r="J792" t="str">
            <v>금   액</v>
          </cell>
          <cell r="K792" t="str">
            <v>단  가</v>
          </cell>
          <cell r="L792" t="str">
            <v>금   액</v>
          </cell>
        </row>
        <row r="793">
          <cell r="A793" t="str">
            <v>A.C WELDER</v>
          </cell>
          <cell r="C793" t="str">
            <v>10KVA</v>
          </cell>
          <cell r="D793">
            <v>8</v>
          </cell>
          <cell r="E793" t="str">
            <v>Hr</v>
          </cell>
          <cell r="K793">
            <v>155</v>
          </cell>
          <cell r="L793">
            <v>1240</v>
          </cell>
        </row>
        <row r="794">
          <cell r="A794" t="str">
            <v>D.C WELDER</v>
          </cell>
          <cell r="C794" t="str">
            <v>5.5KW</v>
          </cell>
          <cell r="D794">
            <v>32</v>
          </cell>
          <cell r="E794" t="str">
            <v>Hr</v>
          </cell>
          <cell r="K794">
            <v>359</v>
          </cell>
          <cell r="L794">
            <v>11488</v>
          </cell>
        </row>
        <row r="795">
          <cell r="A795" t="str">
            <v>GAS CUTTING M/C</v>
          </cell>
          <cell r="C795" t="str">
            <v>중 형</v>
          </cell>
          <cell r="D795">
            <v>32</v>
          </cell>
          <cell r="E795" t="str">
            <v>Hr</v>
          </cell>
          <cell r="G795">
            <v>3974</v>
          </cell>
          <cell r="H795">
            <v>127168</v>
          </cell>
          <cell r="K795">
            <v>115</v>
          </cell>
          <cell r="L795">
            <v>3680</v>
          </cell>
        </row>
        <row r="796">
          <cell r="A796" t="str">
            <v>GAS WELDER</v>
          </cell>
          <cell r="C796" t="str">
            <v>중 형</v>
          </cell>
          <cell r="D796">
            <v>24</v>
          </cell>
          <cell r="E796" t="str">
            <v>Hr</v>
          </cell>
          <cell r="K796">
            <v>115</v>
          </cell>
          <cell r="L796">
            <v>2760</v>
          </cell>
        </row>
        <row r="797">
          <cell r="A797" t="str">
            <v>PORTABLE DRILL</v>
          </cell>
          <cell r="C797" t="str">
            <v>1.5 HP</v>
          </cell>
          <cell r="D797">
            <v>16</v>
          </cell>
          <cell r="E797" t="str">
            <v>Hr</v>
          </cell>
          <cell r="K797">
            <v>14</v>
          </cell>
          <cell r="L797">
            <v>224</v>
          </cell>
        </row>
        <row r="799">
          <cell r="A799" t="str">
            <v>PORTABLE GRINDER</v>
          </cell>
          <cell r="C799" t="str">
            <v>0.5 HP</v>
          </cell>
          <cell r="D799">
            <v>32</v>
          </cell>
          <cell r="E799" t="str">
            <v>Hr</v>
          </cell>
          <cell r="K799">
            <v>22</v>
          </cell>
          <cell r="L799">
            <v>704</v>
          </cell>
        </row>
        <row r="800">
          <cell r="A800" t="str">
            <v>COMPRESSOR</v>
          </cell>
          <cell r="C800" t="str">
            <v>8.9㎥/min</v>
          </cell>
          <cell r="D800">
            <v>8</v>
          </cell>
          <cell r="E800" t="str">
            <v>Hr</v>
          </cell>
          <cell r="G800">
            <v>9681</v>
          </cell>
          <cell r="H800">
            <v>77448</v>
          </cell>
          <cell r="I800">
            <v>8779</v>
          </cell>
          <cell r="J800">
            <v>70232</v>
          </cell>
          <cell r="K800">
            <v>6250</v>
          </cell>
          <cell r="L800">
            <v>50000</v>
          </cell>
        </row>
        <row r="801">
          <cell r="A801" t="str">
            <v>WINCH</v>
          </cell>
          <cell r="C801" t="str">
            <v>10 HP</v>
          </cell>
          <cell r="D801">
            <v>16</v>
          </cell>
          <cell r="E801" t="str">
            <v>Hr</v>
          </cell>
          <cell r="G801">
            <v>9235</v>
          </cell>
          <cell r="H801">
            <v>147760</v>
          </cell>
          <cell r="K801">
            <v>850</v>
          </cell>
          <cell r="L801">
            <v>13600</v>
          </cell>
        </row>
        <row r="802">
          <cell r="A802" t="str">
            <v>리프트 트럭</v>
          </cell>
          <cell r="C802" t="str">
            <v>7 TON</v>
          </cell>
          <cell r="D802">
            <v>8</v>
          </cell>
          <cell r="E802" t="str">
            <v>Hr</v>
          </cell>
          <cell r="G802">
            <v>9681</v>
          </cell>
          <cell r="H802">
            <v>77448</v>
          </cell>
          <cell r="I802">
            <v>5898</v>
          </cell>
          <cell r="J802">
            <v>47184</v>
          </cell>
          <cell r="K802">
            <v>5845</v>
          </cell>
          <cell r="L802">
            <v>46760</v>
          </cell>
        </row>
        <row r="803">
          <cell r="A803" t="str">
            <v>TRUCK CRANE</v>
          </cell>
          <cell r="C803" t="str">
            <v>40 TON</v>
          </cell>
          <cell r="D803">
            <v>8</v>
          </cell>
          <cell r="E803" t="str">
            <v>Hr</v>
          </cell>
          <cell r="G803">
            <v>18615</v>
          </cell>
          <cell r="H803">
            <v>148920</v>
          </cell>
          <cell r="I803">
            <v>8730</v>
          </cell>
          <cell r="J803">
            <v>69840</v>
          </cell>
          <cell r="K803">
            <v>55621</v>
          </cell>
          <cell r="L803">
            <v>444968</v>
          </cell>
        </row>
        <row r="807">
          <cell r="B807" t="str">
            <v xml:space="preserve"> 계</v>
          </cell>
          <cell r="F807">
            <v>1341424</v>
          </cell>
          <cell r="H807">
            <v>578744</v>
          </cell>
          <cell r="J807">
            <v>187256</v>
          </cell>
          <cell r="L807">
            <v>575424</v>
          </cell>
        </row>
        <row r="815">
          <cell r="J815" t="str">
            <v xml:space="preserve"> </v>
          </cell>
        </row>
        <row r="816">
          <cell r="J816" t="str">
            <v xml:space="preserve"> </v>
          </cell>
        </row>
        <row r="817">
          <cell r="J817" t="str">
            <v xml:space="preserve"> </v>
          </cell>
        </row>
        <row r="818">
          <cell r="A818" t="str">
            <v>ROLLER GATE GUIDE FRAME 설치 소모 자재비</v>
          </cell>
        </row>
        <row r="819">
          <cell r="E819" t="str">
            <v xml:space="preserve"> </v>
          </cell>
        </row>
        <row r="820">
          <cell r="A820" t="str">
            <v>종       별</v>
          </cell>
          <cell r="C820" t="str">
            <v>재 료 또 는</v>
          </cell>
          <cell r="D820" t="str">
            <v xml:space="preserve">원 수 </v>
          </cell>
          <cell r="E820" t="str">
            <v>단 위</v>
          </cell>
          <cell r="F820" t="str">
            <v>총   액</v>
          </cell>
          <cell r="G820" t="str">
            <v>노   무   비</v>
          </cell>
          <cell r="I820" t="str">
            <v>재   료   비</v>
          </cell>
          <cell r="K820" t="str">
            <v>경      비</v>
          </cell>
          <cell r="M820" t="str">
            <v>비   고</v>
          </cell>
        </row>
        <row r="821">
          <cell r="C821" t="str">
            <v xml:space="preserve">규       격 </v>
          </cell>
          <cell r="F821" t="str">
            <v>금   액</v>
          </cell>
          <cell r="G821" t="str">
            <v>단  가</v>
          </cell>
          <cell r="H821" t="str">
            <v>금   액</v>
          </cell>
          <cell r="I821" t="str">
            <v>단  가</v>
          </cell>
          <cell r="J821" t="str">
            <v>금   액</v>
          </cell>
          <cell r="K821" t="str">
            <v>단  가</v>
          </cell>
          <cell r="L821" t="str">
            <v>금   액</v>
          </cell>
        </row>
        <row r="822">
          <cell r="A822" t="str">
            <v>산       소</v>
          </cell>
          <cell r="C822" t="str">
            <v>6,000L용</v>
          </cell>
          <cell r="D822">
            <v>0.69</v>
          </cell>
          <cell r="E822" t="str">
            <v>병</v>
          </cell>
          <cell r="G822" t="str">
            <v xml:space="preserve"> </v>
          </cell>
          <cell r="I822">
            <v>12000</v>
          </cell>
          <cell r="J822">
            <v>8280</v>
          </cell>
        </row>
        <row r="823">
          <cell r="A823" t="str">
            <v>아 세 치 렌</v>
          </cell>
          <cell r="C823" t="str">
            <v>2,100L용</v>
          </cell>
          <cell r="D823">
            <v>0.2</v>
          </cell>
          <cell r="E823" t="str">
            <v>병</v>
          </cell>
          <cell r="I823">
            <v>25849</v>
          </cell>
          <cell r="J823">
            <v>5169</v>
          </cell>
        </row>
        <row r="824">
          <cell r="A824" t="str">
            <v>용   접  봉</v>
          </cell>
          <cell r="C824" t="str">
            <v>SS41+STS304,4M/M</v>
          </cell>
          <cell r="D824">
            <v>31.05</v>
          </cell>
          <cell r="E824" t="str">
            <v>KG</v>
          </cell>
          <cell r="I824">
            <v>3360</v>
          </cell>
          <cell r="J824">
            <v>104328</v>
          </cell>
        </row>
        <row r="825">
          <cell r="A825" t="str">
            <v xml:space="preserve"> </v>
          </cell>
          <cell r="D825" t="str">
            <v xml:space="preserve"> </v>
          </cell>
          <cell r="E825" t="str">
            <v xml:space="preserve"> </v>
          </cell>
        </row>
        <row r="828">
          <cell r="A828" t="str">
            <v xml:space="preserve"> </v>
          </cell>
        </row>
        <row r="829">
          <cell r="L829" t="str">
            <v xml:space="preserve"> </v>
          </cell>
        </row>
        <row r="830">
          <cell r="B830" t="str">
            <v>계</v>
          </cell>
          <cell r="F830">
            <v>117777</v>
          </cell>
          <cell r="J830">
            <v>117777</v>
          </cell>
          <cell r="L830" t="str">
            <v xml:space="preserve"> </v>
          </cell>
        </row>
        <row r="831">
          <cell r="F831" t="str">
            <v xml:space="preserve"> </v>
          </cell>
          <cell r="L831" t="str">
            <v xml:space="preserve"> </v>
          </cell>
        </row>
        <row r="832">
          <cell r="F832" t="str">
            <v xml:space="preserve"> </v>
          </cell>
          <cell r="J832" t="str">
            <v xml:space="preserve"> </v>
          </cell>
          <cell r="L832" t="str">
            <v xml:space="preserve"> </v>
          </cell>
        </row>
        <row r="833">
          <cell r="F833" t="str">
            <v xml:space="preserve"> </v>
          </cell>
          <cell r="J833" t="str">
            <v xml:space="preserve"> </v>
          </cell>
          <cell r="L833" t="str">
            <v xml:space="preserve"> </v>
          </cell>
        </row>
        <row r="834">
          <cell r="F834" t="str">
            <v xml:space="preserve"> </v>
          </cell>
          <cell r="J834" t="str">
            <v xml:space="preserve"> </v>
          </cell>
          <cell r="L834" t="str">
            <v xml:space="preserve"> </v>
          </cell>
        </row>
        <row r="835">
          <cell r="F835" t="str">
            <v xml:space="preserve"> </v>
          </cell>
          <cell r="J835" t="str">
            <v xml:space="preserve"> </v>
          </cell>
          <cell r="L835" t="str">
            <v xml:space="preserve"> </v>
          </cell>
        </row>
        <row r="836">
          <cell r="F836" t="str">
            <v xml:space="preserve"> </v>
          </cell>
          <cell r="J836" t="str">
            <v xml:space="preserve"> </v>
          </cell>
          <cell r="L836" t="str">
            <v xml:space="preserve"> </v>
          </cell>
        </row>
        <row r="837">
          <cell r="F837" t="str">
            <v xml:space="preserve"> </v>
          </cell>
          <cell r="J837" t="str">
            <v xml:space="preserve"> </v>
          </cell>
          <cell r="L837" t="str">
            <v xml:space="preserve"> </v>
          </cell>
        </row>
        <row r="838">
          <cell r="F838" t="str">
            <v xml:space="preserve"> </v>
          </cell>
          <cell r="J838" t="str">
            <v xml:space="preserve"> </v>
          </cell>
          <cell r="L838" t="str">
            <v xml:space="preserve"> </v>
          </cell>
        </row>
        <row r="839">
          <cell r="F839" t="str">
            <v xml:space="preserve"> </v>
          </cell>
          <cell r="J839" t="str">
            <v xml:space="preserve"> </v>
          </cell>
          <cell r="L839" t="str">
            <v xml:space="preserve"> </v>
          </cell>
        </row>
        <row r="840">
          <cell r="F840" t="str">
            <v xml:space="preserve"> </v>
          </cell>
          <cell r="J840" t="str">
            <v xml:space="preserve"> </v>
          </cell>
          <cell r="L840" t="str">
            <v xml:space="preserve"> </v>
          </cell>
        </row>
        <row r="841">
          <cell r="F841" t="str">
            <v xml:space="preserve"> </v>
          </cell>
          <cell r="J841" t="str">
            <v xml:space="preserve"> </v>
          </cell>
          <cell r="L841" t="str">
            <v xml:space="preserve"> </v>
          </cell>
        </row>
        <row r="842">
          <cell r="F842" t="str">
            <v xml:space="preserve"> </v>
          </cell>
          <cell r="J842" t="str">
            <v xml:space="preserve"> </v>
          </cell>
          <cell r="L842" t="str">
            <v xml:space="preserve"> </v>
          </cell>
        </row>
        <row r="843">
          <cell r="F843" t="str">
            <v xml:space="preserve"> </v>
          </cell>
          <cell r="J843" t="str">
            <v xml:space="preserve"> </v>
          </cell>
          <cell r="L843" t="str">
            <v xml:space="preserve"> </v>
          </cell>
        </row>
        <row r="844">
          <cell r="F844" t="str">
            <v xml:space="preserve"> </v>
          </cell>
          <cell r="J844" t="str">
            <v xml:space="preserve"> </v>
          </cell>
          <cell r="L844" t="str">
            <v xml:space="preserve"> </v>
          </cell>
        </row>
        <row r="845">
          <cell r="F845" t="str">
            <v xml:space="preserve"> </v>
          </cell>
          <cell r="J845" t="str">
            <v xml:space="preserve"> </v>
          </cell>
          <cell r="L845" t="str">
            <v xml:space="preserve"> </v>
          </cell>
        </row>
        <row r="846">
          <cell r="F846" t="str">
            <v xml:space="preserve"> </v>
          </cell>
          <cell r="J846" t="str">
            <v xml:space="preserve"> </v>
          </cell>
          <cell r="L846" t="str">
            <v xml:space="preserve"> </v>
          </cell>
        </row>
        <row r="847">
          <cell r="A847" t="str">
            <v>HOIST 설치 인건비</v>
          </cell>
        </row>
        <row r="848">
          <cell r="E848" t="str">
            <v xml:space="preserve"> </v>
          </cell>
        </row>
        <row r="849">
          <cell r="A849" t="str">
            <v>종       별</v>
          </cell>
          <cell r="C849" t="str">
            <v>재 료 또 는</v>
          </cell>
          <cell r="D849" t="str">
            <v xml:space="preserve">원 수 </v>
          </cell>
          <cell r="E849" t="str">
            <v>단 위</v>
          </cell>
          <cell r="F849" t="str">
            <v>총   액</v>
          </cell>
          <cell r="G849" t="str">
            <v>노   무   비</v>
          </cell>
          <cell r="I849" t="str">
            <v>재   료   비</v>
          </cell>
          <cell r="K849" t="str">
            <v>경      비</v>
          </cell>
          <cell r="M849" t="str">
            <v>비   고</v>
          </cell>
        </row>
        <row r="850">
          <cell r="C850" t="str">
            <v xml:space="preserve">규       격 </v>
          </cell>
          <cell r="F850" t="str">
            <v>금   액</v>
          </cell>
          <cell r="G850" t="str">
            <v>단  가</v>
          </cell>
          <cell r="H850" t="str">
            <v>금   액</v>
          </cell>
          <cell r="I850" t="str">
            <v>단  가</v>
          </cell>
          <cell r="J850" t="str">
            <v>금   액</v>
          </cell>
          <cell r="K850" t="str">
            <v>단  가</v>
          </cell>
          <cell r="L850" t="str">
            <v>금   액</v>
          </cell>
        </row>
        <row r="851">
          <cell r="A851" t="str">
            <v>기 술 관 리</v>
          </cell>
          <cell r="C851" t="str">
            <v>기계기사2급</v>
          </cell>
          <cell r="D851">
            <v>0.5</v>
          </cell>
          <cell r="E851" t="str">
            <v>인</v>
          </cell>
          <cell r="G851">
            <v>69405</v>
          </cell>
          <cell r="H851">
            <v>34702</v>
          </cell>
        </row>
        <row r="852">
          <cell r="A852" t="str">
            <v>소운반 조작</v>
          </cell>
          <cell r="C852" t="str">
            <v>비   계   공</v>
          </cell>
          <cell r="D852">
            <v>1.105</v>
          </cell>
          <cell r="E852" t="str">
            <v>인</v>
          </cell>
          <cell r="G852">
            <v>79467</v>
          </cell>
          <cell r="H852">
            <v>87811</v>
          </cell>
        </row>
        <row r="853">
          <cell r="A853" t="str">
            <v>조립 및 조정</v>
          </cell>
          <cell r="C853" t="str">
            <v>비   계   공</v>
          </cell>
          <cell r="D853">
            <v>1.9279999999999999</v>
          </cell>
          <cell r="E853" t="str">
            <v>인</v>
          </cell>
          <cell r="G853">
            <v>79467</v>
          </cell>
          <cell r="H853">
            <v>153212</v>
          </cell>
        </row>
        <row r="854">
          <cell r="A854" t="str">
            <v xml:space="preserve"> </v>
          </cell>
          <cell r="C854" t="str">
            <v>측   량   사</v>
          </cell>
          <cell r="D854">
            <v>0.26800000000000002</v>
          </cell>
          <cell r="E854" t="str">
            <v>인</v>
          </cell>
          <cell r="G854">
            <v>58506</v>
          </cell>
          <cell r="H854">
            <v>15679</v>
          </cell>
        </row>
        <row r="855">
          <cell r="A855" t="str">
            <v xml:space="preserve"> </v>
          </cell>
          <cell r="C855" t="str">
            <v>프랜트기계설치공</v>
          </cell>
          <cell r="D855">
            <v>2.1150000000000002</v>
          </cell>
          <cell r="E855" t="str">
            <v>인</v>
          </cell>
          <cell r="G855">
            <v>80805</v>
          </cell>
          <cell r="H855">
            <v>170902</v>
          </cell>
        </row>
        <row r="857">
          <cell r="A857" t="str">
            <v>용       접</v>
          </cell>
          <cell r="C857" t="str">
            <v>프랜트 용접공</v>
          </cell>
          <cell r="D857">
            <v>1.03</v>
          </cell>
          <cell r="E857" t="str">
            <v>인</v>
          </cell>
          <cell r="G857">
            <v>95379</v>
          </cell>
          <cell r="H857">
            <v>98240</v>
          </cell>
        </row>
        <row r="858">
          <cell r="A858" t="str">
            <v>시운전 및 조작</v>
          </cell>
          <cell r="C858" t="str">
            <v>프랜트기계설치공</v>
          </cell>
          <cell r="D858">
            <v>0.36</v>
          </cell>
          <cell r="E858" t="str">
            <v>인</v>
          </cell>
          <cell r="G858">
            <v>80805</v>
          </cell>
          <cell r="H858">
            <v>29089</v>
          </cell>
        </row>
        <row r="859">
          <cell r="A859" t="str">
            <v xml:space="preserve"> </v>
          </cell>
          <cell r="B859" t="str">
            <v xml:space="preserve"> </v>
          </cell>
          <cell r="C859" t="str">
            <v>프랜트 전공</v>
          </cell>
          <cell r="D859">
            <v>0.41299999999999998</v>
          </cell>
          <cell r="E859" t="str">
            <v>인</v>
          </cell>
          <cell r="G859">
            <v>64285</v>
          </cell>
          <cell r="H859">
            <v>26549</v>
          </cell>
        </row>
        <row r="860">
          <cell r="C860" t="str">
            <v>비   계   공</v>
          </cell>
          <cell r="D860">
            <v>0.9</v>
          </cell>
          <cell r="E860" t="str">
            <v>인</v>
          </cell>
          <cell r="G860">
            <v>79467</v>
          </cell>
          <cell r="H860">
            <v>71520</v>
          </cell>
        </row>
        <row r="861">
          <cell r="A861" t="str">
            <v>검사 및 교정</v>
          </cell>
          <cell r="C861" t="str">
            <v>기술관리,시운</v>
          </cell>
          <cell r="D861" t="str">
            <v>1</v>
          </cell>
          <cell r="E861" t="str">
            <v>식</v>
          </cell>
        </row>
        <row r="862">
          <cell r="C862" t="str">
            <v>전및조작제외</v>
          </cell>
          <cell r="E862" t="str">
            <v xml:space="preserve"> </v>
          </cell>
        </row>
        <row r="863">
          <cell r="A863" t="str">
            <v xml:space="preserve"> </v>
          </cell>
          <cell r="C863" t="str">
            <v>10 %</v>
          </cell>
        </row>
        <row r="865">
          <cell r="B865" t="str">
            <v>계</v>
          </cell>
          <cell r="F865">
            <v>687704</v>
          </cell>
          <cell r="H865">
            <v>687704</v>
          </cell>
        </row>
        <row r="876">
          <cell r="A876" t="str">
            <v>ROLLER GATE HOIST 설치 사용장비 경비</v>
          </cell>
        </row>
        <row r="877">
          <cell r="E877" t="str">
            <v xml:space="preserve"> </v>
          </cell>
        </row>
        <row r="878">
          <cell r="A878" t="str">
            <v>종       별</v>
          </cell>
          <cell r="C878" t="str">
            <v>재 료 또 는</v>
          </cell>
          <cell r="D878" t="str">
            <v xml:space="preserve">원 수 </v>
          </cell>
          <cell r="E878" t="str">
            <v>단 위</v>
          </cell>
          <cell r="F878" t="str">
            <v>총   액</v>
          </cell>
          <cell r="G878" t="str">
            <v>노   무   비</v>
          </cell>
          <cell r="I878" t="str">
            <v>재   료   비</v>
          </cell>
          <cell r="K878" t="str">
            <v>경      비</v>
          </cell>
          <cell r="M878" t="str">
            <v>비   고</v>
          </cell>
        </row>
        <row r="879">
          <cell r="C879" t="str">
            <v xml:space="preserve">규       격 </v>
          </cell>
          <cell r="F879" t="str">
            <v>금   액</v>
          </cell>
          <cell r="G879" t="str">
            <v>단  가</v>
          </cell>
          <cell r="H879" t="str">
            <v>금   액</v>
          </cell>
          <cell r="I879" t="str">
            <v>단  가</v>
          </cell>
          <cell r="J879" t="str">
            <v>금   액</v>
          </cell>
          <cell r="K879" t="str">
            <v>단  가</v>
          </cell>
          <cell r="L879" t="str">
            <v>금   액</v>
          </cell>
        </row>
        <row r="880">
          <cell r="A880" t="str">
            <v>A.C WELDER</v>
          </cell>
          <cell r="C880" t="str">
            <v>10KVA</v>
          </cell>
          <cell r="D880">
            <v>8</v>
          </cell>
          <cell r="E880" t="str">
            <v>Hr</v>
          </cell>
          <cell r="K880">
            <v>155</v>
          </cell>
          <cell r="L880">
            <v>1240</v>
          </cell>
        </row>
        <row r="881">
          <cell r="A881" t="str">
            <v>D.C WELDER</v>
          </cell>
          <cell r="C881" t="str">
            <v>300A,5.5KW</v>
          </cell>
          <cell r="D881">
            <v>8</v>
          </cell>
          <cell r="E881" t="str">
            <v>Hr</v>
          </cell>
          <cell r="K881">
            <v>359</v>
          </cell>
          <cell r="L881">
            <v>2872</v>
          </cell>
        </row>
        <row r="882">
          <cell r="A882" t="str">
            <v>GAS CUTTING M/C</v>
          </cell>
          <cell r="C882" t="str">
            <v>중 형</v>
          </cell>
          <cell r="D882">
            <v>16</v>
          </cell>
          <cell r="E882" t="str">
            <v>Hr</v>
          </cell>
          <cell r="G882">
            <v>3974</v>
          </cell>
          <cell r="H882">
            <v>63584</v>
          </cell>
          <cell r="K882">
            <v>115</v>
          </cell>
          <cell r="L882">
            <v>1840</v>
          </cell>
        </row>
        <row r="883">
          <cell r="A883" t="str">
            <v>PORTABLE DRILL</v>
          </cell>
          <cell r="C883" t="str">
            <v>1.5 HP</v>
          </cell>
          <cell r="D883">
            <v>8</v>
          </cell>
          <cell r="E883" t="str">
            <v>Hr</v>
          </cell>
          <cell r="K883">
            <v>14</v>
          </cell>
          <cell r="L883">
            <v>112</v>
          </cell>
        </row>
        <row r="884">
          <cell r="A884" t="str">
            <v>PORTABLE GRINDER</v>
          </cell>
          <cell r="C884" t="str">
            <v>0.5 HP</v>
          </cell>
          <cell r="D884">
            <v>16</v>
          </cell>
          <cell r="E884" t="str">
            <v>Hr</v>
          </cell>
          <cell r="K884">
            <v>22</v>
          </cell>
          <cell r="L884">
            <v>352</v>
          </cell>
        </row>
        <row r="886">
          <cell r="A886" t="str">
            <v>TRUCK CRANE</v>
          </cell>
          <cell r="C886" t="str">
            <v>30 TON</v>
          </cell>
          <cell r="D886">
            <v>8</v>
          </cell>
          <cell r="E886" t="str">
            <v>Hr</v>
          </cell>
          <cell r="G886">
            <v>18615</v>
          </cell>
          <cell r="H886">
            <v>148920</v>
          </cell>
          <cell r="I886">
            <v>7046</v>
          </cell>
          <cell r="J886">
            <v>56368</v>
          </cell>
          <cell r="K886">
            <v>44939</v>
          </cell>
          <cell r="L886">
            <v>359512</v>
          </cell>
        </row>
        <row r="887">
          <cell r="A887" t="str">
            <v>WINCH</v>
          </cell>
          <cell r="C887" t="str">
            <v>10 HP</v>
          </cell>
          <cell r="D887">
            <v>16</v>
          </cell>
          <cell r="E887" t="str">
            <v>Hr</v>
          </cell>
          <cell r="G887">
            <v>9235</v>
          </cell>
          <cell r="H887">
            <v>147760</v>
          </cell>
          <cell r="K887">
            <v>850</v>
          </cell>
          <cell r="L887">
            <v>13600</v>
          </cell>
        </row>
        <row r="888">
          <cell r="A888" t="str">
            <v>TRAILER</v>
          </cell>
          <cell r="C888" t="str">
            <v>30 TON</v>
          </cell>
          <cell r="D888">
            <v>8</v>
          </cell>
          <cell r="E888" t="str">
            <v>Hr</v>
          </cell>
          <cell r="G888">
            <v>8683</v>
          </cell>
          <cell r="H888">
            <v>69464</v>
          </cell>
          <cell r="I888">
            <v>15763</v>
          </cell>
          <cell r="J888">
            <v>126104</v>
          </cell>
          <cell r="K888">
            <v>27414</v>
          </cell>
          <cell r="L888">
            <v>219312</v>
          </cell>
        </row>
        <row r="889">
          <cell r="A889" t="str">
            <v>TRUCK</v>
          </cell>
          <cell r="C889" t="str">
            <v>6TON</v>
          </cell>
          <cell r="D889">
            <v>8</v>
          </cell>
          <cell r="E889" t="str">
            <v>Hr</v>
          </cell>
          <cell r="G889">
            <v>8683</v>
          </cell>
          <cell r="H889">
            <v>69464</v>
          </cell>
          <cell r="I889">
            <v>8110</v>
          </cell>
          <cell r="J889">
            <v>64880</v>
          </cell>
          <cell r="K889">
            <v>4902</v>
          </cell>
          <cell r="L889">
            <v>39216</v>
          </cell>
        </row>
        <row r="892">
          <cell r="B892" t="str">
            <v xml:space="preserve"> 계</v>
          </cell>
          <cell r="F892">
            <v>1384600</v>
          </cell>
          <cell r="H892">
            <v>499192</v>
          </cell>
          <cell r="J892">
            <v>247352</v>
          </cell>
          <cell r="L892">
            <v>638056</v>
          </cell>
        </row>
        <row r="905">
          <cell r="A905" t="str">
            <v>HOIST 설치 소모 자재비</v>
          </cell>
        </row>
        <row r="906">
          <cell r="E906" t="str">
            <v xml:space="preserve"> </v>
          </cell>
        </row>
        <row r="907">
          <cell r="A907" t="str">
            <v>종       별</v>
          </cell>
          <cell r="C907" t="str">
            <v>재 료 또 는</v>
          </cell>
          <cell r="D907" t="str">
            <v xml:space="preserve">원 수 </v>
          </cell>
          <cell r="E907" t="str">
            <v>단 위</v>
          </cell>
          <cell r="F907" t="str">
            <v>총   액</v>
          </cell>
          <cell r="G907" t="str">
            <v>노   무   비</v>
          </cell>
          <cell r="I907" t="str">
            <v>재   료   비</v>
          </cell>
          <cell r="K907" t="str">
            <v>경      비</v>
          </cell>
          <cell r="M907" t="str">
            <v>비   고</v>
          </cell>
        </row>
        <row r="908">
          <cell r="C908" t="str">
            <v xml:space="preserve">규       격 </v>
          </cell>
          <cell r="F908" t="str">
            <v>금   액</v>
          </cell>
          <cell r="G908" t="str">
            <v>단  가</v>
          </cell>
          <cell r="H908" t="str">
            <v>금   액</v>
          </cell>
          <cell r="I908" t="str">
            <v>단  가</v>
          </cell>
          <cell r="J908" t="str">
            <v>금   액</v>
          </cell>
          <cell r="K908" t="str">
            <v>단  가</v>
          </cell>
          <cell r="L908" t="str">
            <v>금   액</v>
          </cell>
        </row>
        <row r="909">
          <cell r="A909" t="str">
            <v>산       소</v>
          </cell>
          <cell r="C909" t="str">
            <v>6,000L용</v>
          </cell>
          <cell r="D909">
            <v>0.38</v>
          </cell>
          <cell r="E909" t="str">
            <v>병</v>
          </cell>
          <cell r="G909" t="str">
            <v xml:space="preserve"> </v>
          </cell>
          <cell r="I909">
            <v>12000</v>
          </cell>
          <cell r="J909">
            <v>4560</v>
          </cell>
        </row>
        <row r="910">
          <cell r="A910" t="str">
            <v>아 세 치 렌</v>
          </cell>
          <cell r="C910" t="str">
            <v>4,500L용</v>
          </cell>
          <cell r="D910">
            <v>0.33</v>
          </cell>
          <cell r="E910" t="str">
            <v>병</v>
          </cell>
          <cell r="I910">
            <v>55392</v>
          </cell>
          <cell r="J910">
            <v>18279</v>
          </cell>
        </row>
        <row r="911">
          <cell r="A911" t="str">
            <v>용   접  봉</v>
          </cell>
          <cell r="C911" t="str">
            <v>SS400 , 4M/M</v>
          </cell>
          <cell r="D911">
            <v>3</v>
          </cell>
          <cell r="E911" t="str">
            <v>KG</v>
          </cell>
          <cell r="I911">
            <v>1260</v>
          </cell>
          <cell r="J911">
            <v>3780</v>
          </cell>
        </row>
        <row r="912">
          <cell r="A912" t="str">
            <v>세    유(경유)</v>
          </cell>
          <cell r="D912">
            <v>3</v>
          </cell>
          <cell r="E912" t="str">
            <v>L</v>
          </cell>
          <cell r="I912">
            <v>526.4</v>
          </cell>
          <cell r="J912">
            <v>1579</v>
          </cell>
        </row>
        <row r="915">
          <cell r="A915" t="str">
            <v xml:space="preserve"> </v>
          </cell>
        </row>
        <row r="916">
          <cell r="L916" t="str">
            <v xml:space="preserve"> </v>
          </cell>
        </row>
        <row r="917">
          <cell r="B917" t="str">
            <v>계</v>
          </cell>
          <cell r="F917">
            <v>28198</v>
          </cell>
          <cell r="J917">
            <v>28198</v>
          </cell>
          <cell r="L917" t="str">
            <v xml:space="preserve"> </v>
          </cell>
        </row>
        <row r="918">
          <cell r="A918" t="str">
            <v xml:space="preserve"> </v>
          </cell>
        </row>
        <row r="919">
          <cell r="A919" t="str">
            <v xml:space="preserve"> </v>
          </cell>
        </row>
        <row r="920">
          <cell r="A920" t="str">
            <v xml:space="preserve"> </v>
          </cell>
        </row>
        <row r="921">
          <cell r="A921" t="str">
            <v xml:space="preserve"> </v>
          </cell>
        </row>
        <row r="922">
          <cell r="A922" t="str">
            <v xml:space="preserve"> </v>
          </cell>
        </row>
        <row r="923">
          <cell r="A923" t="str">
            <v xml:space="preserve"> </v>
          </cell>
        </row>
        <row r="924">
          <cell r="A924" t="str">
            <v xml:space="preserve"> </v>
          </cell>
        </row>
        <row r="925">
          <cell r="A925" t="str">
            <v xml:space="preserve"> </v>
          </cell>
        </row>
        <row r="926">
          <cell r="A926" t="str">
            <v xml:space="preserve"> </v>
          </cell>
        </row>
        <row r="927">
          <cell r="A927" t="str">
            <v xml:space="preserve"> </v>
          </cell>
        </row>
        <row r="928">
          <cell r="A928" t="str">
            <v xml:space="preserve"> </v>
          </cell>
        </row>
        <row r="929">
          <cell r="A929" t="str">
            <v xml:space="preserve"> </v>
          </cell>
        </row>
        <row r="930">
          <cell r="A930" t="str">
            <v xml:space="preserve"> </v>
          </cell>
        </row>
        <row r="931">
          <cell r="A931" t="str">
            <v xml:space="preserve"> </v>
          </cell>
        </row>
        <row r="932">
          <cell r="A932" t="str">
            <v xml:space="preserve"> </v>
          </cell>
        </row>
        <row r="933">
          <cell r="A933" t="str">
            <v xml:space="preserve"> </v>
          </cell>
        </row>
        <row r="934">
          <cell r="A934" t="str">
            <v>STOP LOG LEAF 제작 인건비</v>
          </cell>
        </row>
        <row r="935">
          <cell r="E935" t="str">
            <v xml:space="preserve"> </v>
          </cell>
        </row>
        <row r="936">
          <cell r="A936" t="str">
            <v>종       별</v>
          </cell>
          <cell r="C936" t="str">
            <v>재 료 또 는</v>
          </cell>
          <cell r="D936" t="str">
            <v xml:space="preserve">원 수 </v>
          </cell>
          <cell r="E936" t="str">
            <v>단 위</v>
          </cell>
          <cell r="F936" t="str">
            <v>총   액</v>
          </cell>
          <cell r="G936" t="str">
            <v>노   무   비</v>
          </cell>
          <cell r="I936" t="str">
            <v>재   료   비</v>
          </cell>
          <cell r="K936" t="str">
            <v>경      비</v>
          </cell>
          <cell r="M936" t="str">
            <v>비   고</v>
          </cell>
        </row>
        <row r="937">
          <cell r="C937" t="str">
            <v xml:space="preserve">규       격 </v>
          </cell>
          <cell r="F937" t="str">
            <v>금   액</v>
          </cell>
          <cell r="G937" t="str">
            <v>단  가</v>
          </cell>
          <cell r="H937" t="str">
            <v>금   액</v>
          </cell>
          <cell r="I937" t="str">
            <v>단  가</v>
          </cell>
          <cell r="J937" t="str">
            <v>금   액</v>
          </cell>
          <cell r="K937" t="str">
            <v>단  가</v>
          </cell>
          <cell r="L937" t="str">
            <v>금   액</v>
          </cell>
        </row>
        <row r="938">
          <cell r="A938" t="str">
            <v>기 술 관 리</v>
          </cell>
          <cell r="C938" t="str">
            <v>기계기사2급</v>
          </cell>
          <cell r="D938">
            <v>0.5</v>
          </cell>
          <cell r="E938" t="str">
            <v>인</v>
          </cell>
          <cell r="G938">
            <v>69405</v>
          </cell>
          <cell r="H938">
            <v>34702</v>
          </cell>
        </row>
        <row r="939">
          <cell r="A939" t="str">
            <v>본  뜨  기</v>
          </cell>
          <cell r="C939" t="str">
            <v>프랜트 제관공</v>
          </cell>
          <cell r="D939">
            <v>0.52300000000000002</v>
          </cell>
          <cell r="E939" t="str">
            <v>인</v>
          </cell>
          <cell r="G939">
            <v>81966</v>
          </cell>
          <cell r="H939">
            <v>42868</v>
          </cell>
        </row>
        <row r="940">
          <cell r="A940" t="str">
            <v>금  긋  기</v>
          </cell>
          <cell r="C940" t="str">
            <v>프랜트 제관공</v>
          </cell>
          <cell r="D940">
            <v>1.514</v>
          </cell>
          <cell r="E940" t="str">
            <v>인</v>
          </cell>
          <cell r="G940">
            <v>81966</v>
          </cell>
          <cell r="H940">
            <v>124096</v>
          </cell>
        </row>
        <row r="941">
          <cell r="A941" t="str">
            <v>절      단</v>
          </cell>
          <cell r="C941" t="str">
            <v>프랜트 제관공</v>
          </cell>
          <cell r="D941">
            <v>0.41399999999999998</v>
          </cell>
          <cell r="E941" t="str">
            <v>인</v>
          </cell>
          <cell r="G941">
            <v>81966</v>
          </cell>
          <cell r="H941">
            <v>33933</v>
          </cell>
        </row>
        <row r="942">
          <cell r="A942" t="str">
            <v>가      공</v>
          </cell>
          <cell r="C942" t="str">
            <v>프랜트 제관공</v>
          </cell>
          <cell r="D942">
            <v>0.5</v>
          </cell>
          <cell r="E942" t="str">
            <v>인</v>
          </cell>
          <cell r="G942">
            <v>81966</v>
          </cell>
          <cell r="H942">
            <v>40983</v>
          </cell>
        </row>
        <row r="944">
          <cell r="A944" t="str">
            <v>구 멍 뚫 기</v>
          </cell>
          <cell r="C944" t="str">
            <v>프랜트 제관공</v>
          </cell>
          <cell r="D944">
            <v>0.61299999999999999</v>
          </cell>
          <cell r="E944" t="str">
            <v>인</v>
          </cell>
          <cell r="G944">
            <v>81966</v>
          </cell>
          <cell r="H944">
            <v>50245</v>
          </cell>
        </row>
        <row r="945">
          <cell r="A945" t="str">
            <v>용      접</v>
          </cell>
          <cell r="C945" t="str">
            <v>프랜트 용접공</v>
          </cell>
          <cell r="D945">
            <v>2.968</v>
          </cell>
          <cell r="E945" t="str">
            <v>인</v>
          </cell>
          <cell r="G945">
            <v>95379</v>
          </cell>
          <cell r="H945">
            <v>283084</v>
          </cell>
        </row>
        <row r="946">
          <cell r="A946" t="str">
            <v>부 품 조 립</v>
          </cell>
          <cell r="C946" t="str">
            <v>비   계   공</v>
          </cell>
          <cell r="D946">
            <v>1.325</v>
          </cell>
          <cell r="E946" t="str">
            <v>인</v>
          </cell>
          <cell r="G946">
            <v>79467</v>
          </cell>
          <cell r="H946">
            <v>105293</v>
          </cell>
        </row>
        <row r="947">
          <cell r="C947" t="str">
            <v>프랜트기계설치공</v>
          </cell>
          <cell r="D947">
            <v>1.325</v>
          </cell>
          <cell r="E947" t="str">
            <v>인</v>
          </cell>
          <cell r="G947">
            <v>80805</v>
          </cell>
          <cell r="H947">
            <v>107066</v>
          </cell>
        </row>
        <row r="948">
          <cell r="A948" t="str">
            <v>소운반 조작</v>
          </cell>
          <cell r="C948" t="str">
            <v>비   계   공</v>
          </cell>
          <cell r="D948">
            <v>0.97</v>
          </cell>
          <cell r="E948" t="str">
            <v>인</v>
          </cell>
          <cell r="G948">
            <v>79467</v>
          </cell>
          <cell r="H948">
            <v>77082</v>
          </cell>
        </row>
        <row r="949">
          <cell r="A949" t="str">
            <v>검사 및 교정</v>
          </cell>
          <cell r="C949" t="str">
            <v>기술관리 제외한</v>
          </cell>
          <cell r="D949" t="str">
            <v>1</v>
          </cell>
          <cell r="E949" t="str">
            <v>식</v>
          </cell>
          <cell r="H949">
            <v>86465</v>
          </cell>
        </row>
        <row r="950">
          <cell r="C950" t="str">
            <v>10%</v>
          </cell>
        </row>
        <row r="953">
          <cell r="B953" t="str">
            <v>계</v>
          </cell>
          <cell r="F953">
            <v>985817</v>
          </cell>
          <cell r="H953">
            <v>985817</v>
          </cell>
        </row>
        <row r="963">
          <cell r="A963" t="str">
            <v>STOP LOG LEAF 제작 사용장비 경비</v>
          </cell>
        </row>
        <row r="964">
          <cell r="E964" t="str">
            <v xml:space="preserve"> </v>
          </cell>
        </row>
        <row r="965">
          <cell r="A965" t="str">
            <v>종       별</v>
          </cell>
          <cell r="C965" t="str">
            <v>재 료 또 는</v>
          </cell>
          <cell r="D965" t="str">
            <v xml:space="preserve">원 수 </v>
          </cell>
          <cell r="E965" t="str">
            <v>단 위</v>
          </cell>
          <cell r="F965" t="str">
            <v>총   액</v>
          </cell>
          <cell r="G965" t="str">
            <v>노   무   비</v>
          </cell>
          <cell r="I965" t="str">
            <v>재   료   비</v>
          </cell>
          <cell r="K965" t="str">
            <v>경      비</v>
          </cell>
          <cell r="M965" t="str">
            <v>비   고</v>
          </cell>
        </row>
        <row r="966">
          <cell r="C966" t="str">
            <v xml:space="preserve">규       격 </v>
          </cell>
          <cell r="F966" t="str">
            <v>금   액</v>
          </cell>
          <cell r="G966" t="str">
            <v>단  가</v>
          </cell>
          <cell r="H966" t="str">
            <v>금   액</v>
          </cell>
          <cell r="I966" t="str">
            <v>단  가</v>
          </cell>
          <cell r="J966" t="str">
            <v>금   액</v>
          </cell>
          <cell r="K966" t="str">
            <v>단  가</v>
          </cell>
          <cell r="L966" t="str">
            <v>금   액</v>
          </cell>
        </row>
        <row r="967">
          <cell r="A967" t="str">
            <v>LATHE</v>
          </cell>
          <cell r="C967" t="str">
            <v>12FT x 7.5HP</v>
          </cell>
          <cell r="D967">
            <v>0.41599999999999998</v>
          </cell>
          <cell r="E967" t="str">
            <v>Hr</v>
          </cell>
          <cell r="G967">
            <v>3418</v>
          </cell>
          <cell r="H967">
            <v>1421</v>
          </cell>
          <cell r="K967">
            <v>3775</v>
          </cell>
          <cell r="L967">
            <v>1570.3999999999999</v>
          </cell>
        </row>
        <row r="968">
          <cell r="A968" t="str">
            <v>PLANER</v>
          </cell>
          <cell r="C968" t="str">
            <v>4FT x 8FT</v>
          </cell>
          <cell r="D968">
            <v>7.5999999999999998E-2</v>
          </cell>
          <cell r="E968" t="str">
            <v>Hr</v>
          </cell>
          <cell r="G968">
            <v>3129</v>
          </cell>
          <cell r="H968">
            <v>237</v>
          </cell>
          <cell r="K968">
            <v>2743</v>
          </cell>
          <cell r="L968">
            <v>208.46799999999999</v>
          </cell>
        </row>
        <row r="969">
          <cell r="A969" t="str">
            <v>BORING M/C</v>
          </cell>
          <cell r="C969" t="str">
            <v>Hori.type,3HP</v>
          </cell>
          <cell r="D969">
            <v>0.248</v>
          </cell>
          <cell r="E969" t="str">
            <v>Hr</v>
          </cell>
          <cell r="G969">
            <v>3547</v>
          </cell>
          <cell r="H969">
            <v>879</v>
          </cell>
          <cell r="K969">
            <v>8928</v>
          </cell>
          <cell r="L969">
            <v>2214.1439999999998</v>
          </cell>
        </row>
        <row r="970">
          <cell r="A970" t="str">
            <v>UNION MELT WELDER</v>
          </cell>
          <cell r="C970" t="str">
            <v>5.5 KVA</v>
          </cell>
          <cell r="D970">
            <v>3.2240000000000002</v>
          </cell>
          <cell r="E970" t="str">
            <v>Hr</v>
          </cell>
          <cell r="G970">
            <v>3488</v>
          </cell>
          <cell r="H970">
            <v>11245</v>
          </cell>
          <cell r="K970">
            <v>1797</v>
          </cell>
          <cell r="L970">
            <v>5793.5280000000002</v>
          </cell>
        </row>
        <row r="971">
          <cell r="A971" t="str">
            <v>A.C WELDER</v>
          </cell>
          <cell r="C971" t="str">
            <v>10KVA</v>
          </cell>
          <cell r="D971">
            <v>9.9760000000000009</v>
          </cell>
          <cell r="E971" t="str">
            <v>Hr</v>
          </cell>
          <cell r="K971">
            <v>155</v>
          </cell>
          <cell r="L971">
            <v>1546.2800000000002</v>
          </cell>
        </row>
        <row r="972">
          <cell r="E972" t="str">
            <v xml:space="preserve"> </v>
          </cell>
        </row>
        <row r="973">
          <cell r="A973" t="str">
            <v>GOUGING M/C</v>
          </cell>
          <cell r="C973" t="str">
            <v>중 형</v>
          </cell>
          <cell r="D973">
            <v>3.56</v>
          </cell>
          <cell r="E973" t="str">
            <v>Hr</v>
          </cell>
          <cell r="G973">
            <v>3380</v>
          </cell>
          <cell r="H973">
            <v>12032</v>
          </cell>
          <cell r="K973">
            <v>670</v>
          </cell>
          <cell r="L973">
            <v>2385.1999999999998</v>
          </cell>
        </row>
        <row r="974">
          <cell r="A974" t="str">
            <v>GAS CUTTING M/C</v>
          </cell>
          <cell r="C974" t="str">
            <v>Auto형</v>
          </cell>
          <cell r="D974">
            <v>1.3280000000000001</v>
          </cell>
          <cell r="E974" t="str">
            <v>Hr</v>
          </cell>
          <cell r="G974">
            <v>11922</v>
          </cell>
          <cell r="H974">
            <v>15832</v>
          </cell>
          <cell r="K974">
            <v>119</v>
          </cell>
          <cell r="L974">
            <v>158.03200000000001</v>
          </cell>
        </row>
        <row r="975">
          <cell r="A975" t="str">
            <v>GAS CUTTING M/C</v>
          </cell>
          <cell r="C975" t="str">
            <v>수 동</v>
          </cell>
          <cell r="D975">
            <v>1.984</v>
          </cell>
          <cell r="E975" t="str">
            <v>Hr</v>
          </cell>
          <cell r="G975">
            <v>3974</v>
          </cell>
          <cell r="H975">
            <v>7884</v>
          </cell>
          <cell r="K975">
            <v>115</v>
          </cell>
          <cell r="L975">
            <v>228.16</v>
          </cell>
        </row>
        <row r="976">
          <cell r="A976" t="str">
            <v>GAS HEATING TOUCH</v>
          </cell>
          <cell r="C976" t="str">
            <v>중 형</v>
          </cell>
          <cell r="D976">
            <v>3.8719999999999999</v>
          </cell>
          <cell r="E976" t="str">
            <v>Hr</v>
          </cell>
          <cell r="G976">
            <v>3174</v>
          </cell>
          <cell r="H976">
            <v>12289</v>
          </cell>
          <cell r="K976">
            <v>115</v>
          </cell>
          <cell r="L976">
            <v>445.28</v>
          </cell>
        </row>
        <row r="977">
          <cell r="A977" t="str">
            <v>OVER HEAD CRANE</v>
          </cell>
          <cell r="C977" t="str">
            <v>30 TON</v>
          </cell>
          <cell r="D977">
            <v>0.88</v>
          </cell>
          <cell r="E977" t="str">
            <v>Hr</v>
          </cell>
          <cell r="G977">
            <v>9681</v>
          </cell>
          <cell r="H977">
            <v>8519</v>
          </cell>
          <cell r="K977">
            <v>3338</v>
          </cell>
          <cell r="L977">
            <v>2937.44</v>
          </cell>
        </row>
        <row r="978">
          <cell r="E978" t="str">
            <v xml:space="preserve"> </v>
          </cell>
        </row>
        <row r="979">
          <cell r="A979" t="str">
            <v>OVER HEAD CRANE</v>
          </cell>
          <cell r="C979" t="str">
            <v>20 TON</v>
          </cell>
          <cell r="D979">
            <v>0.88</v>
          </cell>
          <cell r="E979" t="str">
            <v>Hr</v>
          </cell>
          <cell r="G979">
            <v>9681</v>
          </cell>
          <cell r="H979">
            <v>8519</v>
          </cell>
          <cell r="K979">
            <v>3338</v>
          </cell>
          <cell r="L979">
            <v>2937.44</v>
          </cell>
        </row>
        <row r="980">
          <cell r="A980" t="str">
            <v>HYDRO PRESS</v>
          </cell>
          <cell r="C980" t="str">
            <v>100 TON</v>
          </cell>
          <cell r="D980">
            <v>1.72</v>
          </cell>
          <cell r="E980" t="str">
            <v>Hr</v>
          </cell>
          <cell r="G980">
            <v>3281</v>
          </cell>
          <cell r="H980">
            <v>5643</v>
          </cell>
          <cell r="K980">
            <v>6045</v>
          </cell>
          <cell r="L980">
            <v>10397.4</v>
          </cell>
        </row>
        <row r="981">
          <cell r="A981" t="str">
            <v>SHEARING M/C</v>
          </cell>
          <cell r="D981">
            <v>2</v>
          </cell>
          <cell r="E981" t="str">
            <v>Hr</v>
          </cell>
          <cell r="G981">
            <v>3688</v>
          </cell>
          <cell r="H981">
            <v>7376</v>
          </cell>
          <cell r="K981">
            <v>3209</v>
          </cell>
          <cell r="L981">
            <v>6418</v>
          </cell>
        </row>
        <row r="982">
          <cell r="A982" t="str">
            <v>DRILLING M/C</v>
          </cell>
          <cell r="C982" t="str">
            <v>3 HP</v>
          </cell>
          <cell r="D982">
            <v>0.48799999999999999</v>
          </cell>
          <cell r="E982" t="str">
            <v>Hr</v>
          </cell>
          <cell r="G982">
            <v>3401</v>
          </cell>
          <cell r="H982">
            <v>1659</v>
          </cell>
          <cell r="K982">
            <v>576</v>
          </cell>
          <cell r="L982">
            <v>281.08799999999997</v>
          </cell>
        </row>
        <row r="983">
          <cell r="A983" t="str">
            <v>DRILLING M/C</v>
          </cell>
          <cell r="C983" t="str">
            <v>Radial,5 HP</v>
          </cell>
          <cell r="D983">
            <v>0.48799999999999999</v>
          </cell>
          <cell r="E983" t="str">
            <v>Hr</v>
          </cell>
          <cell r="G983">
            <v>3401</v>
          </cell>
          <cell r="H983">
            <v>1659</v>
          </cell>
          <cell r="K983">
            <v>1720</v>
          </cell>
          <cell r="L983">
            <v>839.36</v>
          </cell>
        </row>
        <row r="984">
          <cell r="E984" t="str">
            <v xml:space="preserve"> </v>
          </cell>
        </row>
        <row r="985">
          <cell r="A985" t="str">
            <v>PORTABLE DRILL</v>
          </cell>
          <cell r="C985" t="str">
            <v>0.5 HP</v>
          </cell>
          <cell r="D985">
            <v>1.5640000000000001</v>
          </cell>
          <cell r="E985" t="str">
            <v>Hr</v>
          </cell>
          <cell r="K985">
            <v>12</v>
          </cell>
          <cell r="L985">
            <v>18.768000000000001</v>
          </cell>
        </row>
        <row r="986">
          <cell r="A986" t="str">
            <v>TRUCK CRANE</v>
          </cell>
          <cell r="C986" t="str">
            <v>30 TON</v>
          </cell>
          <cell r="D986">
            <v>0.65</v>
          </cell>
          <cell r="E986" t="str">
            <v>Hr</v>
          </cell>
          <cell r="G986">
            <v>18615</v>
          </cell>
          <cell r="H986">
            <v>12099</v>
          </cell>
          <cell r="I986">
            <v>7046</v>
          </cell>
          <cell r="J986">
            <v>4579</v>
          </cell>
          <cell r="K986">
            <v>44939</v>
          </cell>
          <cell r="L986">
            <v>29210.350000000002</v>
          </cell>
        </row>
        <row r="987">
          <cell r="A987" t="str">
            <v>리프트 트럭</v>
          </cell>
          <cell r="C987" t="str">
            <v>5 TON</v>
          </cell>
          <cell r="D987">
            <v>0.65</v>
          </cell>
          <cell r="E987" t="str">
            <v>Hr</v>
          </cell>
          <cell r="G987">
            <v>9681</v>
          </cell>
          <cell r="H987">
            <v>6292</v>
          </cell>
          <cell r="I987">
            <v>5116.08</v>
          </cell>
          <cell r="J987">
            <v>3325</v>
          </cell>
          <cell r="K987">
            <v>4863</v>
          </cell>
          <cell r="L987">
            <v>3160.9500000000003</v>
          </cell>
        </row>
        <row r="988">
          <cell r="A988" t="str">
            <v>COMPRESSOR</v>
          </cell>
          <cell r="C988" t="str">
            <v>7.1㎥/min</v>
          </cell>
          <cell r="D988">
            <v>3.32</v>
          </cell>
          <cell r="E988" t="str">
            <v>Hr</v>
          </cell>
          <cell r="G988">
            <v>9681</v>
          </cell>
          <cell r="H988">
            <v>32140</v>
          </cell>
          <cell r="I988">
            <v>6189</v>
          </cell>
          <cell r="J988">
            <v>20547</v>
          </cell>
          <cell r="K988">
            <v>3137</v>
          </cell>
          <cell r="L988">
            <v>10414.84</v>
          </cell>
        </row>
        <row r="989">
          <cell r="A989" t="str">
            <v>TRAILER</v>
          </cell>
          <cell r="C989" t="str">
            <v>30 TON</v>
          </cell>
          <cell r="D989">
            <v>0.65</v>
          </cell>
          <cell r="E989" t="str">
            <v>Hr</v>
          </cell>
          <cell r="G989">
            <v>8683</v>
          </cell>
          <cell r="H989">
            <v>5643</v>
          </cell>
          <cell r="I989">
            <v>15763</v>
          </cell>
          <cell r="J989">
            <v>10245</v>
          </cell>
          <cell r="K989">
            <v>27414</v>
          </cell>
          <cell r="L989">
            <v>17819.100000000002</v>
          </cell>
        </row>
        <row r="991">
          <cell r="B991" t="str">
            <v>계</v>
          </cell>
          <cell r="F991">
            <v>289048.228</v>
          </cell>
          <cell r="H991">
            <v>151368</v>
          </cell>
          <cell r="J991">
            <v>38696</v>
          </cell>
          <cell r="K991" t="str">
            <v xml:space="preserve"> </v>
          </cell>
          <cell r="L991">
            <v>98984.228000000003</v>
          </cell>
        </row>
        <row r="992">
          <cell r="A992" t="str">
            <v>STOP LOG LEAF 제작 소모 자재비</v>
          </cell>
        </row>
        <row r="993">
          <cell r="E993" t="str">
            <v xml:space="preserve"> </v>
          </cell>
        </row>
        <row r="994">
          <cell r="A994" t="str">
            <v>종       별</v>
          </cell>
          <cell r="C994" t="str">
            <v>재 료 또 는</v>
          </cell>
          <cell r="D994" t="str">
            <v xml:space="preserve">원 수 </v>
          </cell>
          <cell r="E994" t="str">
            <v>단 위</v>
          </cell>
          <cell r="F994" t="str">
            <v>총   액</v>
          </cell>
          <cell r="G994" t="str">
            <v>노   무   비</v>
          </cell>
          <cell r="I994" t="str">
            <v>재   료   비</v>
          </cell>
          <cell r="K994" t="str">
            <v>경      비</v>
          </cell>
          <cell r="M994" t="str">
            <v>비   고</v>
          </cell>
        </row>
        <row r="995">
          <cell r="C995" t="str">
            <v xml:space="preserve">규       격 </v>
          </cell>
          <cell r="F995" t="str">
            <v>금   액</v>
          </cell>
          <cell r="G995" t="str">
            <v>단  가</v>
          </cell>
          <cell r="H995" t="str">
            <v>금   액</v>
          </cell>
          <cell r="I995" t="str">
            <v>단  가</v>
          </cell>
          <cell r="J995" t="str">
            <v>금   액</v>
          </cell>
          <cell r="K995" t="str">
            <v>단  가</v>
          </cell>
          <cell r="L995" t="str">
            <v>금   액</v>
          </cell>
        </row>
        <row r="996">
          <cell r="A996" t="str">
            <v>산       소</v>
          </cell>
          <cell r="C996" t="str">
            <v>6,000L용</v>
          </cell>
          <cell r="D996">
            <v>0.38</v>
          </cell>
          <cell r="E996" t="str">
            <v>병</v>
          </cell>
          <cell r="G996" t="str">
            <v xml:space="preserve"> </v>
          </cell>
          <cell r="I996">
            <v>12000</v>
          </cell>
          <cell r="J996">
            <v>4560</v>
          </cell>
        </row>
        <row r="997">
          <cell r="A997" t="str">
            <v>아 세 치 렌</v>
          </cell>
          <cell r="C997" t="str">
            <v>4,500L용</v>
          </cell>
          <cell r="D997">
            <v>0.33</v>
          </cell>
          <cell r="E997" t="str">
            <v>병</v>
          </cell>
          <cell r="I997">
            <v>55392</v>
          </cell>
          <cell r="J997">
            <v>18279</v>
          </cell>
        </row>
        <row r="998">
          <cell r="A998" t="str">
            <v>용   접  봉</v>
          </cell>
          <cell r="C998" t="str">
            <v>SS41, 4M/Mx350L</v>
          </cell>
          <cell r="D998">
            <v>3</v>
          </cell>
          <cell r="E998" t="str">
            <v>KG</v>
          </cell>
          <cell r="I998">
            <v>1260</v>
          </cell>
          <cell r="J998">
            <v>3780</v>
          </cell>
        </row>
        <row r="1000">
          <cell r="A1000" t="str">
            <v xml:space="preserve"> </v>
          </cell>
          <cell r="D1000" t="str">
            <v xml:space="preserve"> </v>
          </cell>
          <cell r="E1000" t="str">
            <v xml:space="preserve"> </v>
          </cell>
        </row>
        <row r="1001">
          <cell r="E1001" t="str">
            <v xml:space="preserve"> </v>
          </cell>
        </row>
        <row r="1003">
          <cell r="B1003" t="str">
            <v>계</v>
          </cell>
          <cell r="F1003">
            <v>26619</v>
          </cell>
          <cell r="J1003">
            <v>26619</v>
          </cell>
        </row>
        <row r="1021">
          <cell r="A1021" t="str">
            <v>STOP LOG LEAF 설치 인건비</v>
          </cell>
        </row>
        <row r="1022">
          <cell r="E1022" t="str">
            <v xml:space="preserve"> </v>
          </cell>
        </row>
        <row r="1023">
          <cell r="A1023" t="str">
            <v>종       별</v>
          </cell>
          <cell r="C1023" t="str">
            <v>재 료 또 는</v>
          </cell>
          <cell r="D1023" t="str">
            <v xml:space="preserve">원 수 </v>
          </cell>
          <cell r="E1023" t="str">
            <v>단 위</v>
          </cell>
          <cell r="F1023" t="str">
            <v>총   액</v>
          </cell>
          <cell r="G1023" t="str">
            <v>노   무   비</v>
          </cell>
          <cell r="I1023" t="str">
            <v>재   료   비</v>
          </cell>
          <cell r="K1023" t="str">
            <v>경      비</v>
          </cell>
          <cell r="M1023" t="str">
            <v>비   고</v>
          </cell>
        </row>
        <row r="1024">
          <cell r="C1024" t="str">
            <v xml:space="preserve">규       격 </v>
          </cell>
          <cell r="F1024" t="str">
            <v>금   액</v>
          </cell>
          <cell r="G1024" t="str">
            <v>단  가</v>
          </cell>
          <cell r="H1024" t="str">
            <v>금   액</v>
          </cell>
          <cell r="I1024" t="str">
            <v>단  가</v>
          </cell>
          <cell r="J1024" t="str">
            <v>금   액</v>
          </cell>
          <cell r="K1024" t="str">
            <v>단  가</v>
          </cell>
          <cell r="L1024" t="str">
            <v>금   액</v>
          </cell>
        </row>
        <row r="1025">
          <cell r="A1025" t="str">
            <v>기 술 관 리</v>
          </cell>
          <cell r="C1025" t="str">
            <v>기계기사2급</v>
          </cell>
          <cell r="D1025">
            <v>0.5</v>
          </cell>
          <cell r="E1025" t="str">
            <v>인</v>
          </cell>
          <cell r="G1025">
            <v>69405</v>
          </cell>
          <cell r="H1025">
            <v>34702</v>
          </cell>
        </row>
        <row r="1026">
          <cell r="A1026" t="str">
            <v>운 반 조 작</v>
          </cell>
          <cell r="C1026" t="str">
            <v>비   계   공</v>
          </cell>
          <cell r="D1026">
            <v>0.97</v>
          </cell>
          <cell r="E1026" t="str">
            <v>인</v>
          </cell>
          <cell r="G1026">
            <v>79467</v>
          </cell>
          <cell r="H1026">
            <v>77082</v>
          </cell>
        </row>
        <row r="1027">
          <cell r="A1027" t="str">
            <v>조 립 조 정</v>
          </cell>
          <cell r="C1027" t="str">
            <v>비   계   공</v>
          </cell>
          <cell r="D1027">
            <v>2.02</v>
          </cell>
          <cell r="E1027" t="str">
            <v>인</v>
          </cell>
          <cell r="G1027">
            <v>79467</v>
          </cell>
          <cell r="H1027">
            <v>160523</v>
          </cell>
        </row>
        <row r="1028">
          <cell r="A1028" t="str">
            <v xml:space="preserve"> </v>
          </cell>
          <cell r="C1028" t="str">
            <v>프랜트 제관공</v>
          </cell>
          <cell r="D1028">
            <v>1.19</v>
          </cell>
          <cell r="E1028" t="str">
            <v>인</v>
          </cell>
          <cell r="G1028">
            <v>81966</v>
          </cell>
          <cell r="H1028">
            <v>97539</v>
          </cell>
        </row>
        <row r="1029">
          <cell r="A1029" t="str">
            <v xml:space="preserve"> </v>
          </cell>
          <cell r="C1029" t="str">
            <v>측   량   사</v>
          </cell>
          <cell r="D1029">
            <v>0.122</v>
          </cell>
          <cell r="E1029" t="str">
            <v>인</v>
          </cell>
          <cell r="G1029">
            <v>58506</v>
          </cell>
          <cell r="H1029">
            <v>7137</v>
          </cell>
        </row>
        <row r="1031">
          <cell r="C1031" t="str">
            <v>프랜트기계설치공</v>
          </cell>
          <cell r="D1031">
            <v>1.17</v>
          </cell>
          <cell r="E1031" t="str">
            <v>인</v>
          </cell>
          <cell r="G1031">
            <v>80805</v>
          </cell>
          <cell r="H1031">
            <v>94541</v>
          </cell>
        </row>
        <row r="1032">
          <cell r="A1032" t="str">
            <v>설      치</v>
          </cell>
          <cell r="C1032" t="str">
            <v>비   계   공</v>
          </cell>
          <cell r="D1032">
            <v>0.36</v>
          </cell>
          <cell r="E1032" t="str">
            <v>인</v>
          </cell>
          <cell r="G1032">
            <v>79467</v>
          </cell>
          <cell r="H1032">
            <v>28608</v>
          </cell>
        </row>
        <row r="1033">
          <cell r="C1033" t="str">
            <v>프랜트기계설치공</v>
          </cell>
          <cell r="D1033">
            <v>0.13</v>
          </cell>
          <cell r="E1033" t="str">
            <v>인</v>
          </cell>
          <cell r="G1033">
            <v>81966</v>
          </cell>
          <cell r="H1033">
            <v>10655</v>
          </cell>
        </row>
        <row r="1034">
          <cell r="A1034" t="str">
            <v>전 원 배 선</v>
          </cell>
          <cell r="C1034" t="str">
            <v>플랜트전공</v>
          </cell>
          <cell r="D1034">
            <v>6.3E-2</v>
          </cell>
          <cell r="E1034" t="str">
            <v>인</v>
          </cell>
          <cell r="G1034">
            <v>64285</v>
          </cell>
          <cell r="H1034">
            <v>4049</v>
          </cell>
          <cell r="I1034" t="str">
            <v xml:space="preserve"> </v>
          </cell>
          <cell r="J1034" t="str">
            <v xml:space="preserve"> </v>
          </cell>
        </row>
        <row r="1035">
          <cell r="A1035" t="str">
            <v xml:space="preserve"> </v>
          </cell>
          <cell r="C1035" t="str">
            <v xml:space="preserve"> </v>
          </cell>
          <cell r="D1035" t="str">
            <v xml:space="preserve"> </v>
          </cell>
          <cell r="E1035" t="str">
            <v xml:space="preserve"> </v>
          </cell>
          <cell r="G1035" t="str">
            <v xml:space="preserve"> </v>
          </cell>
        </row>
        <row r="1036">
          <cell r="A1036" t="str">
            <v>검사 및 교정</v>
          </cell>
          <cell r="C1036" t="str">
            <v>기술관리,전원</v>
          </cell>
          <cell r="D1036" t="str">
            <v>1</v>
          </cell>
          <cell r="E1036" t="str">
            <v>식</v>
          </cell>
          <cell r="H1036">
            <v>47608</v>
          </cell>
        </row>
        <row r="1037">
          <cell r="C1037" t="str">
            <v>배선제외10%</v>
          </cell>
        </row>
        <row r="1040">
          <cell r="B1040" t="str">
            <v>계</v>
          </cell>
          <cell r="F1040">
            <v>562444</v>
          </cell>
          <cell r="H1040">
            <v>562444</v>
          </cell>
        </row>
        <row r="1050">
          <cell r="E1050" t="str">
            <v xml:space="preserve"> </v>
          </cell>
          <cell r="F1050" t="str">
            <v>STOP LOG LEAF 설치 사용장비 경비</v>
          </cell>
        </row>
        <row r="1051">
          <cell r="E1051" t="str">
            <v xml:space="preserve"> </v>
          </cell>
        </row>
        <row r="1052">
          <cell r="A1052" t="str">
            <v>종       별</v>
          </cell>
          <cell r="C1052" t="str">
            <v>재 료 또 는</v>
          </cell>
          <cell r="D1052" t="str">
            <v xml:space="preserve">원 수 </v>
          </cell>
          <cell r="E1052" t="str">
            <v>단 위</v>
          </cell>
          <cell r="F1052" t="str">
            <v>총   액</v>
          </cell>
          <cell r="G1052" t="str">
            <v>노   무   비</v>
          </cell>
          <cell r="I1052" t="str">
            <v>재   료   비</v>
          </cell>
          <cell r="K1052" t="str">
            <v>경      비</v>
          </cell>
          <cell r="M1052" t="str">
            <v>비   고</v>
          </cell>
        </row>
        <row r="1053">
          <cell r="C1053" t="str">
            <v xml:space="preserve">규       격 </v>
          </cell>
          <cell r="F1053" t="str">
            <v>금   액</v>
          </cell>
          <cell r="G1053" t="str">
            <v>단  가</v>
          </cell>
          <cell r="H1053" t="str">
            <v>금   액</v>
          </cell>
          <cell r="I1053" t="str">
            <v>단  가</v>
          </cell>
          <cell r="J1053" t="str">
            <v>금   액</v>
          </cell>
          <cell r="K1053" t="str">
            <v>단  가</v>
          </cell>
          <cell r="L1053" t="str">
            <v>금   액</v>
          </cell>
        </row>
        <row r="1054">
          <cell r="A1054" t="str">
            <v>A.C WELDER</v>
          </cell>
          <cell r="C1054" t="str">
            <v>10KVA</v>
          </cell>
          <cell r="D1054">
            <v>8</v>
          </cell>
          <cell r="E1054" t="str">
            <v>Hr</v>
          </cell>
          <cell r="K1054">
            <v>155</v>
          </cell>
          <cell r="L1054">
            <v>1240</v>
          </cell>
        </row>
        <row r="1055">
          <cell r="A1055" t="str">
            <v>PORTABLE DRILL</v>
          </cell>
          <cell r="C1055" t="str">
            <v>1.5 Hp</v>
          </cell>
          <cell r="D1055">
            <v>16</v>
          </cell>
          <cell r="E1055" t="str">
            <v>Hr</v>
          </cell>
          <cell r="K1055">
            <v>14</v>
          </cell>
          <cell r="L1055">
            <v>224</v>
          </cell>
        </row>
        <row r="1056">
          <cell r="A1056" t="str">
            <v>PORTABLE GRINDER</v>
          </cell>
          <cell r="C1056" t="str">
            <v>0.5 Hp</v>
          </cell>
          <cell r="D1056">
            <v>16</v>
          </cell>
          <cell r="E1056" t="str">
            <v>Hr</v>
          </cell>
          <cell r="K1056">
            <v>22</v>
          </cell>
          <cell r="L1056">
            <v>352</v>
          </cell>
        </row>
        <row r="1057">
          <cell r="A1057" t="str">
            <v>WINCH</v>
          </cell>
          <cell r="C1057" t="str">
            <v>10Hp</v>
          </cell>
          <cell r="D1057">
            <v>8</v>
          </cell>
          <cell r="E1057" t="str">
            <v>Hr</v>
          </cell>
          <cell r="G1057">
            <v>9235</v>
          </cell>
          <cell r="H1057">
            <v>73880</v>
          </cell>
          <cell r="K1057">
            <v>850</v>
          </cell>
          <cell r="L1057">
            <v>6800</v>
          </cell>
        </row>
        <row r="1058">
          <cell r="A1058" t="str">
            <v>FORK LIFT</v>
          </cell>
          <cell r="C1058" t="str">
            <v>3.5TON</v>
          </cell>
          <cell r="D1058">
            <v>8</v>
          </cell>
          <cell r="E1058" t="str">
            <v>Hr</v>
          </cell>
          <cell r="G1058">
            <v>9681</v>
          </cell>
          <cell r="H1058">
            <v>77448</v>
          </cell>
          <cell r="I1058">
            <v>5116</v>
          </cell>
          <cell r="J1058">
            <v>40928</v>
          </cell>
          <cell r="K1058">
            <v>3470</v>
          </cell>
          <cell r="L1058">
            <v>27760</v>
          </cell>
        </row>
        <row r="1060">
          <cell r="A1060" t="str">
            <v>TRUCK CRANE</v>
          </cell>
          <cell r="C1060" t="str">
            <v>20TON</v>
          </cell>
          <cell r="D1060">
            <v>8</v>
          </cell>
          <cell r="E1060" t="str">
            <v>Hr</v>
          </cell>
          <cell r="G1060">
            <v>18615</v>
          </cell>
          <cell r="H1060">
            <v>148920</v>
          </cell>
          <cell r="I1060">
            <v>4939</v>
          </cell>
          <cell r="J1060">
            <v>39512</v>
          </cell>
          <cell r="K1060">
            <v>40975</v>
          </cell>
          <cell r="L1060">
            <v>327800</v>
          </cell>
        </row>
        <row r="1063">
          <cell r="A1063" t="str">
            <v xml:space="preserve">      계</v>
          </cell>
          <cell r="F1063">
            <v>744864</v>
          </cell>
          <cell r="H1063">
            <v>300248</v>
          </cell>
          <cell r="J1063">
            <v>80440</v>
          </cell>
          <cell r="L1063">
            <v>364176</v>
          </cell>
        </row>
        <row r="1079">
          <cell r="E1079" t="str">
            <v xml:space="preserve"> </v>
          </cell>
          <cell r="F1079" t="str">
            <v>STOP LOG LEAF 설치 소모 자재비</v>
          </cell>
        </row>
        <row r="1080">
          <cell r="E1080" t="str">
            <v xml:space="preserve"> </v>
          </cell>
        </row>
        <row r="1081">
          <cell r="A1081" t="str">
            <v>종       별</v>
          </cell>
          <cell r="C1081" t="str">
            <v>재 료 또 는</v>
          </cell>
          <cell r="D1081" t="str">
            <v xml:space="preserve">원 수 </v>
          </cell>
          <cell r="E1081" t="str">
            <v>단 위</v>
          </cell>
          <cell r="F1081" t="str">
            <v>총   액</v>
          </cell>
          <cell r="G1081" t="str">
            <v>노   무   비</v>
          </cell>
          <cell r="I1081" t="str">
            <v>재   료   비</v>
          </cell>
          <cell r="K1081" t="str">
            <v>경      비</v>
          </cell>
          <cell r="M1081" t="str">
            <v>비   고</v>
          </cell>
        </row>
        <row r="1082">
          <cell r="C1082" t="str">
            <v xml:space="preserve">규       격 </v>
          </cell>
          <cell r="F1082" t="str">
            <v>금   액</v>
          </cell>
          <cell r="G1082" t="str">
            <v>단  가</v>
          </cell>
          <cell r="H1082" t="str">
            <v>금   액</v>
          </cell>
          <cell r="I1082" t="str">
            <v>단  가</v>
          </cell>
          <cell r="J1082" t="str">
            <v>금   액</v>
          </cell>
          <cell r="K1082" t="str">
            <v>단  가</v>
          </cell>
          <cell r="L1082" t="str">
            <v>금   액</v>
          </cell>
        </row>
        <row r="1083">
          <cell r="A1083" t="str">
            <v>산       소</v>
          </cell>
          <cell r="C1083" t="str">
            <v>6,000L용</v>
          </cell>
          <cell r="D1083">
            <v>2.2999999999999998</v>
          </cell>
          <cell r="E1083" t="str">
            <v>병</v>
          </cell>
          <cell r="G1083" t="str">
            <v xml:space="preserve"> </v>
          </cell>
          <cell r="I1083">
            <v>12000</v>
          </cell>
          <cell r="J1083">
            <v>27600</v>
          </cell>
        </row>
        <row r="1084">
          <cell r="A1084" t="str">
            <v>아 세 치 렌</v>
          </cell>
          <cell r="C1084" t="str">
            <v>4,500L용</v>
          </cell>
          <cell r="D1084">
            <v>1.98</v>
          </cell>
          <cell r="E1084" t="str">
            <v>병</v>
          </cell>
          <cell r="I1084">
            <v>55392</v>
          </cell>
          <cell r="J1084">
            <v>109676</v>
          </cell>
        </row>
        <row r="1085">
          <cell r="A1085" t="str">
            <v>용   접  봉</v>
          </cell>
          <cell r="C1085" t="str">
            <v>SS41 , 4M/M</v>
          </cell>
          <cell r="D1085">
            <v>14.35</v>
          </cell>
          <cell r="E1085" t="str">
            <v>KG</v>
          </cell>
          <cell r="I1085">
            <v>1260</v>
          </cell>
          <cell r="J1085">
            <v>18081</v>
          </cell>
        </row>
        <row r="1086">
          <cell r="A1086" t="str">
            <v>함       석</v>
          </cell>
          <cell r="C1086" t="str">
            <v>#31x3'x6'</v>
          </cell>
          <cell r="D1086">
            <v>0.53</v>
          </cell>
          <cell r="E1086" t="str">
            <v>매</v>
          </cell>
          <cell r="I1086">
            <v>2825</v>
          </cell>
          <cell r="J1086">
            <v>1497</v>
          </cell>
        </row>
        <row r="1087">
          <cell r="A1087" t="str">
            <v>전       력</v>
          </cell>
          <cell r="D1087">
            <v>306</v>
          </cell>
          <cell r="E1087" t="str">
            <v>KWH</v>
          </cell>
          <cell r="K1087">
            <v>61.6</v>
          </cell>
          <cell r="L1087">
            <v>18849</v>
          </cell>
        </row>
        <row r="1089">
          <cell r="A1089" t="str">
            <v xml:space="preserve"> </v>
          </cell>
        </row>
        <row r="1091">
          <cell r="B1091" t="str">
            <v>계</v>
          </cell>
          <cell r="F1091">
            <v>175703</v>
          </cell>
          <cell r="J1091">
            <v>156854</v>
          </cell>
          <cell r="L1091">
            <v>18849</v>
          </cell>
        </row>
        <row r="1092">
          <cell r="A1092" t="str">
            <v xml:space="preserve"> </v>
          </cell>
        </row>
        <row r="1093">
          <cell r="A1093" t="str">
            <v xml:space="preserve"> </v>
          </cell>
        </row>
        <row r="1094">
          <cell r="A1094" t="str">
            <v xml:space="preserve"> </v>
          </cell>
        </row>
        <row r="1095">
          <cell r="A1095" t="str">
            <v xml:space="preserve"> </v>
          </cell>
        </row>
        <row r="1096">
          <cell r="A1096" t="str">
            <v xml:space="preserve"> </v>
          </cell>
        </row>
        <row r="1097">
          <cell r="A1097" t="str">
            <v xml:space="preserve"> </v>
          </cell>
        </row>
        <row r="1098">
          <cell r="A1098" t="str">
            <v xml:space="preserve"> </v>
          </cell>
        </row>
        <row r="1099">
          <cell r="A1099" t="str">
            <v xml:space="preserve"> </v>
          </cell>
        </row>
        <row r="1100">
          <cell r="A1100" t="str">
            <v xml:space="preserve"> </v>
          </cell>
        </row>
        <row r="1101">
          <cell r="A1101" t="str">
            <v xml:space="preserve"> </v>
          </cell>
        </row>
        <row r="1102">
          <cell r="A1102" t="str">
            <v xml:space="preserve"> </v>
          </cell>
        </row>
        <row r="1103">
          <cell r="A1103" t="str">
            <v xml:space="preserve"> </v>
          </cell>
        </row>
        <row r="1105">
          <cell r="A1105" t="str">
            <v xml:space="preserve"> </v>
          </cell>
        </row>
        <row r="1106">
          <cell r="A1106" t="str">
            <v xml:space="preserve"> </v>
          </cell>
        </row>
        <row r="1107">
          <cell r="A1107" t="str">
            <v xml:space="preserve"> </v>
          </cell>
        </row>
        <row r="1108">
          <cell r="E1108" t="str">
            <v xml:space="preserve"> </v>
          </cell>
          <cell r="F1108" t="str">
            <v>RADIAL GATE LEAF 제작 인건비</v>
          </cell>
        </row>
        <row r="1109">
          <cell r="E1109" t="str">
            <v xml:space="preserve"> </v>
          </cell>
        </row>
        <row r="1110">
          <cell r="A1110" t="str">
            <v>종       별</v>
          </cell>
          <cell r="C1110" t="str">
            <v>재 료 또 는</v>
          </cell>
          <cell r="F1110" t="str">
            <v>총   액</v>
          </cell>
          <cell r="G1110" t="str">
            <v xml:space="preserve">    노   무   비</v>
          </cell>
          <cell r="I1110" t="str">
            <v xml:space="preserve">    재   료   비</v>
          </cell>
          <cell r="K1110" t="str">
            <v xml:space="preserve">    경      비</v>
          </cell>
        </row>
        <row r="1111">
          <cell r="C1111" t="str">
            <v xml:space="preserve">규       격 </v>
          </cell>
          <cell r="E1111" t="str">
            <v xml:space="preserve"> </v>
          </cell>
          <cell r="F1111" t="str">
            <v>금   액</v>
          </cell>
          <cell r="G1111" t="str">
            <v>단  가</v>
          </cell>
          <cell r="H1111" t="str">
            <v>금   액</v>
          </cell>
          <cell r="I1111" t="str">
            <v>단  가</v>
          </cell>
          <cell r="J1111" t="str">
            <v>금   액</v>
          </cell>
          <cell r="K1111" t="str">
            <v>단  가</v>
          </cell>
          <cell r="L1111" t="str">
            <v>금   액</v>
          </cell>
        </row>
        <row r="1112">
          <cell r="A1112" t="str">
            <v>기술관리</v>
          </cell>
          <cell r="C1112" t="str">
            <v>기계기사1급</v>
          </cell>
          <cell r="D1112">
            <v>0.5</v>
          </cell>
          <cell r="E1112" t="str">
            <v>인</v>
          </cell>
          <cell r="G1112">
            <v>97488</v>
          </cell>
          <cell r="H1112">
            <v>48744</v>
          </cell>
        </row>
        <row r="1113">
          <cell r="A1113" t="str">
            <v>본  뜨  기</v>
          </cell>
          <cell r="C1113" t="str">
            <v>프랜트 제관공</v>
          </cell>
          <cell r="D1113">
            <v>0.52300000000000002</v>
          </cell>
          <cell r="E1113" t="str">
            <v>인</v>
          </cell>
          <cell r="G1113">
            <v>81966</v>
          </cell>
          <cell r="H1113">
            <v>42868</v>
          </cell>
        </row>
        <row r="1114">
          <cell r="A1114" t="str">
            <v>금  긋  기</v>
          </cell>
          <cell r="C1114" t="str">
            <v>프랜트 제관공</v>
          </cell>
          <cell r="D1114">
            <v>1.39</v>
          </cell>
          <cell r="E1114" t="str">
            <v>인</v>
          </cell>
          <cell r="G1114">
            <v>81966</v>
          </cell>
          <cell r="H1114">
            <v>113932</v>
          </cell>
        </row>
        <row r="1115">
          <cell r="A1115" t="str">
            <v>절      단</v>
          </cell>
          <cell r="C1115" t="str">
            <v>프랜트 제관공</v>
          </cell>
          <cell r="D1115">
            <v>0.38</v>
          </cell>
          <cell r="E1115" t="str">
            <v>인</v>
          </cell>
          <cell r="G1115">
            <v>81966</v>
          </cell>
          <cell r="H1115">
            <v>31147</v>
          </cell>
        </row>
        <row r="1116">
          <cell r="A1116" t="str">
            <v>가      공</v>
          </cell>
          <cell r="C1116" t="str">
            <v>프랜트 제관공</v>
          </cell>
          <cell r="D1116">
            <v>1.59</v>
          </cell>
          <cell r="E1116" t="str">
            <v>인</v>
          </cell>
          <cell r="G1116">
            <v>81966</v>
          </cell>
          <cell r="H1116">
            <v>130325</v>
          </cell>
        </row>
        <row r="1118">
          <cell r="A1118" t="str">
            <v>구 멍 뚫 기</v>
          </cell>
          <cell r="C1118" t="str">
            <v>프랜트 제관공</v>
          </cell>
          <cell r="D1118">
            <v>0.47499999999999998</v>
          </cell>
          <cell r="E1118" t="str">
            <v>인</v>
          </cell>
          <cell r="G1118">
            <v>81966</v>
          </cell>
          <cell r="H1118">
            <v>38933</v>
          </cell>
        </row>
        <row r="1119">
          <cell r="A1119" t="str">
            <v>용      접</v>
          </cell>
          <cell r="C1119" t="str">
            <v>프랜트 용접공</v>
          </cell>
          <cell r="D1119">
            <v>2.5499999999999998</v>
          </cell>
          <cell r="E1119" t="str">
            <v>인</v>
          </cell>
          <cell r="G1119">
            <v>95379</v>
          </cell>
          <cell r="H1119">
            <v>243216</v>
          </cell>
        </row>
        <row r="1120">
          <cell r="A1120" t="str">
            <v>부 품 조 립</v>
          </cell>
          <cell r="C1120" t="str">
            <v>비   계   공</v>
          </cell>
          <cell r="D1120">
            <v>1.3049999999999999</v>
          </cell>
          <cell r="E1120" t="str">
            <v>인</v>
          </cell>
          <cell r="G1120">
            <v>79467</v>
          </cell>
          <cell r="H1120">
            <v>103704</v>
          </cell>
        </row>
        <row r="1121">
          <cell r="C1121" t="str">
            <v>프랜트기계설치공</v>
          </cell>
          <cell r="D1121">
            <v>1.3049999999999999</v>
          </cell>
          <cell r="E1121" t="str">
            <v>인</v>
          </cell>
          <cell r="G1121">
            <v>80805</v>
          </cell>
          <cell r="H1121">
            <v>105450</v>
          </cell>
        </row>
        <row r="1122">
          <cell r="A1122" t="str">
            <v>소운반 조작</v>
          </cell>
          <cell r="C1122" t="str">
            <v>비   계   공</v>
          </cell>
          <cell r="D1122">
            <v>0.98</v>
          </cell>
          <cell r="E1122" t="str">
            <v>인</v>
          </cell>
          <cell r="G1122">
            <v>79467</v>
          </cell>
          <cell r="H1122">
            <v>77877</v>
          </cell>
        </row>
        <row r="1124">
          <cell r="A1124" t="str">
            <v>가   조   립</v>
          </cell>
          <cell r="C1124" t="str">
            <v>비   계   공</v>
          </cell>
          <cell r="D1124">
            <v>1.0329999999999999</v>
          </cell>
          <cell r="E1124" t="str">
            <v>인</v>
          </cell>
          <cell r="G1124">
            <v>79467</v>
          </cell>
          <cell r="H1124">
            <v>82089</v>
          </cell>
        </row>
        <row r="1125">
          <cell r="C1125" t="str">
            <v>프랜트 제관공</v>
          </cell>
          <cell r="D1125">
            <v>2.1160000000000001</v>
          </cell>
          <cell r="E1125" t="str">
            <v>인</v>
          </cell>
          <cell r="G1125">
            <v>81966</v>
          </cell>
          <cell r="H1125">
            <v>173440</v>
          </cell>
        </row>
        <row r="1126">
          <cell r="C1126" t="str">
            <v>프랜트 용접공</v>
          </cell>
          <cell r="D1126">
            <v>1.02</v>
          </cell>
          <cell r="E1126" t="str">
            <v>인</v>
          </cell>
          <cell r="G1126">
            <v>95379</v>
          </cell>
          <cell r="H1126">
            <v>97286</v>
          </cell>
        </row>
        <row r="1127">
          <cell r="C1127" t="str">
            <v>측   량   사</v>
          </cell>
          <cell r="D1127">
            <v>0.17199999999999999</v>
          </cell>
          <cell r="E1127" t="str">
            <v>인</v>
          </cell>
          <cell r="G1127">
            <v>58506</v>
          </cell>
          <cell r="H1127">
            <v>10063</v>
          </cell>
        </row>
        <row r="1128">
          <cell r="C1128" t="str">
            <v>프랜트기계설치공</v>
          </cell>
          <cell r="D1128">
            <v>0.62</v>
          </cell>
          <cell r="E1128" t="str">
            <v>인</v>
          </cell>
          <cell r="G1128">
            <v>80805</v>
          </cell>
          <cell r="H1128">
            <v>50099</v>
          </cell>
        </row>
        <row r="1129">
          <cell r="E1129" t="str">
            <v xml:space="preserve"> </v>
          </cell>
        </row>
        <row r="1130">
          <cell r="C1130" t="str">
            <v>특 별 인 부</v>
          </cell>
          <cell r="D1130">
            <v>0.372</v>
          </cell>
          <cell r="E1130" t="str">
            <v>인</v>
          </cell>
          <cell r="G1130">
            <v>57379</v>
          </cell>
          <cell r="H1130">
            <v>21344</v>
          </cell>
        </row>
        <row r="1131">
          <cell r="A1131" t="str">
            <v>검사 및 교정</v>
          </cell>
          <cell r="C1131" t="str">
            <v>기술관리 제외한</v>
          </cell>
          <cell r="D1131" t="str">
            <v>1</v>
          </cell>
          <cell r="E1131" t="str">
            <v>식</v>
          </cell>
          <cell r="H1131">
            <v>132177</v>
          </cell>
        </row>
        <row r="1132">
          <cell r="C1132" t="str">
            <v>10%</v>
          </cell>
        </row>
        <row r="1134">
          <cell r="B1134" t="str">
            <v>계</v>
          </cell>
          <cell r="F1134">
            <v>1502694</v>
          </cell>
          <cell r="H1134">
            <v>1502694</v>
          </cell>
        </row>
        <row r="1137">
          <cell r="E1137" t="str">
            <v xml:space="preserve"> </v>
          </cell>
          <cell r="F1137" t="str">
            <v>RADIAL GATE LEAF 제작 사용장비 경비</v>
          </cell>
        </row>
        <row r="1138">
          <cell r="E1138" t="str">
            <v xml:space="preserve"> </v>
          </cell>
        </row>
        <row r="1139">
          <cell r="A1139" t="str">
            <v>종       별</v>
          </cell>
          <cell r="C1139" t="str">
            <v>재 료 또 는</v>
          </cell>
          <cell r="D1139" t="str">
            <v xml:space="preserve">원 수 </v>
          </cell>
          <cell r="E1139" t="str">
            <v>단 위</v>
          </cell>
          <cell r="F1139" t="str">
            <v>총   액</v>
          </cell>
          <cell r="G1139" t="str">
            <v>노   무   비</v>
          </cell>
          <cell r="I1139" t="str">
            <v>재   료   비</v>
          </cell>
          <cell r="K1139" t="str">
            <v>경      비</v>
          </cell>
          <cell r="M1139" t="str">
            <v>비   고</v>
          </cell>
        </row>
        <row r="1140">
          <cell r="C1140" t="str">
            <v xml:space="preserve">규       격 </v>
          </cell>
          <cell r="F1140" t="str">
            <v>금   액</v>
          </cell>
          <cell r="G1140" t="str">
            <v>단  가</v>
          </cell>
          <cell r="H1140" t="str">
            <v>금   액</v>
          </cell>
          <cell r="I1140" t="str">
            <v>단  가</v>
          </cell>
          <cell r="J1140" t="str">
            <v>금   액</v>
          </cell>
          <cell r="K1140" t="str">
            <v>단  가</v>
          </cell>
          <cell r="L1140" t="str">
            <v>금   액</v>
          </cell>
        </row>
        <row r="1141">
          <cell r="A1141" t="str">
            <v>LATHE</v>
          </cell>
          <cell r="C1141" t="str">
            <v>12FT x 7.5HP</v>
          </cell>
          <cell r="D1141">
            <v>0.64</v>
          </cell>
          <cell r="E1141" t="str">
            <v>Hr</v>
          </cell>
          <cell r="G1141">
            <v>3418</v>
          </cell>
          <cell r="H1141">
            <v>2187</v>
          </cell>
          <cell r="K1141">
            <v>3775</v>
          </cell>
          <cell r="L1141">
            <v>2416</v>
          </cell>
        </row>
        <row r="1142">
          <cell r="A1142" t="str">
            <v>PLANER</v>
          </cell>
          <cell r="C1142" t="str">
            <v>4FT x 8FT</v>
          </cell>
          <cell r="D1142">
            <v>0.72</v>
          </cell>
          <cell r="E1142" t="str">
            <v>Hr</v>
          </cell>
          <cell r="G1142">
            <v>3129</v>
          </cell>
          <cell r="H1142">
            <v>2252</v>
          </cell>
          <cell r="K1142">
            <v>2743</v>
          </cell>
          <cell r="L1142">
            <v>1974</v>
          </cell>
        </row>
        <row r="1143">
          <cell r="A1143" t="str">
            <v>BORING M/C</v>
          </cell>
          <cell r="C1143" t="str">
            <v>Hori.type,3HP</v>
          </cell>
          <cell r="D1143">
            <v>1.72</v>
          </cell>
          <cell r="E1143" t="str">
            <v>Hr</v>
          </cell>
          <cell r="G1143">
            <v>3547</v>
          </cell>
          <cell r="H1143">
            <v>6100</v>
          </cell>
          <cell r="K1143">
            <v>8928</v>
          </cell>
          <cell r="L1143">
            <v>15356</v>
          </cell>
        </row>
        <row r="1144">
          <cell r="A1144" t="str">
            <v>UNION MELT WELDER</v>
          </cell>
          <cell r="C1144" t="str">
            <v>5.5 KVA</v>
          </cell>
          <cell r="D1144">
            <v>2.8559999999999999</v>
          </cell>
          <cell r="E1144" t="str">
            <v>Hr</v>
          </cell>
          <cell r="G1144">
            <v>3488</v>
          </cell>
          <cell r="H1144">
            <v>9961</v>
          </cell>
          <cell r="K1144">
            <v>1797</v>
          </cell>
          <cell r="L1144">
            <v>5132</v>
          </cell>
        </row>
        <row r="1145">
          <cell r="A1145" t="str">
            <v>A.C WELDER</v>
          </cell>
          <cell r="C1145" t="str">
            <v>10KVA</v>
          </cell>
          <cell r="D1145">
            <v>8.5679999999999996</v>
          </cell>
          <cell r="E1145" t="str">
            <v>Hr</v>
          </cell>
          <cell r="K1145">
            <v>107</v>
          </cell>
          <cell r="L1145">
            <v>916</v>
          </cell>
        </row>
        <row r="1146">
          <cell r="E1146" t="str">
            <v xml:space="preserve"> </v>
          </cell>
        </row>
        <row r="1147">
          <cell r="A1147" t="str">
            <v>GOUGING M/C</v>
          </cell>
          <cell r="C1147" t="str">
            <v>중 형</v>
          </cell>
          <cell r="D1147">
            <v>3.06</v>
          </cell>
          <cell r="E1147" t="str">
            <v>Hr</v>
          </cell>
          <cell r="G1147">
            <v>3380</v>
          </cell>
          <cell r="H1147">
            <v>10342</v>
          </cell>
          <cell r="K1147">
            <v>670</v>
          </cell>
          <cell r="L1147">
            <v>2050</v>
          </cell>
        </row>
        <row r="1148">
          <cell r="A1148" t="str">
            <v>GAS CUTTING M/C</v>
          </cell>
          <cell r="C1148" t="str">
            <v>Auto형</v>
          </cell>
          <cell r="D1148">
            <v>1.24</v>
          </cell>
          <cell r="E1148" t="str">
            <v>Hr</v>
          </cell>
          <cell r="G1148">
            <v>11922</v>
          </cell>
          <cell r="H1148">
            <v>14783</v>
          </cell>
          <cell r="K1148">
            <v>119</v>
          </cell>
          <cell r="L1148">
            <v>147</v>
          </cell>
        </row>
        <row r="1149">
          <cell r="A1149" t="str">
            <v>GAS CUTTING M/C</v>
          </cell>
          <cell r="C1149" t="str">
            <v>수 동</v>
          </cell>
          <cell r="D1149">
            <v>1.8</v>
          </cell>
          <cell r="E1149" t="str">
            <v>Hr</v>
          </cell>
          <cell r="G1149">
            <v>3974</v>
          </cell>
          <cell r="H1149">
            <v>7153</v>
          </cell>
          <cell r="K1149">
            <v>115</v>
          </cell>
          <cell r="L1149">
            <v>207</v>
          </cell>
        </row>
        <row r="1150">
          <cell r="A1150" t="str">
            <v>GAS HEATING TOUCH</v>
          </cell>
          <cell r="C1150" t="str">
            <v>중 형</v>
          </cell>
          <cell r="D1150">
            <v>3.984</v>
          </cell>
          <cell r="E1150" t="str">
            <v>Hr</v>
          </cell>
          <cell r="G1150">
            <v>3174</v>
          </cell>
          <cell r="H1150">
            <v>12645</v>
          </cell>
          <cell r="K1150">
            <v>115</v>
          </cell>
          <cell r="L1150">
            <v>458</v>
          </cell>
        </row>
        <row r="1152">
          <cell r="A1152" t="str">
            <v>OVER HEAD CRANE</v>
          </cell>
          <cell r="C1152" t="str">
            <v>30 TON</v>
          </cell>
          <cell r="D1152">
            <v>0.75900000000000001</v>
          </cell>
          <cell r="E1152" t="str">
            <v>Hr</v>
          </cell>
          <cell r="G1152">
            <v>9681</v>
          </cell>
          <cell r="H1152">
            <v>7347</v>
          </cell>
          <cell r="K1152">
            <v>3338</v>
          </cell>
          <cell r="L1152">
            <v>2533</v>
          </cell>
        </row>
        <row r="1153">
          <cell r="A1153" t="str">
            <v>OVER HEAD CRANE</v>
          </cell>
          <cell r="C1153" t="str">
            <v>20 TON</v>
          </cell>
          <cell r="D1153">
            <v>0.75900000000000001</v>
          </cell>
          <cell r="E1153" t="str">
            <v>Hr</v>
          </cell>
          <cell r="G1153">
            <v>9681</v>
          </cell>
          <cell r="H1153">
            <v>7347</v>
          </cell>
          <cell r="K1153">
            <v>3338</v>
          </cell>
          <cell r="L1153">
            <v>2533</v>
          </cell>
        </row>
        <row r="1154">
          <cell r="A1154" t="str">
            <v>HYDRO PRESS</v>
          </cell>
          <cell r="C1154" t="str">
            <v>300 TON</v>
          </cell>
          <cell r="D1154">
            <v>1.7709999999999999</v>
          </cell>
          <cell r="E1154" t="str">
            <v>Hr</v>
          </cell>
          <cell r="G1154">
            <v>3281</v>
          </cell>
          <cell r="H1154">
            <v>5810</v>
          </cell>
          <cell r="K1154">
            <v>8463</v>
          </cell>
          <cell r="L1154">
            <v>14987</v>
          </cell>
        </row>
        <row r="1155">
          <cell r="A1155" t="str">
            <v>BENDING ROLLER</v>
          </cell>
          <cell r="C1155" t="str">
            <v>23 FT</v>
          </cell>
          <cell r="D1155">
            <v>1.48</v>
          </cell>
          <cell r="E1155" t="str">
            <v>Hr</v>
          </cell>
          <cell r="G1155">
            <v>4281</v>
          </cell>
          <cell r="H1155">
            <v>6335</v>
          </cell>
          <cell r="K1155">
            <v>6323</v>
          </cell>
          <cell r="L1155">
            <v>9358</v>
          </cell>
        </row>
        <row r="1156">
          <cell r="A1156" t="str">
            <v>EDGE BENDING ROLLER</v>
          </cell>
          <cell r="C1156" t="str">
            <v>23 FT</v>
          </cell>
          <cell r="D1156">
            <v>1.38</v>
          </cell>
          <cell r="E1156" t="str">
            <v>Hr</v>
          </cell>
          <cell r="G1156">
            <v>4281</v>
          </cell>
          <cell r="H1156">
            <v>5907</v>
          </cell>
          <cell r="K1156">
            <v>9484.5</v>
          </cell>
          <cell r="L1156">
            <v>13088</v>
          </cell>
        </row>
        <row r="1158">
          <cell r="A1158" t="str">
            <v>SHEARING M/C</v>
          </cell>
          <cell r="D1158">
            <v>0.64</v>
          </cell>
          <cell r="E1158" t="str">
            <v>Hr</v>
          </cell>
          <cell r="G1158">
            <v>3688</v>
          </cell>
          <cell r="H1158">
            <v>2360</v>
          </cell>
          <cell r="K1158">
            <v>3209</v>
          </cell>
          <cell r="L1158">
            <v>2053</v>
          </cell>
        </row>
        <row r="1159">
          <cell r="A1159" t="str">
            <v>DRILLING M/C</v>
          </cell>
          <cell r="C1159" t="str">
            <v>3 HP</v>
          </cell>
          <cell r="D1159">
            <v>0.36799999999999999</v>
          </cell>
          <cell r="E1159" t="str">
            <v>Hr</v>
          </cell>
          <cell r="G1159">
            <v>3401</v>
          </cell>
          <cell r="H1159">
            <v>1251</v>
          </cell>
          <cell r="K1159">
            <v>576</v>
          </cell>
          <cell r="L1159">
            <v>211</v>
          </cell>
        </row>
        <row r="1160">
          <cell r="A1160" t="str">
            <v>DRILLING M/C</v>
          </cell>
          <cell r="C1160" t="str">
            <v>Radial,5 HP</v>
          </cell>
          <cell r="D1160">
            <v>0.184</v>
          </cell>
          <cell r="E1160" t="str">
            <v>Hr</v>
          </cell>
          <cell r="G1160">
            <v>3401</v>
          </cell>
          <cell r="H1160">
            <v>625</v>
          </cell>
          <cell r="K1160">
            <v>1720</v>
          </cell>
          <cell r="L1160">
            <v>316</v>
          </cell>
        </row>
        <row r="1161">
          <cell r="A1161" t="str">
            <v>PORTABLE DRILL</v>
          </cell>
          <cell r="C1161" t="str">
            <v>0.5 HP</v>
          </cell>
          <cell r="D1161">
            <v>1.532</v>
          </cell>
          <cell r="E1161" t="str">
            <v>Hr</v>
          </cell>
          <cell r="K1161">
            <v>12</v>
          </cell>
          <cell r="L1161">
            <v>18</v>
          </cell>
        </row>
        <row r="1162">
          <cell r="A1162" t="str">
            <v>TRUCK CRANE</v>
          </cell>
          <cell r="C1162" t="str">
            <v>30 TON</v>
          </cell>
          <cell r="D1162">
            <v>0.50600000000000001</v>
          </cell>
          <cell r="E1162" t="str">
            <v>Hr</v>
          </cell>
          <cell r="G1162">
            <v>18615</v>
          </cell>
          <cell r="H1162">
            <v>9419</v>
          </cell>
          <cell r="I1162">
            <v>7046</v>
          </cell>
          <cell r="J1162">
            <v>3565</v>
          </cell>
          <cell r="K1162">
            <v>44939</v>
          </cell>
          <cell r="L1162">
            <v>22739</v>
          </cell>
        </row>
        <row r="1164">
          <cell r="A1164" t="str">
            <v>리프트 트럭</v>
          </cell>
          <cell r="C1164" t="str">
            <v xml:space="preserve"> 5 TON</v>
          </cell>
          <cell r="D1164">
            <v>0.50600000000000001</v>
          </cell>
          <cell r="E1164" t="str">
            <v>Hr</v>
          </cell>
          <cell r="G1164">
            <v>9681</v>
          </cell>
          <cell r="H1164">
            <v>4898</v>
          </cell>
          <cell r="I1164">
            <v>5116.08</v>
          </cell>
          <cell r="J1164">
            <v>2588</v>
          </cell>
          <cell r="K1164">
            <v>4863</v>
          </cell>
          <cell r="L1164">
            <v>2460</v>
          </cell>
        </row>
        <row r="1165">
          <cell r="A1165" t="str">
            <v>TRAILER</v>
          </cell>
          <cell r="C1165" t="str">
            <v>30 TON</v>
          </cell>
          <cell r="D1165">
            <v>0.50600000000000001</v>
          </cell>
          <cell r="E1165" t="str">
            <v>Hr</v>
          </cell>
          <cell r="G1165">
            <v>8683</v>
          </cell>
          <cell r="H1165">
            <v>4393</v>
          </cell>
          <cell r="I1165">
            <v>15763</v>
          </cell>
          <cell r="J1165">
            <v>7976</v>
          </cell>
          <cell r="K1165">
            <v>27414</v>
          </cell>
          <cell r="L1165">
            <v>13871</v>
          </cell>
        </row>
        <row r="1166">
          <cell r="A1166" t="str">
            <v>종       별</v>
          </cell>
          <cell r="C1166" t="str">
            <v>재 료 또 는</v>
          </cell>
          <cell r="D1166" t="str">
            <v xml:space="preserve">원 수 </v>
          </cell>
          <cell r="E1166" t="str">
            <v>단 위</v>
          </cell>
          <cell r="F1166" t="str">
            <v>총   액</v>
          </cell>
          <cell r="G1166" t="str">
            <v>노   무   비</v>
          </cell>
          <cell r="I1166" t="str">
            <v>재   료   비</v>
          </cell>
          <cell r="K1166" t="str">
            <v>경      비</v>
          </cell>
          <cell r="M1166" t="str">
            <v>비   고</v>
          </cell>
        </row>
        <row r="1167">
          <cell r="C1167" t="str">
            <v xml:space="preserve">규       격 </v>
          </cell>
          <cell r="F1167" t="str">
            <v>금   액</v>
          </cell>
          <cell r="G1167" t="str">
            <v>단  가</v>
          </cell>
          <cell r="H1167" t="str">
            <v>금   액</v>
          </cell>
          <cell r="I1167" t="str">
            <v>단  가</v>
          </cell>
          <cell r="J1167" t="str">
            <v>금   액</v>
          </cell>
          <cell r="K1167" t="str">
            <v>단  가</v>
          </cell>
          <cell r="L1167" t="str">
            <v>금   액</v>
          </cell>
        </row>
        <row r="1168">
          <cell r="A1168" t="str">
            <v>COMPRESSOR</v>
          </cell>
          <cell r="C1168" t="str">
            <v>7.1㎥/min</v>
          </cell>
          <cell r="D1168">
            <v>3.79</v>
          </cell>
          <cell r="E1168" t="str">
            <v>Hr</v>
          </cell>
          <cell r="G1168">
            <v>9681</v>
          </cell>
          <cell r="H1168">
            <v>36690</v>
          </cell>
          <cell r="I1168">
            <v>8779</v>
          </cell>
          <cell r="J1168">
            <v>33272</v>
          </cell>
          <cell r="K1168">
            <v>6250</v>
          </cell>
          <cell r="L1168">
            <v>23687</v>
          </cell>
        </row>
        <row r="1170">
          <cell r="B1170" t="str">
            <v>계</v>
          </cell>
          <cell r="F1170">
            <v>341716</v>
          </cell>
          <cell r="H1170">
            <v>157805</v>
          </cell>
          <cell r="J1170">
            <v>47401</v>
          </cell>
          <cell r="K1170" t="str">
            <v xml:space="preserve"> </v>
          </cell>
          <cell r="L1170">
            <v>136510</v>
          </cell>
        </row>
        <row r="1195">
          <cell r="E1195" t="str">
            <v xml:space="preserve"> </v>
          </cell>
          <cell r="F1195" t="str">
            <v>RADIAL GATE LEAF 제작 소모 자재비</v>
          </cell>
        </row>
        <row r="1196">
          <cell r="E1196" t="str">
            <v xml:space="preserve"> </v>
          </cell>
        </row>
        <row r="1197">
          <cell r="A1197" t="str">
            <v>종       별</v>
          </cell>
          <cell r="C1197" t="str">
            <v>재 료 또 는</v>
          </cell>
          <cell r="D1197" t="str">
            <v xml:space="preserve">원 수 </v>
          </cell>
          <cell r="E1197" t="str">
            <v>단 위</v>
          </cell>
          <cell r="F1197" t="str">
            <v>총   액</v>
          </cell>
          <cell r="G1197" t="str">
            <v>노   무   비</v>
          </cell>
          <cell r="I1197" t="str">
            <v>재   료   비</v>
          </cell>
          <cell r="K1197" t="str">
            <v>경      비</v>
          </cell>
          <cell r="M1197" t="str">
            <v>비   고</v>
          </cell>
        </row>
        <row r="1198">
          <cell r="C1198" t="str">
            <v xml:space="preserve">규       격 </v>
          </cell>
          <cell r="F1198" t="str">
            <v>금   액</v>
          </cell>
          <cell r="G1198" t="str">
            <v>단  가</v>
          </cell>
          <cell r="H1198" t="str">
            <v>금   액</v>
          </cell>
          <cell r="I1198" t="str">
            <v>단  가</v>
          </cell>
          <cell r="J1198" t="str">
            <v>금   액</v>
          </cell>
          <cell r="K1198" t="str">
            <v>단  가</v>
          </cell>
          <cell r="L1198" t="str">
            <v>금   액</v>
          </cell>
        </row>
        <row r="1199">
          <cell r="A1199" t="str">
            <v>산       소</v>
          </cell>
          <cell r="C1199" t="str">
            <v>6,000L용</v>
          </cell>
          <cell r="D1199">
            <v>3.76</v>
          </cell>
          <cell r="E1199" t="str">
            <v>병</v>
          </cell>
          <cell r="G1199" t="str">
            <v xml:space="preserve"> </v>
          </cell>
          <cell r="I1199">
            <v>12000</v>
          </cell>
          <cell r="J1199">
            <v>45120</v>
          </cell>
        </row>
        <row r="1200">
          <cell r="A1200" t="str">
            <v>아 세 치 렌</v>
          </cell>
          <cell r="C1200" t="str">
            <v>4,500L용</v>
          </cell>
          <cell r="D1200">
            <v>3.23</v>
          </cell>
          <cell r="E1200" t="str">
            <v>병</v>
          </cell>
          <cell r="I1200">
            <v>55392</v>
          </cell>
          <cell r="J1200">
            <v>178916</v>
          </cell>
        </row>
        <row r="1201">
          <cell r="A1201" t="str">
            <v>함       석</v>
          </cell>
          <cell r="C1201" t="str">
            <v>#31 x 3' x 6'</v>
          </cell>
          <cell r="D1201">
            <v>0.71</v>
          </cell>
          <cell r="E1201" t="str">
            <v>매</v>
          </cell>
          <cell r="I1201">
            <v>2825</v>
          </cell>
          <cell r="J1201">
            <v>2005</v>
          </cell>
        </row>
        <row r="1202">
          <cell r="A1202" t="str">
            <v>용   접  봉</v>
          </cell>
          <cell r="C1202" t="str">
            <v>SS400, 4M/Mx350L</v>
          </cell>
          <cell r="D1202">
            <v>24.99</v>
          </cell>
          <cell r="E1202" t="str">
            <v>KG</v>
          </cell>
          <cell r="I1202">
            <v>1260</v>
          </cell>
          <cell r="J1202">
            <v>31487</v>
          </cell>
        </row>
        <row r="1203">
          <cell r="A1203" t="str">
            <v>전       력</v>
          </cell>
          <cell r="D1203">
            <v>370</v>
          </cell>
          <cell r="E1203" t="str">
            <v>KWH</v>
          </cell>
          <cell r="K1203">
            <v>61.6</v>
          </cell>
          <cell r="L1203">
            <v>22792</v>
          </cell>
        </row>
        <row r="1204">
          <cell r="E1204" t="str">
            <v xml:space="preserve"> </v>
          </cell>
          <cell r="K1204" t="str">
            <v xml:space="preserve"> </v>
          </cell>
        </row>
        <row r="1206">
          <cell r="B1206" t="str">
            <v>계</v>
          </cell>
          <cell r="F1206">
            <v>280320</v>
          </cell>
          <cell r="J1206">
            <v>257528</v>
          </cell>
          <cell r="L1206">
            <v>22792</v>
          </cell>
        </row>
        <row r="1224">
          <cell r="E1224" t="str">
            <v xml:space="preserve"> </v>
          </cell>
          <cell r="F1224" t="str">
            <v>RADIAL GATE GUIDE FRAME 제작 인건비</v>
          </cell>
        </row>
        <row r="1225">
          <cell r="E1225" t="str">
            <v xml:space="preserve"> </v>
          </cell>
        </row>
        <row r="1226">
          <cell r="A1226" t="str">
            <v>종       별</v>
          </cell>
          <cell r="C1226" t="str">
            <v>재 료 또 는</v>
          </cell>
          <cell r="D1226" t="str">
            <v xml:space="preserve">원 수 </v>
          </cell>
          <cell r="E1226" t="str">
            <v>단 위</v>
          </cell>
          <cell r="F1226" t="str">
            <v>총   액</v>
          </cell>
          <cell r="G1226" t="str">
            <v>노   무   비</v>
          </cell>
          <cell r="I1226" t="str">
            <v>재   료   비</v>
          </cell>
          <cell r="K1226" t="str">
            <v>경      비</v>
          </cell>
          <cell r="M1226" t="str">
            <v>비   고</v>
          </cell>
        </row>
        <row r="1227">
          <cell r="C1227" t="str">
            <v xml:space="preserve">규       격 </v>
          </cell>
          <cell r="F1227" t="str">
            <v>금   액</v>
          </cell>
          <cell r="G1227" t="str">
            <v>단  가</v>
          </cell>
          <cell r="H1227" t="str">
            <v>금   액</v>
          </cell>
          <cell r="I1227" t="str">
            <v>단  가</v>
          </cell>
          <cell r="J1227" t="str">
            <v>금   액</v>
          </cell>
          <cell r="K1227" t="str">
            <v>단  가</v>
          </cell>
          <cell r="L1227" t="str">
            <v>금   액</v>
          </cell>
        </row>
        <row r="1228">
          <cell r="A1228" t="str">
            <v>기 술 관 리</v>
          </cell>
          <cell r="C1228" t="str">
            <v>기계기사1급</v>
          </cell>
          <cell r="D1228">
            <v>8</v>
          </cell>
          <cell r="E1228" t="str">
            <v>인</v>
          </cell>
          <cell r="G1228">
            <v>97488</v>
          </cell>
          <cell r="H1228">
            <v>779904</v>
          </cell>
        </row>
        <row r="1229">
          <cell r="A1229" t="str">
            <v>재료 절단 사도</v>
          </cell>
          <cell r="C1229" t="str">
            <v>제   도   공</v>
          </cell>
          <cell r="D1229">
            <v>2</v>
          </cell>
          <cell r="E1229" t="str">
            <v>인</v>
          </cell>
          <cell r="G1229">
            <v>32747</v>
          </cell>
          <cell r="H1229">
            <v>65494</v>
          </cell>
        </row>
        <row r="1230">
          <cell r="A1230" t="str">
            <v xml:space="preserve"> </v>
          </cell>
          <cell r="B1230" t="str">
            <v>현    도</v>
          </cell>
          <cell r="C1230" t="str">
            <v>현   도   공</v>
          </cell>
          <cell r="D1230">
            <v>1.4</v>
          </cell>
          <cell r="E1230" t="str">
            <v>인</v>
          </cell>
          <cell r="G1230">
            <v>28487</v>
          </cell>
          <cell r="H1230">
            <v>39881</v>
          </cell>
        </row>
        <row r="1231">
          <cell r="A1231" t="str">
            <v xml:space="preserve"> </v>
          </cell>
          <cell r="B1231" t="str">
            <v>괘    서</v>
          </cell>
          <cell r="C1231" t="str">
            <v>마   킹   공</v>
          </cell>
          <cell r="D1231">
            <v>2.8</v>
          </cell>
          <cell r="E1231" t="str">
            <v>인</v>
          </cell>
          <cell r="G1231">
            <v>26924</v>
          </cell>
          <cell r="H1231">
            <v>75387</v>
          </cell>
        </row>
        <row r="1232">
          <cell r="A1232" t="str">
            <v xml:space="preserve"> </v>
          </cell>
          <cell r="B1232" t="str">
            <v>절    단</v>
          </cell>
          <cell r="C1232" t="str">
            <v>절   단   공</v>
          </cell>
          <cell r="D1232">
            <v>0.52</v>
          </cell>
          <cell r="E1232" t="str">
            <v>인</v>
          </cell>
          <cell r="G1232">
            <v>65881</v>
          </cell>
          <cell r="H1232">
            <v>34258</v>
          </cell>
        </row>
        <row r="1234">
          <cell r="A1234" t="str">
            <v>단재가공 괘서</v>
          </cell>
          <cell r="C1234" t="str">
            <v>마   킹   공</v>
          </cell>
          <cell r="D1234">
            <v>2.8</v>
          </cell>
          <cell r="E1234" t="str">
            <v>인</v>
          </cell>
          <cell r="G1234">
            <v>26250</v>
          </cell>
          <cell r="H1234">
            <v>73500</v>
          </cell>
        </row>
        <row r="1235">
          <cell r="A1235" t="str">
            <v xml:space="preserve"> </v>
          </cell>
          <cell r="B1235" t="str">
            <v>절    단</v>
          </cell>
          <cell r="C1235" t="str">
            <v>산소 절단공</v>
          </cell>
          <cell r="D1235">
            <v>0.26</v>
          </cell>
          <cell r="E1235" t="str">
            <v>인</v>
          </cell>
          <cell r="G1235">
            <v>31794</v>
          </cell>
          <cell r="H1235">
            <v>8266</v>
          </cell>
        </row>
        <row r="1236">
          <cell r="C1236" t="str">
            <v>프랜트기계설치공</v>
          </cell>
          <cell r="D1236">
            <v>2.2999999999999998</v>
          </cell>
          <cell r="E1236" t="str">
            <v>인</v>
          </cell>
          <cell r="G1236">
            <v>80805</v>
          </cell>
          <cell r="H1236">
            <v>185851</v>
          </cell>
        </row>
        <row r="1237">
          <cell r="B1237" t="str">
            <v>EDGE가공</v>
          </cell>
          <cell r="C1237" t="str">
            <v>산소 절단공</v>
          </cell>
          <cell r="D1237">
            <v>1.1000000000000001</v>
          </cell>
          <cell r="E1237" t="str">
            <v>인</v>
          </cell>
          <cell r="G1237">
            <v>31794</v>
          </cell>
          <cell r="H1237">
            <v>34973</v>
          </cell>
        </row>
        <row r="1238">
          <cell r="A1238" t="str">
            <v xml:space="preserve"> </v>
          </cell>
          <cell r="B1238" t="str">
            <v>용    접</v>
          </cell>
          <cell r="C1238" t="str">
            <v>프랜트 용접공</v>
          </cell>
          <cell r="D1238">
            <v>0.78</v>
          </cell>
          <cell r="E1238" t="str">
            <v>인</v>
          </cell>
          <cell r="G1238">
            <v>95379</v>
          </cell>
          <cell r="H1238">
            <v>74395</v>
          </cell>
        </row>
        <row r="1240">
          <cell r="A1240" t="str">
            <v xml:space="preserve"> </v>
          </cell>
          <cell r="B1240" t="str">
            <v>교    정</v>
          </cell>
          <cell r="C1240" t="str">
            <v>프랜트 제관공</v>
          </cell>
          <cell r="D1240">
            <v>0.75</v>
          </cell>
          <cell r="E1240" t="str">
            <v>인</v>
          </cell>
          <cell r="G1240">
            <v>81966</v>
          </cell>
          <cell r="H1240">
            <v>61474</v>
          </cell>
        </row>
        <row r="1241">
          <cell r="B1241" t="str">
            <v>HOLING</v>
          </cell>
          <cell r="C1241" t="str">
            <v>프랜트 제관공</v>
          </cell>
          <cell r="D1241">
            <v>0.62</v>
          </cell>
          <cell r="E1241" t="str">
            <v>인</v>
          </cell>
          <cell r="G1241">
            <v>81966</v>
          </cell>
          <cell r="H1241">
            <v>50818</v>
          </cell>
        </row>
        <row r="1242">
          <cell r="A1242" t="str">
            <v>부분조립,취부조정</v>
          </cell>
          <cell r="C1242" t="str">
            <v>프랜트기계설치공</v>
          </cell>
          <cell r="D1242">
            <v>6.2</v>
          </cell>
          <cell r="E1242" t="str">
            <v>인</v>
          </cell>
          <cell r="G1242">
            <v>80805</v>
          </cell>
          <cell r="H1242">
            <v>500991</v>
          </cell>
        </row>
        <row r="1243">
          <cell r="A1243" t="str">
            <v xml:space="preserve"> </v>
          </cell>
          <cell r="B1243" t="str">
            <v>용    접</v>
          </cell>
          <cell r="C1243" t="str">
            <v>프랜트 용접공</v>
          </cell>
          <cell r="D1243">
            <v>3.9</v>
          </cell>
          <cell r="E1243" t="str">
            <v>인</v>
          </cell>
          <cell r="G1243">
            <v>95379</v>
          </cell>
          <cell r="H1243">
            <v>371978</v>
          </cell>
        </row>
        <row r="1244">
          <cell r="A1244" t="str">
            <v xml:space="preserve"> </v>
          </cell>
          <cell r="B1244" t="str">
            <v>교    정</v>
          </cell>
          <cell r="C1244" t="str">
            <v>프랜트 제관공</v>
          </cell>
          <cell r="D1244">
            <v>1.75</v>
          </cell>
          <cell r="E1244" t="str">
            <v>인</v>
          </cell>
          <cell r="G1244">
            <v>81966</v>
          </cell>
          <cell r="H1244">
            <v>143440</v>
          </cell>
        </row>
        <row r="1246">
          <cell r="A1246" t="str">
            <v>기 계 가 공</v>
          </cell>
          <cell r="C1246" t="str">
            <v>기   계   공</v>
          </cell>
          <cell r="D1246">
            <v>10</v>
          </cell>
          <cell r="E1246" t="str">
            <v>인</v>
          </cell>
          <cell r="G1246">
            <v>58906</v>
          </cell>
          <cell r="H1246">
            <v>589060</v>
          </cell>
        </row>
        <row r="1247">
          <cell r="A1247" t="str">
            <v>가 조 립,조 립</v>
          </cell>
          <cell r="C1247" t="str">
            <v>프랜트기계설치공</v>
          </cell>
          <cell r="D1247">
            <v>2</v>
          </cell>
          <cell r="E1247" t="str">
            <v>인</v>
          </cell>
          <cell r="G1247">
            <v>80805</v>
          </cell>
          <cell r="H1247">
            <v>161610</v>
          </cell>
        </row>
        <row r="1248">
          <cell r="A1248" t="str">
            <v xml:space="preserve"> </v>
          </cell>
          <cell r="B1248" t="str">
            <v>해    체</v>
          </cell>
          <cell r="C1248" t="str">
            <v>프랜트기계설치공</v>
          </cell>
          <cell r="D1248">
            <v>1</v>
          </cell>
          <cell r="E1248" t="str">
            <v>인</v>
          </cell>
          <cell r="G1248">
            <v>80805</v>
          </cell>
          <cell r="H1248">
            <v>80805</v>
          </cell>
        </row>
        <row r="1249">
          <cell r="A1249" t="str">
            <v>운 반 조 작</v>
          </cell>
          <cell r="C1249" t="str">
            <v>특수 비계공</v>
          </cell>
          <cell r="D1249">
            <v>5</v>
          </cell>
          <cell r="E1249" t="str">
            <v>인</v>
          </cell>
          <cell r="G1249">
            <v>85884</v>
          </cell>
          <cell r="H1249">
            <v>429420</v>
          </cell>
        </row>
        <row r="1250">
          <cell r="A1250" t="str">
            <v>동 력 조 작</v>
          </cell>
          <cell r="C1250" t="str">
            <v>프랜트 전공</v>
          </cell>
          <cell r="D1250">
            <v>2</v>
          </cell>
          <cell r="E1250" t="str">
            <v>인</v>
          </cell>
          <cell r="G1250">
            <v>64285</v>
          </cell>
          <cell r="H1250">
            <v>128570</v>
          </cell>
        </row>
        <row r="1252">
          <cell r="A1252" t="str">
            <v xml:space="preserve">      보 조</v>
          </cell>
          <cell r="C1252" t="str">
            <v>특 별 인 부</v>
          </cell>
          <cell r="D1252">
            <v>2.5</v>
          </cell>
          <cell r="E1252" t="str">
            <v>인</v>
          </cell>
          <cell r="G1252">
            <v>57379</v>
          </cell>
          <cell r="H1252">
            <v>143447</v>
          </cell>
        </row>
        <row r="1253">
          <cell r="A1253" t="str">
            <v>종       별</v>
          </cell>
          <cell r="C1253" t="str">
            <v>재 료 또 는</v>
          </cell>
          <cell r="D1253" t="str">
            <v xml:space="preserve">원 수 </v>
          </cell>
          <cell r="E1253" t="str">
            <v>단 위</v>
          </cell>
          <cell r="F1253" t="str">
            <v>총   액</v>
          </cell>
          <cell r="G1253" t="str">
            <v>노   무   비</v>
          </cell>
          <cell r="I1253" t="str">
            <v>재   료   비</v>
          </cell>
          <cell r="K1253" t="str">
            <v>경      비</v>
          </cell>
          <cell r="M1253" t="str">
            <v>비   고</v>
          </cell>
        </row>
        <row r="1254">
          <cell r="C1254" t="str">
            <v xml:space="preserve">규       격 </v>
          </cell>
          <cell r="F1254" t="str">
            <v>금   액</v>
          </cell>
          <cell r="G1254" t="str">
            <v>단  가</v>
          </cell>
          <cell r="H1254" t="str">
            <v>금   액</v>
          </cell>
          <cell r="I1254" t="str">
            <v>단  가</v>
          </cell>
          <cell r="J1254" t="str">
            <v>금   액</v>
          </cell>
          <cell r="K1254" t="str">
            <v>단  가</v>
          </cell>
          <cell r="L1254" t="str">
            <v>금   액</v>
          </cell>
        </row>
        <row r="1255">
          <cell r="A1255" t="str">
            <v>검      사</v>
          </cell>
          <cell r="C1255" t="str">
            <v>노무비의 7%</v>
          </cell>
          <cell r="D1255" t="str">
            <v>1</v>
          </cell>
          <cell r="E1255" t="str">
            <v>식</v>
          </cell>
          <cell r="H1255">
            <v>282346</v>
          </cell>
        </row>
        <row r="1256">
          <cell r="E1256" t="str">
            <v xml:space="preserve"> </v>
          </cell>
          <cell r="F1256" t="str">
            <v xml:space="preserve"> </v>
          </cell>
          <cell r="H1256" t="str">
            <v xml:space="preserve"> </v>
          </cell>
        </row>
        <row r="1257">
          <cell r="A1257" t="str">
            <v xml:space="preserve">       계</v>
          </cell>
          <cell r="F1257">
            <v>4315868</v>
          </cell>
          <cell r="H1257">
            <v>4315868</v>
          </cell>
        </row>
        <row r="1282">
          <cell r="E1282" t="str">
            <v xml:space="preserve"> </v>
          </cell>
          <cell r="F1282" t="str">
            <v>RADIAL GATE GUIDE FRAME 제작 소모 자재비</v>
          </cell>
        </row>
        <row r="1283">
          <cell r="E1283" t="str">
            <v xml:space="preserve"> </v>
          </cell>
        </row>
        <row r="1284">
          <cell r="A1284" t="str">
            <v>종       별</v>
          </cell>
          <cell r="C1284" t="str">
            <v>재 료 또 는</v>
          </cell>
          <cell r="D1284" t="str">
            <v xml:space="preserve">원 수 </v>
          </cell>
          <cell r="E1284" t="str">
            <v>단 위</v>
          </cell>
          <cell r="F1284" t="str">
            <v>총   액</v>
          </cell>
          <cell r="G1284" t="str">
            <v>노   무   비</v>
          </cell>
          <cell r="I1284" t="str">
            <v>재   료   비</v>
          </cell>
          <cell r="K1284" t="str">
            <v>경      비</v>
          </cell>
          <cell r="M1284" t="str">
            <v>비   고</v>
          </cell>
        </row>
        <row r="1285">
          <cell r="C1285" t="str">
            <v xml:space="preserve">규       격 </v>
          </cell>
          <cell r="F1285" t="str">
            <v>금   액</v>
          </cell>
          <cell r="G1285" t="str">
            <v>단  가</v>
          </cell>
          <cell r="H1285" t="str">
            <v>금   액</v>
          </cell>
          <cell r="I1285" t="str">
            <v>단  가</v>
          </cell>
          <cell r="J1285" t="str">
            <v>금   액</v>
          </cell>
          <cell r="K1285" t="str">
            <v>단  가</v>
          </cell>
          <cell r="L1285" t="str">
            <v>금   액</v>
          </cell>
        </row>
        <row r="1286">
          <cell r="A1286" t="str">
            <v>산       소</v>
          </cell>
          <cell r="C1286" t="str">
            <v>6,000L용</v>
          </cell>
          <cell r="D1286">
            <v>2.2000000000000002</v>
          </cell>
          <cell r="E1286" t="str">
            <v>병</v>
          </cell>
          <cell r="G1286" t="str">
            <v xml:space="preserve"> </v>
          </cell>
          <cell r="I1286">
            <v>12000</v>
          </cell>
          <cell r="J1286">
            <v>26400</v>
          </cell>
        </row>
        <row r="1287">
          <cell r="A1287" t="str">
            <v>아 세 치 렌</v>
          </cell>
          <cell r="C1287" t="str">
            <v>2,100L용</v>
          </cell>
          <cell r="D1287">
            <v>1.6</v>
          </cell>
          <cell r="E1287" t="str">
            <v>병</v>
          </cell>
          <cell r="I1287">
            <v>25849</v>
          </cell>
          <cell r="J1287">
            <v>41358</v>
          </cell>
        </row>
        <row r="1288">
          <cell r="A1288" t="str">
            <v>함       석</v>
          </cell>
          <cell r="C1288" t="str">
            <v>#32 x 3' x 6'</v>
          </cell>
          <cell r="D1288">
            <v>1.7</v>
          </cell>
          <cell r="E1288" t="str">
            <v>매</v>
          </cell>
          <cell r="I1288">
            <v>2597</v>
          </cell>
          <cell r="J1288">
            <v>4414</v>
          </cell>
        </row>
        <row r="1289">
          <cell r="A1289" t="str">
            <v>용   접  봉</v>
          </cell>
          <cell r="C1289" t="str">
            <v>SS41+STS304,4M/M</v>
          </cell>
          <cell r="D1289">
            <v>22.5</v>
          </cell>
          <cell r="E1289" t="str">
            <v>KG</v>
          </cell>
          <cell r="I1289">
            <v>3360</v>
          </cell>
          <cell r="J1289">
            <v>75600</v>
          </cell>
        </row>
        <row r="1290">
          <cell r="A1290" t="str">
            <v>전       력</v>
          </cell>
          <cell r="D1290">
            <v>595</v>
          </cell>
          <cell r="E1290" t="str">
            <v>KWH</v>
          </cell>
          <cell r="I1290" t="str">
            <v xml:space="preserve"> </v>
          </cell>
          <cell r="K1290">
            <v>61.6</v>
          </cell>
          <cell r="L1290">
            <v>36652</v>
          </cell>
        </row>
        <row r="1291">
          <cell r="A1291" t="str">
            <v xml:space="preserve"> </v>
          </cell>
          <cell r="C1291" t="str">
            <v xml:space="preserve"> </v>
          </cell>
          <cell r="D1291" t="str">
            <v xml:space="preserve"> </v>
          </cell>
          <cell r="E1291" t="str">
            <v xml:space="preserve"> </v>
          </cell>
          <cell r="I1291" t="str">
            <v xml:space="preserve">  </v>
          </cell>
          <cell r="K1291" t="str">
            <v xml:space="preserve"> </v>
          </cell>
        </row>
        <row r="1293">
          <cell r="L1293" t="str">
            <v xml:space="preserve"> </v>
          </cell>
        </row>
        <row r="1294">
          <cell r="B1294" t="str">
            <v>계</v>
          </cell>
          <cell r="F1294">
            <v>184424</v>
          </cell>
          <cell r="J1294">
            <v>147772</v>
          </cell>
          <cell r="L1294">
            <v>36652</v>
          </cell>
        </row>
        <row r="1295">
          <cell r="F1295" t="str">
            <v xml:space="preserve"> </v>
          </cell>
          <cell r="J1295" t="str">
            <v xml:space="preserve"> </v>
          </cell>
          <cell r="L1295" t="str">
            <v xml:space="preserve"> </v>
          </cell>
        </row>
        <row r="1296">
          <cell r="F1296" t="str">
            <v xml:space="preserve"> </v>
          </cell>
          <cell r="J1296" t="str">
            <v xml:space="preserve"> </v>
          </cell>
          <cell r="L1296" t="str">
            <v xml:space="preserve"> </v>
          </cell>
        </row>
        <row r="1297">
          <cell r="F1297" t="str">
            <v xml:space="preserve"> </v>
          </cell>
          <cell r="J1297" t="str">
            <v xml:space="preserve"> </v>
          </cell>
          <cell r="L1297" t="str">
            <v xml:space="preserve"> </v>
          </cell>
        </row>
        <row r="1298">
          <cell r="F1298" t="str">
            <v xml:space="preserve"> </v>
          </cell>
          <cell r="J1298" t="str">
            <v xml:space="preserve"> </v>
          </cell>
          <cell r="L1298" t="str">
            <v xml:space="preserve"> </v>
          </cell>
        </row>
        <row r="1299">
          <cell r="F1299" t="str">
            <v xml:space="preserve"> </v>
          </cell>
          <cell r="J1299" t="str">
            <v xml:space="preserve"> </v>
          </cell>
          <cell r="L1299" t="str">
            <v xml:space="preserve"> </v>
          </cell>
        </row>
        <row r="1300">
          <cell r="F1300" t="str">
            <v xml:space="preserve"> </v>
          </cell>
          <cell r="J1300" t="str">
            <v xml:space="preserve"> </v>
          </cell>
          <cell r="L1300" t="str">
            <v xml:space="preserve"> </v>
          </cell>
        </row>
        <row r="1301">
          <cell r="F1301" t="str">
            <v xml:space="preserve"> </v>
          </cell>
          <cell r="J1301" t="str">
            <v xml:space="preserve"> </v>
          </cell>
          <cell r="L1301" t="str">
            <v xml:space="preserve"> </v>
          </cell>
        </row>
        <row r="1302">
          <cell r="F1302" t="str">
            <v xml:space="preserve"> </v>
          </cell>
          <cell r="J1302" t="str">
            <v xml:space="preserve"> </v>
          </cell>
          <cell r="L1302" t="str">
            <v xml:space="preserve"> </v>
          </cell>
        </row>
        <row r="1303">
          <cell r="F1303" t="str">
            <v xml:space="preserve"> </v>
          </cell>
          <cell r="J1303" t="str">
            <v xml:space="preserve"> </v>
          </cell>
          <cell r="L1303" t="str">
            <v xml:space="preserve"> </v>
          </cell>
        </row>
        <row r="1304">
          <cell r="F1304" t="str">
            <v xml:space="preserve"> </v>
          </cell>
          <cell r="J1304" t="str">
            <v xml:space="preserve"> </v>
          </cell>
          <cell r="L1304" t="str">
            <v xml:space="preserve"> </v>
          </cell>
        </row>
        <row r="1305">
          <cell r="F1305" t="str">
            <v xml:space="preserve"> </v>
          </cell>
          <cell r="J1305" t="str">
            <v xml:space="preserve"> </v>
          </cell>
          <cell r="L1305" t="str">
            <v xml:space="preserve"> </v>
          </cell>
        </row>
        <row r="1306">
          <cell r="F1306" t="str">
            <v xml:space="preserve"> </v>
          </cell>
          <cell r="J1306" t="str">
            <v xml:space="preserve"> </v>
          </cell>
          <cell r="L1306" t="str">
            <v xml:space="preserve"> </v>
          </cell>
        </row>
        <row r="1307">
          <cell r="F1307" t="str">
            <v xml:space="preserve"> </v>
          </cell>
          <cell r="J1307" t="str">
            <v xml:space="preserve"> </v>
          </cell>
          <cell r="L1307" t="str">
            <v xml:space="preserve"> </v>
          </cell>
        </row>
        <row r="1308">
          <cell r="F1308" t="str">
            <v xml:space="preserve"> </v>
          </cell>
          <cell r="J1308" t="str">
            <v xml:space="preserve"> </v>
          </cell>
          <cell r="L1308" t="str">
            <v xml:space="preserve"> </v>
          </cell>
        </row>
        <row r="1309">
          <cell r="F1309" t="str">
            <v xml:space="preserve"> </v>
          </cell>
          <cell r="J1309" t="str">
            <v xml:space="preserve"> </v>
          </cell>
          <cell r="L1309" t="str">
            <v xml:space="preserve"> </v>
          </cell>
        </row>
        <row r="1310">
          <cell r="F1310" t="str">
            <v xml:space="preserve"> </v>
          </cell>
          <cell r="J1310" t="str">
            <v xml:space="preserve"> </v>
          </cell>
          <cell r="L1310" t="str">
            <v xml:space="preserve"> </v>
          </cell>
        </row>
        <row r="1311">
          <cell r="E1311" t="str">
            <v xml:space="preserve"> </v>
          </cell>
          <cell r="F1311" t="str">
            <v>RADIAL GATE ANCHORAGE 제작 인건비</v>
          </cell>
        </row>
        <row r="1312">
          <cell r="E1312" t="str">
            <v xml:space="preserve"> </v>
          </cell>
        </row>
        <row r="1313">
          <cell r="A1313" t="str">
            <v>종       별</v>
          </cell>
          <cell r="C1313" t="str">
            <v>재 료 또 는</v>
          </cell>
          <cell r="D1313" t="str">
            <v xml:space="preserve">원 수 </v>
          </cell>
          <cell r="E1313" t="str">
            <v>단 위</v>
          </cell>
          <cell r="F1313" t="str">
            <v>총   액</v>
          </cell>
          <cell r="G1313" t="str">
            <v>노   무   비</v>
          </cell>
          <cell r="I1313" t="str">
            <v>재   료   비</v>
          </cell>
          <cell r="K1313" t="str">
            <v>경      비</v>
          </cell>
          <cell r="M1313" t="str">
            <v>비   고</v>
          </cell>
        </row>
        <row r="1314">
          <cell r="C1314" t="str">
            <v xml:space="preserve">규       격 </v>
          </cell>
          <cell r="F1314" t="str">
            <v>금   액</v>
          </cell>
          <cell r="G1314" t="str">
            <v>단  가</v>
          </cell>
          <cell r="H1314" t="str">
            <v>금   액</v>
          </cell>
          <cell r="I1314" t="str">
            <v>단  가</v>
          </cell>
          <cell r="J1314" t="str">
            <v>금   액</v>
          </cell>
          <cell r="K1314" t="str">
            <v>단  가</v>
          </cell>
          <cell r="L1314" t="str">
            <v>금   액</v>
          </cell>
        </row>
        <row r="1315">
          <cell r="A1315" t="str">
            <v>기 술 관 리</v>
          </cell>
          <cell r="C1315" t="str">
            <v>기계기사1급</v>
          </cell>
          <cell r="D1315">
            <v>1.6</v>
          </cell>
          <cell r="E1315" t="str">
            <v>인</v>
          </cell>
          <cell r="G1315">
            <v>97488</v>
          </cell>
          <cell r="H1315">
            <v>155980</v>
          </cell>
        </row>
        <row r="1316">
          <cell r="A1316" t="str">
            <v>재료 절단 사도</v>
          </cell>
          <cell r="C1316" t="str">
            <v>제   도   공</v>
          </cell>
          <cell r="D1316">
            <v>0.5</v>
          </cell>
          <cell r="E1316" t="str">
            <v>인</v>
          </cell>
          <cell r="G1316">
            <v>32747</v>
          </cell>
          <cell r="H1316">
            <v>16373</v>
          </cell>
        </row>
        <row r="1317">
          <cell r="A1317" t="str">
            <v xml:space="preserve"> </v>
          </cell>
          <cell r="B1317" t="str">
            <v>현    도</v>
          </cell>
          <cell r="C1317" t="str">
            <v>현   도   공</v>
          </cell>
          <cell r="D1317">
            <v>0.2</v>
          </cell>
          <cell r="E1317" t="str">
            <v>인</v>
          </cell>
          <cell r="G1317">
            <v>28487</v>
          </cell>
          <cell r="H1317">
            <v>5697</v>
          </cell>
        </row>
        <row r="1318">
          <cell r="A1318" t="str">
            <v xml:space="preserve"> </v>
          </cell>
          <cell r="B1318" t="str">
            <v>괘    서</v>
          </cell>
          <cell r="C1318" t="str">
            <v>마   킹   공</v>
          </cell>
          <cell r="D1318">
            <v>1.3</v>
          </cell>
          <cell r="E1318" t="str">
            <v>인</v>
          </cell>
          <cell r="G1318">
            <v>26924</v>
          </cell>
          <cell r="H1318">
            <v>35001</v>
          </cell>
        </row>
        <row r="1319">
          <cell r="B1319" t="str">
            <v>절    단</v>
          </cell>
          <cell r="C1319" t="str">
            <v>절   단   공</v>
          </cell>
          <cell r="D1319">
            <v>0.28000000000000003</v>
          </cell>
          <cell r="E1319" t="str">
            <v>인</v>
          </cell>
          <cell r="G1319">
            <v>65881</v>
          </cell>
          <cell r="H1319">
            <v>18446</v>
          </cell>
        </row>
        <row r="1321">
          <cell r="A1321" t="str">
            <v xml:space="preserve"> </v>
          </cell>
          <cell r="B1321" t="str">
            <v>교    정</v>
          </cell>
          <cell r="C1321" t="str">
            <v>프랜트 제관공</v>
          </cell>
          <cell r="D1321">
            <v>0.5</v>
          </cell>
          <cell r="E1321" t="str">
            <v>인</v>
          </cell>
          <cell r="G1321">
            <v>81966</v>
          </cell>
          <cell r="H1321">
            <v>40983</v>
          </cell>
        </row>
        <row r="1322">
          <cell r="A1322" t="str">
            <v>단재가공 괘서</v>
          </cell>
          <cell r="C1322" t="str">
            <v>마   킹   공</v>
          </cell>
          <cell r="D1322">
            <v>1.3</v>
          </cell>
          <cell r="E1322" t="str">
            <v>인</v>
          </cell>
          <cell r="G1322">
            <v>26924</v>
          </cell>
          <cell r="H1322">
            <v>35001</v>
          </cell>
        </row>
        <row r="1323">
          <cell r="A1323" t="str">
            <v xml:space="preserve"> </v>
          </cell>
          <cell r="B1323" t="str">
            <v>절    단</v>
          </cell>
          <cell r="C1323" t="str">
            <v>절   단   공</v>
          </cell>
          <cell r="D1323">
            <v>0.14000000000000001</v>
          </cell>
          <cell r="E1323" t="str">
            <v>인</v>
          </cell>
          <cell r="G1323">
            <v>65881</v>
          </cell>
          <cell r="H1323">
            <v>9223</v>
          </cell>
        </row>
        <row r="1324">
          <cell r="A1324" t="str">
            <v>EDGE     가공</v>
          </cell>
          <cell r="C1324" t="str">
            <v>산 소 절 단 공</v>
          </cell>
          <cell r="D1324">
            <v>0.14000000000000001</v>
          </cell>
          <cell r="E1324" t="str">
            <v>인</v>
          </cell>
          <cell r="G1324">
            <v>31794</v>
          </cell>
          <cell r="H1324">
            <v>4451</v>
          </cell>
        </row>
        <row r="1325">
          <cell r="A1325" t="str">
            <v xml:space="preserve"> </v>
          </cell>
          <cell r="B1325" t="str">
            <v>용    접</v>
          </cell>
          <cell r="C1325" t="str">
            <v>프랜트 용접공</v>
          </cell>
          <cell r="D1325">
            <v>1</v>
          </cell>
          <cell r="E1325" t="str">
            <v>인</v>
          </cell>
          <cell r="G1325">
            <v>95379</v>
          </cell>
          <cell r="H1325">
            <v>95379</v>
          </cell>
        </row>
        <row r="1327">
          <cell r="B1327" t="str">
            <v>교    정</v>
          </cell>
          <cell r="C1327" t="str">
            <v>프랜트 제관공</v>
          </cell>
          <cell r="D1327">
            <v>0.75</v>
          </cell>
          <cell r="E1327" t="str">
            <v>인</v>
          </cell>
          <cell r="G1327">
            <v>81966</v>
          </cell>
          <cell r="H1327">
            <v>61474</v>
          </cell>
          <cell r="M1327" t="str">
            <v xml:space="preserve"> </v>
          </cell>
        </row>
        <row r="1328">
          <cell r="A1328" t="str">
            <v>HOLING</v>
          </cell>
          <cell r="C1328" t="str">
            <v>프랜트 제관공</v>
          </cell>
          <cell r="D1328">
            <v>0.37</v>
          </cell>
          <cell r="E1328" t="str">
            <v>인</v>
          </cell>
          <cell r="G1328">
            <v>81966</v>
          </cell>
          <cell r="H1328">
            <v>30327</v>
          </cell>
        </row>
        <row r="1329">
          <cell r="A1329" t="str">
            <v>부분조립취부조정</v>
          </cell>
          <cell r="C1329" t="str">
            <v>프랜트기계설치공</v>
          </cell>
          <cell r="D1329">
            <v>2.5</v>
          </cell>
          <cell r="E1329" t="str">
            <v>인</v>
          </cell>
          <cell r="G1329">
            <v>80805</v>
          </cell>
          <cell r="H1329">
            <v>202012</v>
          </cell>
        </row>
        <row r="1330">
          <cell r="B1330" t="str">
            <v>용    접</v>
          </cell>
          <cell r="C1330" t="str">
            <v>프랜트 용접공</v>
          </cell>
          <cell r="D1330">
            <v>6.8</v>
          </cell>
          <cell r="E1330" t="str">
            <v>인</v>
          </cell>
          <cell r="G1330">
            <v>95379</v>
          </cell>
          <cell r="H1330">
            <v>648577</v>
          </cell>
        </row>
        <row r="1331">
          <cell r="B1331" t="str">
            <v>절    단</v>
          </cell>
          <cell r="C1331" t="str">
            <v>산 소 절 단 공</v>
          </cell>
          <cell r="D1331">
            <v>0.08</v>
          </cell>
          <cell r="E1331" t="str">
            <v>인</v>
          </cell>
          <cell r="G1331">
            <v>31794</v>
          </cell>
          <cell r="H1331">
            <v>2543</v>
          </cell>
        </row>
        <row r="1332">
          <cell r="E1332" t="str">
            <v xml:space="preserve"> </v>
          </cell>
        </row>
        <row r="1333">
          <cell r="A1333" t="str">
            <v>부분조립 수정</v>
          </cell>
          <cell r="C1333" t="str">
            <v>프랜트 제관공</v>
          </cell>
          <cell r="D1333">
            <v>1.75</v>
          </cell>
          <cell r="E1333" t="str">
            <v>인</v>
          </cell>
          <cell r="G1333">
            <v>81966</v>
          </cell>
          <cell r="H1333">
            <v>143440</v>
          </cell>
        </row>
        <row r="1334">
          <cell r="A1334" t="str">
            <v>GRINDING</v>
          </cell>
          <cell r="C1334" t="str">
            <v>프랜트 제관공</v>
          </cell>
          <cell r="D1334">
            <v>1.5</v>
          </cell>
          <cell r="E1334" t="str">
            <v>인</v>
          </cell>
          <cell r="G1334">
            <v>81966</v>
          </cell>
          <cell r="H1334">
            <v>122949</v>
          </cell>
        </row>
        <row r="1335">
          <cell r="C1335" t="str">
            <v>연 마 공 (기계)</v>
          </cell>
          <cell r="D1335">
            <v>0.13</v>
          </cell>
          <cell r="E1335" t="str">
            <v>인</v>
          </cell>
          <cell r="G1335">
            <v>26032</v>
          </cell>
          <cell r="H1335">
            <v>3384</v>
          </cell>
        </row>
        <row r="1336">
          <cell r="A1336" t="str">
            <v>가 조 립 조립</v>
          </cell>
          <cell r="C1336" t="str">
            <v>프랜트기계설치공</v>
          </cell>
          <cell r="D1336">
            <v>2</v>
          </cell>
          <cell r="E1336" t="str">
            <v>인</v>
          </cell>
          <cell r="G1336">
            <v>80805</v>
          </cell>
          <cell r="H1336">
            <v>161610</v>
          </cell>
        </row>
        <row r="1337">
          <cell r="B1337" t="str">
            <v>해    체</v>
          </cell>
          <cell r="C1337" t="str">
            <v>프랜트기계설치공</v>
          </cell>
          <cell r="D1337">
            <v>1</v>
          </cell>
          <cell r="E1337" t="str">
            <v>인</v>
          </cell>
          <cell r="G1337">
            <v>80805</v>
          </cell>
          <cell r="H1337">
            <v>80805</v>
          </cell>
        </row>
        <row r="1338">
          <cell r="E1338" t="str">
            <v xml:space="preserve"> </v>
          </cell>
        </row>
        <row r="1339">
          <cell r="A1339" t="str">
            <v>운 반 조 작</v>
          </cell>
          <cell r="C1339" t="str">
            <v>특 수 비 계 공</v>
          </cell>
          <cell r="D1339">
            <v>3.3</v>
          </cell>
          <cell r="E1339" t="str">
            <v>인</v>
          </cell>
          <cell r="G1339">
            <v>85884</v>
          </cell>
          <cell r="H1339">
            <v>283417</v>
          </cell>
        </row>
        <row r="1340">
          <cell r="A1340" t="str">
            <v>종       별</v>
          </cell>
          <cell r="C1340" t="str">
            <v>재 료 또 는</v>
          </cell>
          <cell r="D1340" t="str">
            <v xml:space="preserve">원 수 </v>
          </cell>
          <cell r="E1340" t="str">
            <v>단 위</v>
          </cell>
          <cell r="F1340" t="str">
            <v>총   액</v>
          </cell>
          <cell r="G1340" t="str">
            <v>노   무   비</v>
          </cell>
          <cell r="I1340" t="str">
            <v>재   료   비</v>
          </cell>
          <cell r="K1340" t="str">
            <v>경      비</v>
          </cell>
          <cell r="M1340" t="str">
            <v>비   고</v>
          </cell>
        </row>
        <row r="1341">
          <cell r="C1341" t="str">
            <v xml:space="preserve">규       격 </v>
          </cell>
          <cell r="F1341" t="str">
            <v>금   액</v>
          </cell>
          <cell r="G1341" t="str">
            <v>단  가</v>
          </cell>
          <cell r="H1341" t="str">
            <v>금   액</v>
          </cell>
          <cell r="I1341" t="str">
            <v>단  가</v>
          </cell>
          <cell r="J1341" t="str">
            <v>금   액</v>
          </cell>
          <cell r="K1341" t="str">
            <v>단  가</v>
          </cell>
          <cell r="L1341" t="str">
            <v>금   액</v>
          </cell>
        </row>
        <row r="1342">
          <cell r="A1342" t="str">
            <v>동 력 조 작</v>
          </cell>
          <cell r="C1342" t="str">
            <v>프 랜 트 전 공</v>
          </cell>
          <cell r="D1342">
            <v>0.66</v>
          </cell>
          <cell r="E1342" t="str">
            <v>인</v>
          </cell>
          <cell r="G1342">
            <v>64285</v>
          </cell>
          <cell r="H1342">
            <v>42428</v>
          </cell>
        </row>
        <row r="1343">
          <cell r="B1343" t="str">
            <v xml:space="preserve">보    조  </v>
          </cell>
          <cell r="C1343" t="str">
            <v>특 별 인 부</v>
          </cell>
          <cell r="D1343">
            <v>14.3</v>
          </cell>
          <cell r="E1343" t="str">
            <v>인</v>
          </cell>
          <cell r="G1343">
            <v>57379</v>
          </cell>
          <cell r="H1343">
            <v>820519</v>
          </cell>
        </row>
        <row r="1344">
          <cell r="B1344" t="str">
            <v xml:space="preserve">검    사  </v>
          </cell>
          <cell r="C1344" t="str">
            <v>7 %</v>
          </cell>
          <cell r="D1344">
            <v>1</v>
          </cell>
          <cell r="E1344" t="str">
            <v>식</v>
          </cell>
          <cell r="H1344">
            <v>211401</v>
          </cell>
        </row>
        <row r="1346">
          <cell r="B1346" t="str">
            <v>계</v>
          </cell>
          <cell r="F1346">
            <v>3231420</v>
          </cell>
          <cell r="H1346">
            <v>3231420</v>
          </cell>
        </row>
        <row r="1369">
          <cell r="E1369" t="str">
            <v xml:space="preserve"> </v>
          </cell>
          <cell r="F1369" t="str">
            <v>RADIAL GATE ANCHORAGE 제작 소모 자재비</v>
          </cell>
        </row>
        <row r="1370">
          <cell r="E1370" t="str">
            <v xml:space="preserve"> </v>
          </cell>
        </row>
        <row r="1371">
          <cell r="A1371" t="str">
            <v>종       별</v>
          </cell>
          <cell r="C1371" t="str">
            <v>재 료 또 는</v>
          </cell>
          <cell r="D1371" t="str">
            <v xml:space="preserve">원 수 </v>
          </cell>
          <cell r="E1371" t="str">
            <v>단 위</v>
          </cell>
          <cell r="F1371" t="str">
            <v>총   액</v>
          </cell>
          <cell r="G1371" t="str">
            <v>노   무   비</v>
          </cell>
          <cell r="I1371" t="str">
            <v>재   료   비</v>
          </cell>
          <cell r="K1371" t="str">
            <v>경      비</v>
          </cell>
          <cell r="M1371" t="str">
            <v>비   고</v>
          </cell>
        </row>
        <row r="1372">
          <cell r="C1372" t="str">
            <v xml:space="preserve">규       격 </v>
          </cell>
          <cell r="F1372" t="str">
            <v>금   액</v>
          </cell>
          <cell r="G1372" t="str">
            <v>단  가</v>
          </cell>
          <cell r="H1372" t="str">
            <v>금   액</v>
          </cell>
          <cell r="I1372" t="str">
            <v>단  가</v>
          </cell>
          <cell r="J1372" t="str">
            <v>금   액</v>
          </cell>
          <cell r="K1372" t="str">
            <v>단  가</v>
          </cell>
          <cell r="L1372" t="str">
            <v>금   액</v>
          </cell>
        </row>
        <row r="1373">
          <cell r="A1373" t="str">
            <v>산       소</v>
          </cell>
          <cell r="C1373" t="str">
            <v>6,000L용</v>
          </cell>
          <cell r="D1373">
            <v>2.2000000000000002</v>
          </cell>
          <cell r="E1373" t="str">
            <v>병</v>
          </cell>
          <cell r="G1373" t="str">
            <v xml:space="preserve"> </v>
          </cell>
          <cell r="I1373">
            <v>12000</v>
          </cell>
          <cell r="J1373">
            <v>26400</v>
          </cell>
        </row>
        <row r="1374">
          <cell r="A1374" t="str">
            <v>아 세 치 렌</v>
          </cell>
          <cell r="C1374" t="str">
            <v>2,100L용</v>
          </cell>
          <cell r="D1374">
            <v>1.5</v>
          </cell>
          <cell r="E1374" t="str">
            <v>병</v>
          </cell>
          <cell r="I1374">
            <v>25849</v>
          </cell>
          <cell r="J1374">
            <v>38773</v>
          </cell>
        </row>
        <row r="1375">
          <cell r="A1375" t="str">
            <v>함       석</v>
          </cell>
          <cell r="C1375" t="str">
            <v>#32 x 3' x 6'</v>
          </cell>
          <cell r="D1375">
            <v>1.2</v>
          </cell>
          <cell r="E1375" t="str">
            <v>매</v>
          </cell>
          <cell r="I1375">
            <v>2597</v>
          </cell>
          <cell r="J1375">
            <v>3116</v>
          </cell>
        </row>
        <row r="1376">
          <cell r="A1376" t="str">
            <v>용   접  봉</v>
          </cell>
          <cell r="C1376" t="str">
            <v>SS400, 4M/Mx350L</v>
          </cell>
          <cell r="D1376">
            <v>30.5</v>
          </cell>
          <cell r="E1376" t="str">
            <v>KG</v>
          </cell>
          <cell r="I1376">
            <v>1260</v>
          </cell>
          <cell r="J1376">
            <v>38430</v>
          </cell>
        </row>
        <row r="1377">
          <cell r="A1377" t="str">
            <v>전       력</v>
          </cell>
          <cell r="D1377">
            <v>420</v>
          </cell>
          <cell r="E1377" t="str">
            <v>KWH</v>
          </cell>
          <cell r="K1377">
            <v>61.6</v>
          </cell>
          <cell r="L1377">
            <v>25872</v>
          </cell>
        </row>
        <row r="1378">
          <cell r="A1378" t="str">
            <v>그라인다돌</v>
          </cell>
          <cell r="C1378" t="str">
            <v>300m/mΦ</v>
          </cell>
          <cell r="D1378">
            <v>0.33</v>
          </cell>
          <cell r="E1378" t="str">
            <v>개</v>
          </cell>
          <cell r="I1378">
            <v>3380</v>
          </cell>
          <cell r="J1378">
            <v>1115</v>
          </cell>
          <cell r="K1378" t="str">
            <v xml:space="preserve"> </v>
          </cell>
        </row>
        <row r="1380">
          <cell r="B1380" t="str">
            <v>계</v>
          </cell>
          <cell r="F1380">
            <v>133706</v>
          </cell>
          <cell r="J1380">
            <v>107834</v>
          </cell>
          <cell r="L1380">
            <v>25872</v>
          </cell>
        </row>
        <row r="1398">
          <cell r="E1398" t="str">
            <v xml:space="preserve"> </v>
          </cell>
          <cell r="F1398" t="str">
            <v>RADIAL GATE LEAF 설치 인건비</v>
          </cell>
        </row>
        <row r="1399">
          <cell r="E1399" t="str">
            <v xml:space="preserve"> </v>
          </cell>
        </row>
        <row r="1400">
          <cell r="A1400" t="str">
            <v>종       별</v>
          </cell>
          <cell r="C1400" t="str">
            <v>재 료 또 는</v>
          </cell>
          <cell r="D1400" t="str">
            <v xml:space="preserve">원 수 </v>
          </cell>
          <cell r="E1400" t="str">
            <v>단 위</v>
          </cell>
          <cell r="F1400" t="str">
            <v>총   액</v>
          </cell>
          <cell r="G1400" t="str">
            <v>노   무   비</v>
          </cell>
          <cell r="I1400" t="str">
            <v>재   료   비</v>
          </cell>
          <cell r="K1400" t="str">
            <v>경      비</v>
          </cell>
          <cell r="M1400" t="str">
            <v>비   고</v>
          </cell>
        </row>
        <row r="1401">
          <cell r="C1401" t="str">
            <v xml:space="preserve">규       격 </v>
          </cell>
          <cell r="F1401" t="str">
            <v>금   액</v>
          </cell>
          <cell r="G1401" t="str">
            <v>단  가</v>
          </cell>
          <cell r="H1401" t="str">
            <v>금   액</v>
          </cell>
          <cell r="I1401" t="str">
            <v>단  가</v>
          </cell>
          <cell r="J1401" t="str">
            <v>금   액</v>
          </cell>
          <cell r="K1401" t="str">
            <v>단  가</v>
          </cell>
          <cell r="L1401" t="str">
            <v>금   액</v>
          </cell>
        </row>
        <row r="1402">
          <cell r="A1402" t="str">
            <v>기술관리</v>
          </cell>
          <cell r="C1402" t="str">
            <v>기계기사1급</v>
          </cell>
          <cell r="D1402">
            <v>0.5</v>
          </cell>
          <cell r="E1402" t="str">
            <v>인</v>
          </cell>
          <cell r="G1402">
            <v>97488</v>
          </cell>
          <cell r="H1402">
            <v>48744</v>
          </cell>
        </row>
        <row r="1403">
          <cell r="A1403" t="str">
            <v>현 장 교 정</v>
          </cell>
          <cell r="C1403" t="str">
            <v>프랜트 제관공</v>
          </cell>
          <cell r="D1403">
            <v>1.034</v>
          </cell>
          <cell r="E1403" t="str">
            <v>인</v>
          </cell>
          <cell r="G1403">
            <v>81966</v>
          </cell>
          <cell r="H1403">
            <v>84752</v>
          </cell>
        </row>
        <row r="1404">
          <cell r="A1404" t="str">
            <v xml:space="preserve"> </v>
          </cell>
          <cell r="C1404" t="str">
            <v>비   계   공</v>
          </cell>
          <cell r="D1404">
            <v>0.51700000000000002</v>
          </cell>
          <cell r="E1404" t="str">
            <v>인</v>
          </cell>
          <cell r="G1404">
            <v>79467</v>
          </cell>
          <cell r="H1404">
            <v>41084</v>
          </cell>
        </row>
        <row r="1405">
          <cell r="A1405" t="str">
            <v>소운반 조작</v>
          </cell>
          <cell r="C1405" t="str">
            <v>비   계   공</v>
          </cell>
          <cell r="D1405">
            <v>2.2999999999999998</v>
          </cell>
          <cell r="E1405" t="str">
            <v>인</v>
          </cell>
          <cell r="G1405">
            <v>79467</v>
          </cell>
          <cell r="H1405">
            <v>182774</v>
          </cell>
        </row>
        <row r="1406">
          <cell r="A1406" t="str">
            <v xml:space="preserve"> </v>
          </cell>
          <cell r="C1406" t="str">
            <v>프랜트기계설치공</v>
          </cell>
          <cell r="D1406">
            <v>0.91</v>
          </cell>
          <cell r="E1406" t="str">
            <v>인</v>
          </cell>
          <cell r="G1406">
            <v>80805</v>
          </cell>
          <cell r="H1406">
            <v>73532</v>
          </cell>
        </row>
        <row r="1408">
          <cell r="A1408" t="str">
            <v>조 립 조 정</v>
          </cell>
          <cell r="C1408" t="str">
            <v>비   계   공</v>
          </cell>
          <cell r="D1408">
            <v>1.46</v>
          </cell>
          <cell r="E1408" t="str">
            <v>인</v>
          </cell>
          <cell r="G1408">
            <v>79467</v>
          </cell>
          <cell r="H1408">
            <v>116021</v>
          </cell>
        </row>
        <row r="1409">
          <cell r="C1409" t="str">
            <v>프랜트 제관공</v>
          </cell>
          <cell r="D1409">
            <v>4.92</v>
          </cell>
          <cell r="E1409" t="str">
            <v>인</v>
          </cell>
          <cell r="G1409">
            <v>81966</v>
          </cell>
          <cell r="H1409">
            <v>403272</v>
          </cell>
        </row>
        <row r="1410">
          <cell r="C1410" t="str">
            <v>측   량   사</v>
          </cell>
          <cell r="D1410">
            <v>0.41</v>
          </cell>
          <cell r="E1410" t="str">
            <v>인</v>
          </cell>
          <cell r="G1410">
            <v>58506</v>
          </cell>
          <cell r="H1410">
            <v>23987</v>
          </cell>
        </row>
        <row r="1411">
          <cell r="A1411" t="str">
            <v>용      접</v>
          </cell>
          <cell r="C1411" t="str">
            <v>프랜트 용접공</v>
          </cell>
          <cell r="D1411">
            <v>0.81</v>
          </cell>
          <cell r="E1411" t="str">
            <v>인</v>
          </cell>
          <cell r="G1411">
            <v>95379</v>
          </cell>
          <cell r="H1411">
            <v>77256</v>
          </cell>
        </row>
        <row r="1412">
          <cell r="C1412" t="str">
            <v>프랜트 제관공</v>
          </cell>
          <cell r="D1412">
            <v>0.215</v>
          </cell>
          <cell r="E1412" t="str">
            <v>인</v>
          </cell>
          <cell r="G1412">
            <v>81966</v>
          </cell>
          <cell r="H1412">
            <v>17622</v>
          </cell>
        </row>
        <row r="1414">
          <cell r="A1414" t="str">
            <v>전 원 배 선</v>
          </cell>
          <cell r="C1414" t="str">
            <v>프랜트 전공</v>
          </cell>
          <cell r="D1414">
            <v>0.31</v>
          </cell>
          <cell r="E1414" t="str">
            <v>인</v>
          </cell>
          <cell r="G1414">
            <v>64285</v>
          </cell>
          <cell r="H1414">
            <v>19928</v>
          </cell>
        </row>
        <row r="1415">
          <cell r="A1415" t="str">
            <v>검사 및 교정</v>
          </cell>
          <cell r="C1415" t="str">
            <v>기술관리</v>
          </cell>
          <cell r="D1415" t="str">
            <v>1</v>
          </cell>
          <cell r="E1415" t="str">
            <v>식</v>
          </cell>
          <cell r="H1415">
            <v>104022</v>
          </cell>
        </row>
        <row r="1416">
          <cell r="C1416" t="str">
            <v>를 제외한 10%</v>
          </cell>
        </row>
        <row r="1419">
          <cell r="A1419" t="str">
            <v xml:space="preserve">      계  </v>
          </cell>
          <cell r="F1419">
            <v>1192994</v>
          </cell>
          <cell r="H1419">
            <v>1192994</v>
          </cell>
        </row>
        <row r="1427">
          <cell r="E1427" t="str">
            <v xml:space="preserve"> </v>
          </cell>
          <cell r="F1427" t="str">
            <v>RADIAL GATE 설치 사용장비 경비</v>
          </cell>
        </row>
        <row r="1428">
          <cell r="E1428" t="str">
            <v xml:space="preserve"> </v>
          </cell>
        </row>
        <row r="1429">
          <cell r="A1429" t="str">
            <v>종       별</v>
          </cell>
          <cell r="C1429" t="str">
            <v>재 료 또 는</v>
          </cell>
          <cell r="D1429" t="str">
            <v xml:space="preserve">원 수 </v>
          </cell>
          <cell r="E1429" t="str">
            <v>단 위</v>
          </cell>
          <cell r="F1429" t="str">
            <v>총   액</v>
          </cell>
          <cell r="G1429" t="str">
            <v>노   무   비</v>
          </cell>
          <cell r="I1429" t="str">
            <v>재   료   비</v>
          </cell>
          <cell r="K1429" t="str">
            <v>경      비</v>
          </cell>
          <cell r="M1429" t="str">
            <v>비   고</v>
          </cell>
        </row>
        <row r="1430">
          <cell r="C1430" t="str">
            <v xml:space="preserve">규       격 </v>
          </cell>
          <cell r="F1430" t="str">
            <v>금   액</v>
          </cell>
          <cell r="G1430" t="str">
            <v>단  가</v>
          </cell>
          <cell r="H1430" t="str">
            <v>금   액</v>
          </cell>
          <cell r="I1430" t="str">
            <v>단  가</v>
          </cell>
          <cell r="J1430" t="str">
            <v>금   액</v>
          </cell>
          <cell r="K1430" t="str">
            <v>단  가</v>
          </cell>
          <cell r="L1430" t="str">
            <v>금   액</v>
          </cell>
        </row>
        <row r="1432">
          <cell r="A1432" t="str">
            <v>A.C WELDER</v>
          </cell>
          <cell r="C1432" t="str">
            <v>10KVA</v>
          </cell>
          <cell r="D1432">
            <v>8</v>
          </cell>
          <cell r="E1432" t="str">
            <v>Hr</v>
          </cell>
          <cell r="K1432">
            <v>155</v>
          </cell>
          <cell r="L1432">
            <v>1240</v>
          </cell>
        </row>
        <row r="1433">
          <cell r="A1433" t="str">
            <v>GAS CUTTING M/C</v>
          </cell>
          <cell r="C1433" t="str">
            <v>중 형</v>
          </cell>
          <cell r="D1433">
            <v>48</v>
          </cell>
          <cell r="E1433" t="str">
            <v>Hr</v>
          </cell>
          <cell r="G1433">
            <v>3974</v>
          </cell>
          <cell r="H1433">
            <v>190752</v>
          </cell>
          <cell r="K1433">
            <v>115</v>
          </cell>
          <cell r="L1433">
            <v>5520</v>
          </cell>
        </row>
        <row r="1434">
          <cell r="A1434" t="str">
            <v>GAS WELDER</v>
          </cell>
          <cell r="C1434" t="str">
            <v>중 형</v>
          </cell>
          <cell r="D1434">
            <v>24</v>
          </cell>
          <cell r="E1434" t="str">
            <v>Hr</v>
          </cell>
          <cell r="K1434">
            <v>115</v>
          </cell>
          <cell r="L1434">
            <v>2760</v>
          </cell>
        </row>
        <row r="1435">
          <cell r="A1435" t="str">
            <v>PORTABLE DRILL</v>
          </cell>
          <cell r="C1435" t="str">
            <v>1.5 HP</v>
          </cell>
          <cell r="D1435">
            <v>16</v>
          </cell>
          <cell r="E1435" t="str">
            <v>Hr</v>
          </cell>
          <cell r="K1435">
            <v>14</v>
          </cell>
          <cell r="L1435">
            <v>224</v>
          </cell>
        </row>
        <row r="1436">
          <cell r="A1436" t="str">
            <v>PORTABLE GRINDER</v>
          </cell>
          <cell r="C1436" t="str">
            <v>0.5 HP</v>
          </cell>
          <cell r="D1436">
            <v>48</v>
          </cell>
          <cell r="E1436" t="str">
            <v>Hr</v>
          </cell>
          <cell r="K1436">
            <v>22</v>
          </cell>
          <cell r="L1436">
            <v>1056</v>
          </cell>
        </row>
        <row r="1438">
          <cell r="A1438" t="str">
            <v>COMPRESSOR</v>
          </cell>
          <cell r="C1438" t="str">
            <v>7.1㎥/min</v>
          </cell>
          <cell r="D1438">
            <v>16</v>
          </cell>
          <cell r="E1438" t="str">
            <v>Hr</v>
          </cell>
          <cell r="G1438">
            <v>9681</v>
          </cell>
          <cell r="H1438">
            <v>154896</v>
          </cell>
          <cell r="I1438">
            <v>8779</v>
          </cell>
          <cell r="J1438">
            <v>140464</v>
          </cell>
          <cell r="K1438">
            <v>6250</v>
          </cell>
          <cell r="L1438">
            <v>100000</v>
          </cell>
        </row>
        <row r="1439">
          <cell r="A1439" t="str">
            <v>리프트 트럭</v>
          </cell>
          <cell r="C1439" t="str">
            <v>5 TON</v>
          </cell>
          <cell r="D1439">
            <v>8</v>
          </cell>
          <cell r="E1439" t="str">
            <v>Hr</v>
          </cell>
          <cell r="G1439">
            <v>9681</v>
          </cell>
          <cell r="H1439">
            <v>77448</v>
          </cell>
          <cell r="I1439">
            <v>5116.08</v>
          </cell>
          <cell r="J1439">
            <v>40928</v>
          </cell>
          <cell r="K1439">
            <v>4863</v>
          </cell>
          <cell r="L1439">
            <v>38904</v>
          </cell>
        </row>
        <row r="1440">
          <cell r="A1440" t="str">
            <v>TRUCK CRANE</v>
          </cell>
          <cell r="C1440" t="str">
            <v>40 TON</v>
          </cell>
          <cell r="D1440">
            <v>16</v>
          </cell>
          <cell r="E1440" t="str">
            <v>Hr</v>
          </cell>
          <cell r="G1440">
            <v>18615</v>
          </cell>
          <cell r="H1440">
            <v>297840</v>
          </cell>
          <cell r="I1440">
            <v>8730</v>
          </cell>
          <cell r="J1440">
            <v>139680</v>
          </cell>
          <cell r="K1440">
            <v>55621</v>
          </cell>
          <cell r="L1440">
            <v>889936</v>
          </cell>
        </row>
        <row r="1441">
          <cell r="A1441" t="str">
            <v>WINCH</v>
          </cell>
          <cell r="C1441" t="str">
            <v>50 HP</v>
          </cell>
          <cell r="D1441">
            <v>16</v>
          </cell>
          <cell r="E1441" t="str">
            <v>Hr</v>
          </cell>
          <cell r="G1441">
            <v>9235</v>
          </cell>
          <cell r="H1441">
            <v>147760</v>
          </cell>
          <cell r="K1441">
            <v>5209</v>
          </cell>
          <cell r="L1441">
            <v>83344</v>
          </cell>
        </row>
        <row r="1445">
          <cell r="B1445" t="str">
            <v xml:space="preserve"> 계</v>
          </cell>
          <cell r="F1445">
            <v>2312752</v>
          </cell>
          <cell r="H1445">
            <v>868696</v>
          </cell>
          <cell r="J1445">
            <v>321072</v>
          </cell>
          <cell r="L1445">
            <v>1122984</v>
          </cell>
        </row>
        <row r="1456">
          <cell r="E1456" t="str">
            <v xml:space="preserve"> </v>
          </cell>
          <cell r="F1456" t="str">
            <v>RADIAL GATE LEAF 설치 소모 자재비</v>
          </cell>
        </row>
        <row r="1457">
          <cell r="E1457" t="str">
            <v xml:space="preserve"> </v>
          </cell>
        </row>
        <row r="1458">
          <cell r="A1458" t="str">
            <v>종       별</v>
          </cell>
          <cell r="C1458" t="str">
            <v>재 료 또 는</v>
          </cell>
          <cell r="D1458" t="str">
            <v xml:space="preserve">원 수 </v>
          </cell>
          <cell r="E1458" t="str">
            <v>단 위</v>
          </cell>
          <cell r="F1458" t="str">
            <v>총   액</v>
          </cell>
          <cell r="G1458" t="str">
            <v>노   무   비</v>
          </cell>
          <cell r="I1458" t="str">
            <v>재   료   비</v>
          </cell>
          <cell r="K1458" t="str">
            <v>경      비</v>
          </cell>
          <cell r="M1458" t="str">
            <v>비   고</v>
          </cell>
        </row>
        <row r="1459">
          <cell r="C1459" t="str">
            <v xml:space="preserve">규       격 </v>
          </cell>
          <cell r="F1459" t="str">
            <v>금   액</v>
          </cell>
          <cell r="G1459" t="str">
            <v>단  가</v>
          </cell>
          <cell r="H1459" t="str">
            <v>금   액</v>
          </cell>
          <cell r="I1459" t="str">
            <v>단  가</v>
          </cell>
          <cell r="J1459" t="str">
            <v>금   액</v>
          </cell>
          <cell r="K1459" t="str">
            <v>단  가</v>
          </cell>
          <cell r="L1459" t="str">
            <v>금   액</v>
          </cell>
        </row>
        <row r="1460">
          <cell r="A1460" t="str">
            <v>산       소</v>
          </cell>
          <cell r="C1460" t="str">
            <v>6,000L용</v>
          </cell>
          <cell r="D1460">
            <v>0.53</v>
          </cell>
          <cell r="E1460" t="str">
            <v>병</v>
          </cell>
          <cell r="G1460" t="str">
            <v xml:space="preserve"> </v>
          </cell>
          <cell r="I1460">
            <v>12000</v>
          </cell>
          <cell r="J1460">
            <v>6360</v>
          </cell>
        </row>
        <row r="1461">
          <cell r="A1461" t="str">
            <v>아 세 치 렌</v>
          </cell>
          <cell r="C1461" t="str">
            <v>4,500L용</v>
          </cell>
          <cell r="D1461">
            <v>0.45</v>
          </cell>
          <cell r="E1461" t="str">
            <v>병</v>
          </cell>
          <cell r="I1461">
            <v>55392</v>
          </cell>
          <cell r="J1461">
            <v>24926.400000000001</v>
          </cell>
        </row>
        <row r="1462">
          <cell r="A1462" t="str">
            <v>용   접  봉</v>
          </cell>
          <cell r="C1462" t="str">
            <v>SS400 , 4M/M</v>
          </cell>
          <cell r="D1462">
            <v>6.2</v>
          </cell>
          <cell r="E1462" t="str">
            <v>KG</v>
          </cell>
          <cell r="I1462">
            <v>1260</v>
          </cell>
          <cell r="J1462">
            <v>7812</v>
          </cell>
        </row>
        <row r="1463">
          <cell r="A1463" t="str">
            <v xml:space="preserve"> </v>
          </cell>
          <cell r="D1463" t="str">
            <v xml:space="preserve"> </v>
          </cell>
          <cell r="E1463" t="str">
            <v xml:space="preserve"> </v>
          </cell>
        </row>
        <row r="1466">
          <cell r="B1466" t="str">
            <v>계</v>
          </cell>
          <cell r="F1466">
            <v>39098.400000000001</v>
          </cell>
          <cell r="J1466">
            <v>39098.400000000001</v>
          </cell>
        </row>
        <row r="1485">
          <cell r="E1485" t="str">
            <v xml:space="preserve"> </v>
          </cell>
          <cell r="F1485" t="str">
            <v>RADIAL GATE GUIDE FRAME 설치 인건비</v>
          </cell>
        </row>
        <row r="1486">
          <cell r="E1486" t="str">
            <v xml:space="preserve"> </v>
          </cell>
        </row>
        <row r="1487">
          <cell r="A1487" t="str">
            <v>종       별</v>
          </cell>
          <cell r="C1487" t="str">
            <v>재 료 또 는</v>
          </cell>
          <cell r="D1487" t="str">
            <v xml:space="preserve">원 수 </v>
          </cell>
          <cell r="E1487" t="str">
            <v>단 위</v>
          </cell>
          <cell r="F1487" t="str">
            <v>총   액</v>
          </cell>
          <cell r="G1487" t="str">
            <v>노   무   비</v>
          </cell>
          <cell r="I1487" t="str">
            <v>재   료   비</v>
          </cell>
          <cell r="K1487" t="str">
            <v>경      비</v>
          </cell>
          <cell r="M1487" t="str">
            <v>비   고</v>
          </cell>
        </row>
        <row r="1488">
          <cell r="C1488" t="str">
            <v xml:space="preserve">규       격 </v>
          </cell>
          <cell r="F1488" t="str">
            <v>금   액</v>
          </cell>
          <cell r="G1488" t="str">
            <v>단  가</v>
          </cell>
          <cell r="H1488" t="str">
            <v>금   액</v>
          </cell>
          <cell r="I1488" t="str">
            <v>단  가</v>
          </cell>
          <cell r="J1488" t="str">
            <v>금   액</v>
          </cell>
          <cell r="K1488" t="str">
            <v>단  가</v>
          </cell>
          <cell r="L1488" t="str">
            <v>금   액</v>
          </cell>
        </row>
        <row r="1489">
          <cell r="A1489" t="str">
            <v>기 술 관 리</v>
          </cell>
          <cell r="C1489" t="str">
            <v>기계기사1급</v>
          </cell>
          <cell r="D1489">
            <v>12.882</v>
          </cell>
          <cell r="E1489" t="str">
            <v>인</v>
          </cell>
          <cell r="G1489">
            <v>97488</v>
          </cell>
          <cell r="H1489">
            <v>1255840</v>
          </cell>
        </row>
        <row r="1490">
          <cell r="A1490" t="str">
            <v>BOX 해 체 검 수</v>
          </cell>
          <cell r="C1490" t="str">
            <v>(해체) 목  공</v>
          </cell>
          <cell r="D1490">
            <v>4.7060000000000004</v>
          </cell>
          <cell r="E1490" t="str">
            <v>인</v>
          </cell>
          <cell r="G1490">
            <v>75306</v>
          </cell>
          <cell r="H1490">
            <v>354390</v>
          </cell>
        </row>
        <row r="1491">
          <cell r="B1491" t="str">
            <v xml:space="preserve">      검 수</v>
          </cell>
          <cell r="C1491" t="str">
            <v>프랜트기계설치공</v>
          </cell>
          <cell r="D1491">
            <v>4.7060000000000004</v>
          </cell>
          <cell r="E1491" t="str">
            <v>인</v>
          </cell>
          <cell r="G1491">
            <v>80805</v>
          </cell>
          <cell r="H1491">
            <v>380268</v>
          </cell>
        </row>
        <row r="1492">
          <cell r="B1492" t="str">
            <v xml:space="preserve">      보 조</v>
          </cell>
          <cell r="C1492" t="str">
            <v>특 별 인 부</v>
          </cell>
          <cell r="D1492">
            <v>4.7060000000000004</v>
          </cell>
          <cell r="E1492" t="str">
            <v>인</v>
          </cell>
          <cell r="G1492">
            <v>57379</v>
          </cell>
          <cell r="H1492">
            <v>270025</v>
          </cell>
        </row>
        <row r="1493">
          <cell r="A1493" t="str">
            <v>설치준비,CHIPPING</v>
          </cell>
          <cell r="C1493" t="str">
            <v>석      공</v>
          </cell>
          <cell r="D1493">
            <v>3.294</v>
          </cell>
          <cell r="E1493" t="str">
            <v>인</v>
          </cell>
          <cell r="G1493">
            <v>77005</v>
          </cell>
          <cell r="H1493">
            <v>253654</v>
          </cell>
        </row>
        <row r="1495">
          <cell r="A1495" t="str">
            <v xml:space="preserve"> </v>
          </cell>
          <cell r="C1495" t="str">
            <v>특 별 인 부</v>
          </cell>
          <cell r="D1495">
            <v>2.4700000000000002</v>
          </cell>
          <cell r="E1495" t="str">
            <v>인</v>
          </cell>
          <cell r="G1495">
            <v>57379</v>
          </cell>
          <cell r="H1495">
            <v>141726</v>
          </cell>
        </row>
        <row r="1496">
          <cell r="A1496" t="str">
            <v>가설비 Jig 및</v>
          </cell>
        </row>
        <row r="1497">
          <cell r="A1497" t="str">
            <v>Support  설  치</v>
          </cell>
          <cell r="C1497" t="str">
            <v>프랜트기계설치공</v>
          </cell>
          <cell r="D1497">
            <v>1.1759999999999999</v>
          </cell>
          <cell r="E1497" t="str">
            <v>인</v>
          </cell>
          <cell r="G1497">
            <v>80805</v>
          </cell>
          <cell r="H1497">
            <v>95026</v>
          </cell>
        </row>
        <row r="1498">
          <cell r="B1498" t="str">
            <v xml:space="preserve">     배  관</v>
          </cell>
          <cell r="C1498" t="str">
            <v>프랜트 배관공</v>
          </cell>
          <cell r="D1498">
            <v>1.1759999999999999</v>
          </cell>
          <cell r="E1498" t="str">
            <v>인</v>
          </cell>
          <cell r="G1498">
            <v>97219</v>
          </cell>
          <cell r="H1498">
            <v>114329</v>
          </cell>
        </row>
        <row r="1499">
          <cell r="B1499" t="str">
            <v xml:space="preserve">     절  단</v>
          </cell>
          <cell r="C1499" t="str">
            <v>산 소 절 단 공</v>
          </cell>
          <cell r="D1499">
            <v>0.94099999999999995</v>
          </cell>
          <cell r="E1499" t="str">
            <v>인</v>
          </cell>
          <cell r="G1499">
            <v>31794</v>
          </cell>
          <cell r="H1499">
            <v>29918</v>
          </cell>
        </row>
        <row r="1501">
          <cell r="B1501" t="str">
            <v xml:space="preserve">     용  접</v>
          </cell>
          <cell r="C1501" t="str">
            <v>프랜트 용접공</v>
          </cell>
          <cell r="D1501">
            <v>0.58799999999999997</v>
          </cell>
          <cell r="E1501" t="str">
            <v>인</v>
          </cell>
          <cell r="G1501">
            <v>95379</v>
          </cell>
          <cell r="H1501">
            <v>56082</v>
          </cell>
        </row>
        <row r="1502">
          <cell r="B1502" t="str">
            <v xml:space="preserve">     보  조</v>
          </cell>
          <cell r="C1502" t="str">
            <v>특 별 인 부</v>
          </cell>
          <cell r="D1502">
            <v>4.7060000000000004</v>
          </cell>
          <cell r="E1502" t="str">
            <v>인</v>
          </cell>
          <cell r="G1502">
            <v>57379</v>
          </cell>
          <cell r="H1502">
            <v>270025</v>
          </cell>
        </row>
        <row r="1503">
          <cell r="A1503" t="str">
            <v>조 립 및 조 작</v>
          </cell>
          <cell r="C1503" t="str">
            <v>특수 비계공</v>
          </cell>
          <cell r="D1503">
            <v>4.7060000000000004</v>
          </cell>
          <cell r="E1503" t="str">
            <v>인</v>
          </cell>
          <cell r="G1503">
            <v>85884</v>
          </cell>
          <cell r="H1503">
            <v>404170</v>
          </cell>
        </row>
        <row r="1504">
          <cell r="B1504" t="str">
            <v xml:space="preserve">     조  립</v>
          </cell>
          <cell r="C1504" t="str">
            <v>프랜트기계설치공</v>
          </cell>
          <cell r="D1504">
            <v>4.7060000000000004</v>
          </cell>
          <cell r="E1504" t="str">
            <v>인</v>
          </cell>
          <cell r="G1504">
            <v>80805</v>
          </cell>
          <cell r="H1504">
            <v>380268</v>
          </cell>
        </row>
        <row r="1505">
          <cell r="B1505" t="str">
            <v xml:space="preserve">     교  정</v>
          </cell>
          <cell r="C1505" t="str">
            <v>프랜트 제관공</v>
          </cell>
          <cell r="D1505">
            <v>2.3530000000000002</v>
          </cell>
          <cell r="E1505" t="str">
            <v>인</v>
          </cell>
          <cell r="G1505">
            <v>81966</v>
          </cell>
          <cell r="H1505">
            <v>192865</v>
          </cell>
        </row>
        <row r="1507">
          <cell r="B1507" t="str">
            <v xml:space="preserve">     측  량</v>
          </cell>
          <cell r="C1507" t="str">
            <v>시공측량기사</v>
          </cell>
          <cell r="D1507">
            <v>9.4120000000000008</v>
          </cell>
          <cell r="E1507" t="str">
            <v>인</v>
          </cell>
          <cell r="G1507">
            <v>58506</v>
          </cell>
          <cell r="H1507">
            <v>550658</v>
          </cell>
        </row>
        <row r="1508">
          <cell r="B1508" t="str">
            <v xml:space="preserve">   측량조수</v>
          </cell>
          <cell r="C1508" t="str">
            <v>시공측량조수</v>
          </cell>
          <cell r="D1508">
            <v>9.4120000000000008</v>
          </cell>
          <cell r="E1508" t="str">
            <v>인</v>
          </cell>
          <cell r="G1508">
            <v>38777</v>
          </cell>
          <cell r="H1508">
            <v>364969</v>
          </cell>
        </row>
        <row r="1509">
          <cell r="B1509" t="str">
            <v xml:space="preserve">     조  정</v>
          </cell>
          <cell r="C1509" t="str">
            <v>프랜트기계설치공</v>
          </cell>
          <cell r="D1509">
            <v>9.4120000000000008</v>
          </cell>
          <cell r="E1509" t="str">
            <v>인</v>
          </cell>
          <cell r="G1509">
            <v>80805</v>
          </cell>
          <cell r="H1509">
            <v>760536</v>
          </cell>
        </row>
        <row r="1510">
          <cell r="A1510" t="str">
            <v xml:space="preserve"> </v>
          </cell>
          <cell r="B1510" t="str">
            <v xml:space="preserve">     검  측</v>
          </cell>
          <cell r="C1510" t="str">
            <v>프랜트기계설치공</v>
          </cell>
          <cell r="D1510">
            <v>9.4120000000000008</v>
          </cell>
          <cell r="E1510" t="str">
            <v>인</v>
          </cell>
          <cell r="G1510">
            <v>80805</v>
          </cell>
          <cell r="H1510">
            <v>760536</v>
          </cell>
        </row>
        <row r="1511">
          <cell r="B1511" t="str">
            <v xml:space="preserve">     기  록</v>
          </cell>
          <cell r="C1511" t="str">
            <v>프랜트기계설치공</v>
          </cell>
          <cell r="D1511">
            <v>4.7060000000000004</v>
          </cell>
          <cell r="E1511" t="str">
            <v>인</v>
          </cell>
          <cell r="G1511">
            <v>80805</v>
          </cell>
          <cell r="H1511">
            <v>380268</v>
          </cell>
        </row>
        <row r="1513">
          <cell r="B1513" t="str">
            <v xml:space="preserve">     용  접</v>
          </cell>
          <cell r="C1513" t="str">
            <v>프랜트 용접공</v>
          </cell>
          <cell r="D1513">
            <v>4.7060000000000004</v>
          </cell>
          <cell r="E1513" t="str">
            <v>인</v>
          </cell>
          <cell r="G1513">
            <v>95379</v>
          </cell>
          <cell r="H1513">
            <v>448853</v>
          </cell>
          <cell r="I1513" t="str">
            <v xml:space="preserve"> </v>
          </cell>
        </row>
        <row r="1514">
          <cell r="A1514" t="str">
            <v>종       별</v>
          </cell>
          <cell r="C1514" t="str">
            <v>재 료 또 는</v>
          </cell>
          <cell r="D1514" t="str">
            <v xml:space="preserve">원 수 </v>
          </cell>
          <cell r="E1514" t="str">
            <v>단 위</v>
          </cell>
          <cell r="F1514" t="str">
            <v>총   액</v>
          </cell>
          <cell r="G1514" t="str">
            <v>노   무   비</v>
          </cell>
          <cell r="I1514" t="str">
            <v>재   료   비</v>
          </cell>
          <cell r="K1514" t="str">
            <v>경      비</v>
          </cell>
          <cell r="M1514" t="str">
            <v>비   고</v>
          </cell>
        </row>
        <row r="1515">
          <cell r="C1515" t="str">
            <v xml:space="preserve">규       격 </v>
          </cell>
          <cell r="F1515" t="str">
            <v>금   액</v>
          </cell>
          <cell r="G1515" t="str">
            <v>단  가</v>
          </cell>
          <cell r="H1515" t="str">
            <v>금   액</v>
          </cell>
          <cell r="I1515" t="str">
            <v>단  가</v>
          </cell>
          <cell r="J1515" t="str">
            <v>금   액</v>
          </cell>
          <cell r="K1515" t="str">
            <v>단  가</v>
          </cell>
          <cell r="L1515" t="str">
            <v>금   액</v>
          </cell>
        </row>
        <row r="1516">
          <cell r="B1516" t="str">
            <v xml:space="preserve">     보  조</v>
          </cell>
          <cell r="C1516" t="str">
            <v>특 별 인 부</v>
          </cell>
          <cell r="D1516">
            <v>14.118</v>
          </cell>
          <cell r="E1516" t="str">
            <v>인</v>
          </cell>
          <cell r="G1516">
            <v>57379</v>
          </cell>
          <cell r="H1516">
            <v>810076</v>
          </cell>
        </row>
        <row r="1517">
          <cell r="A1517" t="str">
            <v>검 사 및 기 록</v>
          </cell>
        </row>
        <row r="1518">
          <cell r="B1518" t="str">
            <v xml:space="preserve">     측  량</v>
          </cell>
          <cell r="C1518" t="str">
            <v>시공측량기사</v>
          </cell>
          <cell r="D1518">
            <v>2.3530000000000002</v>
          </cell>
          <cell r="E1518" t="str">
            <v>인</v>
          </cell>
          <cell r="G1518">
            <v>58506</v>
          </cell>
          <cell r="H1518">
            <v>137664</v>
          </cell>
        </row>
        <row r="1519">
          <cell r="B1519" t="str">
            <v xml:space="preserve">     측량조수</v>
          </cell>
          <cell r="C1519" t="str">
            <v>시공측량조수</v>
          </cell>
          <cell r="D1519">
            <v>2.3530000000000002</v>
          </cell>
          <cell r="E1519" t="str">
            <v>인</v>
          </cell>
          <cell r="G1519">
            <v>38777</v>
          </cell>
          <cell r="H1519">
            <v>91242</v>
          </cell>
        </row>
        <row r="1520">
          <cell r="B1520" t="str">
            <v xml:space="preserve">     검  측</v>
          </cell>
          <cell r="C1520" t="str">
            <v>프랜트기계설치공</v>
          </cell>
          <cell r="D1520">
            <v>2.3530000000000002</v>
          </cell>
          <cell r="E1520" t="str">
            <v>인</v>
          </cell>
          <cell r="G1520">
            <v>80805</v>
          </cell>
          <cell r="H1520">
            <v>190134</v>
          </cell>
        </row>
        <row r="1521">
          <cell r="A1521" t="str">
            <v>도면대조 및 기록</v>
          </cell>
          <cell r="C1521" t="str">
            <v>프랜트기계설치공</v>
          </cell>
          <cell r="D1521">
            <v>2.3530000000000002</v>
          </cell>
          <cell r="E1521" t="str">
            <v>인</v>
          </cell>
          <cell r="G1521">
            <v>80805</v>
          </cell>
          <cell r="H1521">
            <v>190134</v>
          </cell>
        </row>
        <row r="1522">
          <cell r="B1522" t="str">
            <v xml:space="preserve">     보  조</v>
          </cell>
          <cell r="C1522" t="str">
            <v>특 별 인 부</v>
          </cell>
          <cell r="D1522">
            <v>2.3530000000000002</v>
          </cell>
          <cell r="E1522" t="str">
            <v>인</v>
          </cell>
          <cell r="G1522">
            <v>57379</v>
          </cell>
          <cell r="H1522">
            <v>135012</v>
          </cell>
        </row>
        <row r="1523">
          <cell r="A1523" t="str">
            <v>뒷 정 리,조  작</v>
          </cell>
          <cell r="C1523" t="str">
            <v>특수 비계공</v>
          </cell>
          <cell r="D1523">
            <v>0.624</v>
          </cell>
          <cell r="E1523" t="str">
            <v>인</v>
          </cell>
          <cell r="G1523">
            <v>85884</v>
          </cell>
          <cell r="H1523">
            <v>53591</v>
          </cell>
        </row>
        <row r="1524">
          <cell r="B1524" t="str">
            <v xml:space="preserve">     철  거</v>
          </cell>
          <cell r="C1524" t="str">
            <v>프랜트기계설치공</v>
          </cell>
          <cell r="D1524">
            <v>1.4119999999999999</v>
          </cell>
          <cell r="E1524" t="str">
            <v>인</v>
          </cell>
          <cell r="G1524">
            <v>80805</v>
          </cell>
          <cell r="H1524">
            <v>114096</v>
          </cell>
        </row>
        <row r="1526">
          <cell r="B1526" t="str">
            <v xml:space="preserve">     절  단</v>
          </cell>
          <cell r="C1526" t="str">
            <v>산 소 절 단 공</v>
          </cell>
          <cell r="D1526">
            <v>0.94799999999999995</v>
          </cell>
          <cell r="E1526" t="str">
            <v>인</v>
          </cell>
          <cell r="G1526">
            <v>31794</v>
          </cell>
          <cell r="H1526">
            <v>30140</v>
          </cell>
        </row>
        <row r="1527">
          <cell r="B1527" t="str">
            <v xml:space="preserve">     보  조</v>
          </cell>
          <cell r="C1527" t="str">
            <v>특 별 인 부</v>
          </cell>
          <cell r="D1527">
            <v>2.3530000000000002</v>
          </cell>
          <cell r="E1527" t="str">
            <v>인</v>
          </cell>
          <cell r="G1527">
            <v>57379</v>
          </cell>
          <cell r="H1527">
            <v>135012</v>
          </cell>
        </row>
        <row r="1528">
          <cell r="A1528" t="str">
            <v>전기설비설치유지</v>
          </cell>
        </row>
        <row r="1529">
          <cell r="B1529" t="str">
            <v xml:space="preserve">     철  거</v>
          </cell>
          <cell r="C1529" t="str">
            <v>프 랜 트 전 공</v>
          </cell>
          <cell r="D1529">
            <v>3.5289999999999999</v>
          </cell>
          <cell r="E1529" t="str">
            <v>인</v>
          </cell>
          <cell r="G1529">
            <v>64285</v>
          </cell>
          <cell r="H1529">
            <v>226861</v>
          </cell>
        </row>
        <row r="1530">
          <cell r="B1530" t="str">
            <v xml:space="preserve">     보  조</v>
          </cell>
          <cell r="C1530" t="str">
            <v>특 별 인 부</v>
          </cell>
          <cell r="D1530">
            <v>3.5289999999999999</v>
          </cell>
          <cell r="E1530" t="str">
            <v>인</v>
          </cell>
          <cell r="G1530">
            <v>57379</v>
          </cell>
          <cell r="H1530">
            <v>202490</v>
          </cell>
        </row>
        <row r="1535">
          <cell r="A1535" t="str">
            <v xml:space="preserve">        계</v>
          </cell>
          <cell r="F1535">
            <v>9780858</v>
          </cell>
          <cell r="H1535">
            <v>9780858</v>
          </cell>
        </row>
        <row r="1543">
          <cell r="E1543" t="str">
            <v xml:space="preserve"> </v>
          </cell>
          <cell r="F1543" t="str">
            <v>RADIAL GATE GUIDE FRAME 설치 사용장비 경비</v>
          </cell>
        </row>
        <row r="1544">
          <cell r="E1544" t="str">
            <v xml:space="preserve"> </v>
          </cell>
        </row>
        <row r="1545">
          <cell r="A1545" t="str">
            <v>종       별</v>
          </cell>
          <cell r="C1545" t="str">
            <v>재 료 또 는</v>
          </cell>
          <cell r="D1545" t="str">
            <v xml:space="preserve">원 수 </v>
          </cell>
          <cell r="E1545" t="str">
            <v>단 위</v>
          </cell>
          <cell r="F1545" t="str">
            <v>총   액</v>
          </cell>
          <cell r="G1545" t="str">
            <v>노   무   비</v>
          </cell>
          <cell r="I1545" t="str">
            <v>재   료   비</v>
          </cell>
          <cell r="K1545" t="str">
            <v>경      비</v>
          </cell>
          <cell r="M1545" t="str">
            <v>비   고</v>
          </cell>
        </row>
        <row r="1546">
          <cell r="C1546" t="str">
            <v xml:space="preserve">규       격 </v>
          </cell>
          <cell r="F1546" t="str">
            <v>금   액</v>
          </cell>
          <cell r="G1546" t="str">
            <v>단  가</v>
          </cell>
          <cell r="H1546" t="str">
            <v>금   액</v>
          </cell>
          <cell r="I1546" t="str">
            <v>단  가</v>
          </cell>
          <cell r="J1546" t="str">
            <v>금   액</v>
          </cell>
          <cell r="K1546" t="str">
            <v>단  가</v>
          </cell>
          <cell r="L1546" t="str">
            <v>금   액</v>
          </cell>
        </row>
        <row r="1548">
          <cell r="A1548" t="str">
            <v>A.C WELDER</v>
          </cell>
          <cell r="C1548" t="str">
            <v>10KVA</v>
          </cell>
          <cell r="D1548">
            <v>8</v>
          </cell>
          <cell r="E1548" t="str">
            <v>Hr</v>
          </cell>
          <cell r="K1548">
            <v>155</v>
          </cell>
          <cell r="L1548">
            <v>1240</v>
          </cell>
        </row>
        <row r="1549">
          <cell r="A1549" t="str">
            <v>GAS CUTTING M/C</v>
          </cell>
          <cell r="C1549" t="str">
            <v>중 형</v>
          </cell>
          <cell r="D1549">
            <v>48</v>
          </cell>
          <cell r="E1549" t="str">
            <v>Hr</v>
          </cell>
          <cell r="G1549">
            <v>3974</v>
          </cell>
          <cell r="H1549">
            <v>190752</v>
          </cell>
          <cell r="K1549">
            <v>115</v>
          </cell>
          <cell r="L1549">
            <v>5520</v>
          </cell>
        </row>
        <row r="1550">
          <cell r="A1550" t="str">
            <v>GAS WELDER</v>
          </cell>
          <cell r="C1550" t="str">
            <v>중 형</v>
          </cell>
          <cell r="D1550">
            <v>24</v>
          </cell>
          <cell r="E1550" t="str">
            <v>Hr</v>
          </cell>
          <cell r="K1550">
            <v>115</v>
          </cell>
          <cell r="L1550">
            <v>2760</v>
          </cell>
        </row>
        <row r="1551">
          <cell r="A1551" t="str">
            <v>PORTABLE DRILL</v>
          </cell>
          <cell r="C1551" t="str">
            <v>1.5 HP</v>
          </cell>
          <cell r="D1551">
            <v>16</v>
          </cell>
          <cell r="E1551" t="str">
            <v>Hr</v>
          </cell>
          <cell r="K1551">
            <v>14</v>
          </cell>
          <cell r="L1551">
            <v>224</v>
          </cell>
        </row>
        <row r="1552">
          <cell r="A1552" t="str">
            <v>PORTABLE GRINDER</v>
          </cell>
          <cell r="C1552" t="str">
            <v>0.5 HP</v>
          </cell>
          <cell r="D1552">
            <v>48</v>
          </cell>
          <cell r="E1552" t="str">
            <v>Hr</v>
          </cell>
          <cell r="K1552">
            <v>22</v>
          </cell>
          <cell r="L1552">
            <v>1056</v>
          </cell>
        </row>
        <row r="1554">
          <cell r="A1554" t="str">
            <v>COMPRESSOR</v>
          </cell>
          <cell r="C1554" t="str">
            <v>7.1㎥/min</v>
          </cell>
          <cell r="D1554">
            <v>16</v>
          </cell>
          <cell r="E1554" t="str">
            <v>Hr</v>
          </cell>
          <cell r="G1554">
            <v>9681</v>
          </cell>
          <cell r="H1554">
            <v>154896</v>
          </cell>
          <cell r="I1554">
            <v>8779</v>
          </cell>
          <cell r="J1554">
            <v>140464</v>
          </cell>
          <cell r="K1554">
            <v>6250</v>
          </cell>
          <cell r="L1554">
            <v>100000</v>
          </cell>
        </row>
        <row r="1555">
          <cell r="A1555" t="str">
            <v>리프트 트럭</v>
          </cell>
          <cell r="C1555" t="str">
            <v>5 TON</v>
          </cell>
          <cell r="D1555">
            <v>8</v>
          </cell>
          <cell r="E1555" t="str">
            <v>Hr</v>
          </cell>
          <cell r="G1555">
            <v>9681</v>
          </cell>
          <cell r="H1555">
            <v>77448</v>
          </cell>
          <cell r="I1555">
            <v>5116.08</v>
          </cell>
          <cell r="J1555">
            <v>40928</v>
          </cell>
          <cell r="K1555">
            <v>4863</v>
          </cell>
          <cell r="L1555">
            <v>38904</v>
          </cell>
        </row>
        <row r="1556">
          <cell r="A1556" t="str">
            <v>TRUCK CRANE</v>
          </cell>
          <cell r="C1556" t="str">
            <v>40 TON</v>
          </cell>
          <cell r="D1556">
            <v>8</v>
          </cell>
          <cell r="E1556" t="str">
            <v>Hr</v>
          </cell>
          <cell r="G1556">
            <v>18615</v>
          </cell>
          <cell r="H1556">
            <v>148920</v>
          </cell>
          <cell r="I1556">
            <v>8730</v>
          </cell>
          <cell r="J1556">
            <v>69840</v>
          </cell>
          <cell r="K1556">
            <v>55621</v>
          </cell>
          <cell r="L1556">
            <v>444968</v>
          </cell>
        </row>
        <row r="1557">
          <cell r="A1557" t="str">
            <v>WINCH</v>
          </cell>
          <cell r="C1557" t="str">
            <v>50 HP</v>
          </cell>
          <cell r="D1557">
            <v>8</v>
          </cell>
          <cell r="E1557" t="str">
            <v>Hr</v>
          </cell>
          <cell r="G1557">
            <v>9235</v>
          </cell>
          <cell r="H1557">
            <v>73880</v>
          </cell>
          <cell r="K1557">
            <v>5209</v>
          </cell>
          <cell r="L1557">
            <v>41672</v>
          </cell>
        </row>
        <row r="1560">
          <cell r="B1560" t="str">
            <v xml:space="preserve"> 계</v>
          </cell>
          <cell r="F1560">
            <v>1533472</v>
          </cell>
          <cell r="H1560">
            <v>645896</v>
          </cell>
          <cell r="J1560">
            <v>251232</v>
          </cell>
          <cell r="L1560">
            <v>636344</v>
          </cell>
        </row>
        <row r="1572">
          <cell r="E1572" t="str">
            <v xml:space="preserve"> </v>
          </cell>
          <cell r="F1572" t="str">
            <v>RADIAL GATE GUIDE FRAME 설치 소모 자재비</v>
          </cell>
        </row>
        <row r="1573">
          <cell r="E1573" t="str">
            <v xml:space="preserve"> </v>
          </cell>
        </row>
        <row r="1574">
          <cell r="A1574" t="str">
            <v>종       별</v>
          </cell>
          <cell r="C1574" t="str">
            <v>재 료 또 는</v>
          </cell>
          <cell r="D1574" t="str">
            <v xml:space="preserve">원 수 </v>
          </cell>
          <cell r="E1574" t="str">
            <v>단 위</v>
          </cell>
          <cell r="F1574" t="str">
            <v>총   액</v>
          </cell>
          <cell r="G1574" t="str">
            <v>노   무   비</v>
          </cell>
          <cell r="I1574" t="str">
            <v>재   료   비</v>
          </cell>
          <cell r="K1574" t="str">
            <v>경      비</v>
          </cell>
          <cell r="M1574" t="str">
            <v>비   고</v>
          </cell>
        </row>
        <row r="1575">
          <cell r="C1575" t="str">
            <v xml:space="preserve">규       격 </v>
          </cell>
          <cell r="F1575" t="str">
            <v>금   액</v>
          </cell>
          <cell r="G1575" t="str">
            <v>단  가</v>
          </cell>
          <cell r="H1575" t="str">
            <v>금   액</v>
          </cell>
          <cell r="I1575" t="str">
            <v>단  가</v>
          </cell>
          <cell r="J1575" t="str">
            <v>금   액</v>
          </cell>
          <cell r="K1575" t="str">
            <v>단  가</v>
          </cell>
          <cell r="L1575" t="str">
            <v>금   액</v>
          </cell>
        </row>
        <row r="1576">
          <cell r="A1576" t="str">
            <v>산       소</v>
          </cell>
          <cell r="C1576" t="str">
            <v>6,000L용</v>
          </cell>
          <cell r="D1576">
            <v>0.5</v>
          </cell>
          <cell r="E1576" t="str">
            <v>병</v>
          </cell>
          <cell r="G1576" t="str">
            <v xml:space="preserve"> </v>
          </cell>
          <cell r="I1576">
            <v>12000</v>
          </cell>
          <cell r="J1576">
            <v>6000</v>
          </cell>
        </row>
        <row r="1577">
          <cell r="A1577" t="str">
            <v>아 세 치 렌</v>
          </cell>
          <cell r="C1577" t="str">
            <v>2,100L용</v>
          </cell>
          <cell r="D1577">
            <v>0.05</v>
          </cell>
          <cell r="E1577" t="str">
            <v>병</v>
          </cell>
          <cell r="I1577">
            <v>25849</v>
          </cell>
          <cell r="J1577">
            <v>1292</v>
          </cell>
        </row>
        <row r="1578">
          <cell r="A1578" t="str">
            <v>용   접  봉</v>
          </cell>
          <cell r="C1578" t="str">
            <v>SS41+STS304,4M/M</v>
          </cell>
          <cell r="D1578">
            <v>7</v>
          </cell>
          <cell r="E1578" t="str">
            <v>KG</v>
          </cell>
          <cell r="I1578">
            <v>3360</v>
          </cell>
          <cell r="J1578">
            <v>23520</v>
          </cell>
        </row>
        <row r="1579">
          <cell r="A1579" t="str">
            <v xml:space="preserve"> </v>
          </cell>
          <cell r="D1579" t="str">
            <v xml:space="preserve"> </v>
          </cell>
          <cell r="E1579" t="str">
            <v xml:space="preserve"> </v>
          </cell>
          <cell r="I1579" t="str">
            <v xml:space="preserve"> </v>
          </cell>
          <cell r="J1579" t="str">
            <v xml:space="preserve"> </v>
          </cell>
        </row>
        <row r="1582">
          <cell r="B1582" t="str">
            <v>계</v>
          </cell>
          <cell r="F1582">
            <v>30812</v>
          </cell>
          <cell r="J1582">
            <v>30812</v>
          </cell>
          <cell r="L1582" t="str">
            <v xml:space="preserve"> </v>
          </cell>
        </row>
        <row r="1601">
          <cell r="E1601" t="str">
            <v xml:space="preserve"> </v>
          </cell>
          <cell r="F1601" t="str">
            <v>RADIAL GATE HOIST 설치 사용장비 경비</v>
          </cell>
        </row>
        <row r="1602">
          <cell r="E1602" t="str">
            <v xml:space="preserve"> </v>
          </cell>
        </row>
        <row r="1603">
          <cell r="A1603" t="str">
            <v>종       별</v>
          </cell>
          <cell r="C1603" t="str">
            <v>재 료 또 는</v>
          </cell>
          <cell r="D1603" t="str">
            <v xml:space="preserve">원 수 </v>
          </cell>
          <cell r="E1603" t="str">
            <v>단 위</v>
          </cell>
          <cell r="F1603" t="str">
            <v>총   액</v>
          </cell>
          <cell r="G1603" t="str">
            <v>노   무   비</v>
          </cell>
          <cell r="I1603" t="str">
            <v>재   료   비</v>
          </cell>
          <cell r="K1603" t="str">
            <v>경      비</v>
          </cell>
          <cell r="M1603" t="str">
            <v>비   고</v>
          </cell>
        </row>
        <row r="1604">
          <cell r="C1604" t="str">
            <v xml:space="preserve">규       격 </v>
          </cell>
          <cell r="F1604" t="str">
            <v>금   액</v>
          </cell>
          <cell r="G1604" t="str">
            <v>단  가</v>
          </cell>
          <cell r="H1604" t="str">
            <v>금   액</v>
          </cell>
          <cell r="I1604" t="str">
            <v>단  가</v>
          </cell>
          <cell r="J1604" t="str">
            <v>금   액</v>
          </cell>
          <cell r="K1604" t="str">
            <v>단  가</v>
          </cell>
          <cell r="L1604" t="str">
            <v>금   액</v>
          </cell>
        </row>
        <row r="1607">
          <cell r="A1607" t="str">
            <v>A.C WELDER</v>
          </cell>
          <cell r="C1607" t="str">
            <v>10KVA</v>
          </cell>
          <cell r="D1607">
            <v>8</v>
          </cell>
          <cell r="E1607" t="str">
            <v>Hr</v>
          </cell>
          <cell r="K1607">
            <v>155</v>
          </cell>
          <cell r="L1607">
            <v>1240</v>
          </cell>
        </row>
        <row r="1608">
          <cell r="A1608" t="str">
            <v>GAS CUTTING M/C</v>
          </cell>
          <cell r="C1608" t="str">
            <v>중 형</v>
          </cell>
          <cell r="D1608">
            <v>16</v>
          </cell>
          <cell r="E1608" t="str">
            <v>Hr</v>
          </cell>
          <cell r="G1608">
            <v>3974</v>
          </cell>
          <cell r="H1608">
            <v>63584</v>
          </cell>
          <cell r="K1608">
            <v>115</v>
          </cell>
          <cell r="L1608">
            <v>1840</v>
          </cell>
        </row>
        <row r="1609">
          <cell r="A1609" t="str">
            <v>PORTABLE DRILL</v>
          </cell>
          <cell r="C1609" t="str">
            <v>1.5 HP</v>
          </cell>
          <cell r="D1609">
            <v>8</v>
          </cell>
          <cell r="E1609" t="str">
            <v>Hr</v>
          </cell>
          <cell r="K1609">
            <v>14</v>
          </cell>
          <cell r="L1609">
            <v>112</v>
          </cell>
        </row>
        <row r="1610">
          <cell r="A1610" t="str">
            <v>PORTABLE GRINDER</v>
          </cell>
          <cell r="C1610" t="str">
            <v>0.5 HP</v>
          </cell>
          <cell r="D1610">
            <v>16</v>
          </cell>
          <cell r="E1610" t="str">
            <v>Hr</v>
          </cell>
          <cell r="K1610">
            <v>22</v>
          </cell>
          <cell r="L1610">
            <v>352</v>
          </cell>
        </row>
        <row r="1611">
          <cell r="A1611" t="str">
            <v>TRUCK CRANE</v>
          </cell>
          <cell r="C1611" t="str">
            <v>30 TON</v>
          </cell>
          <cell r="D1611">
            <v>8</v>
          </cell>
          <cell r="E1611" t="str">
            <v>Hr</v>
          </cell>
          <cell r="G1611">
            <v>18615</v>
          </cell>
          <cell r="H1611">
            <v>148920</v>
          </cell>
          <cell r="I1611">
            <v>7046</v>
          </cell>
          <cell r="J1611">
            <v>56368</v>
          </cell>
          <cell r="K1611">
            <v>44939</v>
          </cell>
          <cell r="L1611">
            <v>359512</v>
          </cell>
        </row>
        <row r="1612">
          <cell r="E1612" t="str">
            <v xml:space="preserve"> </v>
          </cell>
          <cell r="G1612" t="str">
            <v xml:space="preserve"> </v>
          </cell>
          <cell r="I1612" t="str">
            <v xml:space="preserve"> </v>
          </cell>
          <cell r="J1612" t="str">
            <v xml:space="preserve"> </v>
          </cell>
          <cell r="K1612" t="str">
            <v xml:space="preserve"> </v>
          </cell>
        </row>
        <row r="1613">
          <cell r="A1613" t="str">
            <v>WINCH</v>
          </cell>
          <cell r="C1613" t="str">
            <v>10 HP</v>
          </cell>
          <cell r="D1613">
            <v>16</v>
          </cell>
          <cell r="E1613" t="str">
            <v>Hr</v>
          </cell>
          <cell r="G1613">
            <v>9235</v>
          </cell>
          <cell r="H1613">
            <v>147760</v>
          </cell>
          <cell r="I1613" t="str">
            <v xml:space="preserve"> </v>
          </cell>
          <cell r="J1613" t="str">
            <v xml:space="preserve"> </v>
          </cell>
          <cell r="K1613">
            <v>850</v>
          </cell>
          <cell r="L1613">
            <v>13600</v>
          </cell>
        </row>
        <row r="1618">
          <cell r="B1618" t="str">
            <v xml:space="preserve"> 계</v>
          </cell>
          <cell r="F1618">
            <v>793288</v>
          </cell>
          <cell r="H1618">
            <v>360264</v>
          </cell>
          <cell r="J1618">
            <v>56368</v>
          </cell>
          <cell r="L1618">
            <v>376656</v>
          </cell>
        </row>
        <row r="1630">
          <cell r="E1630" t="str">
            <v xml:space="preserve"> </v>
          </cell>
          <cell r="F1630" t="str">
            <v>TRASH RACK 제작 인건비</v>
          </cell>
        </row>
        <row r="1631">
          <cell r="E1631" t="str">
            <v xml:space="preserve"> </v>
          </cell>
        </row>
        <row r="1632">
          <cell r="A1632" t="str">
            <v>종       별</v>
          </cell>
          <cell r="C1632" t="str">
            <v>재 료 또 는</v>
          </cell>
          <cell r="D1632" t="str">
            <v xml:space="preserve">원 수 </v>
          </cell>
          <cell r="E1632" t="str">
            <v>단 위</v>
          </cell>
          <cell r="F1632" t="str">
            <v>총   액</v>
          </cell>
          <cell r="G1632" t="str">
            <v>노   무   비</v>
          </cell>
          <cell r="I1632" t="str">
            <v>재   료   비</v>
          </cell>
          <cell r="K1632" t="str">
            <v>경      비</v>
          </cell>
          <cell r="M1632" t="str">
            <v>비   고</v>
          </cell>
        </row>
        <row r="1633">
          <cell r="C1633" t="str">
            <v xml:space="preserve">규       격 </v>
          </cell>
          <cell r="F1633" t="str">
            <v>금   액</v>
          </cell>
          <cell r="G1633" t="str">
            <v>단  가</v>
          </cell>
          <cell r="H1633" t="str">
            <v>금   액</v>
          </cell>
          <cell r="I1633" t="str">
            <v>단  가</v>
          </cell>
          <cell r="J1633" t="str">
            <v>금   액</v>
          </cell>
          <cell r="K1633" t="str">
            <v>단  가</v>
          </cell>
          <cell r="L1633" t="str">
            <v>금   액</v>
          </cell>
        </row>
        <row r="1634">
          <cell r="A1634" t="str">
            <v>기 술 관 리</v>
          </cell>
          <cell r="C1634" t="str">
            <v>기계기사1급</v>
          </cell>
          <cell r="D1634">
            <v>5.2</v>
          </cell>
          <cell r="E1634" t="str">
            <v>인</v>
          </cell>
          <cell r="G1634">
            <v>97488</v>
          </cell>
          <cell r="H1634">
            <v>506937</v>
          </cell>
        </row>
        <row r="1635">
          <cell r="A1635" t="str">
            <v>제 작 정 리</v>
          </cell>
          <cell r="C1635" t="str">
            <v>프랜트 제관공</v>
          </cell>
          <cell r="D1635">
            <v>1.25</v>
          </cell>
          <cell r="E1635" t="str">
            <v>인</v>
          </cell>
          <cell r="G1635">
            <v>81966</v>
          </cell>
          <cell r="H1635">
            <v>102457</v>
          </cell>
        </row>
        <row r="1636">
          <cell r="A1636" t="str">
            <v xml:space="preserve"> </v>
          </cell>
          <cell r="B1636" t="str">
            <v>절    단</v>
          </cell>
          <cell r="C1636" t="str">
            <v>산소 절단공</v>
          </cell>
          <cell r="D1636">
            <v>0.65600000000000003</v>
          </cell>
          <cell r="E1636" t="str">
            <v>인</v>
          </cell>
          <cell r="G1636">
            <v>31794</v>
          </cell>
          <cell r="H1636">
            <v>20856</v>
          </cell>
        </row>
        <row r="1637">
          <cell r="B1637" t="str">
            <v>절    단</v>
          </cell>
          <cell r="C1637" t="str">
            <v>프랜트 제관공</v>
          </cell>
          <cell r="D1637">
            <v>36.902000000000001</v>
          </cell>
          <cell r="E1637" t="str">
            <v>인</v>
          </cell>
          <cell r="G1637">
            <v>81966</v>
          </cell>
          <cell r="H1637">
            <v>3024709</v>
          </cell>
        </row>
        <row r="1638">
          <cell r="A1638" t="str">
            <v>HOLING</v>
          </cell>
          <cell r="C1638" t="str">
            <v>프랜트 제관공</v>
          </cell>
          <cell r="D1638">
            <v>3.22</v>
          </cell>
          <cell r="E1638" t="str">
            <v>인</v>
          </cell>
          <cell r="G1638">
            <v>81966</v>
          </cell>
          <cell r="H1638">
            <v>263930</v>
          </cell>
        </row>
        <row r="1640">
          <cell r="A1640" t="str">
            <v>THREADING</v>
          </cell>
          <cell r="C1640" t="str">
            <v>프랜트 제관공</v>
          </cell>
          <cell r="D1640">
            <v>4.3</v>
          </cell>
          <cell r="E1640" t="str">
            <v>인</v>
          </cell>
          <cell r="G1640">
            <v>81966</v>
          </cell>
          <cell r="H1640">
            <v>352453</v>
          </cell>
        </row>
        <row r="1641">
          <cell r="B1641" t="str">
            <v>끝   손   질</v>
          </cell>
          <cell r="C1641" t="str">
            <v>기계 연마공</v>
          </cell>
          <cell r="D1641">
            <v>18.66</v>
          </cell>
          <cell r="E1641" t="str">
            <v>인</v>
          </cell>
          <cell r="G1641">
            <v>26032</v>
          </cell>
          <cell r="H1641">
            <v>485757</v>
          </cell>
        </row>
        <row r="1642">
          <cell r="B1642" t="str">
            <v>사    도</v>
          </cell>
          <cell r="C1642" t="str">
            <v>제   도   공</v>
          </cell>
          <cell r="D1642">
            <v>0.3</v>
          </cell>
          <cell r="E1642" t="str">
            <v>인</v>
          </cell>
          <cell r="G1642">
            <v>32747</v>
          </cell>
          <cell r="H1642">
            <v>9824</v>
          </cell>
        </row>
        <row r="1643">
          <cell r="B1643" t="str">
            <v>현    도</v>
          </cell>
          <cell r="C1643" t="str">
            <v>현   도   공</v>
          </cell>
          <cell r="D1643">
            <v>8.5999999999999993E-2</v>
          </cell>
          <cell r="E1643" t="str">
            <v>인</v>
          </cell>
          <cell r="G1643">
            <v>28487</v>
          </cell>
          <cell r="H1643">
            <v>2449</v>
          </cell>
        </row>
        <row r="1644">
          <cell r="B1644" t="str">
            <v>괘    서</v>
          </cell>
          <cell r="C1644" t="str">
            <v>마   킹   공</v>
          </cell>
          <cell r="D1644">
            <v>2</v>
          </cell>
          <cell r="E1644" t="str">
            <v>인</v>
          </cell>
          <cell r="G1644">
            <v>26924</v>
          </cell>
          <cell r="H1644">
            <v>53848</v>
          </cell>
        </row>
        <row r="1646">
          <cell r="A1646" t="str">
            <v xml:space="preserve"> </v>
          </cell>
          <cell r="B1646" t="str">
            <v>교    정</v>
          </cell>
          <cell r="C1646" t="str">
            <v>프랜트 제관공</v>
          </cell>
          <cell r="D1646">
            <v>0.5</v>
          </cell>
          <cell r="E1646" t="str">
            <v>인</v>
          </cell>
          <cell r="G1646">
            <v>81966</v>
          </cell>
          <cell r="H1646">
            <v>40983</v>
          </cell>
        </row>
        <row r="1647">
          <cell r="A1647" t="str">
            <v>용        접</v>
          </cell>
          <cell r="C1647" t="str">
            <v>프랜트 용접공</v>
          </cell>
          <cell r="D1647">
            <v>4.46</v>
          </cell>
          <cell r="E1647" t="str">
            <v>인</v>
          </cell>
          <cell r="G1647">
            <v>95379</v>
          </cell>
          <cell r="H1647">
            <v>425390</v>
          </cell>
        </row>
        <row r="1648">
          <cell r="B1648" t="str">
            <v>교    정</v>
          </cell>
          <cell r="C1648" t="str">
            <v>프랜트 제관공</v>
          </cell>
          <cell r="D1648">
            <v>0.75</v>
          </cell>
          <cell r="E1648" t="str">
            <v>인</v>
          </cell>
          <cell r="G1648">
            <v>81966</v>
          </cell>
          <cell r="H1648">
            <v>61474</v>
          </cell>
        </row>
        <row r="1649">
          <cell r="B1649" t="str">
            <v>조    작</v>
          </cell>
          <cell r="C1649" t="str">
            <v>특수 비계공</v>
          </cell>
          <cell r="D1649">
            <v>3.3</v>
          </cell>
          <cell r="E1649" t="str">
            <v>인</v>
          </cell>
          <cell r="G1649">
            <v>85884</v>
          </cell>
          <cell r="H1649">
            <v>283417</v>
          </cell>
        </row>
        <row r="1650">
          <cell r="B1650" t="str">
            <v>소  운  반</v>
          </cell>
          <cell r="C1650" t="str">
            <v>보 통 인 부</v>
          </cell>
          <cell r="D1650">
            <v>1</v>
          </cell>
          <cell r="E1650" t="str">
            <v>인</v>
          </cell>
          <cell r="G1650">
            <v>37736</v>
          </cell>
          <cell r="H1650">
            <v>37736</v>
          </cell>
        </row>
        <row r="1652">
          <cell r="B1652" t="str">
            <v>보  조(기 능)</v>
          </cell>
          <cell r="C1652" t="str">
            <v>특 별 인 부</v>
          </cell>
          <cell r="D1652">
            <v>37.68</v>
          </cell>
          <cell r="G1652">
            <v>57379</v>
          </cell>
          <cell r="H1652">
            <v>2162040</v>
          </cell>
        </row>
        <row r="1656">
          <cell r="B1656" t="str">
            <v xml:space="preserve">    계</v>
          </cell>
          <cell r="F1656">
            <v>7834260</v>
          </cell>
          <cell r="H1656">
            <v>7834260</v>
          </cell>
        </row>
        <row r="1659">
          <cell r="E1659" t="str">
            <v xml:space="preserve"> </v>
          </cell>
          <cell r="F1659" t="str">
            <v>TRASH RACK 제작 소모 자재비</v>
          </cell>
        </row>
        <row r="1660">
          <cell r="E1660" t="str">
            <v xml:space="preserve"> </v>
          </cell>
        </row>
        <row r="1661">
          <cell r="A1661" t="str">
            <v>종       별</v>
          </cell>
          <cell r="C1661" t="str">
            <v>재 료 또 는</v>
          </cell>
          <cell r="D1661" t="str">
            <v xml:space="preserve">원 수 </v>
          </cell>
          <cell r="E1661" t="str">
            <v>단 위</v>
          </cell>
          <cell r="F1661" t="str">
            <v>총   액</v>
          </cell>
          <cell r="G1661" t="str">
            <v>노   무   비</v>
          </cell>
          <cell r="I1661" t="str">
            <v>재   료   비</v>
          </cell>
          <cell r="K1661" t="str">
            <v>경      비</v>
          </cell>
          <cell r="M1661" t="str">
            <v>비   고</v>
          </cell>
        </row>
        <row r="1662">
          <cell r="C1662" t="str">
            <v xml:space="preserve">규       격 </v>
          </cell>
          <cell r="F1662" t="str">
            <v>금   액</v>
          </cell>
          <cell r="G1662" t="str">
            <v>단  가</v>
          </cell>
          <cell r="H1662" t="str">
            <v>금   액</v>
          </cell>
          <cell r="I1662" t="str">
            <v>단  가</v>
          </cell>
          <cell r="J1662" t="str">
            <v>금   액</v>
          </cell>
          <cell r="K1662" t="str">
            <v>단  가</v>
          </cell>
          <cell r="L1662" t="str">
            <v>금   액</v>
          </cell>
        </row>
        <row r="1663">
          <cell r="A1663" t="str">
            <v>산       소</v>
          </cell>
          <cell r="C1663" t="str">
            <v>6,000L용</v>
          </cell>
          <cell r="D1663">
            <v>1.8049999999999999</v>
          </cell>
          <cell r="E1663" t="str">
            <v>병</v>
          </cell>
          <cell r="G1663" t="str">
            <v xml:space="preserve"> </v>
          </cell>
          <cell r="I1663">
            <v>12000</v>
          </cell>
          <cell r="J1663">
            <v>21660</v>
          </cell>
        </row>
        <row r="1664">
          <cell r="A1664" t="str">
            <v>아 세 치 렌</v>
          </cell>
          <cell r="C1664" t="str">
            <v>2,100L용</v>
          </cell>
          <cell r="D1664">
            <v>1.2749999999999999</v>
          </cell>
          <cell r="E1664" t="str">
            <v>병</v>
          </cell>
          <cell r="I1664">
            <v>25849</v>
          </cell>
          <cell r="J1664">
            <v>32957</v>
          </cell>
        </row>
        <row r="1665">
          <cell r="A1665" t="str">
            <v>함       석</v>
          </cell>
          <cell r="C1665" t="str">
            <v>#32 x 3' x 6'</v>
          </cell>
          <cell r="D1665">
            <v>0.53</v>
          </cell>
          <cell r="E1665" t="str">
            <v>매</v>
          </cell>
          <cell r="I1665">
            <v>2597</v>
          </cell>
          <cell r="J1665">
            <v>1376</v>
          </cell>
        </row>
        <row r="1666">
          <cell r="A1666" t="str">
            <v>용   접  봉</v>
          </cell>
          <cell r="C1666" t="str">
            <v>SS400, 4M/Mx350L</v>
          </cell>
          <cell r="D1666">
            <v>20.7</v>
          </cell>
          <cell r="E1666" t="str">
            <v>KG</v>
          </cell>
          <cell r="I1666">
            <v>1260</v>
          </cell>
          <cell r="J1666">
            <v>26082</v>
          </cell>
        </row>
        <row r="1667">
          <cell r="A1667" t="str">
            <v xml:space="preserve"> </v>
          </cell>
          <cell r="D1667" t="str">
            <v xml:space="preserve"> </v>
          </cell>
          <cell r="E1667" t="str">
            <v xml:space="preserve"> </v>
          </cell>
          <cell r="K1667" t="str">
            <v xml:space="preserve"> </v>
          </cell>
          <cell r="L1667" t="str">
            <v xml:space="preserve"> </v>
          </cell>
        </row>
        <row r="1668">
          <cell r="A1668" t="str">
            <v>그라인다돌</v>
          </cell>
          <cell r="C1668" t="str">
            <v>300m/mΦ</v>
          </cell>
          <cell r="D1668">
            <v>1.55</v>
          </cell>
          <cell r="E1668" t="str">
            <v>개</v>
          </cell>
          <cell r="I1668">
            <v>3380</v>
          </cell>
          <cell r="J1668">
            <v>5239</v>
          </cell>
          <cell r="K1668" t="str">
            <v xml:space="preserve"> </v>
          </cell>
        </row>
        <row r="1670">
          <cell r="B1670" t="str">
            <v>계</v>
          </cell>
          <cell r="F1670">
            <v>87314</v>
          </cell>
          <cell r="J1670">
            <v>87314</v>
          </cell>
          <cell r="L1670" t="str">
            <v xml:space="preserve"> </v>
          </cell>
        </row>
        <row r="1672">
          <cell r="M1672" t="str">
            <v xml:space="preserve"> </v>
          </cell>
        </row>
        <row r="1673">
          <cell r="M1673" t="str">
            <v xml:space="preserve"> </v>
          </cell>
        </row>
        <row r="1674">
          <cell r="M1674" t="str">
            <v xml:space="preserve"> </v>
          </cell>
        </row>
        <row r="1675">
          <cell r="M1675" t="str">
            <v xml:space="preserve"> </v>
          </cell>
        </row>
        <row r="1676">
          <cell r="M1676" t="str">
            <v xml:space="preserve"> </v>
          </cell>
        </row>
        <row r="1677">
          <cell r="M1677" t="str">
            <v xml:space="preserve"> </v>
          </cell>
        </row>
        <row r="1678">
          <cell r="M1678" t="str">
            <v xml:space="preserve"> </v>
          </cell>
        </row>
        <row r="1679">
          <cell r="M1679" t="str">
            <v xml:space="preserve"> </v>
          </cell>
        </row>
        <row r="1680">
          <cell r="M1680" t="str">
            <v xml:space="preserve"> </v>
          </cell>
        </row>
        <row r="1681">
          <cell r="M1681" t="str">
            <v xml:space="preserve"> </v>
          </cell>
        </row>
        <row r="1682">
          <cell r="M1682" t="str">
            <v xml:space="preserve"> </v>
          </cell>
        </row>
        <row r="1683">
          <cell r="M1683" t="str">
            <v xml:space="preserve"> </v>
          </cell>
        </row>
        <row r="1684">
          <cell r="M1684" t="str">
            <v xml:space="preserve"> </v>
          </cell>
        </row>
        <row r="1685">
          <cell r="M1685" t="str">
            <v xml:space="preserve"> </v>
          </cell>
        </row>
        <row r="1686">
          <cell r="M1686" t="str">
            <v xml:space="preserve"> </v>
          </cell>
        </row>
        <row r="1687">
          <cell r="M1687" t="str">
            <v xml:space="preserve"> </v>
          </cell>
        </row>
        <row r="1688">
          <cell r="E1688" t="str">
            <v xml:space="preserve"> </v>
          </cell>
          <cell r="F1688" t="str">
            <v>TRASH RACK 설치 인건비</v>
          </cell>
        </row>
        <row r="1689">
          <cell r="E1689" t="str">
            <v xml:space="preserve"> </v>
          </cell>
        </row>
        <row r="1690">
          <cell r="A1690" t="str">
            <v>종       별</v>
          </cell>
          <cell r="C1690" t="str">
            <v>재 료 또 는</v>
          </cell>
          <cell r="D1690" t="str">
            <v xml:space="preserve">원 수 </v>
          </cell>
          <cell r="E1690" t="str">
            <v>단 위</v>
          </cell>
          <cell r="F1690" t="str">
            <v>총   액</v>
          </cell>
          <cell r="G1690" t="str">
            <v>노   무   비</v>
          </cell>
          <cell r="I1690" t="str">
            <v>재   료   비</v>
          </cell>
          <cell r="K1690" t="str">
            <v>경      비</v>
          </cell>
          <cell r="M1690" t="str">
            <v>비   고</v>
          </cell>
        </row>
        <row r="1691">
          <cell r="C1691" t="str">
            <v xml:space="preserve">규       격 </v>
          </cell>
          <cell r="F1691" t="str">
            <v>금   액</v>
          </cell>
          <cell r="G1691" t="str">
            <v>단  가</v>
          </cell>
          <cell r="H1691" t="str">
            <v>금   액</v>
          </cell>
          <cell r="I1691" t="str">
            <v>단  가</v>
          </cell>
          <cell r="J1691" t="str">
            <v>금   액</v>
          </cell>
          <cell r="K1691" t="str">
            <v>단  가</v>
          </cell>
          <cell r="L1691" t="str">
            <v>금   액</v>
          </cell>
        </row>
        <row r="1692">
          <cell r="A1692" t="str">
            <v>기 술 관 리</v>
          </cell>
          <cell r="C1692" t="str">
            <v>기계기사1급</v>
          </cell>
          <cell r="D1692">
            <v>1.66</v>
          </cell>
          <cell r="E1692" t="str">
            <v>인</v>
          </cell>
          <cell r="G1692">
            <v>97488</v>
          </cell>
          <cell r="H1692">
            <v>161830</v>
          </cell>
        </row>
        <row r="1693">
          <cell r="A1693" t="str">
            <v>운 반 검 측</v>
          </cell>
          <cell r="C1693" t="str">
            <v>프랜트기계설치공</v>
          </cell>
          <cell r="D1693">
            <v>0.05</v>
          </cell>
          <cell r="E1693" t="str">
            <v>인</v>
          </cell>
          <cell r="G1693">
            <v>80805</v>
          </cell>
          <cell r="H1693">
            <v>4040</v>
          </cell>
        </row>
        <row r="1694">
          <cell r="C1694" t="str">
            <v>특 별 인 부</v>
          </cell>
          <cell r="D1694">
            <v>0.05</v>
          </cell>
          <cell r="E1694" t="str">
            <v>인</v>
          </cell>
          <cell r="G1694">
            <v>57379</v>
          </cell>
          <cell r="H1694">
            <v>2868</v>
          </cell>
        </row>
        <row r="1695">
          <cell r="A1695" t="str">
            <v>수      정</v>
          </cell>
          <cell r="C1695" t="str">
            <v>산소 절단공</v>
          </cell>
          <cell r="D1695">
            <v>0.05</v>
          </cell>
          <cell r="E1695" t="str">
            <v>인</v>
          </cell>
          <cell r="G1695">
            <v>31794</v>
          </cell>
          <cell r="H1695">
            <v>1589</v>
          </cell>
        </row>
        <row r="1696">
          <cell r="A1696" t="str">
            <v xml:space="preserve"> </v>
          </cell>
          <cell r="C1696" t="str">
            <v>프랜트기계설치공</v>
          </cell>
          <cell r="D1696">
            <v>0.05</v>
          </cell>
          <cell r="E1696" t="str">
            <v>인</v>
          </cell>
          <cell r="G1696">
            <v>80805</v>
          </cell>
          <cell r="H1696">
            <v>4040</v>
          </cell>
        </row>
        <row r="1698">
          <cell r="A1698" t="str">
            <v xml:space="preserve"> </v>
          </cell>
          <cell r="C1698" t="str">
            <v>특 별 인 부</v>
          </cell>
          <cell r="D1698">
            <v>0.1</v>
          </cell>
          <cell r="E1698" t="str">
            <v>인</v>
          </cell>
          <cell r="G1698">
            <v>57379</v>
          </cell>
          <cell r="H1698">
            <v>5737</v>
          </cell>
        </row>
        <row r="1699">
          <cell r="A1699" t="str">
            <v>설치준비 철근정리</v>
          </cell>
          <cell r="C1699" t="str">
            <v>산 소 절 단 공</v>
          </cell>
          <cell r="D1699">
            <v>4.7E-2</v>
          </cell>
          <cell r="E1699" t="str">
            <v>인</v>
          </cell>
          <cell r="G1699">
            <v>31794</v>
          </cell>
          <cell r="H1699">
            <v>1494</v>
          </cell>
        </row>
        <row r="1700">
          <cell r="C1700" t="str">
            <v>특 별 인 부</v>
          </cell>
          <cell r="D1700">
            <v>4.7E-2</v>
          </cell>
          <cell r="E1700" t="str">
            <v>인</v>
          </cell>
          <cell r="G1700">
            <v>57379</v>
          </cell>
          <cell r="H1700">
            <v>2696</v>
          </cell>
        </row>
        <row r="1701">
          <cell r="A1701" t="str">
            <v>CHIPPING</v>
          </cell>
          <cell r="C1701" t="str">
            <v>석      공</v>
          </cell>
          <cell r="D1701">
            <v>0.1</v>
          </cell>
          <cell r="E1701" t="str">
            <v>인</v>
          </cell>
          <cell r="G1701">
            <v>77005</v>
          </cell>
          <cell r="H1701">
            <v>7700</v>
          </cell>
        </row>
        <row r="1702">
          <cell r="C1702" t="str">
            <v>특 별 인 부</v>
          </cell>
          <cell r="D1702">
            <v>0.05</v>
          </cell>
          <cell r="E1702" t="str">
            <v>인</v>
          </cell>
          <cell r="G1702">
            <v>57379</v>
          </cell>
          <cell r="H1702">
            <v>2868</v>
          </cell>
        </row>
        <row r="1704">
          <cell r="A1704" t="str">
            <v>BEAM설치,CRANE</v>
          </cell>
          <cell r="C1704" t="str">
            <v>특 별 인 부</v>
          </cell>
          <cell r="D1704">
            <v>0.17499999999999999</v>
          </cell>
          <cell r="E1704" t="str">
            <v>인</v>
          </cell>
          <cell r="G1704">
            <v>57379</v>
          </cell>
          <cell r="H1704">
            <v>10041</v>
          </cell>
        </row>
        <row r="1705">
          <cell r="A1705" t="str">
            <v xml:space="preserve"> </v>
          </cell>
          <cell r="B1705" t="str">
            <v>작업</v>
          </cell>
          <cell r="C1705" t="str">
            <v>특수 비계공</v>
          </cell>
          <cell r="D1705">
            <v>0.18</v>
          </cell>
          <cell r="E1705" t="str">
            <v>인</v>
          </cell>
          <cell r="G1705">
            <v>85884</v>
          </cell>
          <cell r="H1705">
            <v>15459</v>
          </cell>
        </row>
        <row r="1706">
          <cell r="A1706" t="str">
            <v>BEAM설치,CRANE</v>
          </cell>
          <cell r="C1706" t="str">
            <v>측   량   사</v>
          </cell>
          <cell r="D1706">
            <v>0.14000000000000001</v>
          </cell>
          <cell r="E1706" t="str">
            <v>인</v>
          </cell>
          <cell r="G1706">
            <v>58506</v>
          </cell>
          <cell r="H1706">
            <v>8190</v>
          </cell>
        </row>
        <row r="1707">
          <cell r="A1707" t="str">
            <v>작업,1차 쎈타링</v>
          </cell>
          <cell r="C1707" t="str">
            <v>측 량 조 수</v>
          </cell>
          <cell r="D1707">
            <v>0.14000000000000001</v>
          </cell>
          <cell r="E1707" t="str">
            <v>인</v>
          </cell>
          <cell r="G1707">
            <v>38777</v>
          </cell>
          <cell r="H1707">
            <v>5428</v>
          </cell>
        </row>
        <row r="1708">
          <cell r="C1708" t="str">
            <v>특수 비계공</v>
          </cell>
          <cell r="D1708">
            <v>0.14000000000000001</v>
          </cell>
          <cell r="E1708" t="str">
            <v>인</v>
          </cell>
          <cell r="G1708">
            <v>85884</v>
          </cell>
          <cell r="H1708">
            <v>12023</v>
          </cell>
        </row>
        <row r="1709">
          <cell r="A1709" t="str">
            <v xml:space="preserve"> </v>
          </cell>
          <cell r="B1709" t="str">
            <v xml:space="preserve"> </v>
          </cell>
        </row>
        <row r="1710">
          <cell r="A1710" t="str">
            <v xml:space="preserve"> </v>
          </cell>
          <cell r="B1710" t="str">
            <v xml:space="preserve"> </v>
          </cell>
          <cell r="C1710" t="str">
            <v>특 별 인 부</v>
          </cell>
          <cell r="D1710">
            <v>0.28000000000000003</v>
          </cell>
          <cell r="E1710" t="str">
            <v>인</v>
          </cell>
          <cell r="G1710">
            <v>57379</v>
          </cell>
          <cell r="H1710">
            <v>16066</v>
          </cell>
        </row>
        <row r="1711">
          <cell r="A1711" t="str">
            <v xml:space="preserve"> </v>
          </cell>
          <cell r="B1711" t="str">
            <v xml:space="preserve"> </v>
          </cell>
          <cell r="C1711" t="str">
            <v>프랜트기계설치공</v>
          </cell>
          <cell r="D1711">
            <v>0.14000000000000001</v>
          </cell>
          <cell r="E1711" t="str">
            <v>인</v>
          </cell>
          <cell r="G1711">
            <v>80805</v>
          </cell>
          <cell r="H1711">
            <v>11312</v>
          </cell>
        </row>
        <row r="1712">
          <cell r="A1712" t="str">
            <v>턴 바 클 용 접</v>
          </cell>
          <cell r="C1712" t="str">
            <v xml:space="preserve">프랜트 용접공 </v>
          </cell>
          <cell r="D1712">
            <v>0.21</v>
          </cell>
          <cell r="E1712" t="str">
            <v>인</v>
          </cell>
          <cell r="G1712">
            <v>95379</v>
          </cell>
          <cell r="H1712">
            <v>20029</v>
          </cell>
        </row>
        <row r="1713">
          <cell r="A1713" t="str">
            <v xml:space="preserve"> </v>
          </cell>
          <cell r="B1713" t="str">
            <v xml:space="preserve"> </v>
          </cell>
          <cell r="C1713" t="str">
            <v>특 별 인 부</v>
          </cell>
          <cell r="D1713">
            <v>0.21</v>
          </cell>
          <cell r="E1713" t="str">
            <v>인</v>
          </cell>
          <cell r="G1713">
            <v>57379</v>
          </cell>
          <cell r="H1713">
            <v>12049</v>
          </cell>
        </row>
        <row r="1714">
          <cell r="A1714" t="str">
            <v>BEAM 완전고정</v>
          </cell>
          <cell r="C1714" t="str">
            <v>산소 절단공</v>
          </cell>
          <cell r="D1714">
            <v>1.4999999999999999E-2</v>
          </cell>
          <cell r="E1714" t="str">
            <v>인</v>
          </cell>
          <cell r="G1714">
            <v>31794</v>
          </cell>
          <cell r="H1714">
            <v>476</v>
          </cell>
        </row>
        <row r="1717">
          <cell r="A1717" t="str">
            <v>종       별</v>
          </cell>
          <cell r="C1717" t="str">
            <v>재 료 또 는</v>
          </cell>
          <cell r="D1717" t="str">
            <v xml:space="preserve">원 수 </v>
          </cell>
          <cell r="E1717" t="str">
            <v>단 위</v>
          </cell>
          <cell r="F1717" t="str">
            <v>총   액</v>
          </cell>
          <cell r="G1717" t="str">
            <v>노   무   비</v>
          </cell>
          <cell r="I1717" t="str">
            <v>재   료   비</v>
          </cell>
          <cell r="K1717" t="str">
            <v>경      비</v>
          </cell>
          <cell r="M1717" t="str">
            <v>비   고</v>
          </cell>
        </row>
        <row r="1718">
          <cell r="C1718" t="str">
            <v xml:space="preserve">규       격 </v>
          </cell>
          <cell r="F1718" t="str">
            <v>금   액</v>
          </cell>
          <cell r="G1718" t="str">
            <v>단  가</v>
          </cell>
          <cell r="H1718" t="str">
            <v>금   액</v>
          </cell>
          <cell r="I1718" t="str">
            <v>단  가</v>
          </cell>
          <cell r="J1718" t="str">
            <v>금   액</v>
          </cell>
          <cell r="K1718" t="str">
            <v>단  가</v>
          </cell>
          <cell r="L1718" t="str">
            <v>금   액</v>
          </cell>
        </row>
        <row r="1719">
          <cell r="C1719" t="str">
            <v>프랜트 용접공</v>
          </cell>
          <cell r="D1719">
            <v>2.7</v>
          </cell>
          <cell r="E1719" t="str">
            <v>인</v>
          </cell>
          <cell r="G1719">
            <v>95379</v>
          </cell>
          <cell r="H1719">
            <v>257523</v>
          </cell>
        </row>
        <row r="1720">
          <cell r="A1720" t="str">
            <v xml:space="preserve"> </v>
          </cell>
          <cell r="C1720" t="str">
            <v>특 별 인 부</v>
          </cell>
          <cell r="D1720">
            <v>2.7</v>
          </cell>
          <cell r="E1720" t="str">
            <v>인</v>
          </cell>
          <cell r="G1720">
            <v>57379</v>
          </cell>
          <cell r="H1720">
            <v>154923</v>
          </cell>
        </row>
        <row r="1721">
          <cell r="A1721" t="str">
            <v>TRASH RACK 설치</v>
          </cell>
          <cell r="C1721" t="str">
            <v>특 별 인 부</v>
          </cell>
          <cell r="D1721">
            <v>0.67</v>
          </cell>
          <cell r="E1721" t="str">
            <v>인</v>
          </cell>
          <cell r="G1721">
            <v>57379</v>
          </cell>
          <cell r="H1721">
            <v>38443</v>
          </cell>
        </row>
        <row r="1722">
          <cell r="A1722" t="str">
            <v>1 차 조 립</v>
          </cell>
          <cell r="C1722" t="str">
            <v>특수 비계공</v>
          </cell>
          <cell r="D1722">
            <v>0.59</v>
          </cell>
          <cell r="E1722" t="str">
            <v>인</v>
          </cell>
          <cell r="G1722">
            <v>85884</v>
          </cell>
          <cell r="H1722">
            <v>50671</v>
          </cell>
        </row>
        <row r="1723">
          <cell r="B1723" t="str">
            <v xml:space="preserve"> </v>
          </cell>
          <cell r="C1723" t="str">
            <v>프랜트기계설치공</v>
          </cell>
          <cell r="D1723">
            <v>0.45</v>
          </cell>
          <cell r="E1723" t="str">
            <v>인</v>
          </cell>
          <cell r="G1723">
            <v>80805</v>
          </cell>
          <cell r="H1723">
            <v>36362</v>
          </cell>
        </row>
        <row r="1724">
          <cell r="A1724" t="str">
            <v>2차 쎈 타 링</v>
          </cell>
          <cell r="C1724" t="str">
            <v>측   량   사</v>
          </cell>
          <cell r="D1724">
            <v>8.6999999999999994E-2</v>
          </cell>
          <cell r="E1724" t="str">
            <v>인</v>
          </cell>
          <cell r="G1724">
            <v>58506</v>
          </cell>
          <cell r="H1724">
            <v>5090</v>
          </cell>
        </row>
        <row r="1725">
          <cell r="B1725" t="str">
            <v xml:space="preserve"> </v>
          </cell>
          <cell r="C1725" t="str">
            <v>측 량 조 수</v>
          </cell>
          <cell r="D1725">
            <v>8.6999999999999994E-2</v>
          </cell>
          <cell r="E1725" t="str">
            <v>인</v>
          </cell>
          <cell r="G1725">
            <v>38777</v>
          </cell>
          <cell r="H1725">
            <v>3373</v>
          </cell>
        </row>
        <row r="1726">
          <cell r="C1726" t="str">
            <v>프랜트기계설치공</v>
          </cell>
          <cell r="D1726">
            <v>8.6999999999999994E-2</v>
          </cell>
          <cell r="E1726" t="str">
            <v>인</v>
          </cell>
          <cell r="G1726">
            <v>80805</v>
          </cell>
          <cell r="H1726">
            <v>7030</v>
          </cell>
        </row>
        <row r="1727">
          <cell r="C1727" t="str">
            <v>특 별 인 부</v>
          </cell>
          <cell r="D1727">
            <v>0.16600000000000001</v>
          </cell>
          <cell r="E1727" t="str">
            <v>인</v>
          </cell>
          <cell r="G1727">
            <v>57379</v>
          </cell>
          <cell r="H1727">
            <v>9524</v>
          </cell>
        </row>
        <row r="1728">
          <cell r="C1728" t="str">
            <v>프랜트 용접공</v>
          </cell>
          <cell r="D1728">
            <v>0.79</v>
          </cell>
          <cell r="E1728" t="str">
            <v>인</v>
          </cell>
          <cell r="G1728">
            <v>95379</v>
          </cell>
          <cell r="H1728">
            <v>75349</v>
          </cell>
        </row>
        <row r="1729">
          <cell r="B1729" t="str">
            <v xml:space="preserve"> </v>
          </cell>
        </row>
        <row r="1730">
          <cell r="A1730" t="str">
            <v>검        사</v>
          </cell>
          <cell r="C1730" t="str">
            <v>프랜트기계설치공</v>
          </cell>
          <cell r="D1730">
            <v>3.5000000000000003E-2</v>
          </cell>
          <cell r="E1730" t="str">
            <v>인</v>
          </cell>
          <cell r="G1730">
            <v>80805</v>
          </cell>
          <cell r="H1730">
            <v>2828</v>
          </cell>
        </row>
        <row r="1731">
          <cell r="A1731" t="str">
            <v xml:space="preserve"> </v>
          </cell>
          <cell r="C1731" t="str">
            <v>특 별 인 부</v>
          </cell>
          <cell r="D1731">
            <v>3.5000000000000003E-2</v>
          </cell>
          <cell r="E1731" t="str">
            <v>인</v>
          </cell>
          <cell r="G1731">
            <v>57379</v>
          </cell>
          <cell r="H1731">
            <v>2008</v>
          </cell>
        </row>
        <row r="1732">
          <cell r="A1732" t="str">
            <v>강제거푸집철거</v>
          </cell>
          <cell r="C1732" t="str">
            <v>프랜트 용접공</v>
          </cell>
          <cell r="D1732">
            <v>1.7000000000000001E-2</v>
          </cell>
          <cell r="E1732" t="str">
            <v>인</v>
          </cell>
          <cell r="G1732">
            <v>95379</v>
          </cell>
          <cell r="H1732">
            <v>1621</v>
          </cell>
        </row>
        <row r="1733">
          <cell r="B1733" t="str">
            <v xml:space="preserve"> </v>
          </cell>
          <cell r="C1733" t="str">
            <v>특 별 인 부</v>
          </cell>
          <cell r="D1733">
            <v>1.7000000000000001E-2</v>
          </cell>
          <cell r="E1733" t="str">
            <v>인</v>
          </cell>
          <cell r="G1733">
            <v>57379</v>
          </cell>
          <cell r="H1733">
            <v>975</v>
          </cell>
        </row>
        <row r="1734">
          <cell r="A1734" t="str">
            <v>뒷    정    리</v>
          </cell>
          <cell r="C1734" t="str">
            <v>프랜트기계설치공</v>
          </cell>
          <cell r="D1734">
            <v>3.5000000000000003E-2</v>
          </cell>
          <cell r="E1734" t="str">
            <v>인</v>
          </cell>
          <cell r="G1734">
            <v>80805</v>
          </cell>
          <cell r="H1734">
            <v>2828</v>
          </cell>
        </row>
        <row r="1735">
          <cell r="B1735" t="str">
            <v xml:space="preserve"> </v>
          </cell>
        </row>
        <row r="1736">
          <cell r="C1736" t="str">
            <v>산소 절단공</v>
          </cell>
          <cell r="D1736">
            <v>1.7000000000000001E-2</v>
          </cell>
          <cell r="E1736" t="str">
            <v>인</v>
          </cell>
          <cell r="G1736">
            <v>31794</v>
          </cell>
          <cell r="H1736">
            <v>540</v>
          </cell>
        </row>
        <row r="1737">
          <cell r="C1737" t="str">
            <v>특 별 인 부</v>
          </cell>
          <cell r="D1737">
            <v>3.5000000000000003E-2</v>
          </cell>
          <cell r="E1737" t="str">
            <v>인</v>
          </cell>
          <cell r="G1737">
            <v>57379</v>
          </cell>
          <cell r="H1737">
            <v>2008</v>
          </cell>
        </row>
        <row r="1738">
          <cell r="A1738" t="str">
            <v>전 원 조 작</v>
          </cell>
          <cell r="C1738" t="str">
            <v>프랜트 전공</v>
          </cell>
          <cell r="D1738">
            <v>0.52</v>
          </cell>
          <cell r="E1738" t="str">
            <v>인</v>
          </cell>
          <cell r="G1738">
            <v>64285</v>
          </cell>
          <cell r="H1738">
            <v>33428</v>
          </cell>
        </row>
        <row r="1739">
          <cell r="C1739" t="str">
            <v>특 별 인 부</v>
          </cell>
          <cell r="D1739">
            <v>0.52</v>
          </cell>
          <cell r="E1739" t="str">
            <v>인</v>
          </cell>
          <cell r="G1739">
            <v>57379</v>
          </cell>
          <cell r="H1739">
            <v>29837</v>
          </cell>
        </row>
        <row r="1743">
          <cell r="B1743" t="str">
            <v xml:space="preserve">    계</v>
          </cell>
          <cell r="F1743">
            <v>1020296</v>
          </cell>
          <cell r="H1743">
            <v>1020296</v>
          </cell>
        </row>
        <row r="1746">
          <cell r="E1746" t="str">
            <v xml:space="preserve"> </v>
          </cell>
          <cell r="F1746" t="str">
            <v>TRASH RACK 설치 소모 자재비</v>
          </cell>
        </row>
        <row r="1747">
          <cell r="E1747" t="str">
            <v xml:space="preserve"> </v>
          </cell>
        </row>
        <row r="1748">
          <cell r="A1748" t="str">
            <v>종       별</v>
          </cell>
          <cell r="C1748" t="str">
            <v>재 료 또 는</v>
          </cell>
          <cell r="D1748" t="str">
            <v xml:space="preserve">원 수 </v>
          </cell>
          <cell r="E1748" t="str">
            <v>단 위</v>
          </cell>
          <cell r="F1748" t="str">
            <v>총   액</v>
          </cell>
          <cell r="G1748" t="str">
            <v>노   무   비</v>
          </cell>
          <cell r="I1748" t="str">
            <v>재   료   비</v>
          </cell>
          <cell r="K1748" t="str">
            <v>경      비</v>
          </cell>
          <cell r="M1748" t="str">
            <v>비   고</v>
          </cell>
        </row>
        <row r="1749">
          <cell r="C1749" t="str">
            <v xml:space="preserve">규       격 </v>
          </cell>
          <cell r="F1749" t="str">
            <v>금   액</v>
          </cell>
          <cell r="G1749" t="str">
            <v>단  가</v>
          </cell>
          <cell r="H1749" t="str">
            <v>금   액</v>
          </cell>
          <cell r="I1749" t="str">
            <v>단  가</v>
          </cell>
          <cell r="J1749" t="str">
            <v>금   액</v>
          </cell>
          <cell r="K1749" t="str">
            <v>단  가</v>
          </cell>
          <cell r="L1749" t="str">
            <v>금   액</v>
          </cell>
        </row>
        <row r="1750">
          <cell r="A1750" t="str">
            <v>산       소</v>
          </cell>
          <cell r="C1750" t="str">
            <v>6,000L용</v>
          </cell>
          <cell r="D1750">
            <v>2.9000000000000001E-2</v>
          </cell>
          <cell r="E1750" t="str">
            <v>병</v>
          </cell>
          <cell r="G1750" t="str">
            <v xml:space="preserve"> </v>
          </cell>
          <cell r="I1750">
            <v>12000</v>
          </cell>
          <cell r="J1750">
            <v>348</v>
          </cell>
        </row>
        <row r="1751">
          <cell r="A1751" t="str">
            <v>아 세 치 렌</v>
          </cell>
          <cell r="C1751" t="str">
            <v>2,100L용</v>
          </cell>
          <cell r="D1751">
            <v>1.2E-2</v>
          </cell>
          <cell r="E1751" t="str">
            <v>병</v>
          </cell>
          <cell r="I1751">
            <v>25849</v>
          </cell>
          <cell r="J1751">
            <v>310</v>
          </cell>
        </row>
        <row r="1752">
          <cell r="A1752" t="str">
            <v>용   접  봉</v>
          </cell>
          <cell r="C1752" t="str">
            <v>SS400, 4M/Mx350L</v>
          </cell>
          <cell r="D1752">
            <v>5.95</v>
          </cell>
          <cell r="E1752" t="str">
            <v>KG</v>
          </cell>
          <cell r="I1752">
            <v>1260</v>
          </cell>
          <cell r="J1752">
            <v>7497</v>
          </cell>
        </row>
        <row r="1754">
          <cell r="A1754" t="str">
            <v xml:space="preserve"> </v>
          </cell>
          <cell r="D1754" t="str">
            <v xml:space="preserve"> </v>
          </cell>
          <cell r="E1754" t="str">
            <v xml:space="preserve"> </v>
          </cell>
        </row>
        <row r="1755">
          <cell r="B1755" t="str">
            <v>계</v>
          </cell>
          <cell r="F1755">
            <v>8155</v>
          </cell>
          <cell r="J1755">
            <v>8155</v>
          </cell>
        </row>
        <row r="1757">
          <cell r="A1757" t="str">
            <v xml:space="preserve"> </v>
          </cell>
          <cell r="D1757" t="str">
            <v xml:space="preserve"> </v>
          </cell>
          <cell r="E1757" t="str">
            <v xml:space="preserve"> </v>
          </cell>
        </row>
        <row r="1758">
          <cell r="A1758" t="str">
            <v xml:space="preserve"> </v>
          </cell>
          <cell r="D1758" t="str">
            <v xml:space="preserve"> </v>
          </cell>
          <cell r="E1758" t="str">
            <v xml:space="preserve"> </v>
          </cell>
        </row>
        <row r="1759">
          <cell r="A1759" t="str">
            <v xml:space="preserve"> </v>
          </cell>
          <cell r="D1759" t="str">
            <v xml:space="preserve"> </v>
          </cell>
          <cell r="E1759" t="str">
            <v xml:space="preserve"> </v>
          </cell>
        </row>
        <row r="1760">
          <cell r="A1760" t="str">
            <v xml:space="preserve"> </v>
          </cell>
          <cell r="D1760" t="str">
            <v xml:space="preserve"> </v>
          </cell>
          <cell r="E1760" t="str">
            <v xml:space="preserve"> </v>
          </cell>
        </row>
        <row r="1761">
          <cell r="A1761" t="str">
            <v xml:space="preserve"> </v>
          </cell>
          <cell r="D1761" t="str">
            <v xml:space="preserve"> </v>
          </cell>
          <cell r="E1761" t="str">
            <v xml:space="preserve"> </v>
          </cell>
        </row>
        <row r="1762">
          <cell r="A1762" t="str">
            <v xml:space="preserve"> </v>
          </cell>
          <cell r="D1762" t="str">
            <v xml:space="preserve"> </v>
          </cell>
          <cell r="E1762" t="str">
            <v xml:space="preserve"> </v>
          </cell>
        </row>
        <row r="1763">
          <cell r="A1763" t="str">
            <v xml:space="preserve"> </v>
          </cell>
          <cell r="D1763" t="str">
            <v xml:space="preserve"> </v>
          </cell>
          <cell r="E1763" t="str">
            <v xml:space="preserve"> </v>
          </cell>
        </row>
        <row r="1764">
          <cell r="A1764" t="str">
            <v xml:space="preserve"> </v>
          </cell>
          <cell r="D1764" t="str">
            <v xml:space="preserve"> </v>
          </cell>
          <cell r="E1764" t="str">
            <v xml:space="preserve"> </v>
          </cell>
        </row>
        <row r="1765">
          <cell r="A1765" t="str">
            <v xml:space="preserve"> </v>
          </cell>
          <cell r="D1765" t="str">
            <v xml:space="preserve"> </v>
          </cell>
          <cell r="E1765" t="str">
            <v xml:space="preserve"> </v>
          </cell>
        </row>
        <row r="1766">
          <cell r="A1766" t="str">
            <v xml:space="preserve"> </v>
          </cell>
          <cell r="D1766" t="str">
            <v xml:space="preserve"> </v>
          </cell>
          <cell r="E1766" t="str">
            <v xml:space="preserve"> </v>
          </cell>
        </row>
        <row r="1767">
          <cell r="A1767" t="str">
            <v xml:space="preserve"> </v>
          </cell>
          <cell r="D1767" t="str">
            <v xml:space="preserve"> </v>
          </cell>
          <cell r="E1767" t="str">
            <v xml:space="preserve"> </v>
          </cell>
        </row>
        <row r="1768">
          <cell r="A1768" t="str">
            <v xml:space="preserve"> </v>
          </cell>
          <cell r="D1768" t="str">
            <v xml:space="preserve"> </v>
          </cell>
          <cell r="E1768" t="str">
            <v xml:space="preserve"> </v>
          </cell>
        </row>
        <row r="1769">
          <cell r="A1769" t="str">
            <v xml:space="preserve"> </v>
          </cell>
          <cell r="D1769" t="str">
            <v xml:space="preserve"> </v>
          </cell>
          <cell r="E1769" t="str">
            <v xml:space="preserve"> </v>
          </cell>
        </row>
        <row r="1770">
          <cell r="A1770" t="str">
            <v xml:space="preserve"> </v>
          </cell>
          <cell r="D1770" t="str">
            <v xml:space="preserve"> </v>
          </cell>
          <cell r="E1770" t="str">
            <v xml:space="preserve"> </v>
          </cell>
        </row>
        <row r="1771">
          <cell r="A1771" t="str">
            <v xml:space="preserve"> </v>
          </cell>
          <cell r="D1771" t="str">
            <v xml:space="preserve"> </v>
          </cell>
          <cell r="E1771" t="str">
            <v xml:space="preserve"> </v>
          </cell>
        </row>
        <row r="1772">
          <cell r="A1772" t="str">
            <v xml:space="preserve"> </v>
          </cell>
          <cell r="D1772" t="str">
            <v xml:space="preserve"> </v>
          </cell>
          <cell r="E1772" t="str">
            <v xml:space="preserve"> </v>
          </cell>
        </row>
        <row r="1773">
          <cell r="A1773" t="str">
            <v xml:space="preserve"> </v>
          </cell>
          <cell r="D1773" t="str">
            <v xml:space="preserve"> </v>
          </cell>
          <cell r="E1773" t="str">
            <v xml:space="preserve"> </v>
          </cell>
        </row>
        <row r="1774">
          <cell r="A1774" t="str">
            <v xml:space="preserve"> </v>
          </cell>
          <cell r="D1774" t="str">
            <v xml:space="preserve"> </v>
          </cell>
          <cell r="E1774" t="str">
            <v xml:space="preserve"> </v>
          </cell>
        </row>
        <row r="1775">
          <cell r="A1775" t="str">
            <v>잡철물 제작,설치(SCREEN등)</v>
          </cell>
        </row>
        <row r="1776">
          <cell r="E1776" t="str">
            <v xml:space="preserve"> </v>
          </cell>
        </row>
        <row r="1777">
          <cell r="A1777" t="str">
            <v>종       별</v>
          </cell>
          <cell r="C1777" t="str">
            <v>재 료 또 는</v>
          </cell>
          <cell r="D1777" t="str">
            <v xml:space="preserve">원 수 </v>
          </cell>
          <cell r="E1777" t="str">
            <v>단 위</v>
          </cell>
          <cell r="F1777" t="str">
            <v>총   액</v>
          </cell>
          <cell r="G1777" t="str">
            <v>노   무   비</v>
          </cell>
          <cell r="I1777" t="str">
            <v>재   료   비</v>
          </cell>
          <cell r="K1777" t="str">
            <v>경      비</v>
          </cell>
          <cell r="M1777" t="str">
            <v>비   고</v>
          </cell>
        </row>
        <row r="1778">
          <cell r="C1778" t="str">
            <v xml:space="preserve">규       격 </v>
          </cell>
          <cell r="F1778" t="str">
            <v>금   액</v>
          </cell>
          <cell r="G1778" t="str">
            <v>단  가</v>
          </cell>
          <cell r="H1778" t="str">
            <v>금   액</v>
          </cell>
          <cell r="I1778" t="str">
            <v>단  가</v>
          </cell>
          <cell r="J1778" t="str">
            <v>금   액</v>
          </cell>
          <cell r="K1778" t="str">
            <v>단  가</v>
          </cell>
          <cell r="L1778" t="str">
            <v>금   액</v>
          </cell>
        </row>
        <row r="1779">
          <cell r="A1779" t="str">
            <v>용  접  봉</v>
          </cell>
          <cell r="C1779" t="str">
            <v>KSE4301  3.2Φ</v>
          </cell>
          <cell r="D1779">
            <v>18.48</v>
          </cell>
          <cell r="E1779" t="str">
            <v>KG</v>
          </cell>
          <cell r="I1779">
            <v>1260</v>
          </cell>
          <cell r="J1779">
            <v>23284</v>
          </cell>
        </row>
        <row r="1780">
          <cell r="A1780" t="str">
            <v>산      소</v>
          </cell>
          <cell r="C1780" t="str">
            <v>6,000L</v>
          </cell>
          <cell r="D1780">
            <v>1.05</v>
          </cell>
          <cell r="E1780" t="str">
            <v>병</v>
          </cell>
          <cell r="I1780">
            <v>12000</v>
          </cell>
          <cell r="J1780">
            <v>12600</v>
          </cell>
        </row>
        <row r="1781">
          <cell r="A1781" t="str">
            <v>아 세 치 렌</v>
          </cell>
          <cell r="C1781" t="str">
            <v>4,500L</v>
          </cell>
          <cell r="D1781">
            <v>2.8</v>
          </cell>
          <cell r="E1781" t="str">
            <v>KG</v>
          </cell>
          <cell r="I1781">
            <v>10500</v>
          </cell>
          <cell r="J1781">
            <v>29400</v>
          </cell>
        </row>
        <row r="1782">
          <cell r="A1782" t="str">
            <v>철      공</v>
          </cell>
          <cell r="D1782">
            <v>27.65</v>
          </cell>
          <cell r="E1782" t="str">
            <v>인</v>
          </cell>
          <cell r="G1782">
            <v>72430</v>
          </cell>
          <cell r="H1782">
            <v>2002689</v>
          </cell>
        </row>
        <row r="1783">
          <cell r="A1783" t="str">
            <v>비  계   공</v>
          </cell>
          <cell r="D1783">
            <v>4.71</v>
          </cell>
          <cell r="E1783" t="str">
            <v>인</v>
          </cell>
          <cell r="G1783">
            <v>79467</v>
          </cell>
          <cell r="H1783">
            <v>374289</v>
          </cell>
        </row>
        <row r="1785">
          <cell r="A1785" t="str">
            <v>보 통 인 부</v>
          </cell>
          <cell r="D1785">
            <v>0.66</v>
          </cell>
          <cell r="E1785" t="str">
            <v>인</v>
          </cell>
          <cell r="G1785">
            <v>37736</v>
          </cell>
          <cell r="H1785">
            <v>24905</v>
          </cell>
        </row>
        <row r="1786">
          <cell r="A1786" t="str">
            <v>용  접  공</v>
          </cell>
          <cell r="D1786">
            <v>2.6</v>
          </cell>
          <cell r="E1786" t="str">
            <v>인</v>
          </cell>
          <cell r="G1786">
            <v>74016</v>
          </cell>
          <cell r="H1786">
            <v>192441</v>
          </cell>
        </row>
        <row r="1787">
          <cell r="A1787" t="str">
            <v>특 별 인 부</v>
          </cell>
          <cell r="D1787">
            <v>0.74</v>
          </cell>
          <cell r="E1787" t="str">
            <v>인</v>
          </cell>
          <cell r="G1787">
            <v>57379</v>
          </cell>
          <cell r="H1787">
            <v>42460</v>
          </cell>
        </row>
        <row r="1788">
          <cell r="A1788" t="str">
            <v>용접기 손료</v>
          </cell>
          <cell r="D1788">
            <v>20.83</v>
          </cell>
          <cell r="E1788" t="str">
            <v>Hr</v>
          </cell>
          <cell r="K1788">
            <v>155</v>
          </cell>
          <cell r="L1788">
            <v>3228</v>
          </cell>
        </row>
        <row r="1789">
          <cell r="A1789" t="str">
            <v>전력 소요량</v>
          </cell>
          <cell r="D1789">
            <v>126</v>
          </cell>
          <cell r="E1789" t="str">
            <v>KWH</v>
          </cell>
          <cell r="K1789">
            <v>61.6</v>
          </cell>
          <cell r="L1789">
            <v>7761</v>
          </cell>
        </row>
        <row r="1790">
          <cell r="A1790" t="str">
            <v>공 구 손 료</v>
          </cell>
          <cell r="C1790" t="str">
            <v>인건비의 3%</v>
          </cell>
          <cell r="L1790">
            <v>79103</v>
          </cell>
        </row>
        <row r="1792">
          <cell r="A1792" t="str">
            <v>소    계</v>
          </cell>
          <cell r="F1792">
            <v>2792160</v>
          </cell>
          <cell r="H1792">
            <v>2636784</v>
          </cell>
          <cell r="J1792">
            <v>65284</v>
          </cell>
          <cell r="L1792">
            <v>90092</v>
          </cell>
        </row>
        <row r="1794">
          <cell r="A1794" t="str">
            <v>계 ( 간단한구조 )</v>
          </cell>
          <cell r="C1794" t="str">
            <v>100 %</v>
          </cell>
          <cell r="F1794">
            <v>2792160</v>
          </cell>
          <cell r="H1794">
            <v>2636784</v>
          </cell>
          <cell r="J1794">
            <v>65284</v>
          </cell>
          <cell r="L1794">
            <v>90092</v>
          </cell>
        </row>
        <row r="1796">
          <cell r="A1796" t="str">
            <v>계 ( 복잡한구조 )</v>
          </cell>
          <cell r="C1796" t="str">
            <v>140 %</v>
          </cell>
          <cell r="F1796">
            <v>3909022</v>
          </cell>
          <cell r="H1796">
            <v>3691497</v>
          </cell>
          <cell r="J1796">
            <v>91397</v>
          </cell>
          <cell r="L1796">
            <v>126128</v>
          </cell>
        </row>
        <row r="1799">
          <cell r="F1799" t="str">
            <v xml:space="preserve"> </v>
          </cell>
        </row>
        <row r="1800">
          <cell r="F1800" t="str">
            <v xml:space="preserve"> </v>
          </cell>
        </row>
        <row r="1801">
          <cell r="F1801" t="str">
            <v xml:space="preserve"> </v>
          </cell>
        </row>
        <row r="1802">
          <cell r="F1802" t="str">
            <v xml:space="preserve"> </v>
          </cell>
        </row>
        <row r="1803">
          <cell r="B1803" t="str">
            <v>기존도장 방식을 채택할 경우</v>
          </cell>
          <cell r="E1803" t="str">
            <v xml:space="preserve"> </v>
          </cell>
          <cell r="F1803" t="str">
            <v>도 장 비 (M²당) 일 위 대 가</v>
          </cell>
        </row>
        <row r="1805">
          <cell r="A1805" t="str">
            <v>종       별</v>
          </cell>
          <cell r="C1805" t="str">
            <v>재 료 또 는</v>
          </cell>
          <cell r="D1805" t="str">
            <v xml:space="preserve">원 수 </v>
          </cell>
          <cell r="E1805" t="str">
            <v>단 위</v>
          </cell>
          <cell r="F1805" t="str">
            <v>총   액</v>
          </cell>
          <cell r="G1805" t="str">
            <v>노   무   비</v>
          </cell>
          <cell r="I1805" t="str">
            <v>재   료   비</v>
          </cell>
          <cell r="K1805" t="str">
            <v>경      비</v>
          </cell>
          <cell r="M1805" t="str">
            <v>비   고</v>
          </cell>
        </row>
        <row r="1806">
          <cell r="C1806" t="str">
            <v xml:space="preserve">규       격 </v>
          </cell>
          <cell r="F1806" t="str">
            <v>금   액</v>
          </cell>
          <cell r="G1806" t="str">
            <v>단  가</v>
          </cell>
          <cell r="H1806" t="str">
            <v>금   액</v>
          </cell>
          <cell r="I1806" t="str">
            <v>단  가</v>
          </cell>
          <cell r="J1806" t="str">
            <v>금   액</v>
          </cell>
          <cell r="K1806" t="str">
            <v>단  가</v>
          </cell>
          <cell r="L1806" t="str">
            <v>금   액</v>
          </cell>
        </row>
        <row r="1807">
          <cell r="A1807" t="str">
            <v>1. SAND BLASTING</v>
          </cell>
        </row>
        <row r="1808">
          <cell r="B1808" t="str">
            <v>모      래</v>
          </cell>
          <cell r="D1808">
            <v>5.0799999999999998E-2</v>
          </cell>
          <cell r="E1808" t="str">
            <v>㎥</v>
          </cell>
          <cell r="G1808">
            <v>17799.248685199098</v>
          </cell>
          <cell r="H1808">
            <v>904</v>
          </cell>
          <cell r="I1808">
            <v>10845.529676934633</v>
          </cell>
          <cell r="J1808">
            <v>550</v>
          </cell>
          <cell r="K1808">
            <v>13551.915852742301</v>
          </cell>
          <cell r="L1808">
            <v>688</v>
          </cell>
        </row>
        <row r="1809">
          <cell r="B1809" t="str">
            <v>계  령  공</v>
          </cell>
          <cell r="D1809">
            <v>3.2899999999999999E-2</v>
          </cell>
          <cell r="E1809" t="str">
            <v>인</v>
          </cell>
          <cell r="G1809">
            <v>41937</v>
          </cell>
          <cell r="H1809">
            <v>1379</v>
          </cell>
        </row>
        <row r="1810">
          <cell r="B1810" t="str">
            <v>보 통 인 부</v>
          </cell>
          <cell r="D1810">
            <v>3.5999999999999997E-2</v>
          </cell>
          <cell r="E1810" t="str">
            <v>인</v>
          </cell>
          <cell r="G1810">
            <v>37736</v>
          </cell>
          <cell r="H1810">
            <v>1358</v>
          </cell>
        </row>
        <row r="1811">
          <cell r="B1811" t="str">
            <v>COMPRESSOR</v>
          </cell>
          <cell r="C1811" t="str">
            <v>7.1㎥/min</v>
          </cell>
          <cell r="D1811">
            <v>0.13300000000000001</v>
          </cell>
          <cell r="E1811" t="str">
            <v>Hr</v>
          </cell>
          <cell r="G1811">
            <v>9681</v>
          </cell>
          <cell r="H1811">
            <v>1287</v>
          </cell>
          <cell r="I1811">
            <v>8779</v>
          </cell>
          <cell r="J1811">
            <v>1167</v>
          </cell>
          <cell r="K1811">
            <v>6250</v>
          </cell>
          <cell r="L1811">
            <v>831</v>
          </cell>
        </row>
        <row r="1812">
          <cell r="B1812" t="str">
            <v>AIR HOSE</v>
          </cell>
          <cell r="C1812" t="str">
            <v>3/4" ,1"</v>
          </cell>
          <cell r="D1812">
            <v>0.13300000000000001</v>
          </cell>
          <cell r="E1812" t="str">
            <v>Hr</v>
          </cell>
          <cell r="K1812">
            <v>48</v>
          </cell>
          <cell r="L1812">
            <v>6</v>
          </cell>
        </row>
        <row r="1813">
          <cell r="B1813" t="str">
            <v>브라스트기</v>
          </cell>
          <cell r="D1813">
            <v>0.13300000000000001</v>
          </cell>
          <cell r="E1813" t="str">
            <v>Hr</v>
          </cell>
          <cell r="K1813">
            <v>659</v>
          </cell>
          <cell r="L1813">
            <v>87</v>
          </cell>
        </row>
        <row r="1814">
          <cell r="B1814" t="str">
            <v>건  조  기</v>
          </cell>
          <cell r="D1814">
            <v>0.13300000000000001</v>
          </cell>
          <cell r="E1814" t="str">
            <v>Hr</v>
          </cell>
          <cell r="K1814">
            <v>211</v>
          </cell>
          <cell r="L1814">
            <v>28</v>
          </cell>
        </row>
        <row r="1815">
          <cell r="B1815" t="str">
            <v>방  진  복</v>
          </cell>
          <cell r="D1815">
            <v>0.13300000000000001</v>
          </cell>
          <cell r="E1815" t="str">
            <v>Hr</v>
          </cell>
          <cell r="K1815">
            <v>107</v>
          </cell>
          <cell r="L1815">
            <v>14</v>
          </cell>
        </row>
        <row r="1816">
          <cell r="B1816" t="str">
            <v>방  진  모</v>
          </cell>
          <cell r="D1816">
            <v>0.13300000000000001</v>
          </cell>
          <cell r="E1816" t="str">
            <v>Hr</v>
          </cell>
          <cell r="K1816">
            <v>21</v>
          </cell>
          <cell r="L1816">
            <v>2</v>
          </cell>
        </row>
        <row r="1817">
          <cell r="B1817" t="str">
            <v>건  조  유</v>
          </cell>
          <cell r="D1817">
            <v>0.33300000000000002</v>
          </cell>
          <cell r="E1817" t="str">
            <v>L</v>
          </cell>
          <cell r="I1817">
            <v>526.4</v>
          </cell>
          <cell r="J1817">
            <v>175</v>
          </cell>
        </row>
        <row r="1818">
          <cell r="B1818" t="str">
            <v>노      즐</v>
          </cell>
          <cell r="D1818">
            <v>0.03</v>
          </cell>
          <cell r="E1818" t="str">
            <v>개</v>
          </cell>
          <cell r="I1818">
            <v>32000</v>
          </cell>
          <cell r="J1818">
            <v>960</v>
          </cell>
        </row>
        <row r="1819">
          <cell r="B1819" t="str">
            <v>소      계</v>
          </cell>
          <cell r="F1819">
            <v>9436</v>
          </cell>
          <cell r="H1819">
            <v>4928</v>
          </cell>
          <cell r="J1819">
            <v>2852</v>
          </cell>
          <cell r="L1819">
            <v>1656</v>
          </cell>
        </row>
        <row r="1821">
          <cell r="A1821" t="str">
            <v>2. PRIMERY COATING (20μ)</v>
          </cell>
        </row>
        <row r="1822">
          <cell r="B1822" t="str">
            <v>ZINC RICH PRIMER</v>
          </cell>
          <cell r="D1822">
            <v>8.1000000000000003E-2</v>
          </cell>
          <cell r="E1822" t="str">
            <v>Liter</v>
          </cell>
          <cell r="I1822">
            <v>7945</v>
          </cell>
          <cell r="J1822">
            <v>643</v>
          </cell>
        </row>
        <row r="1823">
          <cell r="B1823" t="str">
            <v>신      나</v>
          </cell>
          <cell r="D1823">
            <v>0.01</v>
          </cell>
          <cell r="E1823" t="str">
            <v>Liter</v>
          </cell>
          <cell r="I1823">
            <v>2111</v>
          </cell>
          <cell r="J1823">
            <v>21</v>
          </cell>
        </row>
        <row r="1824">
          <cell r="B1824" t="str">
            <v>도  장  공</v>
          </cell>
          <cell r="D1824">
            <v>1.4999999999999999E-2</v>
          </cell>
          <cell r="E1824" t="str">
            <v>인</v>
          </cell>
          <cell r="G1824">
            <v>63038</v>
          </cell>
          <cell r="H1824">
            <v>945</v>
          </cell>
        </row>
        <row r="1825">
          <cell r="B1825" t="str">
            <v>공 구 손 료</v>
          </cell>
          <cell r="C1825" t="str">
            <v>2%</v>
          </cell>
          <cell r="D1825" t="str">
            <v>1</v>
          </cell>
          <cell r="E1825" t="str">
            <v>식</v>
          </cell>
          <cell r="L1825">
            <v>18</v>
          </cell>
        </row>
        <row r="1826">
          <cell r="B1826" t="str">
            <v>소      계</v>
          </cell>
          <cell r="F1826">
            <v>1627</v>
          </cell>
          <cell r="H1826">
            <v>945</v>
          </cell>
          <cell r="J1826">
            <v>664</v>
          </cell>
          <cell r="L1826">
            <v>18</v>
          </cell>
        </row>
        <row r="1828">
          <cell r="A1828" t="str">
            <v>3. COVER COATING (280μ)</v>
          </cell>
        </row>
        <row r="1829">
          <cell r="B1829" t="str">
            <v>PURE EPOXY</v>
          </cell>
          <cell r="D1829">
            <v>0.48299999999999998</v>
          </cell>
          <cell r="E1829" t="str">
            <v>Liter</v>
          </cell>
          <cell r="I1829">
            <v>4010</v>
          </cell>
          <cell r="J1829">
            <v>1936</v>
          </cell>
        </row>
        <row r="1830">
          <cell r="B1830" t="str">
            <v>신      나</v>
          </cell>
          <cell r="D1830">
            <v>4.8000000000000001E-2</v>
          </cell>
          <cell r="E1830" t="str">
            <v>Liter</v>
          </cell>
          <cell r="I1830">
            <v>2111</v>
          </cell>
          <cell r="J1830">
            <v>101</v>
          </cell>
        </row>
        <row r="1831">
          <cell r="B1831" t="str">
            <v>도  장  공</v>
          </cell>
          <cell r="D1831">
            <v>0.108</v>
          </cell>
          <cell r="E1831" t="str">
            <v>인</v>
          </cell>
          <cell r="G1831">
            <v>63038</v>
          </cell>
          <cell r="H1831">
            <v>6808</v>
          </cell>
        </row>
        <row r="1832">
          <cell r="A1832" t="str">
            <v>종       별</v>
          </cell>
          <cell r="C1832" t="str">
            <v>재 료 또 는</v>
          </cell>
          <cell r="D1832" t="str">
            <v xml:space="preserve">원 수 </v>
          </cell>
          <cell r="E1832" t="str">
            <v>단 위</v>
          </cell>
          <cell r="F1832" t="str">
            <v>총   액</v>
          </cell>
          <cell r="G1832" t="str">
            <v>노   무   비</v>
          </cell>
          <cell r="I1832" t="str">
            <v>재   료   비</v>
          </cell>
          <cell r="K1832" t="str">
            <v>경      비</v>
          </cell>
          <cell r="M1832" t="str">
            <v>비   고</v>
          </cell>
        </row>
        <row r="1833">
          <cell r="C1833" t="str">
            <v xml:space="preserve">규       격 </v>
          </cell>
          <cell r="F1833" t="str">
            <v>금   액</v>
          </cell>
          <cell r="G1833" t="str">
            <v>단  가</v>
          </cell>
          <cell r="H1833" t="str">
            <v>금   액</v>
          </cell>
          <cell r="I1833" t="str">
            <v>단  가</v>
          </cell>
          <cell r="J1833" t="str">
            <v>금   액</v>
          </cell>
          <cell r="K1833" t="str">
            <v>단  가</v>
          </cell>
          <cell r="L1833" t="str">
            <v>금   액</v>
          </cell>
        </row>
        <row r="1834">
          <cell r="B1834" t="str">
            <v>공 구 손 료</v>
          </cell>
          <cell r="C1834" t="str">
            <v>2%</v>
          </cell>
          <cell r="D1834" t="str">
            <v>1</v>
          </cell>
          <cell r="E1834" t="str">
            <v>식</v>
          </cell>
          <cell r="L1834">
            <v>136</v>
          </cell>
        </row>
        <row r="1835">
          <cell r="B1835" t="str">
            <v>소      계</v>
          </cell>
          <cell r="F1835">
            <v>8981</v>
          </cell>
          <cell r="H1835">
            <v>6808</v>
          </cell>
          <cell r="J1835">
            <v>2037</v>
          </cell>
          <cell r="L1835">
            <v>136</v>
          </cell>
        </row>
        <row r="1837">
          <cell r="A1837" t="str">
            <v>4. COVER COATING (280μ)</v>
          </cell>
        </row>
        <row r="1838">
          <cell r="B1838" t="str">
            <v>TAL  EPOXY</v>
          </cell>
          <cell r="D1838">
            <v>0.48299999999999998</v>
          </cell>
          <cell r="E1838" t="str">
            <v>Liter</v>
          </cell>
          <cell r="I1838">
            <v>3570</v>
          </cell>
          <cell r="J1838">
            <v>1724</v>
          </cell>
        </row>
        <row r="1839">
          <cell r="B1839" t="str">
            <v>신      나</v>
          </cell>
          <cell r="D1839">
            <v>4.8000000000000001E-2</v>
          </cell>
          <cell r="E1839" t="str">
            <v>Liter</v>
          </cell>
          <cell r="I1839">
            <v>2111</v>
          </cell>
          <cell r="J1839">
            <v>101</v>
          </cell>
        </row>
        <row r="1840">
          <cell r="B1840" t="str">
            <v>도  장  공</v>
          </cell>
          <cell r="D1840">
            <v>0.108</v>
          </cell>
          <cell r="E1840" t="str">
            <v>인</v>
          </cell>
          <cell r="G1840">
            <v>63038</v>
          </cell>
          <cell r="H1840">
            <v>6808</v>
          </cell>
        </row>
        <row r="1841">
          <cell r="B1841" t="str">
            <v>공 구 손 료</v>
          </cell>
          <cell r="C1841" t="str">
            <v>2%</v>
          </cell>
          <cell r="D1841" t="str">
            <v>1</v>
          </cell>
          <cell r="E1841" t="str">
            <v>식</v>
          </cell>
          <cell r="L1841">
            <v>136</v>
          </cell>
        </row>
        <row r="1843">
          <cell r="B1843" t="str">
            <v>소      계</v>
          </cell>
          <cell r="F1843">
            <v>8769</v>
          </cell>
          <cell r="H1843">
            <v>6808</v>
          </cell>
          <cell r="J1843">
            <v>1825</v>
          </cell>
          <cell r="L1843">
            <v>136</v>
          </cell>
        </row>
        <row r="1845">
          <cell r="A1845" t="str">
            <v>5. 방 오 도 료</v>
          </cell>
        </row>
        <row r="1846">
          <cell r="B1846" t="str">
            <v>방 오 도 료</v>
          </cell>
          <cell r="D1846">
            <v>0.154</v>
          </cell>
          <cell r="E1846" t="str">
            <v>Liter</v>
          </cell>
          <cell r="I1846">
            <v>9231</v>
          </cell>
          <cell r="J1846">
            <v>1421</v>
          </cell>
        </row>
        <row r="1847">
          <cell r="B1847" t="str">
            <v>신      나(ANTI FOULING)</v>
          </cell>
          <cell r="D1847">
            <v>8.0000000000000002E-3</v>
          </cell>
          <cell r="E1847" t="str">
            <v>Liter</v>
          </cell>
          <cell r="I1847">
            <v>1530</v>
          </cell>
          <cell r="J1847">
            <v>12</v>
          </cell>
        </row>
        <row r="1848">
          <cell r="B1848" t="str">
            <v>도  장  공</v>
          </cell>
          <cell r="D1848">
            <v>0.3</v>
          </cell>
          <cell r="E1848" t="str">
            <v>인</v>
          </cell>
          <cell r="G1848">
            <v>63038</v>
          </cell>
          <cell r="H1848">
            <v>18911</v>
          </cell>
        </row>
        <row r="1849">
          <cell r="B1849" t="str">
            <v>공 구 손 료</v>
          </cell>
          <cell r="C1849" t="str">
            <v>2%</v>
          </cell>
          <cell r="D1849" t="str">
            <v>1</v>
          </cell>
          <cell r="E1849" t="str">
            <v>식</v>
          </cell>
          <cell r="L1849">
            <v>378</v>
          </cell>
        </row>
        <row r="1850">
          <cell r="B1850" t="str">
            <v>소      계</v>
          </cell>
          <cell r="F1850">
            <v>20722</v>
          </cell>
          <cell r="H1850">
            <v>18911</v>
          </cell>
          <cell r="J1850">
            <v>1433</v>
          </cell>
          <cell r="L1850">
            <v>378</v>
          </cell>
        </row>
        <row r="1861">
          <cell r="B1861" t="str">
            <v>신공법 도장방식을 채택할 경우</v>
          </cell>
          <cell r="F1861" t="str">
            <v>도 장 비 (M²당) 일 위 대 가</v>
          </cell>
        </row>
        <row r="1862">
          <cell r="E1862" t="str">
            <v xml:space="preserve"> </v>
          </cell>
        </row>
        <row r="1863">
          <cell r="A1863" t="str">
            <v>종       별</v>
          </cell>
          <cell r="C1863" t="str">
            <v>재 료 또 는</v>
          </cell>
          <cell r="D1863" t="str">
            <v xml:space="preserve">원 수 </v>
          </cell>
          <cell r="E1863" t="str">
            <v>단 위</v>
          </cell>
          <cell r="F1863" t="str">
            <v>총   액</v>
          </cell>
          <cell r="G1863" t="str">
            <v>노   무   비</v>
          </cell>
          <cell r="I1863" t="str">
            <v>재   료   비</v>
          </cell>
          <cell r="K1863" t="str">
            <v>경      비</v>
          </cell>
          <cell r="M1863" t="str">
            <v>비   고</v>
          </cell>
        </row>
        <row r="1864">
          <cell r="C1864" t="str">
            <v xml:space="preserve">규       격 </v>
          </cell>
          <cell r="F1864" t="str">
            <v>금   액</v>
          </cell>
          <cell r="G1864" t="str">
            <v>단  가</v>
          </cell>
          <cell r="H1864" t="str">
            <v>금   액</v>
          </cell>
          <cell r="I1864" t="str">
            <v>단  가</v>
          </cell>
          <cell r="J1864" t="str">
            <v>금   액</v>
          </cell>
          <cell r="K1864" t="str">
            <v>단  가</v>
          </cell>
          <cell r="L1864" t="str">
            <v>금   액</v>
          </cell>
        </row>
        <row r="1865">
          <cell r="A1865" t="str">
            <v>1. 전처리 ( 육상용 ) (WATER SAND JET 공법) : BLAST CLEANINING  SA 2½</v>
          </cell>
        </row>
        <row r="1866">
          <cell r="B1866" t="str">
            <v>WATER JET</v>
          </cell>
          <cell r="C1866" t="str">
            <v>500 KG/㎡</v>
          </cell>
          <cell r="D1866">
            <v>1</v>
          </cell>
          <cell r="E1866" t="str">
            <v>㎡</v>
          </cell>
          <cell r="K1866">
            <v>1400</v>
          </cell>
          <cell r="L1866">
            <v>1400</v>
          </cell>
        </row>
        <row r="1867">
          <cell r="B1867" t="str">
            <v>시 리 카</v>
          </cell>
          <cell r="D1867">
            <v>10</v>
          </cell>
          <cell r="E1867" t="str">
            <v>kg</v>
          </cell>
          <cell r="I1867">
            <v>130</v>
          </cell>
          <cell r="J1867">
            <v>1300</v>
          </cell>
        </row>
        <row r="1868">
          <cell r="B1868" t="str">
            <v>경    유</v>
          </cell>
          <cell r="D1868">
            <v>4</v>
          </cell>
          <cell r="E1868" t="str">
            <v>L</v>
          </cell>
          <cell r="I1868">
            <v>526.4</v>
          </cell>
          <cell r="J1868">
            <v>2105</v>
          </cell>
        </row>
        <row r="1869">
          <cell r="B1869" t="str">
            <v>특별인부</v>
          </cell>
          <cell r="D1869">
            <v>0.1</v>
          </cell>
          <cell r="E1869" t="str">
            <v>인</v>
          </cell>
          <cell r="G1869">
            <v>57379</v>
          </cell>
          <cell r="H1869">
            <v>5737</v>
          </cell>
        </row>
        <row r="1870">
          <cell r="B1870" t="str">
            <v>보통인부</v>
          </cell>
          <cell r="D1870">
            <v>0.08</v>
          </cell>
          <cell r="E1870" t="str">
            <v>"</v>
          </cell>
          <cell r="G1870">
            <v>37736</v>
          </cell>
          <cell r="H1870">
            <v>3018</v>
          </cell>
        </row>
        <row r="1871">
          <cell r="B1871" t="str">
            <v>공구손료</v>
          </cell>
          <cell r="C1871" t="str">
            <v>10 %</v>
          </cell>
          <cell r="D1871" t="str">
            <v>1</v>
          </cell>
          <cell r="E1871" t="str">
            <v>식</v>
          </cell>
          <cell r="L1871">
            <v>875</v>
          </cell>
          <cell r="M1871" t="str">
            <v>열풍기,발청억</v>
          </cell>
        </row>
        <row r="1872">
          <cell r="B1872" t="str">
            <v>소      계</v>
          </cell>
          <cell r="F1872">
            <v>14435</v>
          </cell>
          <cell r="H1872">
            <v>8755</v>
          </cell>
          <cell r="J1872">
            <v>3405</v>
          </cell>
          <cell r="L1872">
            <v>2275</v>
          </cell>
        </row>
        <row r="1874">
          <cell r="A1874" t="str">
            <v>2. 전처리 ( 수중용 ) (WATER SAND JET 공법) : BLAST CLEANINING  ST 2</v>
          </cell>
        </row>
        <row r="1875">
          <cell r="B1875" t="str">
            <v>WATER JET</v>
          </cell>
          <cell r="C1875" t="str">
            <v>500 KG/㎡</v>
          </cell>
          <cell r="D1875">
            <v>1</v>
          </cell>
          <cell r="E1875" t="str">
            <v>㎡</v>
          </cell>
          <cell r="K1875">
            <v>2000</v>
          </cell>
          <cell r="L1875">
            <v>2000</v>
          </cell>
        </row>
        <row r="1876">
          <cell r="B1876" t="str">
            <v>시 리 카</v>
          </cell>
          <cell r="D1876">
            <v>10</v>
          </cell>
          <cell r="E1876" t="str">
            <v>kg</v>
          </cell>
          <cell r="I1876">
            <v>130</v>
          </cell>
          <cell r="J1876">
            <v>1300</v>
          </cell>
        </row>
        <row r="1877">
          <cell r="B1877" t="str">
            <v>경    유</v>
          </cell>
          <cell r="D1877">
            <v>6</v>
          </cell>
          <cell r="E1877" t="str">
            <v>L</v>
          </cell>
          <cell r="I1877">
            <v>526.4</v>
          </cell>
          <cell r="J1877">
            <v>3158</v>
          </cell>
        </row>
        <row r="1878">
          <cell r="B1878" t="str">
            <v>잠 수 부</v>
          </cell>
          <cell r="D1878">
            <v>0.7</v>
          </cell>
          <cell r="E1878" t="str">
            <v>인</v>
          </cell>
          <cell r="G1878">
            <v>81832</v>
          </cell>
          <cell r="H1878">
            <v>57282</v>
          </cell>
        </row>
        <row r="1879">
          <cell r="B1879" t="str">
            <v>보통인부</v>
          </cell>
          <cell r="D1879">
            <v>0.7</v>
          </cell>
          <cell r="E1879" t="str">
            <v>"</v>
          </cell>
          <cell r="G1879">
            <v>37736</v>
          </cell>
          <cell r="H1879">
            <v>26415</v>
          </cell>
        </row>
        <row r="1880">
          <cell r="B1880" t="str">
            <v>선    부</v>
          </cell>
          <cell r="D1880">
            <v>0.7</v>
          </cell>
          <cell r="E1880" t="str">
            <v>"</v>
          </cell>
          <cell r="G1880">
            <v>40088</v>
          </cell>
          <cell r="H1880">
            <v>28061</v>
          </cell>
        </row>
        <row r="1881">
          <cell r="B1881" t="str">
            <v>도선임대료</v>
          </cell>
          <cell r="D1881" t="str">
            <v>1</v>
          </cell>
          <cell r="E1881" t="str">
            <v>식</v>
          </cell>
          <cell r="L1881">
            <v>12000</v>
          </cell>
        </row>
        <row r="1882">
          <cell r="B1882" t="str">
            <v>공구손료</v>
          </cell>
          <cell r="C1882" t="str">
            <v>10 %</v>
          </cell>
          <cell r="D1882" t="str">
            <v>1</v>
          </cell>
          <cell r="E1882" t="str">
            <v>식</v>
          </cell>
          <cell r="L1882">
            <v>11175</v>
          </cell>
          <cell r="M1882" t="str">
            <v>열풍기,발청억</v>
          </cell>
        </row>
        <row r="1883">
          <cell r="B1883" t="str">
            <v>소      계</v>
          </cell>
          <cell r="F1883">
            <v>141391</v>
          </cell>
          <cell r="H1883">
            <v>111758</v>
          </cell>
          <cell r="J1883">
            <v>4458</v>
          </cell>
          <cell r="L1883">
            <v>25175</v>
          </cell>
        </row>
        <row r="1884">
          <cell r="F1884" t="str">
            <v xml:space="preserve"> </v>
          </cell>
        </row>
        <row r="1885">
          <cell r="A1885" t="str">
            <v>3. 도장 SYSTEM 1 : 상시 물속에 잠기는 구조물</v>
          </cell>
        </row>
        <row r="1886">
          <cell r="B1886" t="str">
            <v xml:space="preserve">소지처리 </v>
          </cell>
          <cell r="C1886" t="str">
            <v>BLASTING 작업으로서 SIS Sa2½ 이상</v>
          </cell>
        </row>
        <row r="1887">
          <cell r="B1887" t="str">
            <v>하    도</v>
          </cell>
          <cell r="C1887" t="str">
            <v>무기질 징크리치 푸라이머</v>
          </cell>
          <cell r="F1887" t="str">
            <v xml:space="preserve"> 75 μ</v>
          </cell>
        </row>
        <row r="1888">
          <cell r="B1888" t="str">
            <v>중    도</v>
          </cell>
          <cell r="C1888" t="str">
            <v>중도용 엑폭시 수지도료</v>
          </cell>
          <cell r="F1888" t="str">
            <v xml:space="preserve"> 45 μ</v>
          </cell>
        </row>
        <row r="1889">
          <cell r="B1889" t="str">
            <v>상    도</v>
          </cell>
          <cell r="C1889" t="str">
            <v>상도용 엑폭시</v>
          </cell>
          <cell r="F1889" t="str">
            <v>400 μ</v>
          </cell>
        </row>
        <row r="1890">
          <cell r="A1890" t="str">
            <v>종       별</v>
          </cell>
          <cell r="C1890" t="str">
            <v>재 료 또 는</v>
          </cell>
          <cell r="D1890" t="str">
            <v xml:space="preserve">원 수 </v>
          </cell>
          <cell r="E1890" t="str">
            <v>단 위</v>
          </cell>
          <cell r="F1890" t="str">
            <v>총   액</v>
          </cell>
          <cell r="G1890" t="str">
            <v>노   무   비</v>
          </cell>
          <cell r="I1890" t="str">
            <v>재   료   비</v>
          </cell>
          <cell r="K1890" t="str">
            <v>경      비</v>
          </cell>
          <cell r="M1890" t="str">
            <v>비   고</v>
          </cell>
        </row>
        <row r="1891">
          <cell r="C1891" t="str">
            <v xml:space="preserve">규       격 </v>
          </cell>
          <cell r="F1891" t="str">
            <v>금   액</v>
          </cell>
          <cell r="G1891" t="str">
            <v>단  가</v>
          </cell>
          <cell r="H1891" t="str">
            <v>금   액</v>
          </cell>
          <cell r="I1891" t="str">
            <v>단  가</v>
          </cell>
          <cell r="J1891" t="str">
            <v>금   액</v>
          </cell>
          <cell r="K1891" t="str">
            <v>단  가</v>
          </cell>
          <cell r="L1891" t="str">
            <v>금   액</v>
          </cell>
        </row>
        <row r="1892">
          <cell r="A1892" t="str">
            <v>공사비 산출</v>
          </cell>
          <cell r="F1892" t="str">
            <v xml:space="preserve"> </v>
          </cell>
        </row>
        <row r="1893">
          <cell r="B1893" t="str">
            <v>무기질 징크리치 푸라이머</v>
          </cell>
          <cell r="D1893">
            <v>0.2</v>
          </cell>
          <cell r="E1893" t="str">
            <v>L</v>
          </cell>
          <cell r="F1893" t="str">
            <v xml:space="preserve"> </v>
          </cell>
          <cell r="I1893">
            <v>7945</v>
          </cell>
          <cell r="J1893">
            <v>1589</v>
          </cell>
        </row>
        <row r="1894">
          <cell r="B1894" t="str">
            <v>중도용 엑폭시 수지도료</v>
          </cell>
          <cell r="D1894">
            <v>0.2</v>
          </cell>
          <cell r="E1894" t="str">
            <v>L</v>
          </cell>
          <cell r="F1894" t="str">
            <v xml:space="preserve"> </v>
          </cell>
          <cell r="I1894">
            <v>7500</v>
          </cell>
          <cell r="J1894">
            <v>1500</v>
          </cell>
        </row>
        <row r="1895">
          <cell r="B1895" t="str">
            <v>상도용 엑폭시</v>
          </cell>
          <cell r="D1895">
            <v>0.68</v>
          </cell>
          <cell r="E1895" t="str">
            <v>L</v>
          </cell>
          <cell r="F1895" t="str">
            <v xml:space="preserve"> </v>
          </cell>
          <cell r="I1895">
            <v>18000</v>
          </cell>
          <cell r="J1895">
            <v>12240</v>
          </cell>
        </row>
        <row r="1896">
          <cell r="B1896" t="str">
            <v>희 석 제</v>
          </cell>
          <cell r="D1896">
            <v>0.3</v>
          </cell>
          <cell r="E1896" t="str">
            <v>L</v>
          </cell>
          <cell r="F1896" t="str">
            <v xml:space="preserve"> </v>
          </cell>
          <cell r="I1896">
            <v>2111</v>
          </cell>
          <cell r="J1896">
            <v>633</v>
          </cell>
        </row>
        <row r="1897">
          <cell r="B1897" t="str">
            <v>도  장  공</v>
          </cell>
          <cell r="D1897">
            <v>0.1</v>
          </cell>
          <cell r="E1897" t="str">
            <v>인</v>
          </cell>
          <cell r="F1897" t="str">
            <v xml:space="preserve"> </v>
          </cell>
          <cell r="G1897">
            <v>63038</v>
          </cell>
          <cell r="H1897">
            <v>6303</v>
          </cell>
        </row>
        <row r="1898">
          <cell r="B1898" t="str">
            <v>보 통 인 부</v>
          </cell>
          <cell r="D1898">
            <v>0.1</v>
          </cell>
          <cell r="E1898" t="str">
            <v>인</v>
          </cell>
          <cell r="F1898" t="str">
            <v xml:space="preserve"> </v>
          </cell>
          <cell r="G1898">
            <v>37736</v>
          </cell>
          <cell r="H1898">
            <v>3773</v>
          </cell>
        </row>
        <row r="1899">
          <cell r="B1899" t="str">
            <v>공 구 손 료</v>
          </cell>
          <cell r="C1899" t="str">
            <v>노임의 2%</v>
          </cell>
          <cell r="D1899" t="str">
            <v>1</v>
          </cell>
          <cell r="E1899" t="str">
            <v>식</v>
          </cell>
          <cell r="F1899" t="str">
            <v xml:space="preserve"> </v>
          </cell>
          <cell r="L1899">
            <v>201</v>
          </cell>
        </row>
        <row r="1900">
          <cell r="B1900" t="str">
            <v>소      계</v>
          </cell>
          <cell r="F1900">
            <v>26239</v>
          </cell>
          <cell r="H1900">
            <v>10076</v>
          </cell>
          <cell r="J1900">
            <v>15962</v>
          </cell>
          <cell r="L1900">
            <v>201</v>
          </cell>
        </row>
        <row r="1901">
          <cell r="F1901" t="str">
            <v xml:space="preserve"> </v>
          </cell>
        </row>
        <row r="1902">
          <cell r="A1902" t="str">
            <v>4. 도장 SYSTEM 2 : 해수 가까이 상시 노출되어있는 구조물</v>
          </cell>
        </row>
        <row r="1903">
          <cell r="B1903" t="str">
            <v xml:space="preserve">소지처리 </v>
          </cell>
          <cell r="C1903" t="str">
            <v>BLASTING 작업으로서 SIS Sa2½ 이상</v>
          </cell>
        </row>
        <row r="1904">
          <cell r="B1904" t="str">
            <v>하    도</v>
          </cell>
          <cell r="C1904" t="str">
            <v>무기질 징크리치 푸라이머</v>
          </cell>
          <cell r="F1904" t="str">
            <v xml:space="preserve"> 75 μ</v>
          </cell>
        </row>
        <row r="1905">
          <cell r="B1905" t="str">
            <v>중    도 1</v>
          </cell>
          <cell r="C1905" t="str">
            <v>중도용 엑폭시 수지도료</v>
          </cell>
          <cell r="F1905" t="str">
            <v xml:space="preserve"> 45 μ</v>
          </cell>
        </row>
        <row r="1906">
          <cell r="B1906" t="str">
            <v>중    도 2</v>
          </cell>
          <cell r="C1906" t="str">
            <v>중도용 엑폭시 수지도료</v>
          </cell>
          <cell r="F1906" t="str">
            <v>355 μ</v>
          </cell>
        </row>
        <row r="1907">
          <cell r="B1907" t="str">
            <v>상    도</v>
          </cell>
          <cell r="C1907" t="str">
            <v>상도용 엑폭시</v>
          </cell>
          <cell r="F1907" t="str">
            <v xml:space="preserve"> 45 μ</v>
          </cell>
        </row>
        <row r="1908">
          <cell r="F1908" t="str">
            <v xml:space="preserve"> </v>
          </cell>
        </row>
        <row r="1909">
          <cell r="A1909" t="str">
            <v>공사비 산출</v>
          </cell>
          <cell r="F1909" t="str">
            <v xml:space="preserve"> </v>
          </cell>
        </row>
        <row r="1910">
          <cell r="B1910" t="str">
            <v>무기질 징크리치 푸라이머</v>
          </cell>
          <cell r="D1910">
            <v>0.2</v>
          </cell>
          <cell r="E1910" t="str">
            <v>L</v>
          </cell>
          <cell r="F1910" t="str">
            <v xml:space="preserve"> </v>
          </cell>
          <cell r="I1910">
            <v>7945</v>
          </cell>
          <cell r="J1910">
            <v>1589</v>
          </cell>
        </row>
        <row r="1911">
          <cell r="B1911" t="str">
            <v>중도용 엑폭시 수지도료 1</v>
          </cell>
          <cell r="D1911">
            <v>0.2</v>
          </cell>
          <cell r="E1911" t="str">
            <v>L</v>
          </cell>
          <cell r="F1911" t="str">
            <v xml:space="preserve"> </v>
          </cell>
          <cell r="I1911">
            <v>7500</v>
          </cell>
          <cell r="J1911">
            <v>1500</v>
          </cell>
        </row>
        <row r="1912">
          <cell r="B1912" t="str">
            <v>중도용 엑폭시 수지도료 2</v>
          </cell>
          <cell r="D1912">
            <v>0.6</v>
          </cell>
          <cell r="E1912" t="str">
            <v>L</v>
          </cell>
          <cell r="F1912" t="str">
            <v xml:space="preserve"> </v>
          </cell>
          <cell r="I1912">
            <v>18000</v>
          </cell>
          <cell r="J1912">
            <v>10800</v>
          </cell>
        </row>
        <row r="1913">
          <cell r="B1913" t="str">
            <v>상도용 엑폭시</v>
          </cell>
          <cell r="D1913">
            <v>0.2</v>
          </cell>
          <cell r="E1913" t="str">
            <v>L</v>
          </cell>
          <cell r="F1913" t="str">
            <v xml:space="preserve"> </v>
          </cell>
          <cell r="I1913">
            <v>5900</v>
          </cell>
          <cell r="J1913">
            <v>1180</v>
          </cell>
        </row>
        <row r="1914">
          <cell r="B1914" t="str">
            <v>희 석 제</v>
          </cell>
          <cell r="D1914">
            <v>0.36</v>
          </cell>
          <cell r="E1914" t="str">
            <v>L</v>
          </cell>
          <cell r="F1914" t="str">
            <v xml:space="preserve"> </v>
          </cell>
          <cell r="I1914">
            <v>2111</v>
          </cell>
          <cell r="J1914">
            <v>759</v>
          </cell>
        </row>
        <row r="1915">
          <cell r="B1915" t="str">
            <v>도  장  공</v>
          </cell>
          <cell r="D1915">
            <v>0.13</v>
          </cell>
          <cell r="E1915" t="str">
            <v>인</v>
          </cell>
          <cell r="F1915" t="str">
            <v xml:space="preserve"> </v>
          </cell>
          <cell r="G1915">
            <v>63038</v>
          </cell>
          <cell r="H1915">
            <v>8194</v>
          </cell>
        </row>
        <row r="1916">
          <cell r="B1916" t="str">
            <v>보 통 인 부</v>
          </cell>
          <cell r="D1916">
            <v>0.13</v>
          </cell>
          <cell r="E1916" t="str">
            <v>인</v>
          </cell>
          <cell r="F1916" t="str">
            <v xml:space="preserve"> </v>
          </cell>
          <cell r="G1916">
            <v>37736</v>
          </cell>
          <cell r="H1916">
            <v>4905</v>
          </cell>
        </row>
        <row r="1917">
          <cell r="B1917" t="str">
            <v>공 구 손 료</v>
          </cell>
          <cell r="C1917" t="str">
            <v>노임의 2%</v>
          </cell>
          <cell r="D1917" t="str">
            <v>1</v>
          </cell>
          <cell r="E1917" t="str">
            <v>식</v>
          </cell>
          <cell r="F1917" t="str">
            <v xml:space="preserve"> </v>
          </cell>
          <cell r="L1917">
            <v>261</v>
          </cell>
        </row>
        <row r="1918">
          <cell r="B1918" t="str">
            <v>소      계</v>
          </cell>
          <cell r="F1918">
            <v>29188</v>
          </cell>
          <cell r="H1918">
            <v>13099</v>
          </cell>
          <cell r="J1918">
            <v>15828</v>
          </cell>
          <cell r="L1918">
            <v>261</v>
          </cell>
        </row>
        <row r="1919">
          <cell r="A1919" t="str">
            <v>종       별</v>
          </cell>
          <cell r="C1919" t="str">
            <v>재 료 또 는</v>
          </cell>
          <cell r="D1919" t="str">
            <v xml:space="preserve">원 수 </v>
          </cell>
          <cell r="E1919" t="str">
            <v>단 위</v>
          </cell>
          <cell r="F1919" t="str">
            <v>총   액</v>
          </cell>
          <cell r="G1919" t="str">
            <v>노   무   비</v>
          </cell>
          <cell r="I1919" t="str">
            <v>재   료   비</v>
          </cell>
          <cell r="K1919" t="str">
            <v>경      비</v>
          </cell>
          <cell r="M1919" t="str">
            <v>비   고</v>
          </cell>
        </row>
        <row r="1920">
          <cell r="C1920" t="str">
            <v xml:space="preserve">규       격 </v>
          </cell>
          <cell r="F1920" t="str">
            <v>금   액</v>
          </cell>
          <cell r="G1920" t="str">
            <v>단  가</v>
          </cell>
          <cell r="H1920" t="str">
            <v>금   액</v>
          </cell>
          <cell r="I1920" t="str">
            <v>단  가</v>
          </cell>
          <cell r="J1920" t="str">
            <v>금   액</v>
          </cell>
          <cell r="K1920" t="str">
            <v>단  가</v>
          </cell>
          <cell r="L1920" t="str">
            <v>금   액</v>
          </cell>
        </row>
        <row r="1921">
          <cell r="A1921" t="str">
            <v>5. 도장 SYSTEM 3 : 해중에서 작업해야하는 구조물</v>
          </cell>
        </row>
        <row r="1922">
          <cell r="B1922" t="str">
            <v xml:space="preserve">소지처리 </v>
          </cell>
          <cell r="C1922" t="str">
            <v>WATER SAND JET나 WATER JET로써 피도면의 밀스케일등 이물질을 완전 제거하여 SIS ST 2 이상되게 할것.</v>
          </cell>
        </row>
        <row r="1923">
          <cell r="B1923" t="str">
            <v>하    도</v>
          </cell>
          <cell r="C1923" t="str">
            <v>수중용 엑폭시</v>
          </cell>
          <cell r="F1923" t="str">
            <v>1,000 μ</v>
          </cell>
        </row>
        <row r="1924">
          <cell r="F1924" t="str">
            <v xml:space="preserve"> </v>
          </cell>
        </row>
        <row r="1925">
          <cell r="A1925" t="str">
            <v>공사비 산출</v>
          </cell>
          <cell r="F1925" t="str">
            <v xml:space="preserve"> </v>
          </cell>
        </row>
        <row r="1926">
          <cell r="B1926" t="str">
            <v>상도용 엑폭시</v>
          </cell>
          <cell r="D1926">
            <v>1.74</v>
          </cell>
          <cell r="E1926" t="str">
            <v>L</v>
          </cell>
          <cell r="F1926" t="str">
            <v xml:space="preserve"> </v>
          </cell>
          <cell r="I1926">
            <v>26000</v>
          </cell>
          <cell r="J1926">
            <v>45240</v>
          </cell>
        </row>
        <row r="1927">
          <cell r="B1927" t="str">
            <v>잠  수  부</v>
          </cell>
          <cell r="D1927">
            <v>0.5</v>
          </cell>
          <cell r="E1927" t="str">
            <v>인</v>
          </cell>
          <cell r="F1927" t="str">
            <v xml:space="preserve"> </v>
          </cell>
          <cell r="G1927">
            <v>81832</v>
          </cell>
          <cell r="H1927">
            <v>40916</v>
          </cell>
        </row>
        <row r="1928">
          <cell r="B1928" t="str">
            <v>공 구 손 료</v>
          </cell>
          <cell r="C1928" t="str">
            <v>노임의 2%</v>
          </cell>
          <cell r="D1928" t="str">
            <v>1</v>
          </cell>
          <cell r="E1928" t="str">
            <v>식</v>
          </cell>
          <cell r="F1928" t="str">
            <v xml:space="preserve"> </v>
          </cell>
          <cell r="L1928">
            <v>818</v>
          </cell>
        </row>
        <row r="1929">
          <cell r="B1929" t="str">
            <v>소      계</v>
          </cell>
          <cell r="F1929">
            <v>86974</v>
          </cell>
          <cell r="H1929">
            <v>40916</v>
          </cell>
          <cell r="J1929">
            <v>45240</v>
          </cell>
          <cell r="L1929">
            <v>818</v>
          </cell>
        </row>
        <row r="1930">
          <cell r="F1930" t="str">
            <v xml:space="preserve"> </v>
          </cell>
        </row>
        <row r="1931">
          <cell r="A1931" t="str">
            <v>6. CERAMIC COATING (ATO) 200μ</v>
          </cell>
        </row>
        <row r="1932">
          <cell r="B1932" t="str">
            <v>6-1. 바탕만들기</v>
          </cell>
        </row>
        <row r="1933">
          <cell r="B1933" t="str">
            <v>SNAD</v>
          </cell>
          <cell r="D1933">
            <v>5.0799999999999998E-2</v>
          </cell>
          <cell r="E1933" t="str">
            <v>㎥</v>
          </cell>
          <cell r="F1933">
            <v>355</v>
          </cell>
          <cell r="I1933">
            <v>7000</v>
          </cell>
          <cell r="J1933">
            <v>355</v>
          </cell>
        </row>
        <row r="1934">
          <cell r="B1934" t="str">
            <v>계 령 공</v>
          </cell>
          <cell r="D1934">
            <v>0.05</v>
          </cell>
          <cell r="E1934" t="str">
            <v>인</v>
          </cell>
          <cell r="F1934">
            <v>2096</v>
          </cell>
          <cell r="G1934">
            <v>41937</v>
          </cell>
          <cell r="H1934">
            <v>2096</v>
          </cell>
        </row>
        <row r="1935">
          <cell r="B1935" t="str">
            <v>보 통 인 부</v>
          </cell>
          <cell r="D1935">
            <v>0.1</v>
          </cell>
          <cell r="E1935" t="str">
            <v>인</v>
          </cell>
          <cell r="F1935">
            <v>3773</v>
          </cell>
          <cell r="G1935">
            <v>37736</v>
          </cell>
          <cell r="H1935">
            <v>3773</v>
          </cell>
        </row>
        <row r="1936">
          <cell r="B1936" t="str">
            <v>POWER BRUSH</v>
          </cell>
          <cell r="D1936">
            <v>0.03</v>
          </cell>
          <cell r="E1936" t="str">
            <v>KG</v>
          </cell>
          <cell r="F1936">
            <v>150</v>
          </cell>
          <cell r="I1936">
            <v>5000</v>
          </cell>
          <cell r="J1936">
            <v>150</v>
          </cell>
        </row>
        <row r="1937">
          <cell r="B1937" t="str">
            <v>WIRE BRUSH</v>
          </cell>
          <cell r="D1937">
            <v>1.6E-2</v>
          </cell>
          <cell r="E1937" t="str">
            <v>KG</v>
          </cell>
          <cell r="F1937">
            <v>32</v>
          </cell>
          <cell r="I1937">
            <v>2000</v>
          </cell>
          <cell r="J1937">
            <v>32</v>
          </cell>
        </row>
        <row r="1938">
          <cell r="B1938" t="str">
            <v>기 계 공</v>
          </cell>
          <cell r="D1938">
            <v>0.13300000000000001</v>
          </cell>
          <cell r="E1938" t="str">
            <v>인</v>
          </cell>
          <cell r="F1938">
            <v>7834</v>
          </cell>
          <cell r="G1938">
            <v>58906</v>
          </cell>
          <cell r="H1938">
            <v>7834</v>
          </cell>
        </row>
        <row r="1939">
          <cell r="B1939" t="str">
            <v>조 력 공</v>
          </cell>
          <cell r="D1939">
            <v>0.05</v>
          </cell>
          <cell r="E1939" t="str">
            <v>인</v>
          </cell>
          <cell r="F1939">
            <v>2445</v>
          </cell>
          <cell r="G1939">
            <v>48912</v>
          </cell>
          <cell r="H1939">
            <v>2445</v>
          </cell>
        </row>
        <row r="1940">
          <cell r="B1940" t="str">
            <v>품질관리공(시험사1급)</v>
          </cell>
          <cell r="D1940">
            <v>1.6E-2</v>
          </cell>
          <cell r="E1940" t="str">
            <v>인</v>
          </cell>
          <cell r="F1940">
            <v>765</v>
          </cell>
          <cell r="G1940">
            <v>47867</v>
          </cell>
          <cell r="H1940">
            <v>765</v>
          </cell>
        </row>
        <row r="1941">
          <cell r="B1941" t="str">
            <v>공 구 손 료</v>
          </cell>
          <cell r="C1941" t="str">
            <v>노임의 2%</v>
          </cell>
          <cell r="D1941" t="str">
            <v>1</v>
          </cell>
          <cell r="E1941" t="str">
            <v>식</v>
          </cell>
          <cell r="F1941">
            <v>338</v>
          </cell>
          <cell r="L1941">
            <v>338</v>
          </cell>
        </row>
        <row r="1942">
          <cell r="B1942" t="str">
            <v>소      계</v>
          </cell>
          <cell r="F1942">
            <v>17788</v>
          </cell>
          <cell r="H1942">
            <v>16913</v>
          </cell>
          <cell r="J1942">
            <v>537</v>
          </cell>
          <cell r="L1942">
            <v>338</v>
          </cell>
        </row>
        <row r="1943">
          <cell r="F1943" t="str">
            <v xml:space="preserve"> </v>
          </cell>
        </row>
        <row r="1944">
          <cell r="B1944" t="str">
            <v>6-2. CERAMIC COATING (200μ)</v>
          </cell>
        </row>
        <row r="1945">
          <cell r="B1945" t="str">
            <v>세 척 제</v>
          </cell>
          <cell r="D1945">
            <v>0.05</v>
          </cell>
          <cell r="E1945" t="str">
            <v>통</v>
          </cell>
          <cell r="F1945">
            <v>525</v>
          </cell>
          <cell r="I1945">
            <v>10500</v>
          </cell>
          <cell r="J1945">
            <v>525</v>
          </cell>
        </row>
        <row r="1946">
          <cell r="B1946" t="str">
            <v>세 척 공(보통인부)</v>
          </cell>
          <cell r="D1946">
            <v>1.6E-2</v>
          </cell>
          <cell r="E1946" t="str">
            <v>인</v>
          </cell>
          <cell r="F1946">
            <v>603</v>
          </cell>
          <cell r="G1946">
            <v>37736</v>
          </cell>
          <cell r="H1946">
            <v>603</v>
          </cell>
        </row>
        <row r="1947">
          <cell r="B1947" t="str">
            <v>넝    마</v>
          </cell>
          <cell r="D1947">
            <v>0.01</v>
          </cell>
          <cell r="E1947" t="str">
            <v>KG</v>
          </cell>
          <cell r="F1947">
            <v>13</v>
          </cell>
          <cell r="I1947">
            <v>1363</v>
          </cell>
          <cell r="J1947">
            <v>13</v>
          </cell>
        </row>
        <row r="1948">
          <cell r="A1948" t="str">
            <v>종       별</v>
          </cell>
          <cell r="C1948" t="str">
            <v>재 료 또 는</v>
          </cell>
          <cell r="D1948" t="str">
            <v xml:space="preserve">원 수 </v>
          </cell>
          <cell r="E1948" t="str">
            <v>단 위</v>
          </cell>
          <cell r="F1948" t="str">
            <v>총   액</v>
          </cell>
          <cell r="G1948" t="str">
            <v>노   무   비</v>
          </cell>
          <cell r="I1948" t="str">
            <v>재   료   비</v>
          </cell>
          <cell r="K1948" t="str">
            <v>경      비</v>
          </cell>
          <cell r="M1948" t="str">
            <v>비   고</v>
          </cell>
        </row>
        <row r="1949">
          <cell r="C1949" t="str">
            <v xml:space="preserve">규       격 </v>
          </cell>
          <cell r="F1949" t="str">
            <v>금   액</v>
          </cell>
          <cell r="G1949" t="str">
            <v>단  가</v>
          </cell>
          <cell r="H1949" t="str">
            <v>금   액</v>
          </cell>
          <cell r="I1949" t="str">
            <v>단  가</v>
          </cell>
          <cell r="J1949" t="str">
            <v>금   액</v>
          </cell>
          <cell r="K1949" t="str">
            <v>단  가</v>
          </cell>
          <cell r="L1949" t="str">
            <v>금   액</v>
          </cell>
        </row>
        <row r="1950">
          <cell r="B1950" t="str">
            <v>세라믹코팅제</v>
          </cell>
          <cell r="D1950">
            <v>0.36</v>
          </cell>
          <cell r="E1950" t="str">
            <v>KG</v>
          </cell>
          <cell r="F1950">
            <v>60588</v>
          </cell>
          <cell r="I1950">
            <v>168300</v>
          </cell>
          <cell r="J1950">
            <v>60588</v>
          </cell>
        </row>
        <row r="1951">
          <cell r="B1951" t="str">
            <v>희 석 제</v>
          </cell>
          <cell r="D1951">
            <v>0.188</v>
          </cell>
          <cell r="E1951" t="str">
            <v>통</v>
          </cell>
          <cell r="F1951">
            <v>962</v>
          </cell>
          <cell r="I1951">
            <v>5120</v>
          </cell>
          <cell r="J1951">
            <v>962</v>
          </cell>
        </row>
        <row r="1952">
          <cell r="B1952" t="str">
            <v>도 장 공</v>
          </cell>
          <cell r="D1952">
            <v>6.6000000000000003E-2</v>
          </cell>
          <cell r="E1952" t="str">
            <v>인</v>
          </cell>
          <cell r="F1952">
            <v>4160</v>
          </cell>
          <cell r="G1952">
            <v>63038</v>
          </cell>
          <cell r="H1952">
            <v>4160</v>
          </cell>
        </row>
        <row r="1953">
          <cell r="B1953" t="str">
            <v>규    사</v>
          </cell>
          <cell r="D1953">
            <v>3.5999999999999997E-2</v>
          </cell>
          <cell r="E1953" t="str">
            <v>㎥</v>
          </cell>
          <cell r="F1953">
            <v>900</v>
          </cell>
          <cell r="I1953">
            <v>25000</v>
          </cell>
          <cell r="J1953">
            <v>900</v>
          </cell>
        </row>
        <row r="1954">
          <cell r="B1954" t="str">
            <v>장비사용료</v>
          </cell>
          <cell r="C1954" t="str">
            <v>TRUCK CRANE 
40TON x 2대</v>
          </cell>
          <cell r="D1954">
            <v>0.02</v>
          </cell>
          <cell r="E1954" t="str">
            <v>HR</v>
          </cell>
          <cell r="F1954">
            <v>3317</v>
          </cell>
          <cell r="G1954">
            <v>37230</v>
          </cell>
          <cell r="H1954">
            <v>744</v>
          </cell>
          <cell r="I1954">
            <v>17460</v>
          </cell>
          <cell r="J1954">
            <v>349</v>
          </cell>
          <cell r="K1954">
            <v>111242</v>
          </cell>
          <cell r="L1954">
            <v>2224</v>
          </cell>
        </row>
        <row r="1955">
          <cell r="B1955" t="str">
            <v>공 구 손 료</v>
          </cell>
          <cell r="C1955" t="str">
            <v>노임의 2%</v>
          </cell>
          <cell r="D1955">
            <v>1</v>
          </cell>
          <cell r="E1955" t="str">
            <v>식</v>
          </cell>
          <cell r="F1955">
            <v>110</v>
          </cell>
          <cell r="L1955">
            <v>110</v>
          </cell>
        </row>
        <row r="1956">
          <cell r="B1956" t="str">
            <v>소     계</v>
          </cell>
          <cell r="F1956">
            <v>71178</v>
          </cell>
          <cell r="H1956">
            <v>5507</v>
          </cell>
          <cell r="J1956">
            <v>63337</v>
          </cell>
          <cell r="L1956">
            <v>2334</v>
          </cell>
        </row>
        <row r="1958">
          <cell r="B1958" t="str">
            <v>합     계</v>
          </cell>
          <cell r="F1958">
            <v>88966</v>
          </cell>
          <cell r="H1958">
            <v>22420</v>
          </cell>
          <cell r="J1958">
            <v>63874</v>
          </cell>
          <cell r="L1958">
            <v>2672</v>
          </cell>
        </row>
        <row r="1971">
          <cell r="F1971" t="str">
            <v xml:space="preserve"> </v>
          </cell>
        </row>
        <row r="1976">
          <cell r="E1976" t="str">
            <v xml:space="preserve"> </v>
          </cell>
          <cell r="F1976" t="str">
            <v>S.T.S 잡철물 제작,설치(SCREEN등)</v>
          </cell>
        </row>
        <row r="1977">
          <cell r="E1977" t="str">
            <v xml:space="preserve"> </v>
          </cell>
        </row>
        <row r="1978">
          <cell r="A1978" t="str">
            <v>종       별</v>
          </cell>
          <cell r="C1978" t="str">
            <v>재 료 또 는</v>
          </cell>
          <cell r="D1978" t="str">
            <v xml:space="preserve">원 수 </v>
          </cell>
          <cell r="E1978" t="str">
            <v>단 위</v>
          </cell>
          <cell r="F1978" t="str">
            <v>총   액</v>
          </cell>
          <cell r="G1978" t="str">
            <v>노   무   비</v>
          </cell>
          <cell r="I1978" t="str">
            <v>재   료   비</v>
          </cell>
          <cell r="K1978" t="str">
            <v>경      비</v>
          </cell>
          <cell r="M1978" t="str">
            <v>비   고</v>
          </cell>
        </row>
        <row r="1979">
          <cell r="C1979" t="str">
            <v xml:space="preserve">규       격 </v>
          </cell>
          <cell r="F1979" t="str">
            <v>금   액</v>
          </cell>
          <cell r="G1979" t="str">
            <v>단  가</v>
          </cell>
          <cell r="H1979" t="str">
            <v>금   액</v>
          </cell>
          <cell r="I1979" t="str">
            <v>단  가</v>
          </cell>
          <cell r="J1979" t="str">
            <v>금   액</v>
          </cell>
          <cell r="K1979" t="str">
            <v>단  가</v>
          </cell>
          <cell r="L1979" t="str">
            <v>금   액</v>
          </cell>
        </row>
        <row r="1980">
          <cell r="A1980" t="str">
            <v>용  접  봉</v>
          </cell>
          <cell r="C1980" t="str">
            <v>AWSE 306-16 4Φ</v>
          </cell>
          <cell r="D1980">
            <v>18.48</v>
          </cell>
          <cell r="E1980" t="str">
            <v>KG</v>
          </cell>
          <cell r="I1980">
            <v>5460</v>
          </cell>
          <cell r="J1980">
            <v>100900</v>
          </cell>
        </row>
        <row r="1981">
          <cell r="A1981" t="str">
            <v>산      소</v>
          </cell>
          <cell r="C1981" t="str">
            <v>6,000L</v>
          </cell>
          <cell r="D1981">
            <v>1.05</v>
          </cell>
          <cell r="E1981" t="str">
            <v>병</v>
          </cell>
          <cell r="I1981">
            <v>12000</v>
          </cell>
          <cell r="J1981">
            <v>12600</v>
          </cell>
        </row>
        <row r="1982">
          <cell r="A1982" t="str">
            <v>아 세 치 렌</v>
          </cell>
          <cell r="C1982" t="str">
            <v>4,500L</v>
          </cell>
          <cell r="D1982">
            <v>2.8</v>
          </cell>
          <cell r="E1982" t="str">
            <v>KG</v>
          </cell>
          <cell r="I1982">
            <v>10500</v>
          </cell>
          <cell r="J1982">
            <v>29400</v>
          </cell>
        </row>
        <row r="1983">
          <cell r="A1983" t="str">
            <v>철      공</v>
          </cell>
          <cell r="D1983">
            <v>27.65</v>
          </cell>
          <cell r="E1983" t="str">
            <v>인</v>
          </cell>
          <cell r="G1983">
            <v>72430</v>
          </cell>
          <cell r="H1983">
            <v>2002689</v>
          </cell>
        </row>
        <row r="1984">
          <cell r="A1984" t="str">
            <v>비  계   공</v>
          </cell>
          <cell r="D1984">
            <v>4.71</v>
          </cell>
          <cell r="E1984" t="str">
            <v>인</v>
          </cell>
          <cell r="G1984">
            <v>79467</v>
          </cell>
          <cell r="H1984">
            <v>374289</v>
          </cell>
        </row>
        <row r="1986">
          <cell r="A1986" t="str">
            <v>보 통 인 부</v>
          </cell>
          <cell r="D1986">
            <v>0.66</v>
          </cell>
          <cell r="E1986" t="str">
            <v>인</v>
          </cell>
          <cell r="G1986">
            <v>37736</v>
          </cell>
          <cell r="H1986">
            <v>24905</v>
          </cell>
        </row>
        <row r="1987">
          <cell r="A1987" t="str">
            <v>용  접  공</v>
          </cell>
          <cell r="D1987">
            <v>2.6</v>
          </cell>
          <cell r="E1987" t="str">
            <v>인</v>
          </cell>
          <cell r="G1987">
            <v>74016</v>
          </cell>
          <cell r="H1987">
            <v>192441</v>
          </cell>
        </row>
        <row r="1988">
          <cell r="A1988" t="str">
            <v>특 별 인 부</v>
          </cell>
          <cell r="D1988">
            <v>0.74</v>
          </cell>
          <cell r="E1988" t="str">
            <v>인</v>
          </cell>
          <cell r="G1988">
            <v>57379</v>
          </cell>
          <cell r="H1988">
            <v>42460</v>
          </cell>
        </row>
        <row r="1989">
          <cell r="A1989" t="str">
            <v>용접기 손료</v>
          </cell>
          <cell r="D1989">
            <v>20.83</v>
          </cell>
          <cell r="E1989" t="str">
            <v>Hr</v>
          </cell>
          <cell r="K1989">
            <v>155</v>
          </cell>
          <cell r="L1989">
            <v>3228</v>
          </cell>
        </row>
        <row r="1990">
          <cell r="A1990" t="str">
            <v>전력 소요량</v>
          </cell>
          <cell r="D1990">
            <v>126</v>
          </cell>
          <cell r="E1990" t="str">
            <v>KWH</v>
          </cell>
          <cell r="K1990">
            <v>61.6</v>
          </cell>
          <cell r="L1990">
            <v>7761</v>
          </cell>
        </row>
        <row r="1991">
          <cell r="A1991" t="str">
            <v>공 구 손 료</v>
          </cell>
          <cell r="C1991" t="str">
            <v>인건비의 3%</v>
          </cell>
          <cell r="L1991">
            <v>79103</v>
          </cell>
        </row>
        <row r="1993">
          <cell r="A1993" t="str">
            <v>소    계</v>
          </cell>
          <cell r="F1993">
            <v>2869776</v>
          </cell>
          <cell r="H1993">
            <v>2636784</v>
          </cell>
          <cell r="J1993">
            <v>142900</v>
          </cell>
          <cell r="L1993">
            <v>90092</v>
          </cell>
        </row>
        <row r="1995">
          <cell r="A1995" t="str">
            <v>계 ( 간단한구조 )</v>
          </cell>
          <cell r="C1995" t="str">
            <v>100 %</v>
          </cell>
          <cell r="F1995">
            <v>2869776</v>
          </cell>
          <cell r="H1995">
            <v>2636784</v>
          </cell>
          <cell r="J1995">
            <v>142900</v>
          </cell>
          <cell r="L1995">
            <v>90092</v>
          </cell>
        </row>
        <row r="1997">
          <cell r="A1997" t="str">
            <v>계 ( 복잡한구조 )</v>
          </cell>
          <cell r="C1997" t="str">
            <v>140 %</v>
          </cell>
          <cell r="F1997">
            <v>4017685</v>
          </cell>
          <cell r="H1997">
            <v>3691497</v>
          </cell>
          <cell r="J1997">
            <v>200060</v>
          </cell>
          <cell r="L1997">
            <v>126128</v>
          </cell>
        </row>
        <row r="2000">
          <cell r="F2000" t="str">
            <v xml:space="preserve"> </v>
          </cell>
        </row>
        <row r="2001">
          <cell r="F2001" t="str">
            <v xml:space="preserve"> </v>
          </cell>
        </row>
        <row r="2002">
          <cell r="F2002" t="str">
            <v xml:space="preserve"> </v>
          </cell>
        </row>
        <row r="2004">
          <cell r="F2004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98수문일위"/>
      <sheetName val="98자재단가"/>
      <sheetName val="98년도"/>
      <sheetName val="99년도1월 "/>
      <sheetName val="99년도4월 "/>
      <sheetName val="99년도7월"/>
      <sheetName val="99년도9월"/>
      <sheetName val="해평이토변"/>
      <sheetName val="녹동자동비22560"/>
      <sheetName val="녹동자동비22760"/>
      <sheetName val="광양도이자동비"/>
      <sheetName val="도암천자동비"/>
      <sheetName val="광양신아배수문"/>
      <sheetName val="창포지구"/>
      <sheetName val="도양자동비"/>
      <sheetName val="회문지구"/>
      <sheetName val="토기공"/>
      <sheetName val="옥룡제"/>
      <sheetName val="봉덕보"/>
      <sheetName val="봉덕보 1"/>
      <sheetName val="난간"/>
    </sheetNames>
    <sheetDataSet>
      <sheetData sheetId="0" refreshError="1"/>
      <sheetData sheetId="1" refreshError="1">
        <row r="2">
          <cell r="A2" t="str">
            <v>★ 본 수문용 일위대가표를 수정할때는 아래사항을 유의하기바람</v>
          </cell>
        </row>
        <row r="3">
          <cell r="A3" t="str">
            <v>1. 사용장비 손료는 단가항목이 공란인것은 토목에서 받아 기입하고, 다른것은 시중물가지에서 해당 단가를 찾아  수정할것</v>
          </cell>
        </row>
        <row r="4">
          <cell r="A4" t="str">
            <v xml:space="preserve">2. 도장비 산출 내역중 자재비는 별도 기입할것.          </v>
          </cell>
        </row>
        <row r="11">
          <cell r="G11" t="str">
            <v>'98 년도  노 임  단 가 표</v>
          </cell>
        </row>
        <row r="12">
          <cell r="E12" t="str">
            <v xml:space="preserve"> </v>
          </cell>
        </row>
        <row r="13">
          <cell r="A13" t="str">
            <v>종       별</v>
          </cell>
          <cell r="C13" t="str">
            <v>재 료 또 는</v>
          </cell>
          <cell r="D13" t="str">
            <v>원 수</v>
          </cell>
          <cell r="E13" t="str">
            <v>단위</v>
          </cell>
          <cell r="F13" t="str">
            <v>총   액</v>
          </cell>
          <cell r="G13" t="str">
            <v>노   무   비</v>
          </cell>
          <cell r="I13" t="str">
            <v>재   료   비</v>
          </cell>
          <cell r="K13" t="str">
            <v>경      비</v>
          </cell>
          <cell r="M13" t="str">
            <v>비   고</v>
          </cell>
        </row>
        <row r="14">
          <cell r="C14" t="str">
            <v xml:space="preserve">규       격 </v>
          </cell>
          <cell r="F14" t="str">
            <v>금   액</v>
          </cell>
          <cell r="G14" t="str">
            <v>단  가</v>
          </cell>
          <cell r="H14" t="str">
            <v>금   액</v>
          </cell>
          <cell r="I14" t="str">
            <v>단  가</v>
          </cell>
          <cell r="J14" t="str">
            <v>금   액</v>
          </cell>
          <cell r="K14" t="str">
            <v>단  가</v>
          </cell>
          <cell r="L14" t="str">
            <v>금   액</v>
          </cell>
        </row>
        <row r="15">
          <cell r="A15" t="str">
            <v>형  틀  목  공</v>
          </cell>
          <cell r="C15" t="str">
            <v xml:space="preserve"> </v>
          </cell>
          <cell r="D15">
            <v>1</v>
          </cell>
          <cell r="E15" t="str">
            <v>일</v>
          </cell>
          <cell r="H15">
            <v>75306</v>
          </cell>
        </row>
        <row r="16">
          <cell r="A16" t="str">
            <v>절    단    공</v>
          </cell>
          <cell r="D16">
            <v>1</v>
          </cell>
          <cell r="E16" t="str">
            <v>"</v>
          </cell>
          <cell r="H16">
            <v>65881</v>
          </cell>
        </row>
        <row r="17">
          <cell r="A17" t="str">
            <v>석          공</v>
          </cell>
          <cell r="D17">
            <v>1</v>
          </cell>
          <cell r="E17" t="str">
            <v>"</v>
          </cell>
          <cell r="H17">
            <v>77005</v>
          </cell>
        </row>
        <row r="18">
          <cell r="A18" t="str">
            <v>특 수 비 계 공</v>
          </cell>
          <cell r="D18">
            <v>1</v>
          </cell>
          <cell r="E18" t="str">
            <v>"</v>
          </cell>
          <cell r="H18">
            <v>85884</v>
          </cell>
        </row>
        <row r="19">
          <cell r="A19" t="str">
            <v>비    계    공</v>
          </cell>
          <cell r="D19">
            <v>1</v>
          </cell>
          <cell r="E19" t="str">
            <v>"</v>
          </cell>
          <cell r="H19">
            <v>79467</v>
          </cell>
        </row>
        <row r="20">
          <cell r="A20" t="str">
            <v>도    장    공</v>
          </cell>
          <cell r="D20">
            <v>1</v>
          </cell>
          <cell r="E20" t="str">
            <v>일</v>
          </cell>
          <cell r="H20">
            <v>63038</v>
          </cell>
        </row>
        <row r="21">
          <cell r="A21" t="str">
            <v>플랜트기계설치공</v>
          </cell>
          <cell r="D21">
            <v>1</v>
          </cell>
          <cell r="E21" t="str">
            <v>"</v>
          </cell>
          <cell r="H21">
            <v>80805</v>
          </cell>
        </row>
        <row r="22">
          <cell r="A22" t="str">
            <v>플랜트  용접공</v>
          </cell>
          <cell r="D22">
            <v>1</v>
          </cell>
          <cell r="E22" t="str">
            <v>"</v>
          </cell>
          <cell r="H22">
            <v>95379</v>
          </cell>
        </row>
        <row r="23">
          <cell r="A23" t="str">
            <v>플랜트  제관공</v>
          </cell>
          <cell r="D23">
            <v>1</v>
          </cell>
          <cell r="E23" t="str">
            <v>"</v>
          </cell>
          <cell r="H23">
            <v>81966</v>
          </cell>
        </row>
        <row r="24">
          <cell r="A24" t="str">
            <v>플랜트  배관공</v>
          </cell>
          <cell r="D24">
            <v>1</v>
          </cell>
          <cell r="E24" t="str">
            <v>"</v>
          </cell>
          <cell r="H24">
            <v>97219</v>
          </cell>
        </row>
        <row r="25">
          <cell r="A25" t="str">
            <v>측    량    사</v>
          </cell>
          <cell r="D25">
            <v>1</v>
          </cell>
          <cell r="E25" t="str">
            <v>일</v>
          </cell>
          <cell r="H25">
            <v>58506</v>
          </cell>
        </row>
        <row r="26">
          <cell r="A26" t="str">
            <v>측량사    조수</v>
          </cell>
          <cell r="D26">
            <v>1</v>
          </cell>
          <cell r="E26" t="str">
            <v>"</v>
          </cell>
          <cell r="H26">
            <v>38777</v>
          </cell>
        </row>
        <row r="27">
          <cell r="A27" t="str">
            <v>플랜트    전공</v>
          </cell>
          <cell r="D27">
            <v>1</v>
          </cell>
          <cell r="E27" t="str">
            <v>"</v>
          </cell>
          <cell r="H27">
            <v>64285</v>
          </cell>
        </row>
        <row r="28">
          <cell r="A28" t="str">
            <v>특  별  인  부</v>
          </cell>
          <cell r="D28">
            <v>1</v>
          </cell>
          <cell r="E28" t="str">
            <v>"</v>
          </cell>
          <cell r="H28">
            <v>57379</v>
          </cell>
        </row>
        <row r="29">
          <cell r="A29" t="str">
            <v>보  통  인  부</v>
          </cell>
          <cell r="D29">
            <v>1</v>
          </cell>
          <cell r="E29" t="str">
            <v>"</v>
          </cell>
          <cell r="H29">
            <v>37736</v>
          </cell>
        </row>
        <row r="30">
          <cell r="A30" t="str">
            <v>중기 운전 기사</v>
          </cell>
          <cell r="D30">
            <v>1</v>
          </cell>
          <cell r="E30" t="str">
            <v>일</v>
          </cell>
          <cell r="H30">
            <v>56951</v>
          </cell>
        </row>
        <row r="31">
          <cell r="A31" t="str">
            <v>중  기  조  장</v>
          </cell>
          <cell r="D31">
            <v>1</v>
          </cell>
          <cell r="E31" t="str">
            <v>"</v>
          </cell>
          <cell r="H31">
            <v>55484</v>
          </cell>
        </row>
        <row r="32">
          <cell r="A32" t="str">
            <v>운전수(기  계)</v>
          </cell>
          <cell r="D32">
            <v>1</v>
          </cell>
          <cell r="E32" t="str">
            <v>"</v>
          </cell>
          <cell r="H32">
            <v>54325</v>
          </cell>
        </row>
        <row r="33">
          <cell r="A33" t="str">
            <v>운전사(운반차)</v>
          </cell>
          <cell r="D33">
            <v>1</v>
          </cell>
          <cell r="E33" t="str">
            <v>"</v>
          </cell>
          <cell r="H33">
            <v>51077</v>
          </cell>
        </row>
        <row r="34">
          <cell r="A34" t="str">
            <v>종       별</v>
          </cell>
          <cell r="C34" t="str">
            <v>재 료 또 는</v>
          </cell>
          <cell r="D34" t="str">
            <v xml:space="preserve">원 수 </v>
          </cell>
          <cell r="E34" t="str">
            <v>단 위</v>
          </cell>
          <cell r="F34" t="str">
            <v>총   액</v>
          </cell>
          <cell r="G34" t="str">
            <v>노   무   비</v>
          </cell>
          <cell r="I34" t="str">
            <v>재   료   비</v>
          </cell>
          <cell r="K34" t="str">
            <v>경      비</v>
          </cell>
          <cell r="M34" t="str">
            <v>비   고</v>
          </cell>
        </row>
        <row r="35">
          <cell r="C35" t="str">
            <v xml:space="preserve">규       격 </v>
          </cell>
          <cell r="F35" t="str">
            <v>금   액</v>
          </cell>
          <cell r="G35" t="str">
            <v>단  가</v>
          </cell>
          <cell r="H35" t="str">
            <v>금   액</v>
          </cell>
          <cell r="I35" t="str">
            <v>단  가</v>
          </cell>
          <cell r="J35" t="str">
            <v>금   액</v>
          </cell>
          <cell r="K35" t="str">
            <v>단  가</v>
          </cell>
          <cell r="L35" t="str">
            <v>금   액</v>
          </cell>
        </row>
        <row r="36">
          <cell r="A36" t="str">
            <v>중기 운전 조수</v>
          </cell>
          <cell r="D36">
            <v>1</v>
          </cell>
          <cell r="E36" t="str">
            <v>"</v>
          </cell>
          <cell r="H36">
            <v>42762</v>
          </cell>
        </row>
        <row r="37">
          <cell r="A37" t="str">
            <v>기    계    공</v>
          </cell>
          <cell r="D37">
            <v>1</v>
          </cell>
          <cell r="E37" t="str">
            <v>일</v>
          </cell>
          <cell r="H37">
            <v>58906</v>
          </cell>
        </row>
        <row r="38">
          <cell r="A38" t="str">
            <v>용접공 (일 반)</v>
          </cell>
          <cell r="D38">
            <v>1</v>
          </cell>
          <cell r="E38" t="str">
            <v>"</v>
          </cell>
          <cell r="H38">
            <v>74016</v>
          </cell>
        </row>
        <row r="39">
          <cell r="A39" t="str">
            <v>리    벳    공</v>
          </cell>
          <cell r="D39">
            <v>1</v>
          </cell>
          <cell r="E39" t="str">
            <v>"</v>
          </cell>
          <cell r="H39">
            <v>71579</v>
          </cell>
        </row>
        <row r="40">
          <cell r="A40" t="str">
            <v>계    령    공</v>
          </cell>
          <cell r="D40">
            <v>1</v>
          </cell>
          <cell r="E40" t="str">
            <v>"</v>
          </cell>
          <cell r="H40">
            <v>41937</v>
          </cell>
          <cell r="L40" t="str">
            <v xml:space="preserve"> </v>
          </cell>
        </row>
        <row r="41">
          <cell r="A41" t="str">
            <v>제    도    공</v>
          </cell>
          <cell r="D41">
            <v>1</v>
          </cell>
          <cell r="E41" t="str">
            <v>"</v>
          </cell>
          <cell r="H41">
            <v>32747</v>
          </cell>
        </row>
        <row r="42">
          <cell r="A42" t="str">
            <v>현    도    공</v>
          </cell>
          <cell r="C42" t="str">
            <v xml:space="preserve"> </v>
          </cell>
          <cell r="D42">
            <v>1</v>
          </cell>
          <cell r="E42" t="str">
            <v>일</v>
          </cell>
          <cell r="H42">
            <v>28487</v>
          </cell>
        </row>
        <row r="43">
          <cell r="A43" t="str">
            <v>마    킹    공</v>
          </cell>
          <cell r="D43">
            <v>1</v>
          </cell>
          <cell r="E43" t="str">
            <v>"</v>
          </cell>
          <cell r="H43">
            <v>26924</v>
          </cell>
        </row>
        <row r="44">
          <cell r="A44" t="str">
            <v>산 소 절 단 공</v>
          </cell>
          <cell r="D44">
            <v>1</v>
          </cell>
          <cell r="E44" t="str">
            <v>"</v>
          </cell>
          <cell r="H44">
            <v>31794</v>
          </cell>
        </row>
        <row r="45">
          <cell r="A45" t="str">
            <v>샤    링    공</v>
          </cell>
          <cell r="D45">
            <v>1</v>
          </cell>
          <cell r="E45" t="str">
            <v>"</v>
          </cell>
          <cell r="H45">
            <v>29508</v>
          </cell>
        </row>
        <row r="46">
          <cell r="A46" t="str">
            <v>프  레  스  공</v>
          </cell>
          <cell r="D46">
            <v>1</v>
          </cell>
          <cell r="E46" t="str">
            <v>"</v>
          </cell>
          <cell r="H46">
            <v>26250</v>
          </cell>
        </row>
        <row r="47">
          <cell r="A47" t="str">
            <v>보    링    공</v>
          </cell>
          <cell r="D47">
            <v>1</v>
          </cell>
          <cell r="E47" t="str">
            <v>일</v>
          </cell>
          <cell r="H47">
            <v>28378</v>
          </cell>
        </row>
        <row r="48">
          <cell r="A48" t="str">
            <v>밀    링    공</v>
          </cell>
          <cell r="D48">
            <v>1</v>
          </cell>
          <cell r="E48" t="str">
            <v>"</v>
          </cell>
          <cell r="H48">
            <v>27252</v>
          </cell>
        </row>
        <row r="49">
          <cell r="A49" t="str">
            <v>방 전 절 단 공</v>
          </cell>
          <cell r="D49">
            <v>1</v>
          </cell>
          <cell r="E49" t="str">
            <v>"</v>
          </cell>
          <cell r="H49">
            <v>27047</v>
          </cell>
        </row>
        <row r="50">
          <cell r="A50" t="str">
            <v>드    링    공</v>
          </cell>
          <cell r="D50">
            <v>1</v>
          </cell>
          <cell r="E50" t="str">
            <v>"</v>
          </cell>
          <cell r="H50">
            <v>27215</v>
          </cell>
        </row>
        <row r="51">
          <cell r="A51" t="str">
            <v>수 동 선 반 공</v>
          </cell>
          <cell r="D51">
            <v>1</v>
          </cell>
          <cell r="E51" t="str">
            <v>"</v>
          </cell>
          <cell r="H51">
            <v>27350</v>
          </cell>
        </row>
        <row r="52">
          <cell r="A52" t="str">
            <v>프  레  나  공</v>
          </cell>
          <cell r="D52">
            <v>1</v>
          </cell>
          <cell r="E52" t="str">
            <v>일</v>
          </cell>
          <cell r="H52">
            <v>25035</v>
          </cell>
        </row>
        <row r="53">
          <cell r="A53" t="str">
            <v>3 본  로 라 공</v>
          </cell>
          <cell r="D53">
            <v>1</v>
          </cell>
          <cell r="E53" t="str">
            <v>"</v>
          </cell>
          <cell r="H53">
            <v>34250</v>
          </cell>
        </row>
        <row r="54">
          <cell r="A54" t="str">
            <v>벤 딩 머 쉰 공</v>
          </cell>
          <cell r="D54">
            <v>1</v>
          </cell>
          <cell r="E54" t="str">
            <v>"</v>
          </cell>
          <cell r="H54">
            <v>29076</v>
          </cell>
        </row>
        <row r="55">
          <cell r="A55" t="str">
            <v>열  처  리  공</v>
          </cell>
          <cell r="D55">
            <v>1</v>
          </cell>
          <cell r="E55" t="str">
            <v>"</v>
          </cell>
          <cell r="H55">
            <v>25392</v>
          </cell>
        </row>
        <row r="56">
          <cell r="A56" t="str">
            <v>용    접    공</v>
          </cell>
          <cell r="D56">
            <v>1</v>
          </cell>
          <cell r="E56" t="str">
            <v>"</v>
          </cell>
          <cell r="H56">
            <v>27908</v>
          </cell>
        </row>
        <row r="57">
          <cell r="A57" t="str">
            <v>종       별</v>
          </cell>
          <cell r="C57" t="str">
            <v>재 료 또 는</v>
          </cell>
          <cell r="D57" t="str">
            <v xml:space="preserve">원 수 </v>
          </cell>
          <cell r="E57" t="str">
            <v>단 위</v>
          </cell>
          <cell r="F57" t="str">
            <v>총   액</v>
          </cell>
          <cell r="G57" t="str">
            <v>노   무   비</v>
          </cell>
          <cell r="I57" t="str">
            <v>재   료   비</v>
          </cell>
          <cell r="K57" t="str">
            <v>경      비</v>
          </cell>
          <cell r="M57" t="str">
            <v>비   고</v>
          </cell>
        </row>
        <row r="58">
          <cell r="C58" t="str">
            <v xml:space="preserve">규       격 </v>
          </cell>
          <cell r="F58" t="str">
            <v>금   액</v>
          </cell>
          <cell r="G58" t="str">
            <v>단  가</v>
          </cell>
          <cell r="H58" t="str">
            <v>금   액</v>
          </cell>
          <cell r="I58" t="str">
            <v>단  가</v>
          </cell>
          <cell r="J58" t="str">
            <v>금   액</v>
          </cell>
          <cell r="K58" t="str">
            <v>단  가</v>
          </cell>
          <cell r="L58" t="str">
            <v>금   액</v>
          </cell>
        </row>
        <row r="59">
          <cell r="A59" t="str">
            <v>그 라 인 다 공</v>
          </cell>
          <cell r="D59">
            <v>1</v>
          </cell>
          <cell r="E59" t="str">
            <v>일</v>
          </cell>
          <cell r="H59">
            <v>26032</v>
          </cell>
        </row>
        <row r="60">
          <cell r="A60" t="str">
            <v>비파괴  시험공</v>
          </cell>
          <cell r="D60">
            <v>1</v>
          </cell>
          <cell r="E60" t="str">
            <v>"</v>
          </cell>
          <cell r="H60">
            <v>64472</v>
          </cell>
        </row>
        <row r="61">
          <cell r="A61" t="str">
            <v>기계 기사 1 급</v>
          </cell>
          <cell r="C61" t="str">
            <v>(중급기술자)</v>
          </cell>
          <cell r="D61">
            <v>1</v>
          </cell>
          <cell r="E61" t="str">
            <v>"</v>
          </cell>
          <cell r="H61">
            <v>97488</v>
          </cell>
        </row>
        <row r="62">
          <cell r="A62" t="str">
            <v>기계 기사 2 급</v>
          </cell>
          <cell r="C62" t="str">
            <v>(초급기술자)</v>
          </cell>
          <cell r="D62">
            <v>1</v>
          </cell>
          <cell r="E62" t="str">
            <v>"</v>
          </cell>
          <cell r="H62">
            <v>69405</v>
          </cell>
        </row>
        <row r="63">
          <cell r="A63" t="str">
            <v>철    공</v>
          </cell>
          <cell r="D63">
            <v>1</v>
          </cell>
          <cell r="E63" t="str">
            <v>"</v>
          </cell>
          <cell r="H63">
            <v>72430</v>
          </cell>
        </row>
        <row r="64">
          <cell r="A64" t="str">
            <v>잠 수 부</v>
          </cell>
          <cell r="D64">
            <v>1</v>
          </cell>
          <cell r="E64" t="str">
            <v xml:space="preserve">일 </v>
          </cell>
          <cell r="H64">
            <v>81832</v>
          </cell>
        </row>
        <row r="65">
          <cell r="A65" t="str">
            <v>선    부</v>
          </cell>
          <cell r="D65">
            <v>1</v>
          </cell>
          <cell r="E65" t="str">
            <v xml:space="preserve">일 </v>
          </cell>
          <cell r="H65">
            <v>40088</v>
          </cell>
        </row>
        <row r="66">
          <cell r="A66" t="str">
            <v>조 력 공</v>
          </cell>
          <cell r="D66">
            <v>1</v>
          </cell>
          <cell r="E66" t="str">
            <v xml:space="preserve">일 </v>
          </cell>
          <cell r="H66">
            <v>48912</v>
          </cell>
        </row>
        <row r="67">
          <cell r="A67" t="str">
            <v>품질관리공(시험사1급)</v>
          </cell>
          <cell r="D67">
            <v>1</v>
          </cell>
          <cell r="E67" t="str">
            <v xml:space="preserve">일 </v>
          </cell>
          <cell r="H67">
            <v>47867</v>
          </cell>
          <cell r="L67" t="str">
            <v xml:space="preserve"> </v>
          </cell>
        </row>
        <row r="68">
          <cell r="A68" t="str">
            <v>특급기술자(건설및기타)</v>
          </cell>
          <cell r="D68">
            <v>1</v>
          </cell>
          <cell r="E68" t="str">
            <v xml:space="preserve">일 </v>
          </cell>
          <cell r="H68">
            <v>142203</v>
          </cell>
          <cell r="L68" t="str">
            <v xml:space="preserve"> </v>
          </cell>
        </row>
        <row r="69">
          <cell r="A69" t="str">
            <v>고급기술자(    "     )</v>
          </cell>
          <cell r="D69">
            <v>1</v>
          </cell>
          <cell r="E69" t="str">
            <v xml:space="preserve">일 </v>
          </cell>
          <cell r="H69">
            <v>117410</v>
          </cell>
          <cell r="L69" t="str">
            <v xml:space="preserve"> </v>
          </cell>
        </row>
        <row r="70">
          <cell r="A70" t="str">
            <v>중급기술자(    "     )</v>
          </cell>
          <cell r="D70">
            <v>1</v>
          </cell>
          <cell r="E70" t="str">
            <v xml:space="preserve">일 </v>
          </cell>
          <cell r="H70">
            <v>97488</v>
          </cell>
          <cell r="L70" t="str">
            <v xml:space="preserve"> </v>
          </cell>
        </row>
        <row r="71">
          <cell r="A71" t="str">
            <v>초급기술자(    "     )</v>
          </cell>
          <cell r="D71">
            <v>1</v>
          </cell>
          <cell r="E71" t="str">
            <v xml:space="preserve">일 </v>
          </cell>
          <cell r="H71">
            <v>69405</v>
          </cell>
          <cell r="L71" t="str">
            <v xml:space="preserve"> </v>
          </cell>
        </row>
        <row r="72">
          <cell r="A72" t="str">
            <v>고급기능사(    "     )</v>
          </cell>
          <cell r="D72">
            <v>1</v>
          </cell>
          <cell r="E72" t="str">
            <v xml:space="preserve">일 </v>
          </cell>
          <cell r="H72">
            <v>68094</v>
          </cell>
          <cell r="L72" t="str">
            <v xml:space="preserve"> </v>
          </cell>
        </row>
        <row r="73">
          <cell r="A73" t="str">
            <v>중급기능사(    "     )</v>
          </cell>
          <cell r="D73">
            <v>1</v>
          </cell>
          <cell r="E73" t="str">
            <v xml:space="preserve">일 </v>
          </cell>
          <cell r="H73">
            <v>60249</v>
          </cell>
          <cell r="L73" t="str">
            <v xml:space="preserve"> </v>
          </cell>
        </row>
        <row r="74">
          <cell r="A74" t="str">
            <v>초급기능사(    "     )</v>
          </cell>
          <cell r="D74">
            <v>1</v>
          </cell>
          <cell r="E74" t="str">
            <v xml:space="preserve">일 </v>
          </cell>
          <cell r="H74">
            <v>48652</v>
          </cell>
          <cell r="L74" t="str">
            <v xml:space="preserve"> </v>
          </cell>
        </row>
        <row r="75">
          <cell r="C75" t="str">
            <v xml:space="preserve"> </v>
          </cell>
        </row>
        <row r="76">
          <cell r="C76" t="str">
            <v xml:space="preserve"> 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1">
          <cell r="B81" t="str">
            <v>'98 년도  소 모 자 재  단 가 표</v>
          </cell>
        </row>
        <row r="82">
          <cell r="E82" t="str">
            <v xml:space="preserve"> </v>
          </cell>
        </row>
        <row r="83">
          <cell r="A83" t="str">
            <v>종       별</v>
          </cell>
          <cell r="C83" t="str">
            <v>재 료 또 는</v>
          </cell>
          <cell r="D83" t="str">
            <v xml:space="preserve">원 수 </v>
          </cell>
          <cell r="E83" t="str">
            <v>단 위</v>
          </cell>
          <cell r="F83" t="str">
            <v>총   액</v>
          </cell>
          <cell r="G83" t="str">
            <v>노   무   비</v>
          </cell>
          <cell r="I83" t="str">
            <v>재   료   비</v>
          </cell>
          <cell r="K83" t="str">
            <v>경      비</v>
          </cell>
          <cell r="M83" t="str">
            <v>비   고</v>
          </cell>
        </row>
        <row r="84">
          <cell r="C84" t="str">
            <v xml:space="preserve">규       격 </v>
          </cell>
          <cell r="F84" t="str">
            <v>금   액</v>
          </cell>
          <cell r="G84" t="str">
            <v>단  가</v>
          </cell>
          <cell r="H84" t="str">
            <v>금   액</v>
          </cell>
          <cell r="I84" t="str">
            <v>단  가</v>
          </cell>
          <cell r="J84" t="str">
            <v>금   액</v>
          </cell>
          <cell r="K84" t="str">
            <v>단  가</v>
          </cell>
          <cell r="L84" t="str">
            <v>금   액</v>
          </cell>
        </row>
        <row r="85">
          <cell r="A85" t="str">
            <v>산          소</v>
          </cell>
          <cell r="C85" t="str">
            <v>6,000 L</v>
          </cell>
          <cell r="D85">
            <v>1</v>
          </cell>
          <cell r="E85" t="str">
            <v>병</v>
          </cell>
          <cell r="J85">
            <v>12000</v>
          </cell>
        </row>
        <row r="86">
          <cell r="A86" t="str">
            <v>아  세  치  렌</v>
          </cell>
          <cell r="C86" t="str">
            <v>4,500 L</v>
          </cell>
          <cell r="D86">
            <v>1</v>
          </cell>
          <cell r="E86" t="str">
            <v>"</v>
          </cell>
          <cell r="J86">
            <v>55392</v>
          </cell>
        </row>
        <row r="87">
          <cell r="B87" t="str">
            <v xml:space="preserve">  "</v>
          </cell>
          <cell r="C87" t="str">
            <v>2,100 L</v>
          </cell>
          <cell r="D87">
            <v>1</v>
          </cell>
          <cell r="E87" t="str">
            <v>"</v>
          </cell>
          <cell r="J87">
            <v>25849</v>
          </cell>
        </row>
        <row r="88">
          <cell r="A88" t="str">
            <v>STS 용  접  봉</v>
          </cell>
          <cell r="C88" t="str">
            <v>4Φx350L</v>
          </cell>
          <cell r="D88">
            <v>1</v>
          </cell>
          <cell r="E88" t="str">
            <v>kg</v>
          </cell>
          <cell r="J88">
            <v>5460</v>
          </cell>
        </row>
        <row r="89">
          <cell r="A89" t="str">
            <v>SS400  용 접 봉</v>
          </cell>
          <cell r="C89" t="str">
            <v>"</v>
          </cell>
          <cell r="D89">
            <v>1</v>
          </cell>
          <cell r="E89" t="str">
            <v>"</v>
          </cell>
          <cell r="J89">
            <v>1260</v>
          </cell>
        </row>
        <row r="90">
          <cell r="A90" t="str">
            <v>전  력  요  금</v>
          </cell>
          <cell r="D90">
            <v>1</v>
          </cell>
          <cell r="E90" t="str">
            <v>Kwh</v>
          </cell>
          <cell r="J90">
            <v>61.6</v>
          </cell>
        </row>
        <row r="91">
          <cell r="A91" t="str">
            <v>함          석</v>
          </cell>
          <cell r="C91" t="str">
            <v>#32x3'x6'</v>
          </cell>
          <cell r="D91">
            <v>1</v>
          </cell>
          <cell r="E91" t="str">
            <v>매</v>
          </cell>
          <cell r="J91">
            <v>2597</v>
          </cell>
        </row>
        <row r="92">
          <cell r="B92" t="str">
            <v xml:space="preserve">  "</v>
          </cell>
          <cell r="C92" t="str">
            <v>#31x3'x6'</v>
          </cell>
          <cell r="D92">
            <v>1</v>
          </cell>
          <cell r="E92" t="str">
            <v>"</v>
          </cell>
          <cell r="J92">
            <v>2825</v>
          </cell>
        </row>
        <row r="93">
          <cell r="A93" t="str">
            <v>경          유</v>
          </cell>
          <cell r="D93">
            <v>1</v>
          </cell>
          <cell r="E93" t="str">
            <v>L</v>
          </cell>
          <cell r="J93">
            <v>526.4</v>
          </cell>
        </row>
        <row r="94">
          <cell r="A94" t="str">
            <v>코  크  스</v>
          </cell>
          <cell r="D94">
            <v>1</v>
          </cell>
          <cell r="E94" t="str">
            <v>kg</v>
          </cell>
          <cell r="J94">
            <v>183</v>
          </cell>
        </row>
        <row r="95">
          <cell r="A95" t="str">
            <v>그라인다돌</v>
          </cell>
          <cell r="D95">
            <v>1</v>
          </cell>
          <cell r="E95" t="str">
            <v>개</v>
          </cell>
          <cell r="J95">
            <v>3380</v>
          </cell>
        </row>
        <row r="96">
          <cell r="A96" t="str">
            <v>노   즐</v>
          </cell>
          <cell r="D96">
            <v>1</v>
          </cell>
          <cell r="E96" t="str">
            <v>"</v>
          </cell>
          <cell r="J96">
            <v>32000</v>
          </cell>
        </row>
        <row r="97">
          <cell r="A97" t="str">
            <v>아  세  치  렌</v>
          </cell>
          <cell r="C97" t="str">
            <v>4,500 L</v>
          </cell>
          <cell r="D97">
            <v>1</v>
          </cell>
          <cell r="E97" t="str">
            <v>kg</v>
          </cell>
          <cell r="J97">
            <v>10500</v>
          </cell>
        </row>
        <row r="98">
          <cell r="B98" t="str">
            <v>- 엔진유</v>
          </cell>
          <cell r="E98" t="str">
            <v>L</v>
          </cell>
          <cell r="J98">
            <v>1250</v>
          </cell>
        </row>
        <row r="99">
          <cell r="B99" t="str">
            <v>- 구리이스</v>
          </cell>
          <cell r="E99" t="str">
            <v>KG</v>
          </cell>
          <cell r="J99">
            <v>2323</v>
          </cell>
        </row>
        <row r="100">
          <cell r="B100" t="str">
            <v>- 규사</v>
          </cell>
          <cell r="E100" t="str">
            <v>TON</v>
          </cell>
          <cell r="J100">
            <v>25000</v>
          </cell>
        </row>
        <row r="101">
          <cell r="B101" t="str">
            <v>- SAND</v>
          </cell>
          <cell r="E101" t="str">
            <v>㎥</v>
          </cell>
          <cell r="J101">
            <v>7000</v>
          </cell>
        </row>
        <row r="102">
          <cell r="B102" t="str">
            <v>- POWER BRUSH</v>
          </cell>
          <cell r="E102" t="str">
            <v>KG</v>
          </cell>
          <cell r="J102">
            <v>5000</v>
          </cell>
        </row>
        <row r="103">
          <cell r="A103" t="str">
            <v>종       별</v>
          </cell>
          <cell r="C103" t="str">
            <v>재 료 또 는</v>
          </cell>
          <cell r="D103" t="str">
            <v xml:space="preserve">원 수 </v>
          </cell>
          <cell r="E103" t="str">
            <v>단 위</v>
          </cell>
          <cell r="F103" t="str">
            <v>총   액</v>
          </cell>
          <cell r="G103" t="str">
            <v>노   무   비</v>
          </cell>
          <cell r="I103" t="str">
            <v>재   료   비</v>
          </cell>
          <cell r="K103" t="str">
            <v>경      비</v>
          </cell>
          <cell r="M103" t="str">
            <v>비   고</v>
          </cell>
        </row>
        <row r="104">
          <cell r="C104" t="str">
            <v xml:space="preserve">규       격 </v>
          </cell>
          <cell r="F104" t="str">
            <v>금   액</v>
          </cell>
          <cell r="G104" t="str">
            <v>단  가</v>
          </cell>
          <cell r="H104" t="str">
            <v>금   액</v>
          </cell>
          <cell r="I104" t="str">
            <v>단  가</v>
          </cell>
          <cell r="J104" t="str">
            <v>금   액</v>
          </cell>
          <cell r="K104" t="str">
            <v>단  가</v>
          </cell>
          <cell r="L104" t="str">
            <v>금   액</v>
          </cell>
        </row>
        <row r="105">
          <cell r="B105" t="str">
            <v>- WIRE BRUSH</v>
          </cell>
          <cell r="E105" t="str">
            <v>KG</v>
          </cell>
          <cell r="J105">
            <v>2000</v>
          </cell>
        </row>
        <row r="106">
          <cell r="B106" t="str">
            <v>- 세척제</v>
          </cell>
          <cell r="E106" t="str">
            <v>KG</v>
          </cell>
          <cell r="J106">
            <v>10500</v>
          </cell>
        </row>
        <row r="107">
          <cell r="B107" t="str">
            <v>- 넝마</v>
          </cell>
          <cell r="E107" t="str">
            <v>KG</v>
          </cell>
          <cell r="J107">
            <v>1363</v>
          </cell>
          <cell r="K107" t="str">
            <v>(적산정보 492)</v>
          </cell>
        </row>
        <row r="108">
          <cell r="B108" t="str">
            <v>- 세라믹코팅제</v>
          </cell>
          <cell r="E108" t="str">
            <v>KG</v>
          </cell>
          <cell r="J108">
            <v>168300</v>
          </cell>
        </row>
        <row r="109">
          <cell r="B109" t="str">
            <v>- 희석제</v>
          </cell>
          <cell r="E109" t="str">
            <v>통</v>
          </cell>
          <cell r="J109">
            <v>5120</v>
          </cell>
        </row>
        <row r="110">
          <cell r="B110" t="str">
            <v>ZINC RICH PRIMER</v>
          </cell>
          <cell r="E110" t="str">
            <v>L</v>
          </cell>
          <cell r="J110">
            <v>7945</v>
          </cell>
        </row>
        <row r="111">
          <cell r="B111" t="str">
            <v>신      나</v>
          </cell>
          <cell r="J111">
            <v>2111</v>
          </cell>
        </row>
        <row r="112">
          <cell r="B112" t="str">
            <v>방 오 도 료</v>
          </cell>
          <cell r="J112">
            <v>9231</v>
          </cell>
        </row>
        <row r="113">
          <cell r="B113" t="str">
            <v>신  나(ANTI FAULING)</v>
          </cell>
          <cell r="J113">
            <v>1530</v>
          </cell>
        </row>
        <row r="114">
          <cell r="B114" t="str">
            <v>TAL EPOXY</v>
          </cell>
          <cell r="J114">
            <v>3570</v>
          </cell>
        </row>
        <row r="115">
          <cell r="B115" t="str">
            <v>PURE EPOXY</v>
          </cell>
          <cell r="J115">
            <v>4010</v>
          </cell>
        </row>
        <row r="127">
          <cell r="B127" t="str">
            <v>'98 년도  사 용 장 비 경 비  단 가 표</v>
          </cell>
        </row>
        <row r="128">
          <cell r="E128" t="str">
            <v xml:space="preserve"> </v>
          </cell>
        </row>
        <row r="129">
          <cell r="A129" t="str">
            <v>종       별</v>
          </cell>
          <cell r="C129" t="str">
            <v>재 료 또 는</v>
          </cell>
          <cell r="D129" t="str">
            <v xml:space="preserve">원 수 </v>
          </cell>
          <cell r="E129" t="str">
            <v>단 위</v>
          </cell>
          <cell r="F129" t="str">
            <v>총   액</v>
          </cell>
          <cell r="G129" t="str">
            <v>노   무   비</v>
          </cell>
          <cell r="I129" t="str">
            <v>재   료   비</v>
          </cell>
          <cell r="K129" t="str">
            <v>경      비</v>
          </cell>
          <cell r="M129" t="str">
            <v>비   고</v>
          </cell>
        </row>
        <row r="130">
          <cell r="C130" t="str">
            <v xml:space="preserve">규       격 </v>
          </cell>
          <cell r="F130" t="str">
            <v>금   액</v>
          </cell>
          <cell r="G130" t="str">
            <v>단  가</v>
          </cell>
          <cell r="H130" t="str">
            <v>금   액</v>
          </cell>
          <cell r="I130" t="str">
            <v>단  가</v>
          </cell>
          <cell r="J130" t="str">
            <v>금   액</v>
          </cell>
          <cell r="K130" t="str">
            <v>단  가</v>
          </cell>
          <cell r="L130" t="str">
            <v>금   액</v>
          </cell>
        </row>
        <row r="131">
          <cell r="A131" t="str">
            <v>Lathe</v>
          </cell>
          <cell r="C131" t="str">
            <v>12ftx7.5Hp</v>
          </cell>
          <cell r="D131">
            <v>1</v>
          </cell>
          <cell r="E131" t="str">
            <v>hr</v>
          </cell>
          <cell r="H131">
            <v>3418</v>
          </cell>
          <cell r="L131">
            <v>3775</v>
          </cell>
        </row>
        <row r="132">
          <cell r="A132" t="str">
            <v>Planer</v>
          </cell>
          <cell r="C132" t="str">
            <v>4ftx8ft</v>
          </cell>
          <cell r="D132">
            <v>1</v>
          </cell>
          <cell r="E132" t="str">
            <v>"</v>
          </cell>
          <cell r="H132">
            <v>3129</v>
          </cell>
          <cell r="L132">
            <v>2743</v>
          </cell>
        </row>
        <row r="133">
          <cell r="A133" t="str">
            <v>Boring Machine</v>
          </cell>
          <cell r="C133" t="str">
            <v>horizontal type 3Hp</v>
          </cell>
        </row>
        <row r="134">
          <cell r="D134">
            <v>1</v>
          </cell>
          <cell r="E134" t="str">
            <v>"</v>
          </cell>
          <cell r="H134">
            <v>3547</v>
          </cell>
          <cell r="L134">
            <v>8928</v>
          </cell>
        </row>
        <row r="135">
          <cell r="A135" t="str">
            <v>Union Melt Welder</v>
          </cell>
          <cell r="C135" t="str">
            <v>5.5 KVA</v>
          </cell>
          <cell r="D135">
            <v>1</v>
          </cell>
          <cell r="E135" t="str">
            <v>"</v>
          </cell>
          <cell r="H135">
            <v>3488</v>
          </cell>
          <cell r="L135">
            <v>1797</v>
          </cell>
        </row>
        <row r="136">
          <cell r="A136" t="str">
            <v>Gouging Machine</v>
          </cell>
          <cell r="C136" t="str">
            <v>중형</v>
          </cell>
          <cell r="D136">
            <v>1</v>
          </cell>
          <cell r="E136" t="str">
            <v>"</v>
          </cell>
          <cell r="H136">
            <v>3380</v>
          </cell>
          <cell r="L136">
            <v>670</v>
          </cell>
        </row>
        <row r="137">
          <cell r="A137" t="str">
            <v>Gas Cutting Machine</v>
          </cell>
        </row>
        <row r="138">
          <cell r="C138" t="str">
            <v>auto 중형</v>
          </cell>
          <cell r="D138">
            <v>1</v>
          </cell>
          <cell r="E138" t="str">
            <v>hr</v>
          </cell>
          <cell r="H138">
            <v>11922</v>
          </cell>
          <cell r="L138">
            <v>119</v>
          </cell>
        </row>
        <row r="139">
          <cell r="B139" t="str">
            <v xml:space="preserve">  "</v>
          </cell>
          <cell r="C139" t="str">
            <v>manual 중형</v>
          </cell>
          <cell r="D139">
            <v>1</v>
          </cell>
          <cell r="E139" t="str">
            <v>"</v>
          </cell>
          <cell r="H139">
            <v>3974</v>
          </cell>
          <cell r="L139">
            <v>115</v>
          </cell>
        </row>
        <row r="140">
          <cell r="A140" t="str">
            <v>Gas Heating Touch</v>
          </cell>
          <cell r="C140" t="str">
            <v>중형</v>
          </cell>
          <cell r="D140">
            <v>1</v>
          </cell>
          <cell r="E140" t="str">
            <v>"</v>
          </cell>
          <cell r="H140">
            <v>3174</v>
          </cell>
          <cell r="L140">
            <v>115</v>
          </cell>
        </row>
        <row r="141">
          <cell r="A141" t="str">
            <v>A.C Welder</v>
          </cell>
          <cell r="C141" t="str">
            <v>5.5 KVA</v>
          </cell>
          <cell r="D141">
            <v>1</v>
          </cell>
          <cell r="E141" t="str">
            <v>"</v>
          </cell>
          <cell r="L141">
            <v>107</v>
          </cell>
        </row>
        <row r="142">
          <cell r="B142" t="str">
            <v xml:space="preserve"> "</v>
          </cell>
          <cell r="C142" t="str">
            <v>10 KVA</v>
          </cell>
          <cell r="D142">
            <v>1</v>
          </cell>
          <cell r="E142" t="str">
            <v>"</v>
          </cell>
          <cell r="L142">
            <v>155</v>
          </cell>
        </row>
        <row r="143">
          <cell r="A143" t="str">
            <v>D.C Welder</v>
          </cell>
          <cell r="C143" t="str">
            <v>300A  5.5KW</v>
          </cell>
          <cell r="D143">
            <v>1</v>
          </cell>
          <cell r="E143" t="str">
            <v>hr</v>
          </cell>
          <cell r="L143">
            <v>359</v>
          </cell>
        </row>
        <row r="144">
          <cell r="A144" t="str">
            <v>Gas Welder</v>
          </cell>
          <cell r="C144" t="str">
            <v>대형</v>
          </cell>
          <cell r="D144">
            <v>1</v>
          </cell>
          <cell r="E144" t="str">
            <v>"</v>
          </cell>
          <cell r="L144">
            <v>149.5</v>
          </cell>
        </row>
        <row r="145">
          <cell r="B145" t="str">
            <v xml:space="preserve"> "</v>
          </cell>
          <cell r="C145" t="str">
            <v>중형</v>
          </cell>
          <cell r="D145">
            <v>1</v>
          </cell>
          <cell r="E145" t="str">
            <v>"</v>
          </cell>
          <cell r="L145">
            <v>115</v>
          </cell>
        </row>
        <row r="146">
          <cell r="A146" t="str">
            <v>Hydro Press</v>
          </cell>
          <cell r="C146" t="str">
            <v>300ton</v>
          </cell>
          <cell r="D146">
            <v>1</v>
          </cell>
          <cell r="E146" t="str">
            <v>"</v>
          </cell>
          <cell r="H146">
            <v>3281</v>
          </cell>
          <cell r="L146">
            <v>8463</v>
          </cell>
        </row>
        <row r="147">
          <cell r="B147" t="str">
            <v xml:space="preserve"> "</v>
          </cell>
          <cell r="C147" t="str">
            <v>100ton</v>
          </cell>
          <cell r="D147">
            <v>1</v>
          </cell>
          <cell r="E147" t="str">
            <v>"</v>
          </cell>
          <cell r="H147">
            <v>3281</v>
          </cell>
          <cell r="L147">
            <v>6045</v>
          </cell>
        </row>
        <row r="148">
          <cell r="A148" t="str">
            <v>Bending Roller</v>
          </cell>
          <cell r="C148" t="str">
            <v>23ft</v>
          </cell>
          <cell r="D148">
            <v>1</v>
          </cell>
          <cell r="E148" t="str">
            <v>hr</v>
          </cell>
          <cell r="H148">
            <v>4281</v>
          </cell>
          <cell r="L148">
            <v>6323</v>
          </cell>
        </row>
        <row r="149">
          <cell r="A149" t="str">
            <v>종       별</v>
          </cell>
          <cell r="C149" t="str">
            <v>재 료 또 는</v>
          </cell>
          <cell r="D149" t="str">
            <v xml:space="preserve">원 수 </v>
          </cell>
          <cell r="E149" t="str">
            <v>단 위</v>
          </cell>
          <cell r="F149" t="str">
            <v>총   액</v>
          </cell>
          <cell r="G149" t="str">
            <v>노   무   비</v>
          </cell>
          <cell r="I149" t="str">
            <v>재   료   비</v>
          </cell>
          <cell r="K149" t="str">
            <v>경      비</v>
          </cell>
          <cell r="M149" t="str">
            <v>비   고</v>
          </cell>
        </row>
        <row r="150">
          <cell r="C150" t="str">
            <v xml:space="preserve">규       격 </v>
          </cell>
          <cell r="F150" t="str">
            <v>금   액</v>
          </cell>
          <cell r="G150" t="str">
            <v>단  가</v>
          </cell>
          <cell r="H150" t="str">
            <v>금   액</v>
          </cell>
          <cell r="I150" t="str">
            <v>단  가</v>
          </cell>
          <cell r="J150" t="str">
            <v>금   액</v>
          </cell>
          <cell r="K150" t="str">
            <v>단  가</v>
          </cell>
          <cell r="L150" t="str">
            <v>금   액</v>
          </cell>
        </row>
        <row r="151">
          <cell r="A151" t="str">
            <v>Edge Bending Roller</v>
          </cell>
        </row>
        <row r="152">
          <cell r="C152" t="str">
            <v>23ft</v>
          </cell>
          <cell r="D152">
            <v>1</v>
          </cell>
          <cell r="E152" t="str">
            <v>"</v>
          </cell>
          <cell r="H152">
            <v>4281</v>
          </cell>
          <cell r="L152">
            <v>9484.5</v>
          </cell>
        </row>
        <row r="153">
          <cell r="A153" t="str">
            <v>Shearing Machine</v>
          </cell>
          <cell r="D153">
            <v>1</v>
          </cell>
          <cell r="E153" t="str">
            <v>"</v>
          </cell>
          <cell r="H153">
            <v>3688</v>
          </cell>
          <cell r="L153">
            <v>3209</v>
          </cell>
        </row>
        <row r="154">
          <cell r="A154" t="str">
            <v>Drilling Machine</v>
          </cell>
          <cell r="C154" t="str">
            <v xml:space="preserve"> 3 Hp</v>
          </cell>
          <cell r="D154">
            <v>1</v>
          </cell>
          <cell r="E154" t="str">
            <v>"</v>
          </cell>
          <cell r="H154">
            <v>3401</v>
          </cell>
          <cell r="L154">
            <v>576</v>
          </cell>
        </row>
        <row r="155">
          <cell r="B155" t="str">
            <v xml:space="preserve">  "</v>
          </cell>
          <cell r="C155" t="str">
            <v>radial 5Hp</v>
          </cell>
          <cell r="D155">
            <v>1</v>
          </cell>
          <cell r="E155" t="str">
            <v>"</v>
          </cell>
          <cell r="H155">
            <v>3401</v>
          </cell>
          <cell r="L155">
            <v>1720</v>
          </cell>
        </row>
        <row r="156">
          <cell r="A156" t="str">
            <v>Portable Drill</v>
          </cell>
          <cell r="C156" t="str">
            <v>0.5 Hp</v>
          </cell>
          <cell r="D156">
            <v>1</v>
          </cell>
          <cell r="E156" t="str">
            <v>hr</v>
          </cell>
          <cell r="H156" t="str">
            <v xml:space="preserve"> </v>
          </cell>
          <cell r="L156">
            <v>12</v>
          </cell>
        </row>
        <row r="157">
          <cell r="B157" t="str">
            <v xml:space="preserve">  "</v>
          </cell>
          <cell r="C157" t="str">
            <v>1.5 Hp</v>
          </cell>
          <cell r="D157">
            <v>1</v>
          </cell>
          <cell r="E157" t="str">
            <v>"</v>
          </cell>
          <cell r="H157" t="str">
            <v xml:space="preserve"> </v>
          </cell>
          <cell r="L157">
            <v>14</v>
          </cell>
        </row>
        <row r="158">
          <cell r="A158" t="str">
            <v>Portable Grinder</v>
          </cell>
          <cell r="C158" t="str">
            <v>0.5 Hp</v>
          </cell>
          <cell r="D158">
            <v>1</v>
          </cell>
          <cell r="E158" t="str">
            <v>hr</v>
          </cell>
          <cell r="L158">
            <v>22</v>
          </cell>
        </row>
        <row r="159">
          <cell r="A159" t="str">
            <v>Air Compressor</v>
          </cell>
          <cell r="C159" t="str">
            <v>5.9㎥/min</v>
          </cell>
          <cell r="D159">
            <v>1</v>
          </cell>
          <cell r="E159" t="str">
            <v>"</v>
          </cell>
          <cell r="H159">
            <v>9681</v>
          </cell>
          <cell r="J159">
            <v>6189</v>
          </cell>
          <cell r="L159">
            <v>3137</v>
          </cell>
        </row>
        <row r="160">
          <cell r="B160" t="str">
            <v xml:space="preserve">  "</v>
          </cell>
          <cell r="C160" t="str">
            <v>8.9㎥/min</v>
          </cell>
          <cell r="D160">
            <v>1</v>
          </cell>
          <cell r="E160" t="str">
            <v>"</v>
          </cell>
          <cell r="H160">
            <v>9681</v>
          </cell>
          <cell r="J160">
            <v>8779</v>
          </cell>
          <cell r="L160">
            <v>6250</v>
          </cell>
        </row>
        <row r="161">
          <cell r="A161" t="str">
            <v>Over Head Crane</v>
          </cell>
          <cell r="C161" t="str">
            <v>20ton</v>
          </cell>
          <cell r="D161">
            <v>1</v>
          </cell>
          <cell r="E161" t="str">
            <v>"</v>
          </cell>
          <cell r="H161">
            <v>9681</v>
          </cell>
          <cell r="L161">
            <v>3338</v>
          </cell>
        </row>
        <row r="162">
          <cell r="B162" t="str">
            <v xml:space="preserve">  "</v>
          </cell>
          <cell r="C162" t="str">
            <v>30ton</v>
          </cell>
          <cell r="D162">
            <v>1</v>
          </cell>
          <cell r="E162" t="str">
            <v>hr</v>
          </cell>
          <cell r="H162">
            <v>9681</v>
          </cell>
          <cell r="L162">
            <v>4123</v>
          </cell>
        </row>
        <row r="163">
          <cell r="A163" t="str">
            <v>Truck Crane</v>
          </cell>
          <cell r="C163" t="str">
            <v>10ton</v>
          </cell>
          <cell r="D163">
            <v>1</v>
          </cell>
          <cell r="E163" t="str">
            <v>"</v>
          </cell>
          <cell r="H163">
            <v>18615</v>
          </cell>
          <cell r="J163">
            <v>3486</v>
          </cell>
          <cell r="L163">
            <v>20487</v>
          </cell>
        </row>
        <row r="164">
          <cell r="B164" t="str">
            <v xml:space="preserve">  "</v>
          </cell>
          <cell r="C164" t="str">
            <v>15ton</v>
          </cell>
          <cell r="D164">
            <v>1</v>
          </cell>
          <cell r="E164" t="str">
            <v>"</v>
          </cell>
          <cell r="H164">
            <v>18615</v>
          </cell>
          <cell r="J164">
            <v>4285</v>
          </cell>
          <cell r="L164">
            <v>30731</v>
          </cell>
        </row>
        <row r="165">
          <cell r="B165" t="str">
            <v xml:space="preserve">  "</v>
          </cell>
          <cell r="C165" t="str">
            <v>20ton</v>
          </cell>
          <cell r="D165">
            <v>1</v>
          </cell>
          <cell r="E165" t="str">
            <v>"</v>
          </cell>
          <cell r="H165">
            <v>18615</v>
          </cell>
          <cell r="J165">
            <v>4939</v>
          </cell>
          <cell r="L165">
            <v>40975</v>
          </cell>
        </row>
        <row r="166">
          <cell r="B166" t="str">
            <v xml:space="preserve">  "</v>
          </cell>
          <cell r="C166" t="str">
            <v>30ton</v>
          </cell>
          <cell r="D166">
            <v>1</v>
          </cell>
          <cell r="E166" t="str">
            <v>"</v>
          </cell>
          <cell r="H166">
            <v>18615</v>
          </cell>
          <cell r="J166">
            <v>7046</v>
          </cell>
          <cell r="L166">
            <v>44939</v>
          </cell>
        </row>
        <row r="167">
          <cell r="B167" t="str">
            <v xml:space="preserve">  "</v>
          </cell>
          <cell r="C167" t="str">
            <v>40ton</v>
          </cell>
          <cell r="D167">
            <v>1</v>
          </cell>
          <cell r="E167" t="str">
            <v>"</v>
          </cell>
          <cell r="H167">
            <v>18615</v>
          </cell>
          <cell r="J167">
            <v>8730</v>
          </cell>
          <cell r="L167">
            <v>55621</v>
          </cell>
        </row>
        <row r="168">
          <cell r="A168" t="str">
            <v>Winch</v>
          </cell>
          <cell r="C168" t="str">
            <v>10Hp</v>
          </cell>
          <cell r="D168">
            <v>1</v>
          </cell>
          <cell r="E168" t="str">
            <v>hr</v>
          </cell>
          <cell r="H168">
            <v>9235</v>
          </cell>
          <cell r="L168">
            <v>850</v>
          </cell>
        </row>
        <row r="169">
          <cell r="A169" t="str">
            <v>"</v>
          </cell>
          <cell r="C169" t="str">
            <v>50Hp</v>
          </cell>
          <cell r="D169">
            <v>1</v>
          </cell>
          <cell r="E169" t="str">
            <v>"</v>
          </cell>
          <cell r="H169">
            <v>9235</v>
          </cell>
          <cell r="L169">
            <v>5209</v>
          </cell>
        </row>
        <row r="170">
          <cell r="A170" t="str">
            <v>Truck</v>
          </cell>
          <cell r="C170" t="str">
            <v>6ton</v>
          </cell>
          <cell r="D170">
            <v>1</v>
          </cell>
          <cell r="E170" t="str">
            <v>"</v>
          </cell>
          <cell r="H170">
            <v>8683</v>
          </cell>
          <cell r="J170">
            <v>8110</v>
          </cell>
          <cell r="L170">
            <v>4902</v>
          </cell>
        </row>
        <row r="171">
          <cell r="A171" t="str">
            <v>Trailer</v>
          </cell>
          <cell r="C171" t="str">
            <v>20ton</v>
          </cell>
          <cell r="D171">
            <v>1</v>
          </cell>
          <cell r="E171" t="str">
            <v>"</v>
          </cell>
          <cell r="H171">
            <v>9681</v>
          </cell>
          <cell r="J171">
            <v>15109</v>
          </cell>
          <cell r="L171">
            <v>20345</v>
          </cell>
        </row>
        <row r="172">
          <cell r="A172" t="str">
            <v>종       별</v>
          </cell>
          <cell r="C172" t="str">
            <v>재 료 또 는</v>
          </cell>
          <cell r="D172" t="str">
            <v xml:space="preserve">원 수 </v>
          </cell>
          <cell r="E172" t="str">
            <v>단 위</v>
          </cell>
          <cell r="F172" t="str">
            <v>총   액</v>
          </cell>
          <cell r="G172" t="str">
            <v>노   무   비</v>
          </cell>
          <cell r="I172" t="str">
            <v>재   료   비</v>
          </cell>
          <cell r="K172" t="str">
            <v>경      비</v>
          </cell>
          <cell r="M172" t="str">
            <v>비   고</v>
          </cell>
        </row>
        <row r="173">
          <cell r="C173" t="str">
            <v xml:space="preserve">규       격 </v>
          </cell>
          <cell r="F173" t="str">
            <v>금   액</v>
          </cell>
          <cell r="G173" t="str">
            <v>단  가</v>
          </cell>
          <cell r="H173" t="str">
            <v>금   액</v>
          </cell>
          <cell r="I173" t="str">
            <v>단  가</v>
          </cell>
          <cell r="J173" t="str">
            <v>금   액</v>
          </cell>
          <cell r="K173" t="str">
            <v>단  가</v>
          </cell>
          <cell r="L173" t="str">
            <v>금   액</v>
          </cell>
        </row>
        <row r="174">
          <cell r="A174" t="str">
            <v>Trailer</v>
          </cell>
          <cell r="C174" t="str">
            <v>30ton</v>
          </cell>
          <cell r="D174">
            <v>1</v>
          </cell>
          <cell r="E174" t="str">
            <v>"</v>
          </cell>
          <cell r="H174">
            <v>8683</v>
          </cell>
          <cell r="J174">
            <v>15763</v>
          </cell>
          <cell r="L174">
            <v>27414</v>
          </cell>
        </row>
        <row r="175">
          <cell r="A175" t="str">
            <v>Fork Lift</v>
          </cell>
          <cell r="C175" t="str">
            <v>3.5ton</v>
          </cell>
          <cell r="D175">
            <v>1</v>
          </cell>
          <cell r="E175" t="str">
            <v>hr</v>
          </cell>
          <cell r="H175">
            <v>9681</v>
          </cell>
          <cell r="J175">
            <v>5116</v>
          </cell>
          <cell r="L175">
            <v>3470</v>
          </cell>
        </row>
        <row r="176">
          <cell r="B176" t="str">
            <v xml:space="preserve"> "</v>
          </cell>
          <cell r="C176" t="str">
            <v>5.0ton</v>
          </cell>
          <cell r="D176">
            <v>1</v>
          </cell>
          <cell r="E176" t="str">
            <v>"</v>
          </cell>
          <cell r="H176">
            <v>9681</v>
          </cell>
          <cell r="J176">
            <v>5116.08</v>
          </cell>
          <cell r="L176">
            <v>4863</v>
          </cell>
        </row>
        <row r="177">
          <cell r="B177" t="str">
            <v xml:space="preserve"> "</v>
          </cell>
          <cell r="C177" t="str">
            <v>7.5ton</v>
          </cell>
          <cell r="D177">
            <v>1</v>
          </cell>
          <cell r="E177" t="str">
            <v>"</v>
          </cell>
          <cell r="H177">
            <v>9681</v>
          </cell>
          <cell r="J177">
            <v>5898</v>
          </cell>
          <cell r="L177">
            <v>5845</v>
          </cell>
        </row>
        <row r="178">
          <cell r="A178" t="str">
            <v>발 전 기</v>
          </cell>
          <cell r="C178" t="str">
            <v>50 kw</v>
          </cell>
          <cell r="D178">
            <v>1</v>
          </cell>
          <cell r="E178" t="str">
            <v>"</v>
          </cell>
          <cell r="H178">
            <v>9235</v>
          </cell>
          <cell r="J178">
            <v>8338</v>
          </cell>
          <cell r="L178">
            <v>4912</v>
          </cell>
        </row>
        <row r="179">
          <cell r="A179" t="str">
            <v>AIR HOSE</v>
          </cell>
          <cell r="C179" t="str">
            <v>3/4 "</v>
          </cell>
          <cell r="D179">
            <v>1</v>
          </cell>
          <cell r="E179" t="str">
            <v>"</v>
          </cell>
          <cell r="L179">
            <v>48</v>
          </cell>
        </row>
        <row r="180">
          <cell r="A180" t="str">
            <v>브라스트기</v>
          </cell>
          <cell r="D180">
            <v>1</v>
          </cell>
          <cell r="E180" t="str">
            <v>"</v>
          </cell>
          <cell r="L180">
            <v>659</v>
          </cell>
        </row>
        <row r="181">
          <cell r="A181" t="str">
            <v>건  조  기</v>
          </cell>
          <cell r="D181">
            <v>1</v>
          </cell>
          <cell r="E181" t="str">
            <v>"</v>
          </cell>
          <cell r="L181">
            <v>211</v>
          </cell>
        </row>
        <row r="182">
          <cell r="A182" t="str">
            <v>방  진  복</v>
          </cell>
          <cell r="D182">
            <v>1</v>
          </cell>
          <cell r="E182" t="str">
            <v>"</v>
          </cell>
          <cell r="L182">
            <v>107</v>
          </cell>
        </row>
        <row r="183">
          <cell r="A183" t="str">
            <v>방  진  모</v>
          </cell>
          <cell r="D183">
            <v>1</v>
          </cell>
          <cell r="E183" t="str">
            <v>"</v>
          </cell>
          <cell r="L183">
            <v>21</v>
          </cell>
        </row>
        <row r="196">
          <cell r="B196" t="str">
            <v>'98 년도  사 용 장 비 경 비  산 출 표</v>
          </cell>
        </row>
        <row r="197">
          <cell r="E197" t="str">
            <v xml:space="preserve"> </v>
          </cell>
        </row>
        <row r="198">
          <cell r="A198" t="str">
            <v>종       별</v>
          </cell>
          <cell r="C198" t="str">
            <v>재 료 또 는</v>
          </cell>
          <cell r="D198" t="str">
            <v xml:space="preserve">원 수 </v>
          </cell>
          <cell r="E198" t="str">
            <v>단 위</v>
          </cell>
          <cell r="F198" t="str">
            <v>총   액</v>
          </cell>
          <cell r="G198" t="str">
            <v>노   무   비</v>
          </cell>
          <cell r="I198" t="str">
            <v>재   료   비</v>
          </cell>
          <cell r="K198" t="str">
            <v>경      비</v>
          </cell>
          <cell r="M198" t="str">
            <v>비   고</v>
          </cell>
        </row>
        <row r="199">
          <cell r="C199" t="str">
            <v xml:space="preserve">규       격 </v>
          </cell>
          <cell r="F199" t="str">
            <v>금   액</v>
          </cell>
          <cell r="G199" t="str">
            <v>단  가</v>
          </cell>
          <cell r="H199" t="str">
            <v>금   액</v>
          </cell>
          <cell r="I199" t="str">
            <v>단  가</v>
          </cell>
          <cell r="J199" t="str">
            <v>금   액</v>
          </cell>
          <cell r="K199" t="str">
            <v>단  가</v>
          </cell>
          <cell r="L199" t="str">
            <v>금   액</v>
          </cell>
        </row>
        <row r="200">
          <cell r="A200" t="str">
            <v>Truck</v>
          </cell>
          <cell r="C200" t="str">
            <v>6ton</v>
          </cell>
          <cell r="D200">
            <v>1</v>
          </cell>
          <cell r="E200" t="str">
            <v>hr</v>
          </cell>
          <cell r="H200">
            <v>8683</v>
          </cell>
          <cell r="J200">
            <v>8110</v>
          </cell>
        </row>
        <row r="202">
          <cell r="B202" t="str">
            <v>- 경유</v>
          </cell>
          <cell r="D202">
            <v>10.7</v>
          </cell>
          <cell r="E202" t="str">
            <v>L</v>
          </cell>
          <cell r="I202">
            <v>526.4</v>
          </cell>
          <cell r="J202">
            <v>5632</v>
          </cell>
        </row>
        <row r="203">
          <cell r="B203" t="str">
            <v>- 잡유</v>
          </cell>
          <cell r="C203" t="str">
            <v>주연료*44%</v>
          </cell>
          <cell r="D203">
            <v>1</v>
          </cell>
          <cell r="E203" t="str">
            <v>식</v>
          </cell>
          <cell r="J203">
            <v>2478</v>
          </cell>
        </row>
        <row r="204">
          <cell r="B204" t="str">
            <v>- 조종원</v>
          </cell>
          <cell r="D204">
            <v>0.17</v>
          </cell>
          <cell r="E204" t="str">
            <v>인</v>
          </cell>
          <cell r="G204">
            <v>51077</v>
          </cell>
          <cell r="H204">
            <v>8683</v>
          </cell>
        </row>
        <row r="206">
          <cell r="A206" t="str">
            <v>Truck Crane</v>
          </cell>
          <cell r="C206" t="str">
            <v>15ton</v>
          </cell>
          <cell r="D206">
            <v>1</v>
          </cell>
          <cell r="E206" t="str">
            <v>hr</v>
          </cell>
          <cell r="H206">
            <v>18615</v>
          </cell>
          <cell r="J206">
            <v>4285</v>
          </cell>
        </row>
        <row r="208">
          <cell r="B208" t="str">
            <v>- 경유</v>
          </cell>
          <cell r="D208">
            <v>5.9</v>
          </cell>
          <cell r="E208" t="str">
            <v>L</v>
          </cell>
          <cell r="I208">
            <v>526.4</v>
          </cell>
          <cell r="J208">
            <v>3105.76</v>
          </cell>
        </row>
        <row r="209">
          <cell r="B209" t="str">
            <v>- 잡유</v>
          </cell>
          <cell r="C209" t="str">
            <v>주연료*38%</v>
          </cell>
          <cell r="D209">
            <v>1</v>
          </cell>
          <cell r="E209" t="str">
            <v>식</v>
          </cell>
          <cell r="J209">
            <v>1180.1888000000001</v>
          </cell>
        </row>
        <row r="210">
          <cell r="B210" t="str">
            <v>- 조종원</v>
          </cell>
          <cell r="D210">
            <v>0.17</v>
          </cell>
          <cell r="E210" t="str">
            <v>인</v>
          </cell>
          <cell r="G210">
            <v>56951</v>
          </cell>
          <cell r="H210">
            <v>9681.67</v>
          </cell>
        </row>
        <row r="211">
          <cell r="B211" t="str">
            <v>- 조수</v>
          </cell>
          <cell r="D211">
            <v>0.17</v>
          </cell>
          <cell r="E211" t="str">
            <v>"</v>
          </cell>
          <cell r="G211">
            <v>42762</v>
          </cell>
          <cell r="H211">
            <v>7269.5400000000009</v>
          </cell>
        </row>
        <row r="212">
          <cell r="B212" t="str">
            <v>- 중기조장</v>
          </cell>
          <cell r="D212">
            <v>0.03</v>
          </cell>
          <cell r="E212" t="str">
            <v>"</v>
          </cell>
          <cell r="G212">
            <v>55484</v>
          </cell>
          <cell r="H212">
            <v>1664.52</v>
          </cell>
        </row>
        <row r="214">
          <cell r="A214" t="str">
            <v>Truck Crane</v>
          </cell>
          <cell r="C214" t="str">
            <v>20ton</v>
          </cell>
          <cell r="D214">
            <v>1</v>
          </cell>
          <cell r="E214" t="str">
            <v>hr</v>
          </cell>
          <cell r="H214">
            <v>18615</v>
          </cell>
          <cell r="J214">
            <v>4939</v>
          </cell>
        </row>
        <row r="216">
          <cell r="B216" t="str">
            <v>- 경유</v>
          </cell>
          <cell r="D216">
            <v>6.8</v>
          </cell>
          <cell r="E216" t="str">
            <v>L</v>
          </cell>
          <cell r="I216">
            <v>526.4</v>
          </cell>
          <cell r="J216">
            <v>3579.5199999999995</v>
          </cell>
        </row>
        <row r="217">
          <cell r="B217" t="str">
            <v>- 잡유</v>
          </cell>
          <cell r="C217" t="str">
            <v>주연료*38%</v>
          </cell>
          <cell r="D217">
            <v>1</v>
          </cell>
          <cell r="E217" t="str">
            <v>식</v>
          </cell>
          <cell r="J217">
            <v>1360.2175999999997</v>
          </cell>
        </row>
        <row r="218">
          <cell r="A218" t="str">
            <v>종       별</v>
          </cell>
          <cell r="C218" t="str">
            <v>재 료 또 는</v>
          </cell>
          <cell r="D218" t="str">
            <v xml:space="preserve">원 수 </v>
          </cell>
          <cell r="E218" t="str">
            <v>단 위</v>
          </cell>
          <cell r="F218" t="str">
            <v>총   액</v>
          </cell>
          <cell r="G218" t="str">
            <v>노   무   비</v>
          </cell>
          <cell r="I218" t="str">
            <v>재   료   비</v>
          </cell>
          <cell r="K218" t="str">
            <v>경      비</v>
          </cell>
          <cell r="M218" t="str">
            <v>비   고</v>
          </cell>
        </row>
        <row r="219">
          <cell r="C219" t="str">
            <v xml:space="preserve">규       격 </v>
          </cell>
          <cell r="F219" t="str">
            <v>금   액</v>
          </cell>
          <cell r="G219" t="str">
            <v>단  가</v>
          </cell>
          <cell r="H219" t="str">
            <v>금   액</v>
          </cell>
          <cell r="I219" t="str">
            <v>단  가</v>
          </cell>
          <cell r="J219" t="str">
            <v>금   액</v>
          </cell>
          <cell r="K219" t="str">
            <v>단  가</v>
          </cell>
          <cell r="L219" t="str">
            <v>금   액</v>
          </cell>
        </row>
        <row r="220">
          <cell r="B220" t="str">
            <v>- 조종원</v>
          </cell>
          <cell r="D220">
            <v>0.17</v>
          </cell>
          <cell r="E220" t="str">
            <v>인</v>
          </cell>
          <cell r="G220">
            <v>56951</v>
          </cell>
          <cell r="H220">
            <v>9681.67</v>
          </cell>
        </row>
        <row r="221">
          <cell r="B221" t="str">
            <v>- 조수</v>
          </cell>
          <cell r="D221">
            <v>0.17</v>
          </cell>
          <cell r="E221" t="str">
            <v>"</v>
          </cell>
          <cell r="G221">
            <v>42762</v>
          </cell>
          <cell r="H221">
            <v>7269.5400000000009</v>
          </cell>
        </row>
        <row r="222">
          <cell r="B222" t="str">
            <v>- 중기조장</v>
          </cell>
          <cell r="D222">
            <v>0.03</v>
          </cell>
          <cell r="E222" t="str">
            <v>"</v>
          </cell>
          <cell r="G222">
            <v>55484</v>
          </cell>
          <cell r="H222">
            <v>1664.52</v>
          </cell>
        </row>
        <row r="224">
          <cell r="A224" t="str">
            <v>Truck Crane</v>
          </cell>
          <cell r="C224" t="str">
            <v>30ton</v>
          </cell>
          <cell r="D224">
            <v>1</v>
          </cell>
          <cell r="E224" t="str">
            <v>hr</v>
          </cell>
          <cell r="H224">
            <v>18615</v>
          </cell>
          <cell r="J224">
            <v>7046</v>
          </cell>
        </row>
        <row r="226">
          <cell r="B226" t="str">
            <v>- 경유</v>
          </cell>
          <cell r="D226">
            <v>9.6999999999999993</v>
          </cell>
          <cell r="E226" t="str">
            <v>L</v>
          </cell>
          <cell r="I226">
            <v>526.4</v>
          </cell>
          <cell r="J226">
            <v>5106.079999999999</v>
          </cell>
          <cell r="L226" t="str">
            <v xml:space="preserve"> </v>
          </cell>
        </row>
        <row r="227">
          <cell r="B227" t="str">
            <v>- 잡유</v>
          </cell>
          <cell r="C227" t="str">
            <v>주연료*38%</v>
          </cell>
          <cell r="D227">
            <v>1</v>
          </cell>
          <cell r="E227" t="str">
            <v>식</v>
          </cell>
          <cell r="J227">
            <v>1940.3103999999994</v>
          </cell>
        </row>
        <row r="228">
          <cell r="B228" t="str">
            <v>- 조종원</v>
          </cell>
          <cell r="D228">
            <v>0.17</v>
          </cell>
          <cell r="E228" t="str">
            <v>인</v>
          </cell>
          <cell r="G228">
            <v>56951</v>
          </cell>
          <cell r="H228">
            <v>9681.67</v>
          </cell>
        </row>
        <row r="229">
          <cell r="B229" t="str">
            <v>- 조수</v>
          </cell>
          <cell r="D229">
            <v>0.17</v>
          </cell>
          <cell r="E229" t="str">
            <v>"</v>
          </cell>
          <cell r="G229">
            <v>42762</v>
          </cell>
          <cell r="H229">
            <v>7269.5400000000009</v>
          </cell>
        </row>
        <row r="230">
          <cell r="B230" t="str">
            <v>- 중기조장</v>
          </cell>
          <cell r="D230">
            <v>0.03</v>
          </cell>
          <cell r="E230" t="str">
            <v>"</v>
          </cell>
          <cell r="G230">
            <v>55484</v>
          </cell>
          <cell r="H230">
            <v>1664.52</v>
          </cell>
        </row>
        <row r="232">
          <cell r="A232" t="str">
            <v>Truck Crane</v>
          </cell>
          <cell r="C232" t="str">
            <v>40ton</v>
          </cell>
          <cell r="D232">
            <v>1</v>
          </cell>
          <cell r="E232" t="str">
            <v>hr</v>
          </cell>
          <cell r="H232">
            <v>18615</v>
          </cell>
          <cell r="J232">
            <v>8730</v>
          </cell>
        </row>
        <row r="234">
          <cell r="B234" t="str">
            <v>- 경유</v>
          </cell>
          <cell r="D234">
            <v>10.7</v>
          </cell>
          <cell r="E234" t="str">
            <v>L</v>
          </cell>
          <cell r="I234">
            <v>526.4</v>
          </cell>
          <cell r="J234">
            <v>5632.48</v>
          </cell>
          <cell r="L234" t="str">
            <v xml:space="preserve"> </v>
          </cell>
        </row>
        <row r="235">
          <cell r="B235" t="str">
            <v>- 잡유</v>
          </cell>
          <cell r="C235" t="str">
            <v>주연료*55%</v>
          </cell>
          <cell r="D235">
            <v>1</v>
          </cell>
          <cell r="E235" t="str">
            <v>식</v>
          </cell>
          <cell r="J235">
            <v>3097.8639999999996</v>
          </cell>
        </row>
        <row r="236">
          <cell r="B236" t="str">
            <v>- 조종원</v>
          </cell>
          <cell r="D236">
            <v>0.17</v>
          </cell>
          <cell r="E236" t="str">
            <v>인</v>
          </cell>
          <cell r="G236">
            <v>56951</v>
          </cell>
          <cell r="H236">
            <v>9681.67</v>
          </cell>
        </row>
        <row r="237">
          <cell r="B237" t="str">
            <v>- 조수</v>
          </cell>
          <cell r="D237">
            <v>0.17</v>
          </cell>
          <cell r="E237" t="str">
            <v>"</v>
          </cell>
          <cell r="G237">
            <v>42762</v>
          </cell>
          <cell r="H237">
            <v>7269.5400000000009</v>
          </cell>
        </row>
        <row r="238">
          <cell r="B238" t="str">
            <v>- 중기조장</v>
          </cell>
          <cell r="D238">
            <v>0.03</v>
          </cell>
          <cell r="E238" t="str">
            <v>"</v>
          </cell>
          <cell r="G238">
            <v>55484</v>
          </cell>
          <cell r="H238">
            <v>1664.52</v>
          </cell>
        </row>
        <row r="241">
          <cell r="A241" t="str">
            <v>종       별</v>
          </cell>
          <cell r="C241" t="str">
            <v>재 료 또 는</v>
          </cell>
          <cell r="D241" t="str">
            <v xml:space="preserve">원 수 </v>
          </cell>
          <cell r="E241" t="str">
            <v>단 위</v>
          </cell>
          <cell r="F241" t="str">
            <v>총   액</v>
          </cell>
          <cell r="G241" t="str">
            <v>노   무   비</v>
          </cell>
          <cell r="I241" t="str">
            <v>재   료   비</v>
          </cell>
          <cell r="K241" t="str">
            <v>경      비</v>
          </cell>
          <cell r="M241" t="str">
            <v>비   고</v>
          </cell>
        </row>
        <row r="242">
          <cell r="C242" t="str">
            <v xml:space="preserve">규       격 </v>
          </cell>
          <cell r="F242" t="str">
            <v>금   액</v>
          </cell>
          <cell r="G242" t="str">
            <v>단  가</v>
          </cell>
          <cell r="H242" t="str">
            <v>금   액</v>
          </cell>
          <cell r="I242" t="str">
            <v>단  가</v>
          </cell>
          <cell r="J242" t="str">
            <v>금   액</v>
          </cell>
          <cell r="K242" t="str">
            <v>단  가</v>
          </cell>
          <cell r="L242" t="str">
            <v>금   액</v>
          </cell>
        </row>
        <row r="243">
          <cell r="A243" t="str">
            <v>Tower Crane</v>
          </cell>
          <cell r="C243" t="str">
            <v>5ton</v>
          </cell>
          <cell r="D243">
            <v>1</v>
          </cell>
          <cell r="E243" t="str">
            <v>hr</v>
          </cell>
          <cell r="J243">
            <v>543</v>
          </cell>
        </row>
        <row r="245">
          <cell r="B245" t="str">
            <v xml:space="preserve">- Wire Rope </v>
          </cell>
          <cell r="C245" t="str">
            <v>18m/mΦ</v>
          </cell>
          <cell r="D245">
            <v>0.36</v>
          </cell>
          <cell r="E245" t="str">
            <v>m</v>
          </cell>
          <cell r="I245">
            <v>1509</v>
          </cell>
          <cell r="J245">
            <v>543</v>
          </cell>
        </row>
        <row r="246">
          <cell r="A246" t="str">
            <v>Fork Lift Truck</v>
          </cell>
          <cell r="C246" t="str">
            <v>3.5ton</v>
          </cell>
          <cell r="D246">
            <v>1</v>
          </cell>
          <cell r="E246" t="str">
            <v>hr</v>
          </cell>
          <cell r="H246">
            <v>9681</v>
          </cell>
          <cell r="J246">
            <v>5116</v>
          </cell>
        </row>
        <row r="248">
          <cell r="B248" t="str">
            <v>- 경유</v>
          </cell>
          <cell r="D248">
            <v>7.2</v>
          </cell>
          <cell r="E248" t="str">
            <v>L</v>
          </cell>
          <cell r="I248">
            <v>526.4</v>
          </cell>
          <cell r="J248">
            <v>3790.08</v>
          </cell>
        </row>
        <row r="249">
          <cell r="B249" t="str">
            <v>- 잡유</v>
          </cell>
          <cell r="C249" t="str">
            <v>주연료*35%</v>
          </cell>
          <cell r="D249">
            <v>1</v>
          </cell>
          <cell r="E249" t="str">
            <v>식</v>
          </cell>
          <cell r="J249">
            <v>1326.5279999999998</v>
          </cell>
        </row>
        <row r="250">
          <cell r="B250" t="str">
            <v>- 조종원</v>
          </cell>
          <cell r="D250">
            <v>0.17</v>
          </cell>
          <cell r="E250" t="str">
            <v>인</v>
          </cell>
          <cell r="G250">
            <v>56951</v>
          </cell>
          <cell r="H250">
            <v>9681</v>
          </cell>
        </row>
        <row r="251">
          <cell r="A251" t="str">
            <v>Fork Lift Truck</v>
          </cell>
          <cell r="C251" t="str">
            <v>5.0ton</v>
          </cell>
          <cell r="D251">
            <v>1</v>
          </cell>
          <cell r="E251" t="str">
            <v>hr</v>
          </cell>
          <cell r="H251">
            <v>9681</v>
          </cell>
          <cell r="J251">
            <v>5116.08</v>
          </cell>
        </row>
        <row r="253">
          <cell r="B253" t="str">
            <v>- 경유</v>
          </cell>
          <cell r="D253">
            <v>7.2</v>
          </cell>
          <cell r="E253" t="str">
            <v>L</v>
          </cell>
          <cell r="I253">
            <v>526.4</v>
          </cell>
          <cell r="J253">
            <v>3790.08</v>
          </cell>
        </row>
        <row r="254">
          <cell r="B254" t="str">
            <v>- 잡유</v>
          </cell>
          <cell r="C254" t="str">
            <v>주연료*35%</v>
          </cell>
          <cell r="D254">
            <v>1</v>
          </cell>
          <cell r="E254" t="str">
            <v>식</v>
          </cell>
          <cell r="J254">
            <v>1326</v>
          </cell>
        </row>
        <row r="255">
          <cell r="B255" t="str">
            <v>- 조종원</v>
          </cell>
          <cell r="D255">
            <v>0.17</v>
          </cell>
          <cell r="E255" t="str">
            <v>인</v>
          </cell>
          <cell r="G255">
            <v>56951</v>
          </cell>
          <cell r="H255">
            <v>9681</v>
          </cell>
        </row>
        <row r="257">
          <cell r="A257" t="str">
            <v>Fork Lift Truck</v>
          </cell>
          <cell r="C257" t="str">
            <v>7.5ton</v>
          </cell>
          <cell r="D257">
            <v>1</v>
          </cell>
          <cell r="E257" t="str">
            <v>hr</v>
          </cell>
          <cell r="H257">
            <v>9681</v>
          </cell>
          <cell r="J257">
            <v>5898</v>
          </cell>
        </row>
        <row r="259">
          <cell r="B259" t="str">
            <v>- 경유</v>
          </cell>
          <cell r="D259">
            <v>8.3000000000000007</v>
          </cell>
          <cell r="E259" t="str">
            <v>L</v>
          </cell>
          <cell r="I259">
            <v>526.4</v>
          </cell>
          <cell r="J259">
            <v>4369.12</v>
          </cell>
        </row>
        <row r="260">
          <cell r="B260" t="str">
            <v>- 잡유</v>
          </cell>
          <cell r="C260" t="str">
            <v>주연료*35%</v>
          </cell>
          <cell r="D260">
            <v>1</v>
          </cell>
          <cell r="E260" t="str">
            <v>식</v>
          </cell>
          <cell r="J260">
            <v>1529.1919999999998</v>
          </cell>
        </row>
        <row r="261">
          <cell r="B261" t="str">
            <v>- 조종원</v>
          </cell>
          <cell r="D261">
            <v>0.17</v>
          </cell>
          <cell r="E261" t="str">
            <v>인</v>
          </cell>
          <cell r="G261">
            <v>56951</v>
          </cell>
          <cell r="H261">
            <v>9681</v>
          </cell>
        </row>
        <row r="264">
          <cell r="A264" t="str">
            <v>종       별</v>
          </cell>
          <cell r="C264" t="str">
            <v>재 료 또 는</v>
          </cell>
          <cell r="D264" t="str">
            <v xml:space="preserve">원 수 </v>
          </cell>
          <cell r="E264" t="str">
            <v>단 위</v>
          </cell>
          <cell r="F264" t="str">
            <v>총   액</v>
          </cell>
          <cell r="G264" t="str">
            <v>노   무   비</v>
          </cell>
          <cell r="I264" t="str">
            <v>재   료   비</v>
          </cell>
          <cell r="K264" t="str">
            <v>경      비</v>
          </cell>
          <cell r="M264" t="str">
            <v>비   고</v>
          </cell>
        </row>
        <row r="265">
          <cell r="C265" t="str">
            <v xml:space="preserve">규       격 </v>
          </cell>
          <cell r="F265" t="str">
            <v>금   액</v>
          </cell>
          <cell r="G265" t="str">
            <v>단  가</v>
          </cell>
          <cell r="H265" t="str">
            <v>금   액</v>
          </cell>
          <cell r="I265" t="str">
            <v>단  가</v>
          </cell>
          <cell r="J265" t="str">
            <v>금   액</v>
          </cell>
          <cell r="K265" t="str">
            <v>단  가</v>
          </cell>
          <cell r="L265" t="str">
            <v>금   액</v>
          </cell>
        </row>
        <row r="266">
          <cell r="A266" t="str">
            <v>Trailer</v>
          </cell>
          <cell r="C266" t="str">
            <v>30ton</v>
          </cell>
          <cell r="D266">
            <v>1</v>
          </cell>
          <cell r="E266" t="str">
            <v>hr</v>
          </cell>
          <cell r="H266">
            <v>8683</v>
          </cell>
          <cell r="J266">
            <v>15763</v>
          </cell>
        </row>
        <row r="268">
          <cell r="B268" t="str">
            <v>- 경유</v>
          </cell>
          <cell r="D268">
            <v>21.7</v>
          </cell>
          <cell r="E268" t="str">
            <v>L</v>
          </cell>
          <cell r="I268">
            <v>526.4</v>
          </cell>
          <cell r="J268">
            <v>11422.88</v>
          </cell>
        </row>
        <row r="269">
          <cell r="B269" t="str">
            <v>- 잡유</v>
          </cell>
          <cell r="C269" t="str">
            <v>주연료*38%</v>
          </cell>
          <cell r="D269">
            <v>1</v>
          </cell>
          <cell r="E269" t="str">
            <v>식</v>
          </cell>
          <cell r="J269">
            <v>4340.6943999999994</v>
          </cell>
        </row>
        <row r="270">
          <cell r="B270" t="str">
            <v>- 조종원</v>
          </cell>
          <cell r="D270">
            <v>0.17</v>
          </cell>
          <cell r="E270" t="str">
            <v>인</v>
          </cell>
          <cell r="G270">
            <v>51077</v>
          </cell>
          <cell r="H270">
            <v>8683</v>
          </cell>
        </row>
        <row r="272">
          <cell r="A272" t="str">
            <v>Air Compressor</v>
          </cell>
          <cell r="C272" t="str">
            <v>7.1㎥/min</v>
          </cell>
          <cell r="H272">
            <v>9681</v>
          </cell>
          <cell r="J272">
            <v>6189</v>
          </cell>
        </row>
        <row r="274">
          <cell r="B274" t="str">
            <v>- 경유</v>
          </cell>
          <cell r="D274">
            <v>9.8000000000000007</v>
          </cell>
          <cell r="E274" t="str">
            <v>L</v>
          </cell>
          <cell r="I274">
            <v>526.4</v>
          </cell>
          <cell r="J274">
            <v>5158</v>
          </cell>
        </row>
        <row r="275">
          <cell r="B275" t="str">
            <v>- 잡유</v>
          </cell>
          <cell r="C275" t="str">
            <v>주연료*20%</v>
          </cell>
          <cell r="D275">
            <v>1</v>
          </cell>
          <cell r="E275" t="str">
            <v>식</v>
          </cell>
          <cell r="J275">
            <v>1031</v>
          </cell>
        </row>
        <row r="276">
          <cell r="B276" t="str">
            <v>- 조종원</v>
          </cell>
          <cell r="D276">
            <v>0.17</v>
          </cell>
          <cell r="E276" t="str">
            <v>인</v>
          </cell>
          <cell r="G276">
            <v>56951</v>
          </cell>
          <cell r="H276">
            <v>9681</v>
          </cell>
        </row>
        <row r="278">
          <cell r="A278" t="str">
            <v>Air Compressor</v>
          </cell>
          <cell r="C278" t="str">
            <v>10.3㎥/min</v>
          </cell>
          <cell r="H278">
            <v>9681</v>
          </cell>
          <cell r="J278">
            <v>8779</v>
          </cell>
        </row>
        <row r="280">
          <cell r="B280" t="str">
            <v>- 경유</v>
          </cell>
          <cell r="D280">
            <v>13.9</v>
          </cell>
          <cell r="E280" t="str">
            <v>L</v>
          </cell>
          <cell r="I280">
            <v>526.4</v>
          </cell>
          <cell r="J280">
            <v>7316</v>
          </cell>
        </row>
        <row r="281">
          <cell r="B281" t="str">
            <v>- 잡유</v>
          </cell>
          <cell r="C281" t="str">
            <v>주연료*20%</v>
          </cell>
          <cell r="D281">
            <v>1</v>
          </cell>
          <cell r="E281" t="str">
            <v>식</v>
          </cell>
          <cell r="J281">
            <v>1463</v>
          </cell>
        </row>
        <row r="282">
          <cell r="B282" t="str">
            <v>- 조종원</v>
          </cell>
          <cell r="D282">
            <v>0.17</v>
          </cell>
          <cell r="E282" t="str">
            <v>인</v>
          </cell>
          <cell r="G282">
            <v>56951</v>
          </cell>
          <cell r="H282">
            <v>9681</v>
          </cell>
        </row>
        <row r="284">
          <cell r="A284" t="str">
            <v>Trailer</v>
          </cell>
          <cell r="C284" t="str">
            <v>20ton</v>
          </cell>
          <cell r="D284">
            <v>1</v>
          </cell>
          <cell r="E284" t="str">
            <v>hr</v>
          </cell>
          <cell r="H284">
            <v>9681</v>
          </cell>
          <cell r="J284">
            <v>15109</v>
          </cell>
        </row>
        <row r="286">
          <cell r="B286" t="str">
            <v>- 경유</v>
          </cell>
          <cell r="D286">
            <v>20.8</v>
          </cell>
          <cell r="E286" t="str">
            <v>L</v>
          </cell>
          <cell r="I286">
            <v>526.4</v>
          </cell>
          <cell r="J286">
            <v>10949.12</v>
          </cell>
        </row>
        <row r="287">
          <cell r="A287" t="str">
            <v>종       별</v>
          </cell>
          <cell r="C287" t="str">
            <v>재 료 또 는</v>
          </cell>
          <cell r="D287" t="str">
            <v xml:space="preserve">원 수 </v>
          </cell>
          <cell r="E287" t="str">
            <v>단 위</v>
          </cell>
          <cell r="F287" t="str">
            <v>총   액</v>
          </cell>
          <cell r="G287" t="str">
            <v>노   무   비</v>
          </cell>
          <cell r="I287" t="str">
            <v>재   료   비</v>
          </cell>
          <cell r="K287" t="str">
            <v>경      비</v>
          </cell>
          <cell r="M287" t="str">
            <v>비   고</v>
          </cell>
        </row>
        <row r="288">
          <cell r="C288" t="str">
            <v xml:space="preserve">규       격 </v>
          </cell>
          <cell r="F288" t="str">
            <v>금   액</v>
          </cell>
          <cell r="G288" t="str">
            <v>단  가</v>
          </cell>
          <cell r="H288" t="str">
            <v>금   액</v>
          </cell>
          <cell r="I288" t="str">
            <v>단  가</v>
          </cell>
          <cell r="J288" t="str">
            <v>금   액</v>
          </cell>
          <cell r="K288" t="str">
            <v>단  가</v>
          </cell>
          <cell r="L288" t="str">
            <v>금   액</v>
          </cell>
        </row>
        <row r="289">
          <cell r="B289" t="str">
            <v>- 잡유</v>
          </cell>
          <cell r="C289" t="str">
            <v>주연료*38%</v>
          </cell>
          <cell r="D289">
            <v>1</v>
          </cell>
          <cell r="E289" t="str">
            <v>식</v>
          </cell>
          <cell r="J289">
            <v>4160.6656000000003</v>
          </cell>
        </row>
        <row r="290">
          <cell r="B290" t="str">
            <v>- 조종원</v>
          </cell>
          <cell r="D290">
            <v>0.17</v>
          </cell>
          <cell r="E290" t="str">
            <v>인</v>
          </cell>
          <cell r="G290">
            <v>56951</v>
          </cell>
          <cell r="H290">
            <v>9681</v>
          </cell>
        </row>
        <row r="292">
          <cell r="A292" t="str">
            <v>발 전 기</v>
          </cell>
          <cell r="C292" t="str">
            <v>50 kw</v>
          </cell>
          <cell r="D292">
            <v>1</v>
          </cell>
          <cell r="E292" t="str">
            <v>hr</v>
          </cell>
          <cell r="H292">
            <v>9235</v>
          </cell>
          <cell r="J292">
            <v>8338</v>
          </cell>
        </row>
        <row r="294">
          <cell r="B294" t="str">
            <v>- 경유</v>
          </cell>
          <cell r="D294">
            <v>13.2</v>
          </cell>
          <cell r="E294" t="str">
            <v>L</v>
          </cell>
          <cell r="I294">
            <v>526.4</v>
          </cell>
          <cell r="J294">
            <v>6948.48</v>
          </cell>
        </row>
        <row r="295">
          <cell r="B295" t="str">
            <v>- 잡유</v>
          </cell>
          <cell r="C295" t="str">
            <v>주연료*20%</v>
          </cell>
          <cell r="D295">
            <v>1</v>
          </cell>
          <cell r="E295" t="str">
            <v>식</v>
          </cell>
          <cell r="J295">
            <v>1389.6959999999997</v>
          </cell>
        </row>
        <row r="296">
          <cell r="B296" t="str">
            <v>- 조종원</v>
          </cell>
          <cell r="D296">
            <v>0.17</v>
          </cell>
          <cell r="E296" t="str">
            <v>인</v>
          </cell>
          <cell r="G296">
            <v>54325</v>
          </cell>
          <cell r="H296">
            <v>9235</v>
          </cell>
        </row>
        <row r="297">
          <cell r="A297" t="str">
            <v>Truck Crane</v>
          </cell>
          <cell r="C297" t="str">
            <v>10ton</v>
          </cell>
          <cell r="D297">
            <v>1</v>
          </cell>
          <cell r="E297" t="str">
            <v>hr</v>
          </cell>
          <cell r="H297">
            <v>18615</v>
          </cell>
          <cell r="J297">
            <v>3486</v>
          </cell>
        </row>
        <row r="299">
          <cell r="B299" t="str">
            <v>- 경유</v>
          </cell>
          <cell r="D299">
            <v>4.8</v>
          </cell>
          <cell r="E299" t="str">
            <v>L</v>
          </cell>
          <cell r="I299">
            <v>526.4</v>
          </cell>
          <cell r="J299">
            <v>2526.7199999999998</v>
          </cell>
          <cell r="L299" t="str">
            <v xml:space="preserve"> </v>
          </cell>
        </row>
        <row r="300">
          <cell r="B300" t="str">
            <v>- 잡유</v>
          </cell>
          <cell r="C300" t="str">
            <v>주연료*38%</v>
          </cell>
          <cell r="D300">
            <v>1</v>
          </cell>
          <cell r="E300" t="str">
            <v>식</v>
          </cell>
          <cell r="J300">
            <v>960.15359999999987</v>
          </cell>
        </row>
        <row r="301">
          <cell r="B301" t="str">
            <v>- 조종원</v>
          </cell>
          <cell r="D301">
            <v>0.17</v>
          </cell>
          <cell r="E301" t="str">
            <v>인</v>
          </cell>
          <cell r="G301">
            <v>56951</v>
          </cell>
          <cell r="H301">
            <v>9681.67</v>
          </cell>
        </row>
        <row r="302">
          <cell r="B302" t="str">
            <v>- 조수</v>
          </cell>
          <cell r="D302">
            <v>0.17</v>
          </cell>
          <cell r="E302" t="str">
            <v>"</v>
          </cell>
          <cell r="G302">
            <v>42762</v>
          </cell>
          <cell r="H302">
            <v>7269.54</v>
          </cell>
        </row>
        <row r="303">
          <cell r="B303" t="str">
            <v>- 중기조장</v>
          </cell>
          <cell r="D303">
            <v>0.03</v>
          </cell>
          <cell r="E303" t="str">
            <v>"</v>
          </cell>
          <cell r="G303">
            <v>55484</v>
          </cell>
          <cell r="H303">
            <v>1664.52</v>
          </cell>
        </row>
        <row r="311">
          <cell r="E311" t="str">
            <v xml:space="preserve"> </v>
          </cell>
        </row>
        <row r="312">
          <cell r="B312" t="str">
            <v>'98 년 도  수 문 일 위 대 가 표  총 괄</v>
          </cell>
        </row>
        <row r="314">
          <cell r="A314" t="str">
            <v>종       별</v>
          </cell>
          <cell r="C314" t="str">
            <v>재 료 또 는</v>
          </cell>
          <cell r="D314" t="str">
            <v xml:space="preserve">원 수 </v>
          </cell>
          <cell r="E314" t="str">
            <v>단 위</v>
          </cell>
          <cell r="F314" t="str">
            <v>총   액</v>
          </cell>
          <cell r="G314" t="str">
            <v>노   무   비</v>
          </cell>
          <cell r="I314" t="str">
            <v>재   료   비</v>
          </cell>
          <cell r="K314" t="str">
            <v>경      비</v>
          </cell>
          <cell r="M314" t="str">
            <v>비   고</v>
          </cell>
        </row>
        <row r="315">
          <cell r="C315" t="str">
            <v xml:space="preserve">규       격 </v>
          </cell>
          <cell r="F315" t="str">
            <v>금   액</v>
          </cell>
          <cell r="G315" t="str">
            <v>단  가</v>
          </cell>
          <cell r="H315" t="str">
            <v>금   액</v>
          </cell>
          <cell r="I315" t="str">
            <v>단  가</v>
          </cell>
          <cell r="J315" t="str">
            <v>금   액</v>
          </cell>
          <cell r="K315" t="str">
            <v>단  가</v>
          </cell>
          <cell r="L315" t="str">
            <v>금   액</v>
          </cell>
        </row>
        <row r="316">
          <cell r="A316" t="str">
            <v xml:space="preserve">◈ROLLER GATE </v>
          </cell>
          <cell r="C316" t="str">
            <v xml:space="preserve"> </v>
          </cell>
        </row>
        <row r="317">
          <cell r="A317" t="str">
            <v xml:space="preserve"> </v>
          </cell>
          <cell r="B317" t="str">
            <v>⊙ 제작 가공비</v>
          </cell>
        </row>
        <row r="318">
          <cell r="A318" t="str">
            <v xml:space="preserve"> </v>
          </cell>
          <cell r="B318" t="str">
            <v>▷GATE LEAF</v>
          </cell>
          <cell r="C318" t="str">
            <v>소   계</v>
          </cell>
          <cell r="F318">
            <v>1668518</v>
          </cell>
          <cell r="H318">
            <v>1322330</v>
          </cell>
          <cell r="J318">
            <v>237292</v>
          </cell>
          <cell r="L318">
            <v>108896</v>
          </cell>
        </row>
        <row r="319">
          <cell r="A319" t="str">
            <v xml:space="preserve"> </v>
          </cell>
          <cell r="C319" t="str">
            <v>인 건 비</v>
          </cell>
          <cell r="D319">
            <v>1</v>
          </cell>
          <cell r="E319" t="str">
            <v>TON</v>
          </cell>
          <cell r="F319">
            <v>1195828</v>
          </cell>
          <cell r="H319">
            <v>1195828</v>
          </cell>
        </row>
        <row r="320">
          <cell r="A320" t="str">
            <v xml:space="preserve"> </v>
          </cell>
          <cell r="C320" t="str">
            <v>사용장비경비</v>
          </cell>
          <cell r="D320">
            <v>1</v>
          </cell>
          <cell r="E320" t="str">
            <v>TON</v>
          </cell>
          <cell r="F320">
            <v>247732</v>
          </cell>
          <cell r="H320">
            <v>126502</v>
          </cell>
          <cell r="J320">
            <v>31430</v>
          </cell>
          <cell r="L320">
            <v>89800</v>
          </cell>
        </row>
        <row r="321">
          <cell r="A321" t="str">
            <v xml:space="preserve"> </v>
          </cell>
          <cell r="C321" t="str">
            <v>소모자재비</v>
          </cell>
          <cell r="D321">
            <v>1</v>
          </cell>
          <cell r="E321" t="str">
            <v>TON</v>
          </cell>
          <cell r="F321">
            <v>224958</v>
          </cell>
          <cell r="J321">
            <v>205862</v>
          </cell>
          <cell r="L321">
            <v>19096</v>
          </cell>
        </row>
        <row r="323">
          <cell r="A323" t="str">
            <v xml:space="preserve"> </v>
          </cell>
          <cell r="B323" t="str">
            <v>▷GUIDE FRAME</v>
          </cell>
          <cell r="C323" t="str">
            <v>소   계</v>
          </cell>
          <cell r="F323">
            <v>4324511</v>
          </cell>
          <cell r="H323">
            <v>3911039</v>
          </cell>
          <cell r="J323">
            <v>289792</v>
          </cell>
          <cell r="L323">
            <v>123680</v>
          </cell>
        </row>
        <row r="324">
          <cell r="A324" t="str">
            <v xml:space="preserve"> </v>
          </cell>
          <cell r="C324" t="str">
            <v>인 건 비</v>
          </cell>
          <cell r="D324">
            <v>1</v>
          </cell>
          <cell r="E324" t="str">
            <v>TON</v>
          </cell>
          <cell r="F324">
            <v>3784537</v>
          </cell>
          <cell r="H324">
            <v>3784537</v>
          </cell>
        </row>
        <row r="325">
          <cell r="A325" t="str">
            <v xml:space="preserve"> </v>
          </cell>
          <cell r="C325" t="str">
            <v>사용장비경비</v>
          </cell>
          <cell r="D325">
            <v>1</v>
          </cell>
          <cell r="E325" t="str">
            <v>TON</v>
          </cell>
          <cell r="F325">
            <v>247732</v>
          </cell>
          <cell r="H325">
            <v>126502</v>
          </cell>
          <cell r="J325">
            <v>31430</v>
          </cell>
          <cell r="L325">
            <v>89800</v>
          </cell>
          <cell r="M325" t="str">
            <v>ROLLER GATE
LEAF 적용</v>
          </cell>
        </row>
        <row r="326">
          <cell r="A326" t="str">
            <v xml:space="preserve"> </v>
          </cell>
          <cell r="C326" t="str">
            <v>소모자재비</v>
          </cell>
          <cell r="D326">
            <v>1</v>
          </cell>
          <cell r="E326" t="str">
            <v>TON</v>
          </cell>
          <cell r="F326">
            <v>292242</v>
          </cell>
          <cell r="J326">
            <v>258362</v>
          </cell>
          <cell r="L326">
            <v>33880</v>
          </cell>
        </row>
        <row r="328">
          <cell r="A328" t="str">
            <v xml:space="preserve"> </v>
          </cell>
          <cell r="B328" t="str">
            <v>⊙ 설  치  비</v>
          </cell>
        </row>
        <row r="329">
          <cell r="A329" t="str">
            <v xml:space="preserve"> </v>
          </cell>
          <cell r="B329" t="str">
            <v>▷GATE LEAF</v>
          </cell>
          <cell r="C329" t="str">
            <v>소   계</v>
          </cell>
          <cell r="F329">
            <v>2471576</v>
          </cell>
          <cell r="H329">
            <v>1670029</v>
          </cell>
          <cell r="J329">
            <v>226123</v>
          </cell>
          <cell r="L329">
            <v>575424</v>
          </cell>
        </row>
        <row r="330">
          <cell r="A330" t="str">
            <v>종       별</v>
          </cell>
          <cell r="C330" t="str">
            <v>재 료 또 는</v>
          </cell>
          <cell r="D330" t="str">
            <v xml:space="preserve">원 수 </v>
          </cell>
          <cell r="E330" t="str">
            <v>단 위</v>
          </cell>
          <cell r="F330" t="str">
            <v>총   액</v>
          </cell>
          <cell r="G330" t="str">
            <v>노   무   비</v>
          </cell>
          <cell r="I330" t="str">
            <v>재   료   비</v>
          </cell>
          <cell r="K330" t="str">
            <v>경      비</v>
          </cell>
          <cell r="M330" t="str">
            <v>비   고</v>
          </cell>
        </row>
        <row r="331">
          <cell r="C331" t="str">
            <v xml:space="preserve">규       격 </v>
          </cell>
          <cell r="F331" t="str">
            <v>금   액</v>
          </cell>
          <cell r="G331" t="str">
            <v>단  가</v>
          </cell>
          <cell r="H331" t="str">
            <v>금   액</v>
          </cell>
          <cell r="I331" t="str">
            <v>단  가</v>
          </cell>
          <cell r="J331" t="str">
            <v>금   액</v>
          </cell>
          <cell r="K331" t="str">
            <v>단  가</v>
          </cell>
          <cell r="L331" t="str">
            <v>금   액</v>
          </cell>
        </row>
        <row r="332">
          <cell r="A332" t="str">
            <v xml:space="preserve"> </v>
          </cell>
          <cell r="C332" t="str">
            <v>인 건 비</v>
          </cell>
          <cell r="D332">
            <v>1</v>
          </cell>
          <cell r="E332" t="str">
            <v>TON</v>
          </cell>
          <cell r="F332">
            <v>1091285</v>
          </cell>
          <cell r="H332">
            <v>1091285</v>
          </cell>
        </row>
        <row r="333">
          <cell r="A333" t="str">
            <v xml:space="preserve"> </v>
          </cell>
          <cell r="C333" t="str">
            <v>사용장비경비</v>
          </cell>
          <cell r="D333">
            <v>1</v>
          </cell>
          <cell r="E333" t="str">
            <v>TON</v>
          </cell>
          <cell r="F333">
            <v>1341424</v>
          </cell>
          <cell r="H333">
            <v>578744</v>
          </cell>
          <cell r="J333">
            <v>187256</v>
          </cell>
          <cell r="L333">
            <v>575424</v>
          </cell>
        </row>
        <row r="334">
          <cell r="A334" t="str">
            <v xml:space="preserve"> </v>
          </cell>
          <cell r="C334" t="str">
            <v>소모자재비</v>
          </cell>
          <cell r="D334">
            <v>1</v>
          </cell>
          <cell r="E334" t="str">
            <v>TON</v>
          </cell>
          <cell r="F334">
            <v>38867</v>
          </cell>
          <cell r="J334">
            <v>38867</v>
          </cell>
        </row>
        <row r="336">
          <cell r="A336" t="str">
            <v xml:space="preserve"> </v>
          </cell>
          <cell r="B336" t="str">
            <v>▷GUIDE FRAME</v>
          </cell>
          <cell r="C336" t="str">
            <v>소   계</v>
          </cell>
          <cell r="F336">
            <v>5148432</v>
          </cell>
          <cell r="H336">
            <v>4267975</v>
          </cell>
          <cell r="J336">
            <v>305033</v>
          </cell>
          <cell r="L336">
            <v>575424</v>
          </cell>
        </row>
        <row r="337">
          <cell r="A337" t="str">
            <v xml:space="preserve"> </v>
          </cell>
          <cell r="C337" t="str">
            <v>인 건 비</v>
          </cell>
          <cell r="D337">
            <v>1</v>
          </cell>
          <cell r="E337" t="str">
            <v>TON</v>
          </cell>
          <cell r="F337">
            <v>3689231</v>
          </cell>
          <cell r="H337">
            <v>3689231</v>
          </cell>
        </row>
        <row r="338">
          <cell r="A338" t="str">
            <v xml:space="preserve"> </v>
          </cell>
          <cell r="C338" t="str">
            <v>사용장비경비</v>
          </cell>
          <cell r="D338">
            <v>1</v>
          </cell>
          <cell r="E338" t="str">
            <v>TON</v>
          </cell>
          <cell r="F338">
            <v>1341424</v>
          </cell>
          <cell r="H338">
            <v>578744</v>
          </cell>
          <cell r="J338">
            <v>187256</v>
          </cell>
          <cell r="L338">
            <v>575424</v>
          </cell>
        </row>
        <row r="339">
          <cell r="A339" t="str">
            <v xml:space="preserve"> </v>
          </cell>
          <cell r="C339" t="str">
            <v>소모자재비</v>
          </cell>
          <cell r="D339">
            <v>1</v>
          </cell>
          <cell r="E339" t="str">
            <v>TON</v>
          </cell>
          <cell r="F339">
            <v>117777</v>
          </cell>
          <cell r="J339">
            <v>117777</v>
          </cell>
        </row>
        <row r="341">
          <cell r="A341" t="str">
            <v xml:space="preserve"> </v>
          </cell>
          <cell r="B341" t="str">
            <v>▷ HOIST</v>
          </cell>
          <cell r="C341" t="str">
            <v>소   계</v>
          </cell>
          <cell r="F341">
            <v>2100502</v>
          </cell>
          <cell r="H341">
            <v>1186896</v>
          </cell>
          <cell r="J341">
            <v>275550</v>
          </cell>
          <cell r="L341">
            <v>638056</v>
          </cell>
        </row>
        <row r="342">
          <cell r="A342" t="str">
            <v xml:space="preserve"> </v>
          </cell>
          <cell r="C342" t="str">
            <v>인 건 비</v>
          </cell>
          <cell r="D342">
            <v>1</v>
          </cell>
          <cell r="E342" t="str">
            <v>TON</v>
          </cell>
          <cell r="F342">
            <v>687704</v>
          </cell>
          <cell r="H342">
            <v>687704</v>
          </cell>
        </row>
        <row r="343">
          <cell r="A343" t="str">
            <v xml:space="preserve"> </v>
          </cell>
          <cell r="C343" t="str">
            <v>사용장비경비</v>
          </cell>
          <cell r="D343">
            <v>1</v>
          </cell>
          <cell r="E343" t="str">
            <v>TON</v>
          </cell>
          <cell r="F343">
            <v>1384600</v>
          </cell>
          <cell r="H343">
            <v>499192</v>
          </cell>
          <cell r="J343">
            <v>247352</v>
          </cell>
          <cell r="L343">
            <v>638056</v>
          </cell>
        </row>
        <row r="344">
          <cell r="A344" t="str">
            <v xml:space="preserve"> </v>
          </cell>
          <cell r="C344" t="str">
            <v>소모자재비</v>
          </cell>
          <cell r="D344">
            <v>1</v>
          </cell>
          <cell r="E344" t="str">
            <v>TON</v>
          </cell>
          <cell r="F344">
            <v>28198</v>
          </cell>
          <cell r="J344">
            <v>28198</v>
          </cell>
        </row>
        <row r="345">
          <cell r="A345" t="str">
            <v>◈ STOP LOG</v>
          </cell>
        </row>
        <row r="346">
          <cell r="B346" t="str">
            <v>⊙ 제작 가공비</v>
          </cell>
        </row>
        <row r="347">
          <cell r="B347" t="str">
            <v>▷GATE LEAF</v>
          </cell>
          <cell r="C347" t="str">
            <v>소   계</v>
          </cell>
          <cell r="F347">
            <v>1301484.2280000001</v>
          </cell>
          <cell r="H347">
            <v>1137185</v>
          </cell>
          <cell r="J347">
            <v>65315</v>
          </cell>
          <cell r="L347">
            <v>98984.228000000003</v>
          </cell>
        </row>
        <row r="348">
          <cell r="C348" t="str">
            <v>인 건 비</v>
          </cell>
          <cell r="E348" t="str">
            <v>TON</v>
          </cell>
          <cell r="F348">
            <v>985817</v>
          </cell>
          <cell r="H348">
            <v>985817</v>
          </cell>
        </row>
        <row r="349">
          <cell r="A349" t="str">
            <v>종       별</v>
          </cell>
          <cell r="C349" t="str">
            <v>재 료 또 는</v>
          </cell>
          <cell r="D349" t="str">
            <v xml:space="preserve">원 수 </v>
          </cell>
          <cell r="E349" t="str">
            <v>단 위</v>
          </cell>
          <cell r="F349" t="str">
            <v>총   액</v>
          </cell>
          <cell r="G349" t="str">
            <v>노   무   비</v>
          </cell>
          <cell r="I349" t="str">
            <v>재   료   비</v>
          </cell>
          <cell r="K349" t="str">
            <v>경      비</v>
          </cell>
          <cell r="M349" t="str">
            <v>비   고</v>
          </cell>
        </row>
        <row r="350">
          <cell r="C350" t="str">
            <v xml:space="preserve">규       격 </v>
          </cell>
          <cell r="F350" t="str">
            <v>금   액</v>
          </cell>
          <cell r="G350" t="str">
            <v>단  가</v>
          </cell>
          <cell r="H350" t="str">
            <v>금   액</v>
          </cell>
          <cell r="I350" t="str">
            <v>단  가</v>
          </cell>
          <cell r="J350" t="str">
            <v>금   액</v>
          </cell>
          <cell r="K350" t="str">
            <v>단  가</v>
          </cell>
          <cell r="L350" t="str">
            <v>금   액</v>
          </cell>
        </row>
        <row r="351">
          <cell r="C351" t="str">
            <v>사용장비경비</v>
          </cell>
          <cell r="E351" t="str">
            <v>TON</v>
          </cell>
          <cell r="F351">
            <v>289048.228</v>
          </cell>
          <cell r="H351">
            <v>151368</v>
          </cell>
          <cell r="J351">
            <v>38696</v>
          </cell>
          <cell r="L351">
            <v>98984.228000000003</v>
          </cell>
        </row>
        <row r="352">
          <cell r="A352" t="str">
            <v xml:space="preserve"> </v>
          </cell>
          <cell r="C352" t="str">
            <v>소모자재비</v>
          </cell>
          <cell r="E352" t="str">
            <v>TON</v>
          </cell>
          <cell r="F352">
            <v>26619</v>
          </cell>
          <cell r="J352">
            <v>26619</v>
          </cell>
        </row>
        <row r="354">
          <cell r="A354" t="str">
            <v xml:space="preserve"> </v>
          </cell>
          <cell r="B354" t="str">
            <v>▷GUIDE FRAME</v>
          </cell>
          <cell r="C354" t="str">
            <v>소   계</v>
          </cell>
          <cell r="F354">
            <v>4324511</v>
          </cell>
          <cell r="H354">
            <v>3911039</v>
          </cell>
          <cell r="J354">
            <v>289792</v>
          </cell>
          <cell r="L354">
            <v>123680</v>
          </cell>
          <cell r="M354" t="str">
            <v>ROLLER GATE 
GUIDE FRAME적용</v>
          </cell>
        </row>
        <row r="355">
          <cell r="A355" t="str">
            <v xml:space="preserve"> </v>
          </cell>
          <cell r="C355" t="str">
            <v>인 건 비</v>
          </cell>
          <cell r="E355" t="str">
            <v>TON</v>
          </cell>
          <cell r="F355">
            <v>3784537</v>
          </cell>
          <cell r="H355">
            <v>3784537</v>
          </cell>
          <cell r="M355" t="str">
            <v>"</v>
          </cell>
        </row>
        <row r="356">
          <cell r="A356" t="str">
            <v xml:space="preserve"> </v>
          </cell>
          <cell r="C356" t="str">
            <v>사용장비경비</v>
          </cell>
          <cell r="E356" t="str">
            <v>TON</v>
          </cell>
          <cell r="F356">
            <v>247732</v>
          </cell>
          <cell r="H356">
            <v>126502</v>
          </cell>
          <cell r="J356">
            <v>31430</v>
          </cell>
          <cell r="L356">
            <v>89800</v>
          </cell>
          <cell r="M356" t="str">
            <v>"</v>
          </cell>
        </row>
        <row r="357">
          <cell r="C357" t="str">
            <v>소모자재비</v>
          </cell>
          <cell r="E357" t="str">
            <v>TON</v>
          </cell>
          <cell r="F357">
            <v>292242</v>
          </cell>
          <cell r="J357">
            <v>258362</v>
          </cell>
          <cell r="L357">
            <v>33880</v>
          </cell>
          <cell r="M357" t="str">
            <v>"</v>
          </cell>
        </row>
        <row r="359">
          <cell r="B359" t="str">
            <v>▷LIFTING BEAM</v>
          </cell>
          <cell r="C359" t="str">
            <v>소   계</v>
          </cell>
          <cell r="F359">
            <v>1301484.2280000001</v>
          </cell>
          <cell r="H359">
            <v>1137185</v>
          </cell>
          <cell r="J359">
            <v>65315</v>
          </cell>
          <cell r="L359">
            <v>98984.228000000003</v>
          </cell>
          <cell r="M359" t="str">
            <v>STOP LOG LEAF
적용</v>
          </cell>
        </row>
        <row r="360">
          <cell r="C360" t="str">
            <v>인 건 비</v>
          </cell>
          <cell r="E360" t="str">
            <v>TON</v>
          </cell>
          <cell r="F360">
            <v>985817</v>
          </cell>
          <cell r="H360">
            <v>985817</v>
          </cell>
          <cell r="M360" t="str">
            <v>"</v>
          </cell>
        </row>
        <row r="361">
          <cell r="C361" t="str">
            <v>사용장비경비</v>
          </cell>
          <cell r="E361" t="str">
            <v>TON</v>
          </cell>
          <cell r="F361">
            <v>289048.228</v>
          </cell>
          <cell r="H361">
            <v>151368</v>
          </cell>
          <cell r="J361">
            <v>38696</v>
          </cell>
          <cell r="L361">
            <v>98984.228000000003</v>
          </cell>
          <cell r="M361" t="str">
            <v>"</v>
          </cell>
        </row>
        <row r="362">
          <cell r="C362" t="str">
            <v>소모자재비</v>
          </cell>
          <cell r="E362" t="str">
            <v>TON</v>
          </cell>
          <cell r="F362">
            <v>26619</v>
          </cell>
          <cell r="J362">
            <v>26619</v>
          </cell>
          <cell r="M362" t="str">
            <v>"</v>
          </cell>
        </row>
        <row r="363">
          <cell r="B363" t="str">
            <v>⊙ 설  치  비</v>
          </cell>
        </row>
        <row r="364">
          <cell r="B364" t="str">
            <v>▷GATE LEAF</v>
          </cell>
          <cell r="C364" t="str">
            <v>소   계</v>
          </cell>
          <cell r="F364">
            <v>1483011</v>
          </cell>
          <cell r="H364">
            <v>862692</v>
          </cell>
          <cell r="J364">
            <v>237294</v>
          </cell>
          <cell r="L364">
            <v>383025</v>
          </cell>
        </row>
        <row r="365">
          <cell r="C365" t="str">
            <v>인 건 비</v>
          </cell>
          <cell r="E365" t="str">
            <v>TON</v>
          </cell>
          <cell r="F365">
            <v>562444</v>
          </cell>
          <cell r="H365">
            <v>562444</v>
          </cell>
        </row>
        <row r="366">
          <cell r="C366" t="str">
            <v>사용장비경비</v>
          </cell>
          <cell r="E366" t="str">
            <v>TON</v>
          </cell>
          <cell r="F366">
            <v>744864</v>
          </cell>
          <cell r="H366">
            <v>300248</v>
          </cell>
          <cell r="J366">
            <v>80440</v>
          </cell>
          <cell r="L366">
            <v>364176</v>
          </cell>
        </row>
        <row r="367">
          <cell r="C367" t="str">
            <v>소모자재비</v>
          </cell>
          <cell r="E367" t="str">
            <v>TON</v>
          </cell>
          <cell r="F367">
            <v>175703</v>
          </cell>
          <cell r="J367">
            <v>156854</v>
          </cell>
          <cell r="L367">
            <v>18849</v>
          </cell>
        </row>
        <row r="368">
          <cell r="A368" t="str">
            <v>종       별</v>
          </cell>
          <cell r="C368" t="str">
            <v>재 료 또 는</v>
          </cell>
          <cell r="D368" t="str">
            <v xml:space="preserve">원 수 </v>
          </cell>
          <cell r="E368" t="str">
            <v>단 위</v>
          </cell>
          <cell r="F368" t="str">
            <v>총   액</v>
          </cell>
          <cell r="G368" t="str">
            <v>노   무   비</v>
          </cell>
          <cell r="I368" t="str">
            <v>재   료   비</v>
          </cell>
          <cell r="K368" t="str">
            <v>경      비</v>
          </cell>
          <cell r="M368" t="str">
            <v>비   고</v>
          </cell>
        </row>
        <row r="369">
          <cell r="C369" t="str">
            <v xml:space="preserve">규       격 </v>
          </cell>
          <cell r="F369" t="str">
            <v>금   액</v>
          </cell>
          <cell r="G369" t="str">
            <v>단  가</v>
          </cell>
          <cell r="H369" t="str">
            <v>금   액</v>
          </cell>
          <cell r="I369" t="str">
            <v>단  가</v>
          </cell>
          <cell r="J369" t="str">
            <v>금   액</v>
          </cell>
          <cell r="K369" t="str">
            <v>단  가</v>
          </cell>
          <cell r="L369" t="str">
            <v>금   액</v>
          </cell>
        </row>
        <row r="370">
          <cell r="B370" t="str">
            <v>▷GUIDE FRAME</v>
          </cell>
          <cell r="C370" t="str">
            <v>⇒ ROLLER GATE 적용</v>
          </cell>
        </row>
        <row r="371">
          <cell r="A371" t="str">
            <v xml:space="preserve"> </v>
          </cell>
          <cell r="B371" t="str">
            <v>▷LIFTING BEAM</v>
          </cell>
          <cell r="C371" t="str">
            <v>⇒ STOP LOG LEAF 적용</v>
          </cell>
        </row>
        <row r="373">
          <cell r="A373" t="str">
            <v>◈ RADIAL GATE</v>
          </cell>
        </row>
        <row r="374">
          <cell r="A374" t="str">
            <v xml:space="preserve"> </v>
          </cell>
          <cell r="B374" t="str">
            <v>⊙ 제작 가공비</v>
          </cell>
        </row>
        <row r="376">
          <cell r="A376" t="str">
            <v xml:space="preserve"> </v>
          </cell>
          <cell r="B376" t="str">
            <v>▷GATE LEAF</v>
          </cell>
          <cell r="C376" t="str">
            <v>소   계</v>
          </cell>
          <cell r="F376">
            <v>2124730</v>
          </cell>
          <cell r="H376">
            <v>1660499</v>
          </cell>
          <cell r="J376">
            <v>304929</v>
          </cell>
          <cell r="L376">
            <v>159302</v>
          </cell>
        </row>
        <row r="377">
          <cell r="A377" t="str">
            <v xml:space="preserve"> </v>
          </cell>
          <cell r="C377" t="str">
            <v>인 건 비</v>
          </cell>
          <cell r="E377" t="str">
            <v>TON</v>
          </cell>
          <cell r="F377">
            <v>1502694</v>
          </cell>
          <cell r="H377">
            <v>1502694</v>
          </cell>
        </row>
        <row r="378">
          <cell r="A378" t="str">
            <v xml:space="preserve"> </v>
          </cell>
          <cell r="C378" t="str">
            <v>사용장비경비</v>
          </cell>
          <cell r="E378" t="str">
            <v>TON</v>
          </cell>
          <cell r="F378">
            <v>341716</v>
          </cell>
          <cell r="H378">
            <v>157805</v>
          </cell>
          <cell r="J378">
            <v>47401</v>
          </cell>
          <cell r="L378">
            <v>136510</v>
          </cell>
        </row>
        <row r="379">
          <cell r="A379" t="str">
            <v xml:space="preserve"> </v>
          </cell>
          <cell r="C379" t="str">
            <v>소모자재비</v>
          </cell>
          <cell r="E379" t="str">
            <v>TON</v>
          </cell>
          <cell r="F379">
            <v>280320</v>
          </cell>
          <cell r="J379">
            <v>257528</v>
          </cell>
          <cell r="L379">
            <v>22792</v>
          </cell>
        </row>
        <row r="381">
          <cell r="A381" t="str">
            <v xml:space="preserve"> </v>
          </cell>
          <cell r="B381" t="str">
            <v>▷GUIDE FRAME</v>
          </cell>
          <cell r="C381" t="str">
            <v>소   계</v>
          </cell>
          <cell r="F381">
            <v>4842008</v>
          </cell>
          <cell r="H381">
            <v>4473673</v>
          </cell>
          <cell r="J381">
            <v>195173</v>
          </cell>
          <cell r="L381">
            <v>173162</v>
          </cell>
        </row>
        <row r="382">
          <cell r="A382" t="str">
            <v xml:space="preserve"> </v>
          </cell>
          <cell r="B382" t="str">
            <v xml:space="preserve"> </v>
          </cell>
          <cell r="C382" t="str">
            <v>인 건 비</v>
          </cell>
          <cell r="E382" t="str">
            <v>TON</v>
          </cell>
          <cell r="F382">
            <v>4315868</v>
          </cell>
          <cell r="H382">
            <v>4315868</v>
          </cell>
        </row>
        <row r="383">
          <cell r="A383" t="str">
            <v xml:space="preserve"> </v>
          </cell>
          <cell r="B383" t="str">
            <v xml:space="preserve"> </v>
          </cell>
          <cell r="C383" t="str">
            <v>사용장비경비</v>
          </cell>
          <cell r="E383" t="str">
            <v>TON</v>
          </cell>
          <cell r="F383">
            <v>341716</v>
          </cell>
          <cell r="H383">
            <v>157805</v>
          </cell>
          <cell r="J383">
            <v>47401</v>
          </cell>
          <cell r="L383">
            <v>136510</v>
          </cell>
          <cell r="M383" t="str">
            <v>RADIAL GATE
LEAF 적용</v>
          </cell>
        </row>
        <row r="384">
          <cell r="A384" t="str">
            <v xml:space="preserve"> </v>
          </cell>
          <cell r="C384" t="str">
            <v>소모자재비</v>
          </cell>
          <cell r="E384" t="str">
            <v>TON</v>
          </cell>
          <cell r="F384">
            <v>184424</v>
          </cell>
          <cell r="J384">
            <v>147772</v>
          </cell>
          <cell r="L384">
            <v>36652</v>
          </cell>
        </row>
        <row r="388">
          <cell r="A388" t="str">
            <v>종       별</v>
          </cell>
          <cell r="C388" t="str">
            <v>재 료 또 는</v>
          </cell>
          <cell r="D388" t="str">
            <v xml:space="preserve">원 수 </v>
          </cell>
          <cell r="E388" t="str">
            <v>단 위</v>
          </cell>
          <cell r="F388" t="str">
            <v>총   액</v>
          </cell>
          <cell r="G388" t="str">
            <v>노   무   비</v>
          </cell>
          <cell r="I388" t="str">
            <v>재   료   비</v>
          </cell>
          <cell r="K388" t="str">
            <v>경      비</v>
          </cell>
          <cell r="M388" t="str">
            <v>비   고</v>
          </cell>
        </row>
        <row r="389">
          <cell r="C389" t="str">
            <v xml:space="preserve">규       격 </v>
          </cell>
          <cell r="F389" t="str">
            <v>금   액</v>
          </cell>
          <cell r="G389" t="str">
            <v>단  가</v>
          </cell>
          <cell r="H389" t="str">
            <v>금   액</v>
          </cell>
          <cell r="I389" t="str">
            <v>단  가</v>
          </cell>
          <cell r="J389" t="str">
            <v>금   액</v>
          </cell>
          <cell r="K389" t="str">
            <v>단  가</v>
          </cell>
          <cell r="L389" t="str">
            <v>금   액</v>
          </cell>
        </row>
        <row r="390">
          <cell r="B390" t="str">
            <v>▷ANCHORAGE</v>
          </cell>
          <cell r="C390" t="str">
            <v>소   계</v>
          </cell>
          <cell r="F390">
            <v>3706842</v>
          </cell>
          <cell r="H390">
            <v>3389225</v>
          </cell>
          <cell r="J390">
            <v>155235</v>
          </cell>
          <cell r="L390">
            <v>162382</v>
          </cell>
        </row>
        <row r="391">
          <cell r="C391" t="str">
            <v>인 건 비</v>
          </cell>
          <cell r="E391" t="str">
            <v>TON</v>
          </cell>
          <cell r="F391">
            <v>3231420</v>
          </cell>
          <cell r="H391">
            <v>3231420</v>
          </cell>
        </row>
        <row r="392">
          <cell r="C392" t="str">
            <v>사용장비경비</v>
          </cell>
          <cell r="E392" t="str">
            <v>TON</v>
          </cell>
          <cell r="F392">
            <v>341716</v>
          </cell>
          <cell r="H392">
            <v>157805</v>
          </cell>
          <cell r="J392">
            <v>47401</v>
          </cell>
          <cell r="L392">
            <v>136510</v>
          </cell>
          <cell r="M392" t="str">
            <v>RADIAL GATE
LEAF 적용</v>
          </cell>
        </row>
        <row r="393">
          <cell r="C393" t="str">
            <v>소모자재비</v>
          </cell>
          <cell r="E393" t="str">
            <v>TON</v>
          </cell>
          <cell r="F393">
            <v>133706</v>
          </cell>
          <cell r="J393">
            <v>107834</v>
          </cell>
          <cell r="L393">
            <v>25872</v>
          </cell>
        </row>
        <row r="395">
          <cell r="B395" t="str">
            <v>⊙ 설  치  비</v>
          </cell>
        </row>
        <row r="397">
          <cell r="B397" t="str">
            <v>▷GATE LEAF</v>
          </cell>
          <cell r="C397" t="str">
            <v>소   계</v>
          </cell>
          <cell r="F397">
            <v>3544844.4</v>
          </cell>
          <cell r="H397">
            <v>2061690</v>
          </cell>
          <cell r="J397">
            <v>360170.4</v>
          </cell>
          <cell r="L397">
            <v>1122984</v>
          </cell>
        </row>
        <row r="398">
          <cell r="C398" t="str">
            <v>인 건 비</v>
          </cell>
          <cell r="E398" t="str">
            <v>TON</v>
          </cell>
          <cell r="F398">
            <v>1192994</v>
          </cell>
          <cell r="H398">
            <v>1192994</v>
          </cell>
        </row>
        <row r="399">
          <cell r="A399" t="str">
            <v xml:space="preserve"> </v>
          </cell>
          <cell r="C399" t="str">
            <v>사용장비경비</v>
          </cell>
          <cell r="E399" t="str">
            <v>TON</v>
          </cell>
          <cell r="F399">
            <v>2312752</v>
          </cell>
          <cell r="H399">
            <v>868696</v>
          </cell>
          <cell r="J399">
            <v>321072</v>
          </cell>
          <cell r="K399" t="str">
            <v xml:space="preserve"> </v>
          </cell>
          <cell r="L399">
            <v>1122984</v>
          </cell>
        </row>
        <row r="400">
          <cell r="C400" t="str">
            <v>소모자재비</v>
          </cell>
          <cell r="E400" t="str">
            <v>TON</v>
          </cell>
          <cell r="F400">
            <v>39098.400000000001</v>
          </cell>
          <cell r="J400">
            <v>39098.400000000001</v>
          </cell>
        </row>
        <row r="401">
          <cell r="A401" t="str">
            <v xml:space="preserve"> </v>
          </cell>
        </row>
        <row r="402">
          <cell r="A402" t="str">
            <v xml:space="preserve"> </v>
          </cell>
          <cell r="B402" t="str">
            <v>▷GUIDE FRAME</v>
          </cell>
          <cell r="C402" t="str">
            <v>소   계</v>
          </cell>
          <cell r="F402">
            <v>11345142</v>
          </cell>
          <cell r="H402">
            <v>10426754</v>
          </cell>
          <cell r="J402">
            <v>282044</v>
          </cell>
          <cell r="L402">
            <v>636344</v>
          </cell>
        </row>
        <row r="403">
          <cell r="A403" t="str">
            <v xml:space="preserve"> </v>
          </cell>
          <cell r="C403" t="str">
            <v>인 건 비</v>
          </cell>
          <cell r="E403" t="str">
            <v>TON</v>
          </cell>
          <cell r="F403">
            <v>9780858</v>
          </cell>
          <cell r="H403">
            <v>9780858</v>
          </cell>
        </row>
        <row r="404">
          <cell r="A404" t="str">
            <v xml:space="preserve"> </v>
          </cell>
          <cell r="C404" t="str">
            <v>사용장비경비</v>
          </cell>
          <cell r="E404" t="str">
            <v>TON</v>
          </cell>
          <cell r="F404">
            <v>1533472</v>
          </cell>
          <cell r="H404">
            <v>645896</v>
          </cell>
          <cell r="J404">
            <v>251232</v>
          </cell>
          <cell r="K404" t="str">
            <v xml:space="preserve"> </v>
          </cell>
          <cell r="L404">
            <v>636344</v>
          </cell>
        </row>
        <row r="405">
          <cell r="A405" t="str">
            <v xml:space="preserve"> </v>
          </cell>
          <cell r="C405" t="str">
            <v>소모자재비</v>
          </cell>
          <cell r="E405" t="str">
            <v>TON</v>
          </cell>
          <cell r="F405">
            <v>30812</v>
          </cell>
          <cell r="J405">
            <v>30812</v>
          </cell>
        </row>
        <row r="407">
          <cell r="A407" t="str">
            <v>종       별</v>
          </cell>
          <cell r="C407" t="str">
            <v>재 료 또 는</v>
          </cell>
          <cell r="D407" t="str">
            <v xml:space="preserve">원 수 </v>
          </cell>
          <cell r="E407" t="str">
            <v>단 위</v>
          </cell>
          <cell r="F407" t="str">
            <v>총   액</v>
          </cell>
          <cell r="G407" t="str">
            <v>노   무   비</v>
          </cell>
          <cell r="I407" t="str">
            <v>재   료   비</v>
          </cell>
          <cell r="K407" t="str">
            <v>경      비</v>
          </cell>
          <cell r="M407" t="str">
            <v>비   고</v>
          </cell>
        </row>
        <row r="408">
          <cell r="C408" t="str">
            <v xml:space="preserve">규       격 </v>
          </cell>
          <cell r="F408" t="str">
            <v>금   액</v>
          </cell>
          <cell r="G408" t="str">
            <v>단  가</v>
          </cell>
          <cell r="H408" t="str">
            <v>금   액</v>
          </cell>
          <cell r="I408" t="str">
            <v>단  가</v>
          </cell>
          <cell r="J408" t="str">
            <v>금   액</v>
          </cell>
          <cell r="K408" t="str">
            <v>단  가</v>
          </cell>
          <cell r="L408" t="str">
            <v>금   액</v>
          </cell>
        </row>
        <row r="409">
          <cell r="A409" t="str">
            <v xml:space="preserve"> </v>
          </cell>
          <cell r="B409" t="str">
            <v>▷ANCHORAGE</v>
          </cell>
          <cell r="C409" t="str">
            <v>소   계</v>
          </cell>
          <cell r="F409">
            <v>3544844.4</v>
          </cell>
          <cell r="H409">
            <v>2061690</v>
          </cell>
          <cell r="J409">
            <v>360170.4</v>
          </cell>
          <cell r="L409">
            <v>1122984</v>
          </cell>
        </row>
        <row r="410">
          <cell r="A410" t="str">
            <v xml:space="preserve"> </v>
          </cell>
          <cell r="C410" t="str">
            <v>인 건 비</v>
          </cell>
          <cell r="E410" t="str">
            <v>TON</v>
          </cell>
          <cell r="F410">
            <v>1192994</v>
          </cell>
          <cell r="H410">
            <v>1192994</v>
          </cell>
          <cell r="M410" t="str">
            <v>RADIAL GATE 
LEAF 적용</v>
          </cell>
        </row>
        <row r="411">
          <cell r="A411" t="str">
            <v xml:space="preserve"> </v>
          </cell>
          <cell r="C411" t="str">
            <v>사용장비경비</v>
          </cell>
          <cell r="E411" t="str">
            <v>TON</v>
          </cell>
          <cell r="F411">
            <v>2312752</v>
          </cell>
          <cell r="H411">
            <v>868696</v>
          </cell>
          <cell r="J411">
            <v>321072</v>
          </cell>
          <cell r="L411">
            <v>1122984</v>
          </cell>
          <cell r="M411" t="str">
            <v>"</v>
          </cell>
        </row>
        <row r="412">
          <cell r="A412" t="str">
            <v xml:space="preserve"> </v>
          </cell>
          <cell r="C412" t="str">
            <v>소모자재비</v>
          </cell>
          <cell r="E412" t="str">
            <v>TON</v>
          </cell>
          <cell r="F412">
            <v>39098.400000000001</v>
          </cell>
          <cell r="J412">
            <v>39098.400000000001</v>
          </cell>
          <cell r="M412" t="str">
            <v>"</v>
          </cell>
        </row>
        <row r="414">
          <cell r="B414" t="str">
            <v>▷ HOIST</v>
          </cell>
          <cell r="C414" t="str">
            <v>소   계</v>
          </cell>
          <cell r="F414">
            <v>1509190</v>
          </cell>
          <cell r="H414">
            <v>1047968</v>
          </cell>
          <cell r="J414">
            <v>84566</v>
          </cell>
          <cell r="L414">
            <v>376656</v>
          </cell>
        </row>
        <row r="415">
          <cell r="A415" t="str">
            <v xml:space="preserve"> </v>
          </cell>
          <cell r="C415" t="str">
            <v>인 건 비</v>
          </cell>
          <cell r="E415" t="str">
            <v>TON</v>
          </cell>
          <cell r="F415">
            <v>687704</v>
          </cell>
          <cell r="H415">
            <v>687704</v>
          </cell>
          <cell r="M415" t="str">
            <v>ROLLER HOIST와
동일</v>
          </cell>
        </row>
        <row r="416">
          <cell r="A416" t="str">
            <v xml:space="preserve"> </v>
          </cell>
          <cell r="C416" t="str">
            <v>사용장비경비</v>
          </cell>
          <cell r="E416" t="str">
            <v>TON</v>
          </cell>
          <cell r="F416">
            <v>793288</v>
          </cell>
          <cell r="H416">
            <v>360264</v>
          </cell>
          <cell r="J416">
            <v>56368</v>
          </cell>
          <cell r="L416">
            <v>376656</v>
          </cell>
        </row>
        <row r="417">
          <cell r="A417" t="str">
            <v xml:space="preserve"> </v>
          </cell>
          <cell r="C417" t="str">
            <v>소모자재비</v>
          </cell>
          <cell r="E417" t="str">
            <v>TON</v>
          </cell>
          <cell r="F417">
            <v>28198</v>
          </cell>
          <cell r="J417">
            <v>28198</v>
          </cell>
          <cell r="M417" t="str">
            <v>ROLLER HOIST와
동일</v>
          </cell>
        </row>
        <row r="418">
          <cell r="A418" t="str">
            <v xml:space="preserve"> </v>
          </cell>
        </row>
        <row r="419">
          <cell r="A419" t="str">
            <v>◈ TRASH RACK</v>
          </cell>
        </row>
        <row r="420">
          <cell r="B420" t="str">
            <v>⊙ 제작가공비</v>
          </cell>
          <cell r="C420" t="str">
            <v>소   계</v>
          </cell>
          <cell r="F420">
            <v>8169306</v>
          </cell>
          <cell r="H420">
            <v>7960762</v>
          </cell>
          <cell r="J420">
            <v>118744</v>
          </cell>
          <cell r="L420">
            <v>89800</v>
          </cell>
        </row>
        <row r="421">
          <cell r="C421" t="str">
            <v>인  건  비</v>
          </cell>
          <cell r="E421" t="str">
            <v>TON</v>
          </cell>
          <cell r="F421">
            <v>7834260</v>
          </cell>
          <cell r="H421">
            <v>7834260</v>
          </cell>
        </row>
        <row r="422">
          <cell r="C422" t="str">
            <v>사용장비경비</v>
          </cell>
          <cell r="E422" t="str">
            <v>TON</v>
          </cell>
          <cell r="F422">
            <v>247732</v>
          </cell>
          <cell r="H422">
            <v>126502</v>
          </cell>
          <cell r="J422">
            <v>31430</v>
          </cell>
          <cell r="L422">
            <v>89800</v>
          </cell>
          <cell r="M422" t="str">
            <v>ROLLER GATE
LEAF 적용</v>
          </cell>
        </row>
        <row r="423">
          <cell r="A423" t="str">
            <v xml:space="preserve"> </v>
          </cell>
          <cell r="C423" t="str">
            <v>소모자재비</v>
          </cell>
          <cell r="E423" t="str">
            <v>TON</v>
          </cell>
          <cell r="F423">
            <v>87314</v>
          </cell>
          <cell r="J423">
            <v>87314</v>
          </cell>
        </row>
        <row r="425">
          <cell r="A425" t="str">
            <v xml:space="preserve"> </v>
          </cell>
          <cell r="B425" t="str">
            <v>⊙ 설  치  비</v>
          </cell>
          <cell r="C425" t="str">
            <v>소   계</v>
          </cell>
          <cell r="F425">
            <v>2369875</v>
          </cell>
          <cell r="H425">
            <v>1599040</v>
          </cell>
          <cell r="J425">
            <v>195411</v>
          </cell>
          <cell r="L425">
            <v>575424</v>
          </cell>
        </row>
        <row r="426">
          <cell r="A426" t="str">
            <v>종       별</v>
          </cell>
          <cell r="C426" t="str">
            <v>재 료 또 는</v>
          </cell>
          <cell r="D426" t="str">
            <v xml:space="preserve">원 수 </v>
          </cell>
          <cell r="E426" t="str">
            <v>단 위</v>
          </cell>
          <cell r="F426" t="str">
            <v>총   액</v>
          </cell>
          <cell r="G426" t="str">
            <v>노   무   비</v>
          </cell>
          <cell r="I426" t="str">
            <v>재   료   비</v>
          </cell>
          <cell r="K426" t="str">
            <v>경      비</v>
          </cell>
          <cell r="M426" t="str">
            <v>비   고</v>
          </cell>
        </row>
        <row r="427">
          <cell r="C427" t="str">
            <v xml:space="preserve">규       격 </v>
          </cell>
          <cell r="F427" t="str">
            <v>금   액</v>
          </cell>
          <cell r="G427" t="str">
            <v>단  가</v>
          </cell>
          <cell r="H427" t="str">
            <v>금   액</v>
          </cell>
          <cell r="I427" t="str">
            <v>단  가</v>
          </cell>
          <cell r="J427" t="str">
            <v>금   액</v>
          </cell>
          <cell r="K427" t="str">
            <v>단  가</v>
          </cell>
          <cell r="L427" t="str">
            <v>금   액</v>
          </cell>
        </row>
        <row r="428">
          <cell r="A428" t="str">
            <v xml:space="preserve"> </v>
          </cell>
          <cell r="C428" t="str">
            <v>인  건  비</v>
          </cell>
          <cell r="E428" t="str">
            <v>TON</v>
          </cell>
          <cell r="F428">
            <v>1020296</v>
          </cell>
          <cell r="H428">
            <v>1020296</v>
          </cell>
        </row>
        <row r="429">
          <cell r="A429" t="str">
            <v xml:space="preserve"> </v>
          </cell>
          <cell r="C429" t="str">
            <v>사용장비경비</v>
          </cell>
          <cell r="E429" t="str">
            <v>TON</v>
          </cell>
          <cell r="F429">
            <v>1341424</v>
          </cell>
          <cell r="H429">
            <v>578744</v>
          </cell>
          <cell r="J429">
            <v>187256</v>
          </cell>
          <cell r="L429">
            <v>575424</v>
          </cell>
          <cell r="M429" t="str">
            <v>ROLLER GATE
LEAF 적용</v>
          </cell>
        </row>
        <row r="430">
          <cell r="A430" t="str">
            <v xml:space="preserve"> </v>
          </cell>
          <cell r="C430" t="str">
            <v>소모자재비</v>
          </cell>
          <cell r="E430" t="str">
            <v>TON</v>
          </cell>
          <cell r="F430">
            <v>8155</v>
          </cell>
          <cell r="J430">
            <v>8155</v>
          </cell>
        </row>
        <row r="431">
          <cell r="A431" t="str">
            <v xml:space="preserve"> </v>
          </cell>
        </row>
        <row r="432">
          <cell r="A432" t="str">
            <v>◈ 잡철물 제작,설치 (SCREEN등)</v>
          </cell>
        </row>
        <row r="433">
          <cell r="B433" t="str">
            <v>▷ 간단한 구조</v>
          </cell>
          <cell r="C433" t="str">
            <v>100 %</v>
          </cell>
          <cell r="F433">
            <v>2792160</v>
          </cell>
          <cell r="H433">
            <v>2636784</v>
          </cell>
          <cell r="J433">
            <v>65284</v>
          </cell>
          <cell r="L433">
            <v>90092</v>
          </cell>
        </row>
        <row r="434">
          <cell r="B434" t="str">
            <v>▷ 복잡한 구조</v>
          </cell>
          <cell r="C434" t="str">
            <v>140 %</v>
          </cell>
          <cell r="F434">
            <v>3909022</v>
          </cell>
          <cell r="H434">
            <v>3691497</v>
          </cell>
          <cell r="J434">
            <v>91397</v>
          </cell>
          <cell r="L434">
            <v>126128</v>
          </cell>
        </row>
        <row r="435">
          <cell r="A435" t="str">
            <v xml:space="preserve"> </v>
          </cell>
        </row>
        <row r="436">
          <cell r="A436" t="str">
            <v>◈ 도   장   비 - Ⅰ- (기존 도장 방식)</v>
          </cell>
        </row>
        <row r="437">
          <cell r="A437">
            <v>1</v>
          </cell>
          <cell r="B437" t="str">
            <v>▷ SAND BLASTING</v>
          </cell>
          <cell r="E437" t="str">
            <v>㎡</v>
          </cell>
          <cell r="F437">
            <v>9436</v>
          </cell>
          <cell r="H437">
            <v>4928</v>
          </cell>
          <cell r="J437">
            <v>2852</v>
          </cell>
          <cell r="L437">
            <v>1656</v>
          </cell>
        </row>
        <row r="438">
          <cell r="A438">
            <v>2</v>
          </cell>
          <cell r="B438" t="str">
            <v>▷ PRIMERY COATING (유기질)</v>
          </cell>
          <cell r="D438" t="str">
            <v>(  20μ)</v>
          </cell>
          <cell r="E438" t="str">
            <v>㎡</v>
          </cell>
          <cell r="F438">
            <v>1627</v>
          </cell>
          <cell r="H438">
            <v>945</v>
          </cell>
          <cell r="J438">
            <v>664</v>
          </cell>
          <cell r="L438">
            <v>18</v>
          </cell>
        </row>
        <row r="439">
          <cell r="A439">
            <v>3</v>
          </cell>
          <cell r="B439" t="str">
            <v>▷ COVER COATING(PURE EPOXY)</v>
          </cell>
          <cell r="D439" t="str">
            <v>( 280μ)</v>
          </cell>
          <cell r="E439" t="str">
            <v>㎡</v>
          </cell>
          <cell r="F439">
            <v>8981</v>
          </cell>
          <cell r="H439">
            <v>6808</v>
          </cell>
          <cell r="J439">
            <v>2037</v>
          </cell>
          <cell r="L439">
            <v>136</v>
          </cell>
        </row>
        <row r="440">
          <cell r="A440">
            <v>4</v>
          </cell>
          <cell r="B440" t="str">
            <v>▷ COVER COATING(TAL EPOXY)</v>
          </cell>
          <cell r="D440" t="str">
            <v>( 280μ)</v>
          </cell>
          <cell r="E440" t="str">
            <v>㎡</v>
          </cell>
          <cell r="F440">
            <v>8769</v>
          </cell>
          <cell r="H440">
            <v>6808</v>
          </cell>
          <cell r="J440">
            <v>1825</v>
          </cell>
          <cell r="L440">
            <v>136</v>
          </cell>
        </row>
        <row r="441">
          <cell r="A441">
            <v>5</v>
          </cell>
          <cell r="B441" t="str">
            <v>▷ 방 오 도 료</v>
          </cell>
          <cell r="D441" t="str">
            <v>(  80μ)</v>
          </cell>
          <cell r="E441" t="str">
            <v>㎡</v>
          </cell>
          <cell r="F441">
            <v>20722</v>
          </cell>
          <cell r="H441">
            <v>18911</v>
          </cell>
          <cell r="J441">
            <v>1433</v>
          </cell>
          <cell r="L441">
            <v>378</v>
          </cell>
        </row>
        <row r="442">
          <cell r="A442" t="str">
            <v xml:space="preserve"> </v>
          </cell>
        </row>
        <row r="443">
          <cell r="A443" t="str">
            <v>◈ 도   장   비 - Ⅱ- (신공법 도장방식)  ㎡ 당</v>
          </cell>
        </row>
        <row r="444">
          <cell r="A444">
            <v>1</v>
          </cell>
          <cell r="B444" t="str">
            <v>▷ 전처리 (육상용)(WATER SAND JET 공법)</v>
          </cell>
          <cell r="F444">
            <v>14435</v>
          </cell>
          <cell r="H444">
            <v>8755</v>
          </cell>
          <cell r="J444">
            <v>3405</v>
          </cell>
          <cell r="L444">
            <v>2275</v>
          </cell>
        </row>
        <row r="445">
          <cell r="A445">
            <v>2</v>
          </cell>
          <cell r="B445" t="str">
            <v>▷ 전처리 (수중용)(WATER SAND JET 공법)</v>
          </cell>
          <cell r="F445">
            <v>141391</v>
          </cell>
          <cell r="H445">
            <v>111758</v>
          </cell>
          <cell r="J445">
            <v>4458</v>
          </cell>
          <cell r="L445">
            <v>25175</v>
          </cell>
        </row>
        <row r="446">
          <cell r="A446">
            <v>3</v>
          </cell>
          <cell r="B446" t="str">
            <v>▷ 도장 SYSTEM 1 (상시 물속에 잠기는 구조물)</v>
          </cell>
          <cell r="F446">
            <v>26239</v>
          </cell>
          <cell r="H446">
            <v>10076</v>
          </cell>
          <cell r="J446">
            <v>15962</v>
          </cell>
          <cell r="L446">
            <v>201</v>
          </cell>
        </row>
        <row r="448">
          <cell r="A448" t="str">
            <v>종       별</v>
          </cell>
          <cell r="C448" t="str">
            <v>재 료 또 는</v>
          </cell>
          <cell r="D448" t="str">
            <v xml:space="preserve">원 수 </v>
          </cell>
          <cell r="E448" t="str">
            <v>단 위</v>
          </cell>
          <cell r="F448" t="str">
            <v>총   액</v>
          </cell>
          <cell r="G448" t="str">
            <v>노   무   비</v>
          </cell>
          <cell r="I448" t="str">
            <v>재   료   비</v>
          </cell>
          <cell r="K448" t="str">
            <v>경      비</v>
          </cell>
          <cell r="M448" t="str">
            <v>비   고</v>
          </cell>
        </row>
        <row r="449">
          <cell r="C449" t="str">
            <v xml:space="preserve">규       격 </v>
          </cell>
          <cell r="F449" t="str">
            <v>금   액</v>
          </cell>
          <cell r="G449" t="str">
            <v>단  가</v>
          </cell>
          <cell r="H449" t="str">
            <v>금   액</v>
          </cell>
          <cell r="I449" t="str">
            <v>단  가</v>
          </cell>
          <cell r="J449" t="str">
            <v>금   액</v>
          </cell>
          <cell r="K449" t="str">
            <v>단  가</v>
          </cell>
          <cell r="L449" t="str">
            <v>금   액</v>
          </cell>
        </row>
        <row r="450">
          <cell r="A450">
            <v>4</v>
          </cell>
          <cell r="B450" t="str">
            <v>▷ 도장 SYSTEM 2 (해수 가까이 상시 노출되어있는 구조물)</v>
          </cell>
        </row>
        <row r="451">
          <cell r="F451">
            <v>29188</v>
          </cell>
          <cell r="H451">
            <v>13099</v>
          </cell>
          <cell r="J451">
            <v>15828</v>
          </cell>
          <cell r="L451">
            <v>261</v>
          </cell>
        </row>
        <row r="452">
          <cell r="A452">
            <v>5</v>
          </cell>
          <cell r="B452" t="str">
            <v>▷ 도장 SYSTEM 3 (해중에서 작업해야하는 구조물)</v>
          </cell>
        </row>
        <row r="453">
          <cell r="F453">
            <v>86974</v>
          </cell>
          <cell r="H453">
            <v>40916</v>
          </cell>
          <cell r="J453">
            <v>45240</v>
          </cell>
          <cell r="L453">
            <v>818</v>
          </cell>
        </row>
        <row r="454">
          <cell r="A454">
            <v>6</v>
          </cell>
          <cell r="B454" t="str">
            <v xml:space="preserve">▷ CERAMIC COATING (ATO) 200μ </v>
          </cell>
        </row>
        <row r="455">
          <cell r="B455" t="str">
            <v xml:space="preserve">▷1. 바탕만들기 </v>
          </cell>
          <cell r="F455">
            <v>17788</v>
          </cell>
          <cell r="H455">
            <v>16913</v>
          </cell>
          <cell r="J455">
            <v>537</v>
          </cell>
          <cell r="L455">
            <v>338</v>
          </cell>
        </row>
        <row r="456">
          <cell r="B456" t="str">
            <v>▷2. CERAMIC COATING</v>
          </cell>
          <cell r="F456">
            <v>71178</v>
          </cell>
          <cell r="H456">
            <v>5507</v>
          </cell>
          <cell r="J456">
            <v>63337</v>
          </cell>
          <cell r="L456">
            <v>2334</v>
          </cell>
        </row>
        <row r="458">
          <cell r="A458" t="str">
            <v>◈ 비파괴 검사</v>
          </cell>
        </row>
        <row r="459">
          <cell r="A459" t="str">
            <v>1.초음파 탐상검사(U.T) - 1M당</v>
          </cell>
          <cell r="F459">
            <v>54686</v>
          </cell>
          <cell r="H459">
            <v>21307</v>
          </cell>
          <cell r="J459">
            <v>994</v>
          </cell>
          <cell r="L459">
            <v>32385</v>
          </cell>
        </row>
        <row r="460">
          <cell r="A460" t="str">
            <v>2.방사선 투과검사(R.T) - 1매당</v>
          </cell>
          <cell r="F460">
            <v>55824</v>
          </cell>
          <cell r="H460">
            <v>21230</v>
          </cell>
          <cell r="J460">
            <v>2325</v>
          </cell>
          <cell r="L460">
            <v>32269</v>
          </cell>
        </row>
        <row r="461">
          <cell r="A461" t="str">
            <v>3.자분탐상검사(M.T) - 1M당</v>
          </cell>
          <cell r="F461">
            <v>30165</v>
          </cell>
          <cell r="H461">
            <v>11795</v>
          </cell>
          <cell r="J461">
            <v>443</v>
          </cell>
          <cell r="L461">
            <v>17927</v>
          </cell>
        </row>
        <row r="462">
          <cell r="A462" t="str">
            <v>4.액체침투탐상검사(P.T) - 1M당</v>
          </cell>
          <cell r="F462">
            <v>38002</v>
          </cell>
          <cell r="H462">
            <v>14726</v>
          </cell>
          <cell r="J462">
            <v>894</v>
          </cell>
          <cell r="L462">
            <v>22382</v>
          </cell>
        </row>
        <row r="471">
          <cell r="E471" t="str">
            <v xml:space="preserve"> </v>
          </cell>
        </row>
        <row r="472">
          <cell r="B472" t="str">
            <v>ROLLER GATE 제작 인건비</v>
          </cell>
        </row>
        <row r="473">
          <cell r="A473" t="str">
            <v>종       별</v>
          </cell>
          <cell r="C473" t="str">
            <v>재 료 또 는</v>
          </cell>
          <cell r="D473" t="str">
            <v xml:space="preserve">원 수 </v>
          </cell>
          <cell r="E473" t="str">
            <v>단 위</v>
          </cell>
          <cell r="F473" t="str">
            <v>총   액</v>
          </cell>
          <cell r="G473" t="str">
            <v>노   무   비</v>
          </cell>
          <cell r="I473" t="str">
            <v>재   료   비</v>
          </cell>
          <cell r="K473" t="str">
            <v>경      비</v>
          </cell>
          <cell r="M473" t="str">
            <v>비   고</v>
          </cell>
        </row>
        <row r="474">
          <cell r="C474" t="str">
            <v xml:space="preserve">규       격 </v>
          </cell>
          <cell r="F474" t="str">
            <v>금   액</v>
          </cell>
          <cell r="G474" t="str">
            <v>단  가</v>
          </cell>
          <cell r="H474" t="str">
            <v>금   액</v>
          </cell>
          <cell r="I474" t="str">
            <v>단  가</v>
          </cell>
          <cell r="J474" t="str">
            <v>금   액</v>
          </cell>
          <cell r="K474" t="str">
            <v>단  가</v>
          </cell>
          <cell r="L474" t="str">
            <v>금   액</v>
          </cell>
        </row>
        <row r="475">
          <cell r="A475" t="str">
            <v>기 술 관 리</v>
          </cell>
          <cell r="C475" t="str">
            <v>기계기사1급</v>
          </cell>
          <cell r="D475">
            <v>0.5</v>
          </cell>
          <cell r="E475" t="str">
            <v>인</v>
          </cell>
          <cell r="G475">
            <v>97488</v>
          </cell>
          <cell r="H475">
            <v>48744</v>
          </cell>
        </row>
        <row r="476">
          <cell r="A476" t="str">
            <v>본  뜨  기</v>
          </cell>
          <cell r="C476" t="str">
            <v>프랜트제관공</v>
          </cell>
          <cell r="D476">
            <v>0.437</v>
          </cell>
          <cell r="E476" t="str">
            <v>인</v>
          </cell>
          <cell r="G476">
            <v>81966</v>
          </cell>
          <cell r="H476">
            <v>35819</v>
          </cell>
        </row>
        <row r="477">
          <cell r="A477" t="str">
            <v>금  긋  기</v>
          </cell>
          <cell r="C477" t="str">
            <v>프랜트제관공</v>
          </cell>
          <cell r="D477">
            <v>1.161</v>
          </cell>
          <cell r="E477" t="str">
            <v>인</v>
          </cell>
          <cell r="G477">
            <v>81966</v>
          </cell>
          <cell r="H477">
            <v>95162</v>
          </cell>
        </row>
        <row r="478">
          <cell r="A478" t="str">
            <v>절      단</v>
          </cell>
          <cell r="C478" t="str">
            <v>프랜트제관공</v>
          </cell>
          <cell r="D478">
            <v>0.318</v>
          </cell>
          <cell r="E478" t="str">
            <v>인</v>
          </cell>
          <cell r="G478">
            <v>81966</v>
          </cell>
          <cell r="H478">
            <v>26065</v>
          </cell>
        </row>
        <row r="479">
          <cell r="A479" t="str">
            <v>가      공</v>
          </cell>
          <cell r="C479" t="str">
            <v>프랜트제관공</v>
          </cell>
          <cell r="D479">
            <v>1.359</v>
          </cell>
          <cell r="E479" t="str">
            <v>인</v>
          </cell>
          <cell r="G479">
            <v>81966</v>
          </cell>
          <cell r="H479">
            <v>111391</v>
          </cell>
        </row>
        <row r="481">
          <cell r="A481" t="str">
            <v>구 멍 뚫 기</v>
          </cell>
          <cell r="C481" t="str">
            <v>프랜트제관공</v>
          </cell>
          <cell r="D481">
            <v>0.39700000000000002</v>
          </cell>
          <cell r="E481" t="str">
            <v>인</v>
          </cell>
          <cell r="G481">
            <v>81966</v>
          </cell>
          <cell r="H481">
            <v>32540</v>
          </cell>
        </row>
        <row r="482">
          <cell r="A482" t="str">
            <v>용      접</v>
          </cell>
          <cell r="C482" t="str">
            <v>프랜트용접공</v>
          </cell>
          <cell r="D482">
            <v>2.125</v>
          </cell>
          <cell r="E482" t="str">
            <v>인</v>
          </cell>
          <cell r="G482">
            <v>95379</v>
          </cell>
          <cell r="H482">
            <v>202680</v>
          </cell>
        </row>
        <row r="483">
          <cell r="A483" t="str">
            <v>부 품 조 립</v>
          </cell>
          <cell r="C483" t="str">
            <v>비 계 공</v>
          </cell>
          <cell r="D483">
            <v>1.0900000000000001</v>
          </cell>
          <cell r="E483" t="str">
            <v>인</v>
          </cell>
          <cell r="G483">
            <v>79467</v>
          </cell>
          <cell r="H483">
            <v>86619</v>
          </cell>
        </row>
        <row r="484">
          <cell r="C484" t="str">
            <v>프랜트기계설치공</v>
          </cell>
          <cell r="D484">
            <v>1.0900000000000001</v>
          </cell>
          <cell r="E484" t="str">
            <v>인</v>
          </cell>
          <cell r="G484">
            <v>80805</v>
          </cell>
          <cell r="H484">
            <v>88077</v>
          </cell>
        </row>
        <row r="485">
          <cell r="A485" t="str">
            <v>소운반 조립</v>
          </cell>
          <cell r="C485" t="str">
            <v>산소 절단공</v>
          </cell>
          <cell r="D485">
            <v>0.17</v>
          </cell>
          <cell r="E485" t="str">
            <v>인</v>
          </cell>
          <cell r="G485">
            <v>31794</v>
          </cell>
          <cell r="H485">
            <v>5404</v>
          </cell>
        </row>
        <row r="487">
          <cell r="A487" t="str">
            <v>가   조   립</v>
          </cell>
          <cell r="C487" t="str">
            <v>비   계   공</v>
          </cell>
          <cell r="D487">
            <v>0.86399999999999999</v>
          </cell>
          <cell r="E487" t="str">
            <v>인</v>
          </cell>
          <cell r="G487">
            <v>79467</v>
          </cell>
          <cell r="H487">
            <v>68659</v>
          </cell>
        </row>
        <row r="488">
          <cell r="C488" t="str">
            <v>프랜트 제관공</v>
          </cell>
          <cell r="D488">
            <v>1.766</v>
          </cell>
          <cell r="E488" t="str">
            <v>인</v>
          </cell>
          <cell r="G488">
            <v>81966</v>
          </cell>
          <cell r="H488">
            <v>144751</v>
          </cell>
        </row>
        <row r="489">
          <cell r="C489" t="str">
            <v>프랜트 용접공</v>
          </cell>
          <cell r="D489">
            <v>0.85299999999999998</v>
          </cell>
          <cell r="E489" t="str">
            <v>인</v>
          </cell>
          <cell r="G489">
            <v>95379</v>
          </cell>
          <cell r="H489">
            <v>81358</v>
          </cell>
        </row>
        <row r="490">
          <cell r="C490" t="str">
            <v>측   량   사</v>
          </cell>
          <cell r="D490">
            <v>0.14299999999999999</v>
          </cell>
          <cell r="E490" t="str">
            <v>인</v>
          </cell>
          <cell r="G490">
            <v>58506</v>
          </cell>
          <cell r="H490">
            <v>8366</v>
          </cell>
        </row>
        <row r="491">
          <cell r="C491" t="str">
            <v>프랜트기계설치공</v>
          </cell>
          <cell r="D491">
            <v>0.51800000000000002</v>
          </cell>
          <cell r="E491" t="str">
            <v>인</v>
          </cell>
          <cell r="G491">
            <v>80805</v>
          </cell>
          <cell r="H491">
            <v>41856</v>
          </cell>
        </row>
        <row r="492">
          <cell r="E492" t="str">
            <v xml:space="preserve"> </v>
          </cell>
        </row>
        <row r="493">
          <cell r="C493" t="str">
            <v>특 별 인 부</v>
          </cell>
          <cell r="D493">
            <v>0.245</v>
          </cell>
          <cell r="E493" t="str">
            <v>인</v>
          </cell>
          <cell r="G493">
            <v>57379</v>
          </cell>
          <cell r="H493">
            <v>14057</v>
          </cell>
        </row>
        <row r="494">
          <cell r="A494" t="str">
            <v>검사 및 교정</v>
          </cell>
          <cell r="C494" t="str">
            <v>기술관리 제외한</v>
          </cell>
          <cell r="D494" t="str">
            <v>1</v>
          </cell>
          <cell r="E494" t="str">
            <v>식</v>
          </cell>
          <cell r="H494">
            <v>104280</v>
          </cell>
        </row>
        <row r="495">
          <cell r="C495" t="str">
            <v>10%</v>
          </cell>
        </row>
        <row r="497">
          <cell r="B497" t="str">
            <v>계</v>
          </cell>
          <cell r="F497">
            <v>1195828</v>
          </cell>
          <cell r="H497">
            <v>1195828</v>
          </cell>
        </row>
        <row r="499">
          <cell r="A499" t="str">
            <v>ROLLER GATE 제작 사용장비 경비</v>
          </cell>
        </row>
        <row r="500">
          <cell r="E500" t="str">
            <v xml:space="preserve"> </v>
          </cell>
        </row>
        <row r="501">
          <cell r="A501" t="str">
            <v>종       별</v>
          </cell>
          <cell r="C501" t="str">
            <v>재 료 또 는</v>
          </cell>
          <cell r="D501" t="str">
            <v xml:space="preserve">원 수 </v>
          </cell>
          <cell r="E501" t="str">
            <v>단 위</v>
          </cell>
          <cell r="F501" t="str">
            <v>총   액</v>
          </cell>
          <cell r="G501" t="str">
            <v>노   무   비</v>
          </cell>
          <cell r="I501" t="str">
            <v>재   료   비</v>
          </cell>
          <cell r="K501" t="str">
            <v>경      비</v>
          </cell>
          <cell r="M501" t="str">
            <v>비   고</v>
          </cell>
        </row>
        <row r="502">
          <cell r="C502" t="str">
            <v xml:space="preserve">규       격 </v>
          </cell>
          <cell r="F502" t="str">
            <v>금   액</v>
          </cell>
          <cell r="G502" t="str">
            <v>단  가</v>
          </cell>
          <cell r="H502" t="str">
            <v>금   액</v>
          </cell>
          <cell r="I502" t="str">
            <v>단  가</v>
          </cell>
          <cell r="J502" t="str">
            <v>금   액</v>
          </cell>
          <cell r="K502" t="str">
            <v>단  가</v>
          </cell>
          <cell r="L502" t="str">
            <v>금   액</v>
          </cell>
        </row>
        <row r="503">
          <cell r="A503" t="str">
            <v>LATHE</v>
          </cell>
          <cell r="C503" t="str">
            <v>12FT x 7.5HP</v>
          </cell>
          <cell r="D503">
            <v>0.53600000000000003</v>
          </cell>
          <cell r="E503" t="str">
            <v>Hr</v>
          </cell>
          <cell r="G503">
            <v>3418</v>
          </cell>
          <cell r="H503">
            <v>1832</v>
          </cell>
          <cell r="I503" t="str">
            <v xml:space="preserve"> </v>
          </cell>
          <cell r="J503" t="str">
            <v xml:space="preserve"> </v>
          </cell>
          <cell r="K503">
            <v>3775</v>
          </cell>
          <cell r="L503">
            <v>2023</v>
          </cell>
        </row>
        <row r="504">
          <cell r="A504" t="str">
            <v>PLANER</v>
          </cell>
          <cell r="C504" t="str">
            <v>4FT x 8FT</v>
          </cell>
          <cell r="D504">
            <v>7.5999999999999998E-2</v>
          </cell>
          <cell r="E504" t="str">
            <v>Hr</v>
          </cell>
          <cell r="G504">
            <v>3129</v>
          </cell>
          <cell r="H504">
            <v>237</v>
          </cell>
          <cell r="I504" t="str">
            <v xml:space="preserve"> </v>
          </cell>
          <cell r="J504" t="str">
            <v xml:space="preserve"> </v>
          </cell>
          <cell r="K504">
            <v>2743</v>
          </cell>
          <cell r="L504">
            <v>208</v>
          </cell>
        </row>
        <row r="505">
          <cell r="A505" t="str">
            <v>BORING M/C</v>
          </cell>
          <cell r="C505" t="str">
            <v>Hori.type,3HP</v>
          </cell>
          <cell r="D505">
            <v>1.4359999999999999</v>
          </cell>
          <cell r="E505" t="str">
            <v>Hr</v>
          </cell>
          <cell r="G505">
            <v>3547</v>
          </cell>
          <cell r="H505">
            <v>5093</v>
          </cell>
          <cell r="I505" t="str">
            <v xml:space="preserve"> </v>
          </cell>
          <cell r="J505" t="str">
            <v xml:space="preserve"> </v>
          </cell>
          <cell r="K505">
            <v>8928</v>
          </cell>
          <cell r="L505">
            <v>12820</v>
          </cell>
        </row>
        <row r="506">
          <cell r="A506" t="str">
            <v>UNION MELT WELDER</v>
          </cell>
          <cell r="C506" t="str">
            <v>5.5 KVA</v>
          </cell>
          <cell r="D506">
            <v>2.72</v>
          </cell>
          <cell r="E506" t="str">
            <v>Hr</v>
          </cell>
          <cell r="G506">
            <v>3488</v>
          </cell>
          <cell r="H506">
            <v>9487</v>
          </cell>
          <cell r="I506" t="str">
            <v xml:space="preserve"> </v>
          </cell>
          <cell r="J506" t="str">
            <v xml:space="preserve"> </v>
          </cell>
          <cell r="K506">
            <v>1797</v>
          </cell>
          <cell r="L506">
            <v>4887</v>
          </cell>
        </row>
        <row r="507">
          <cell r="A507" t="str">
            <v>A.C WELDER</v>
          </cell>
          <cell r="C507" t="str">
            <v>10KVA</v>
          </cell>
          <cell r="D507">
            <v>8.16</v>
          </cell>
          <cell r="E507" t="str">
            <v>Hr</v>
          </cell>
          <cell r="I507" t="str">
            <v xml:space="preserve"> </v>
          </cell>
          <cell r="J507" t="str">
            <v xml:space="preserve"> </v>
          </cell>
          <cell r="K507">
            <v>155</v>
          </cell>
          <cell r="L507">
            <v>1264</v>
          </cell>
        </row>
        <row r="508">
          <cell r="E508" t="str">
            <v xml:space="preserve"> </v>
          </cell>
          <cell r="I508" t="str">
            <v xml:space="preserve"> </v>
          </cell>
          <cell r="J508" t="str">
            <v xml:space="preserve"> </v>
          </cell>
        </row>
        <row r="509">
          <cell r="A509" t="str">
            <v>GOUGING M/C</v>
          </cell>
          <cell r="C509" t="str">
            <v>중 형</v>
          </cell>
          <cell r="D509">
            <v>1.7</v>
          </cell>
          <cell r="E509" t="str">
            <v>Hr</v>
          </cell>
          <cell r="G509">
            <v>3380</v>
          </cell>
          <cell r="H509">
            <v>5746</v>
          </cell>
          <cell r="I509" t="str">
            <v xml:space="preserve"> </v>
          </cell>
          <cell r="J509" t="str">
            <v xml:space="preserve"> </v>
          </cell>
          <cell r="K509">
            <v>670</v>
          </cell>
          <cell r="L509">
            <v>1139</v>
          </cell>
        </row>
        <row r="510">
          <cell r="A510" t="str">
            <v>GAS CUTTING M/C</v>
          </cell>
          <cell r="C510" t="str">
            <v>Auto형</v>
          </cell>
          <cell r="D510">
            <v>1.016</v>
          </cell>
          <cell r="E510" t="str">
            <v>Hr</v>
          </cell>
          <cell r="G510">
            <v>11922</v>
          </cell>
          <cell r="H510">
            <v>12112</v>
          </cell>
          <cell r="I510" t="str">
            <v xml:space="preserve"> </v>
          </cell>
          <cell r="J510" t="str">
            <v xml:space="preserve"> </v>
          </cell>
          <cell r="K510">
            <v>119</v>
          </cell>
          <cell r="L510">
            <v>120</v>
          </cell>
        </row>
        <row r="511">
          <cell r="A511" t="str">
            <v>GAS CUTTING M/C</v>
          </cell>
          <cell r="C511" t="str">
            <v>수 동</v>
          </cell>
          <cell r="D511">
            <v>1.016</v>
          </cell>
          <cell r="E511" t="str">
            <v>Hr</v>
          </cell>
          <cell r="G511">
            <v>3974</v>
          </cell>
          <cell r="H511">
            <v>4037</v>
          </cell>
          <cell r="I511" t="str">
            <v xml:space="preserve"> </v>
          </cell>
          <cell r="J511" t="str">
            <v xml:space="preserve"> </v>
          </cell>
          <cell r="K511">
            <v>115</v>
          </cell>
          <cell r="L511">
            <v>116</v>
          </cell>
        </row>
        <row r="512">
          <cell r="A512" t="str">
            <v>GAS HEATING TOUCH</v>
          </cell>
          <cell r="C512" t="str">
            <v>중 형</v>
          </cell>
          <cell r="D512">
            <v>3.3279999999999998</v>
          </cell>
          <cell r="E512" t="str">
            <v>Hr</v>
          </cell>
          <cell r="G512">
            <v>3174</v>
          </cell>
          <cell r="H512">
            <v>10563</v>
          </cell>
          <cell r="I512" t="str">
            <v xml:space="preserve"> </v>
          </cell>
          <cell r="J512" t="str">
            <v xml:space="preserve"> </v>
          </cell>
          <cell r="K512">
            <v>115</v>
          </cell>
          <cell r="L512">
            <v>382</v>
          </cell>
        </row>
        <row r="513">
          <cell r="A513" t="str">
            <v>OVER HEAD CRANE</v>
          </cell>
          <cell r="C513" t="str">
            <v>30 TON</v>
          </cell>
          <cell r="D513">
            <v>1.2689999999999999</v>
          </cell>
          <cell r="E513" t="str">
            <v>Hr</v>
          </cell>
          <cell r="G513">
            <v>9681</v>
          </cell>
          <cell r="H513">
            <v>12285</v>
          </cell>
          <cell r="I513" t="str">
            <v xml:space="preserve"> </v>
          </cell>
          <cell r="J513" t="str">
            <v xml:space="preserve"> </v>
          </cell>
          <cell r="K513">
            <v>4123</v>
          </cell>
          <cell r="L513">
            <v>5232</v>
          </cell>
        </row>
        <row r="514">
          <cell r="E514" t="str">
            <v xml:space="preserve"> </v>
          </cell>
          <cell r="I514" t="str">
            <v xml:space="preserve"> </v>
          </cell>
          <cell r="J514" t="str">
            <v xml:space="preserve"> </v>
          </cell>
        </row>
        <row r="515">
          <cell r="A515" t="str">
            <v>HYDRO PRESS</v>
          </cell>
          <cell r="C515" t="str">
            <v>100 TON</v>
          </cell>
          <cell r="D515">
            <v>1.48</v>
          </cell>
          <cell r="E515" t="str">
            <v>Hr</v>
          </cell>
          <cell r="G515">
            <v>3281</v>
          </cell>
          <cell r="H515">
            <v>4855</v>
          </cell>
          <cell r="I515" t="str">
            <v xml:space="preserve"> </v>
          </cell>
          <cell r="J515" t="str">
            <v xml:space="preserve"> </v>
          </cell>
          <cell r="K515">
            <v>6045</v>
          </cell>
          <cell r="L515">
            <v>8946</v>
          </cell>
        </row>
        <row r="516">
          <cell r="A516" t="str">
            <v>BENDING ROLLER</v>
          </cell>
          <cell r="C516" t="str">
            <v>23 FT</v>
          </cell>
          <cell r="D516">
            <v>1.0880000000000001</v>
          </cell>
          <cell r="E516" t="str">
            <v>Hr</v>
          </cell>
          <cell r="G516">
            <v>4281</v>
          </cell>
          <cell r="H516">
            <v>4657</v>
          </cell>
          <cell r="I516" t="str">
            <v xml:space="preserve"> </v>
          </cell>
          <cell r="J516" t="str">
            <v xml:space="preserve"> </v>
          </cell>
          <cell r="K516">
            <v>6323</v>
          </cell>
          <cell r="L516">
            <v>6879</v>
          </cell>
        </row>
        <row r="517">
          <cell r="A517" t="str">
            <v>SHEARING M/C</v>
          </cell>
          <cell r="D517">
            <v>0.25600000000000001</v>
          </cell>
          <cell r="E517" t="str">
            <v>Hr</v>
          </cell>
          <cell r="G517">
            <v>3688</v>
          </cell>
          <cell r="H517">
            <v>944</v>
          </cell>
          <cell r="I517" t="str">
            <v xml:space="preserve"> </v>
          </cell>
          <cell r="J517" t="str">
            <v xml:space="preserve"> </v>
          </cell>
          <cell r="K517">
            <v>3209</v>
          </cell>
          <cell r="L517">
            <v>821</v>
          </cell>
        </row>
        <row r="518">
          <cell r="A518" t="str">
            <v>DRILLING M/C</v>
          </cell>
          <cell r="C518" t="str">
            <v>3 HP</v>
          </cell>
          <cell r="D518">
            <v>1.6319999999999999</v>
          </cell>
          <cell r="E518" t="str">
            <v>Hr</v>
          </cell>
          <cell r="G518">
            <v>3401</v>
          </cell>
          <cell r="H518">
            <v>5550</v>
          </cell>
          <cell r="I518" t="str">
            <v xml:space="preserve"> </v>
          </cell>
          <cell r="J518" t="str">
            <v xml:space="preserve"> </v>
          </cell>
          <cell r="K518">
            <v>576</v>
          </cell>
          <cell r="L518">
            <v>940</v>
          </cell>
        </row>
        <row r="519">
          <cell r="A519" t="str">
            <v>DRILLING M/C</v>
          </cell>
          <cell r="C519" t="str">
            <v>Radial,5 HP</v>
          </cell>
          <cell r="D519">
            <v>0.81599999999999995</v>
          </cell>
          <cell r="E519" t="str">
            <v>Hr</v>
          </cell>
          <cell r="G519">
            <v>3401</v>
          </cell>
          <cell r="H519">
            <v>2775</v>
          </cell>
          <cell r="I519" t="str">
            <v xml:space="preserve"> </v>
          </cell>
          <cell r="J519" t="str">
            <v xml:space="preserve"> </v>
          </cell>
          <cell r="K519">
            <v>1720</v>
          </cell>
          <cell r="L519">
            <v>1403</v>
          </cell>
        </row>
        <row r="520">
          <cell r="E520" t="str">
            <v xml:space="preserve"> </v>
          </cell>
          <cell r="I520" t="str">
            <v xml:space="preserve"> </v>
          </cell>
          <cell r="J520" t="str">
            <v xml:space="preserve"> </v>
          </cell>
        </row>
        <row r="521">
          <cell r="A521" t="str">
            <v>COMPRESSOR</v>
          </cell>
          <cell r="C521" t="str">
            <v>7.1㎥/min</v>
          </cell>
          <cell r="D521">
            <v>3.17</v>
          </cell>
          <cell r="E521" t="str">
            <v>Hr</v>
          </cell>
          <cell r="G521">
            <v>9681</v>
          </cell>
          <cell r="H521">
            <v>30688</v>
          </cell>
          <cell r="I521">
            <v>6189</v>
          </cell>
          <cell r="J521">
            <v>19619</v>
          </cell>
          <cell r="K521">
            <v>3137</v>
          </cell>
          <cell r="L521">
            <v>9944</v>
          </cell>
        </row>
        <row r="522">
          <cell r="A522" t="str">
            <v>PORTABLE DRILL</v>
          </cell>
          <cell r="C522" t="str">
            <v>0.5 HP</v>
          </cell>
          <cell r="D522">
            <v>1.2210000000000001</v>
          </cell>
          <cell r="E522" t="str">
            <v>Hr</v>
          </cell>
          <cell r="K522">
            <v>12</v>
          </cell>
          <cell r="L522">
            <v>14</v>
          </cell>
        </row>
        <row r="523">
          <cell r="A523" t="str">
            <v>TRUCK CRANE</v>
          </cell>
          <cell r="C523" t="str">
            <v>30 TON</v>
          </cell>
          <cell r="D523">
            <v>0.42299999999999999</v>
          </cell>
          <cell r="E523" t="str">
            <v>Hr</v>
          </cell>
          <cell r="G523">
            <v>18615</v>
          </cell>
          <cell r="H523">
            <v>7874</v>
          </cell>
          <cell r="I523">
            <v>7046</v>
          </cell>
          <cell r="J523">
            <v>2980</v>
          </cell>
          <cell r="K523">
            <v>44939</v>
          </cell>
          <cell r="L523">
            <v>19009</v>
          </cell>
        </row>
        <row r="524">
          <cell r="A524" t="str">
            <v>Fork Lift</v>
          </cell>
          <cell r="C524" t="str">
            <v>5 TON</v>
          </cell>
          <cell r="D524">
            <v>0.42299999999999999</v>
          </cell>
          <cell r="E524" t="str">
            <v>Hr</v>
          </cell>
          <cell r="G524">
            <v>9681</v>
          </cell>
          <cell r="H524">
            <v>4095</v>
          </cell>
          <cell r="I524">
            <v>5116.08</v>
          </cell>
          <cell r="J524">
            <v>2164</v>
          </cell>
          <cell r="K524">
            <v>4863</v>
          </cell>
          <cell r="L524">
            <v>2057</v>
          </cell>
        </row>
        <row r="525">
          <cell r="A525" t="str">
            <v>Trailer</v>
          </cell>
          <cell r="C525" t="str">
            <v>30ton</v>
          </cell>
          <cell r="D525">
            <v>0.42299999999999999</v>
          </cell>
          <cell r="E525" t="str">
            <v>Hr</v>
          </cell>
          <cell r="G525">
            <v>8683</v>
          </cell>
          <cell r="H525">
            <v>3672</v>
          </cell>
          <cell r="I525">
            <v>15763</v>
          </cell>
          <cell r="J525">
            <v>6667</v>
          </cell>
          <cell r="K525">
            <v>27414</v>
          </cell>
          <cell r="L525">
            <v>11596</v>
          </cell>
        </row>
        <row r="527">
          <cell r="B527" t="str">
            <v>계</v>
          </cell>
          <cell r="F527">
            <v>247732</v>
          </cell>
          <cell r="H527">
            <v>126502</v>
          </cell>
          <cell r="J527">
            <v>31430</v>
          </cell>
          <cell r="K527" t="str">
            <v xml:space="preserve"> </v>
          </cell>
          <cell r="L527">
            <v>89800</v>
          </cell>
        </row>
        <row r="528">
          <cell r="A528" t="str">
            <v>ROLLER GATE 제작 소모 자재비</v>
          </cell>
        </row>
        <row r="529">
          <cell r="E529" t="str">
            <v xml:space="preserve"> </v>
          </cell>
        </row>
        <row r="530">
          <cell r="A530" t="str">
            <v>종       별</v>
          </cell>
          <cell r="C530" t="str">
            <v>재 료 또 는</v>
          </cell>
          <cell r="D530" t="str">
            <v xml:space="preserve">원 수 </v>
          </cell>
          <cell r="E530" t="str">
            <v>단 위</v>
          </cell>
          <cell r="F530" t="str">
            <v>총   액</v>
          </cell>
          <cell r="G530" t="str">
            <v>노   무   비</v>
          </cell>
          <cell r="I530" t="str">
            <v>재   료   비</v>
          </cell>
          <cell r="K530" t="str">
            <v>경      비</v>
          </cell>
          <cell r="M530" t="str">
            <v>비   고</v>
          </cell>
        </row>
        <row r="531">
          <cell r="C531" t="str">
            <v xml:space="preserve">규       격 </v>
          </cell>
          <cell r="F531" t="str">
            <v>금   액</v>
          </cell>
          <cell r="G531" t="str">
            <v>단  가</v>
          </cell>
          <cell r="H531" t="str">
            <v>금   액</v>
          </cell>
          <cell r="I531" t="str">
            <v>단  가</v>
          </cell>
          <cell r="J531" t="str">
            <v>금   액</v>
          </cell>
          <cell r="K531" t="str">
            <v>단  가</v>
          </cell>
          <cell r="L531" t="str">
            <v>금   액</v>
          </cell>
        </row>
        <row r="533">
          <cell r="A533" t="str">
            <v>산       소</v>
          </cell>
          <cell r="C533" t="str">
            <v>6,000L용</v>
          </cell>
          <cell r="D533">
            <v>3</v>
          </cell>
          <cell r="E533" t="str">
            <v>병</v>
          </cell>
          <cell r="G533" t="str">
            <v xml:space="preserve"> </v>
          </cell>
          <cell r="I533">
            <v>12000</v>
          </cell>
          <cell r="J533">
            <v>36000</v>
          </cell>
        </row>
        <row r="534">
          <cell r="A534" t="str">
            <v>아 세 치 렌</v>
          </cell>
          <cell r="C534" t="str">
            <v>4,500L용</v>
          </cell>
          <cell r="D534">
            <v>2.58</v>
          </cell>
          <cell r="E534" t="str">
            <v>병</v>
          </cell>
          <cell r="I534">
            <v>55392</v>
          </cell>
          <cell r="J534">
            <v>142911</v>
          </cell>
        </row>
        <row r="535">
          <cell r="A535" t="str">
            <v>함       석</v>
          </cell>
          <cell r="C535" t="str">
            <v>#31 x 3' x 6'</v>
          </cell>
          <cell r="D535">
            <v>0.62</v>
          </cell>
          <cell r="E535" t="str">
            <v>매</v>
          </cell>
          <cell r="I535">
            <v>2825</v>
          </cell>
          <cell r="J535">
            <v>1751</v>
          </cell>
        </row>
        <row r="536">
          <cell r="A536" t="str">
            <v>용   접  봉</v>
          </cell>
          <cell r="C536" t="str">
            <v>SS41, 4M/Mx350L</v>
          </cell>
          <cell r="D536">
            <v>20</v>
          </cell>
          <cell r="E536" t="str">
            <v>KG</v>
          </cell>
          <cell r="I536">
            <v>1260</v>
          </cell>
          <cell r="J536">
            <v>25200</v>
          </cell>
        </row>
        <row r="537">
          <cell r="A537" t="str">
            <v>전       력</v>
          </cell>
          <cell r="D537">
            <v>310</v>
          </cell>
          <cell r="E537" t="str">
            <v>KWH</v>
          </cell>
          <cell r="I537" t="str">
            <v xml:space="preserve"> </v>
          </cell>
          <cell r="K537">
            <v>61.6</v>
          </cell>
          <cell r="L537">
            <v>19096</v>
          </cell>
        </row>
        <row r="538">
          <cell r="E538" t="str">
            <v xml:space="preserve"> </v>
          </cell>
          <cell r="I538" t="str">
            <v xml:space="preserve"> </v>
          </cell>
          <cell r="K538" t="str">
            <v xml:space="preserve"> </v>
          </cell>
        </row>
        <row r="540">
          <cell r="B540" t="str">
            <v>계</v>
          </cell>
          <cell r="F540">
            <v>224958</v>
          </cell>
          <cell r="J540">
            <v>205862</v>
          </cell>
          <cell r="L540">
            <v>19096</v>
          </cell>
        </row>
        <row r="557">
          <cell r="A557" t="str">
            <v>ROLLER GATE GUIDE FRAME 제작 인건비</v>
          </cell>
        </row>
        <row r="558">
          <cell r="E558" t="str">
            <v xml:space="preserve"> </v>
          </cell>
        </row>
        <row r="559">
          <cell r="A559" t="str">
            <v>종       별</v>
          </cell>
          <cell r="C559" t="str">
            <v>재 료 또 는</v>
          </cell>
          <cell r="D559" t="str">
            <v xml:space="preserve">원 수 </v>
          </cell>
          <cell r="E559" t="str">
            <v>단 위</v>
          </cell>
          <cell r="F559" t="str">
            <v>총   액</v>
          </cell>
          <cell r="G559" t="str">
            <v>노   무   비</v>
          </cell>
          <cell r="I559" t="str">
            <v>재   료   비</v>
          </cell>
          <cell r="K559" t="str">
            <v>경      비</v>
          </cell>
          <cell r="M559" t="str">
            <v>비   고</v>
          </cell>
        </row>
        <row r="560">
          <cell r="C560" t="str">
            <v xml:space="preserve">규       격 </v>
          </cell>
          <cell r="F560" t="str">
            <v>금   액</v>
          </cell>
          <cell r="G560" t="str">
            <v>단  가</v>
          </cell>
          <cell r="H560" t="str">
            <v>금   액</v>
          </cell>
          <cell r="I560" t="str">
            <v>단  가</v>
          </cell>
          <cell r="J560" t="str">
            <v>금   액</v>
          </cell>
          <cell r="K560" t="str">
            <v>단  가</v>
          </cell>
          <cell r="L560" t="str">
            <v>금   액</v>
          </cell>
        </row>
        <row r="561">
          <cell r="A561" t="str">
            <v>기 술 관 리</v>
          </cell>
          <cell r="C561" t="str">
            <v>기계기사1급</v>
          </cell>
          <cell r="D561">
            <v>2.5</v>
          </cell>
          <cell r="E561" t="str">
            <v>인</v>
          </cell>
          <cell r="G561">
            <v>97488</v>
          </cell>
          <cell r="H561">
            <v>243720</v>
          </cell>
        </row>
        <row r="562">
          <cell r="A562" t="str">
            <v>사      도</v>
          </cell>
          <cell r="C562" t="str">
            <v>제   도   공</v>
          </cell>
          <cell r="D562">
            <v>1</v>
          </cell>
          <cell r="E562" t="str">
            <v>인</v>
          </cell>
          <cell r="G562">
            <v>32747</v>
          </cell>
          <cell r="H562">
            <v>32747</v>
          </cell>
        </row>
        <row r="563">
          <cell r="A563" t="str">
            <v>재료 절단 현도</v>
          </cell>
          <cell r="C563" t="str">
            <v>현   도   공</v>
          </cell>
          <cell r="D563">
            <v>0.63</v>
          </cell>
          <cell r="E563" t="str">
            <v>인</v>
          </cell>
          <cell r="G563">
            <v>28487</v>
          </cell>
          <cell r="H563">
            <v>17946</v>
          </cell>
        </row>
        <row r="564">
          <cell r="A564" t="str">
            <v xml:space="preserve"> </v>
          </cell>
          <cell r="B564" t="str">
            <v>괘    서</v>
          </cell>
          <cell r="C564" t="str">
            <v>마   킹   공</v>
          </cell>
          <cell r="D564">
            <v>1.26</v>
          </cell>
          <cell r="E564" t="str">
            <v>인</v>
          </cell>
          <cell r="G564">
            <v>26924</v>
          </cell>
          <cell r="H564">
            <v>33924</v>
          </cell>
        </row>
        <row r="565">
          <cell r="A565" t="str">
            <v xml:space="preserve"> </v>
          </cell>
          <cell r="B565" t="str">
            <v>절    단</v>
          </cell>
          <cell r="C565" t="str">
            <v>절   단   공</v>
          </cell>
          <cell r="D565">
            <v>0.33</v>
          </cell>
          <cell r="E565" t="str">
            <v>인</v>
          </cell>
          <cell r="G565">
            <v>65881</v>
          </cell>
          <cell r="H565">
            <v>21740</v>
          </cell>
        </row>
        <row r="567">
          <cell r="B567" t="str">
            <v>교    정</v>
          </cell>
          <cell r="C567" t="str">
            <v>프랜트 제관공</v>
          </cell>
          <cell r="D567">
            <v>0.6</v>
          </cell>
          <cell r="E567" t="str">
            <v>인</v>
          </cell>
          <cell r="G567">
            <v>81966</v>
          </cell>
          <cell r="H567">
            <v>49179</v>
          </cell>
        </row>
        <row r="568">
          <cell r="A568" t="str">
            <v>단재가공 괘서</v>
          </cell>
          <cell r="C568" t="str">
            <v>마   킹   공</v>
          </cell>
          <cell r="D568">
            <v>1.26</v>
          </cell>
          <cell r="E568" t="str">
            <v>인</v>
          </cell>
          <cell r="G568">
            <v>26924</v>
          </cell>
          <cell r="H568">
            <v>33924</v>
          </cell>
        </row>
        <row r="569">
          <cell r="A569" t="str">
            <v xml:space="preserve"> </v>
          </cell>
          <cell r="B569" t="str">
            <v>절    단</v>
          </cell>
          <cell r="C569" t="str">
            <v>절   단   공</v>
          </cell>
          <cell r="D569">
            <v>0.16</v>
          </cell>
          <cell r="E569" t="str">
            <v>인</v>
          </cell>
          <cell r="G569">
            <v>65881</v>
          </cell>
          <cell r="H569">
            <v>10540</v>
          </cell>
        </row>
        <row r="570">
          <cell r="B570" t="str">
            <v>EDGE가공</v>
          </cell>
          <cell r="C570" t="str">
            <v>산소 절단공</v>
          </cell>
          <cell r="D570">
            <v>0.17</v>
          </cell>
          <cell r="E570" t="str">
            <v>인</v>
          </cell>
          <cell r="G570">
            <v>31794</v>
          </cell>
          <cell r="H570">
            <v>5404</v>
          </cell>
        </row>
        <row r="571">
          <cell r="A571" t="str">
            <v xml:space="preserve"> </v>
          </cell>
          <cell r="B571" t="str">
            <v>용    접</v>
          </cell>
          <cell r="C571" t="str">
            <v>프랜트 용접공</v>
          </cell>
          <cell r="D571">
            <v>1.3</v>
          </cell>
          <cell r="E571" t="str">
            <v>인</v>
          </cell>
          <cell r="G571">
            <v>95379</v>
          </cell>
          <cell r="H571">
            <v>123992</v>
          </cell>
        </row>
        <row r="573">
          <cell r="A573" t="str">
            <v xml:space="preserve"> </v>
          </cell>
          <cell r="B573" t="str">
            <v>교    정</v>
          </cell>
          <cell r="C573" t="str">
            <v>프랜트 제관공</v>
          </cell>
          <cell r="D573">
            <v>0.75</v>
          </cell>
          <cell r="E573" t="str">
            <v>인</v>
          </cell>
          <cell r="G573">
            <v>81966</v>
          </cell>
          <cell r="H573">
            <v>61474</v>
          </cell>
        </row>
        <row r="574">
          <cell r="B574" t="str">
            <v>HOLING</v>
          </cell>
          <cell r="C574" t="str">
            <v>프랜트 제관공</v>
          </cell>
          <cell r="D574">
            <v>0.15</v>
          </cell>
          <cell r="E574" t="str">
            <v>인</v>
          </cell>
          <cell r="G574">
            <v>81966</v>
          </cell>
          <cell r="H574">
            <v>12294</v>
          </cell>
        </row>
        <row r="575">
          <cell r="A575" t="str">
            <v>부분조립,취부조정</v>
          </cell>
          <cell r="C575" t="str">
            <v>프랜트기계설치공</v>
          </cell>
          <cell r="D575">
            <v>3.7</v>
          </cell>
          <cell r="E575" t="str">
            <v>인</v>
          </cell>
          <cell r="G575">
            <v>80805</v>
          </cell>
          <cell r="H575">
            <v>298978</v>
          </cell>
        </row>
        <row r="576">
          <cell r="A576" t="str">
            <v>용      접</v>
          </cell>
          <cell r="C576" t="str">
            <v>프랜트 용접공</v>
          </cell>
          <cell r="D576">
            <v>8.4</v>
          </cell>
          <cell r="E576" t="str">
            <v>인</v>
          </cell>
          <cell r="G576">
            <v>95379</v>
          </cell>
          <cell r="H576">
            <v>801183</v>
          </cell>
        </row>
        <row r="577">
          <cell r="A577" t="str">
            <v>절      단</v>
          </cell>
          <cell r="C577" t="str">
            <v>절   단   공</v>
          </cell>
          <cell r="D577">
            <v>0.1</v>
          </cell>
          <cell r="E577" t="str">
            <v>인</v>
          </cell>
          <cell r="G577">
            <v>65881</v>
          </cell>
          <cell r="H577">
            <v>6588</v>
          </cell>
        </row>
        <row r="578">
          <cell r="E578" t="str">
            <v xml:space="preserve"> </v>
          </cell>
        </row>
        <row r="579">
          <cell r="A579" t="str">
            <v>교      정</v>
          </cell>
          <cell r="C579" t="str">
            <v>프랜트 제관공</v>
          </cell>
          <cell r="D579">
            <v>1.75</v>
          </cell>
          <cell r="E579" t="str">
            <v>인</v>
          </cell>
          <cell r="G579">
            <v>81966</v>
          </cell>
          <cell r="H579">
            <v>143440</v>
          </cell>
        </row>
        <row r="580">
          <cell r="A580" t="str">
            <v>기 계 가 공</v>
          </cell>
          <cell r="C580" t="str">
            <v>기   계   공</v>
          </cell>
          <cell r="D580">
            <v>1.26</v>
          </cell>
          <cell r="E580" t="str">
            <v>인</v>
          </cell>
          <cell r="G580">
            <v>58906</v>
          </cell>
          <cell r="H580">
            <v>74221</v>
          </cell>
        </row>
        <row r="581">
          <cell r="C581" t="str">
            <v>기계 연마공</v>
          </cell>
          <cell r="D581">
            <v>0.126</v>
          </cell>
          <cell r="E581" t="str">
            <v>인</v>
          </cell>
          <cell r="G581">
            <v>26032</v>
          </cell>
          <cell r="H581">
            <v>3280</v>
          </cell>
        </row>
        <row r="582">
          <cell r="A582" t="str">
            <v>가 조 립,조 립</v>
          </cell>
          <cell r="C582" t="str">
            <v>프랜트기계설치공</v>
          </cell>
          <cell r="D582">
            <v>2</v>
          </cell>
          <cell r="E582" t="str">
            <v>인</v>
          </cell>
          <cell r="G582">
            <v>80805</v>
          </cell>
          <cell r="H582">
            <v>161610</v>
          </cell>
        </row>
        <row r="583">
          <cell r="A583" t="str">
            <v>가 조 립,해 체</v>
          </cell>
          <cell r="C583" t="str">
            <v>프랜트기계설치공</v>
          </cell>
          <cell r="D583">
            <v>1</v>
          </cell>
          <cell r="E583" t="str">
            <v>인</v>
          </cell>
          <cell r="G583">
            <v>80805</v>
          </cell>
          <cell r="H583">
            <v>80805</v>
          </cell>
        </row>
        <row r="584">
          <cell r="E584" t="str">
            <v xml:space="preserve"> </v>
          </cell>
        </row>
        <row r="585">
          <cell r="A585" t="str">
            <v>운 반 조 작</v>
          </cell>
          <cell r="C585" t="str">
            <v>특수 비계공</v>
          </cell>
          <cell r="D585">
            <v>5</v>
          </cell>
          <cell r="E585" t="str">
            <v>인</v>
          </cell>
          <cell r="G585">
            <v>85884</v>
          </cell>
          <cell r="H585">
            <v>429420</v>
          </cell>
        </row>
        <row r="586">
          <cell r="A586" t="str">
            <v>종       별</v>
          </cell>
          <cell r="C586" t="str">
            <v>재 료 또 는</v>
          </cell>
          <cell r="D586" t="str">
            <v xml:space="preserve">원 수 </v>
          </cell>
          <cell r="E586" t="str">
            <v>단 위</v>
          </cell>
          <cell r="F586" t="str">
            <v>총   액</v>
          </cell>
          <cell r="G586" t="str">
            <v>노   무   비</v>
          </cell>
          <cell r="I586" t="str">
            <v>재   료   비</v>
          </cell>
          <cell r="K586" t="str">
            <v>경      비</v>
          </cell>
          <cell r="M586" t="str">
            <v>비   고</v>
          </cell>
        </row>
        <row r="587">
          <cell r="C587" t="str">
            <v xml:space="preserve">규       격 </v>
          </cell>
          <cell r="F587" t="str">
            <v>금   액</v>
          </cell>
          <cell r="G587" t="str">
            <v>단  가</v>
          </cell>
          <cell r="H587" t="str">
            <v>금   액</v>
          </cell>
          <cell r="I587" t="str">
            <v>단  가</v>
          </cell>
          <cell r="J587" t="str">
            <v>금   액</v>
          </cell>
          <cell r="K587" t="str">
            <v>단  가</v>
          </cell>
          <cell r="L587" t="str">
            <v>금   액</v>
          </cell>
        </row>
        <row r="588">
          <cell r="A588" t="str">
            <v>동 력 조 작</v>
          </cell>
          <cell r="C588" t="str">
            <v>플랜트전공</v>
          </cell>
          <cell r="D588">
            <v>1</v>
          </cell>
          <cell r="E588" t="str">
            <v>인</v>
          </cell>
          <cell r="G588">
            <v>64285</v>
          </cell>
          <cell r="H588">
            <v>64285</v>
          </cell>
        </row>
        <row r="589">
          <cell r="A589" t="str">
            <v>보      조</v>
          </cell>
          <cell r="C589" t="str">
            <v>특 별 인 부</v>
          </cell>
          <cell r="D589">
            <v>14.4</v>
          </cell>
          <cell r="E589" t="str">
            <v>인</v>
          </cell>
          <cell r="G589">
            <v>57379</v>
          </cell>
          <cell r="H589">
            <v>826257</v>
          </cell>
        </row>
        <row r="590">
          <cell r="A590" t="str">
            <v>검      사</v>
          </cell>
          <cell r="C590" t="str">
            <v>인건비 7%</v>
          </cell>
          <cell r="D590" t="str">
            <v>1</v>
          </cell>
          <cell r="E590" t="str">
            <v>식</v>
          </cell>
          <cell r="H590">
            <v>247586</v>
          </cell>
        </row>
        <row r="592">
          <cell r="B592" t="str">
            <v>계</v>
          </cell>
          <cell r="F592">
            <v>3784537</v>
          </cell>
          <cell r="H592">
            <v>3784537</v>
          </cell>
        </row>
        <row r="615">
          <cell r="A615" t="str">
            <v>ROLLER GATE GUIDE FRAME 제작 소모 자재비</v>
          </cell>
        </row>
        <row r="616">
          <cell r="E616" t="str">
            <v xml:space="preserve"> </v>
          </cell>
        </row>
        <row r="617">
          <cell r="A617" t="str">
            <v>종       별</v>
          </cell>
          <cell r="C617" t="str">
            <v>재 료 또 는</v>
          </cell>
          <cell r="D617" t="str">
            <v xml:space="preserve">원 수 </v>
          </cell>
          <cell r="E617" t="str">
            <v>단 위</v>
          </cell>
          <cell r="F617" t="str">
            <v>총   액</v>
          </cell>
          <cell r="G617" t="str">
            <v>노   무   비</v>
          </cell>
          <cell r="I617" t="str">
            <v>재   료   비</v>
          </cell>
          <cell r="K617" t="str">
            <v>경      비</v>
          </cell>
          <cell r="M617" t="str">
            <v>비   고</v>
          </cell>
        </row>
        <row r="618">
          <cell r="C618" t="str">
            <v xml:space="preserve">규       격 </v>
          </cell>
          <cell r="F618" t="str">
            <v>금   액</v>
          </cell>
          <cell r="G618" t="str">
            <v>단  가</v>
          </cell>
          <cell r="H618" t="str">
            <v>금   액</v>
          </cell>
          <cell r="I618" t="str">
            <v>단  가</v>
          </cell>
          <cell r="J618" t="str">
            <v>금   액</v>
          </cell>
          <cell r="K618" t="str">
            <v>단  가</v>
          </cell>
          <cell r="L618" t="str">
            <v>금   액</v>
          </cell>
        </row>
        <row r="619">
          <cell r="A619" t="str">
            <v>산       소</v>
          </cell>
          <cell r="C619" t="str">
            <v>6,000L용</v>
          </cell>
          <cell r="D619">
            <v>2.2999999999999998</v>
          </cell>
          <cell r="E619" t="str">
            <v>병</v>
          </cell>
          <cell r="G619" t="str">
            <v xml:space="preserve"> </v>
          </cell>
          <cell r="I619">
            <v>12000</v>
          </cell>
          <cell r="J619">
            <v>27600</v>
          </cell>
        </row>
        <row r="620">
          <cell r="A620" t="str">
            <v>아 세 치 렌</v>
          </cell>
          <cell r="C620" t="str">
            <v>2,100L용</v>
          </cell>
          <cell r="D620">
            <v>1.6</v>
          </cell>
          <cell r="E620" t="str">
            <v>병</v>
          </cell>
          <cell r="I620">
            <v>25849</v>
          </cell>
          <cell r="J620">
            <v>41358</v>
          </cell>
        </row>
        <row r="621">
          <cell r="A621" t="str">
            <v>함       석</v>
          </cell>
          <cell r="C621" t="str">
            <v>#32 x 3' x 6'</v>
          </cell>
          <cell r="D621">
            <v>1.9</v>
          </cell>
          <cell r="E621" t="str">
            <v>매</v>
          </cell>
          <cell r="I621">
            <v>2597</v>
          </cell>
          <cell r="J621">
            <v>4934</v>
          </cell>
        </row>
        <row r="622">
          <cell r="A622" t="str">
            <v>용   접  봉</v>
          </cell>
          <cell r="C622" t="str">
            <v>SS41+STS304,4M/M</v>
          </cell>
          <cell r="D622">
            <v>54.6</v>
          </cell>
          <cell r="E622" t="str">
            <v>KG</v>
          </cell>
          <cell r="I622">
            <v>3360</v>
          </cell>
          <cell r="J622">
            <v>183456</v>
          </cell>
        </row>
        <row r="623">
          <cell r="A623" t="str">
            <v>전       력</v>
          </cell>
          <cell r="D623">
            <v>550</v>
          </cell>
          <cell r="E623" t="str">
            <v>KWH</v>
          </cell>
          <cell r="K623">
            <v>61.6</v>
          </cell>
          <cell r="L623">
            <v>33880</v>
          </cell>
        </row>
        <row r="624">
          <cell r="A624" t="str">
            <v>그라인다돌</v>
          </cell>
          <cell r="C624" t="str">
            <v>300 M/M</v>
          </cell>
          <cell r="D624">
            <v>0.3</v>
          </cell>
          <cell r="E624" t="str">
            <v>개</v>
          </cell>
          <cell r="I624">
            <v>3380</v>
          </cell>
          <cell r="J624">
            <v>1014</v>
          </cell>
        </row>
        <row r="625">
          <cell r="A625" t="str">
            <v xml:space="preserve"> </v>
          </cell>
        </row>
        <row r="627">
          <cell r="B627" t="str">
            <v>계</v>
          </cell>
          <cell r="F627">
            <v>292242</v>
          </cell>
          <cell r="J627">
            <v>258362</v>
          </cell>
          <cell r="L627">
            <v>33880</v>
          </cell>
        </row>
        <row r="628">
          <cell r="F628" t="str">
            <v xml:space="preserve"> </v>
          </cell>
          <cell r="J628" t="str">
            <v xml:space="preserve"> </v>
          </cell>
          <cell r="L628" t="str">
            <v xml:space="preserve"> </v>
          </cell>
        </row>
        <row r="629">
          <cell r="F629" t="str">
            <v xml:space="preserve"> </v>
          </cell>
          <cell r="J629" t="str">
            <v xml:space="preserve"> </v>
          </cell>
          <cell r="L629" t="str">
            <v xml:space="preserve"> </v>
          </cell>
        </row>
        <row r="630">
          <cell r="F630" t="str">
            <v xml:space="preserve"> </v>
          </cell>
          <cell r="J630" t="str">
            <v xml:space="preserve"> </v>
          </cell>
          <cell r="L630" t="str">
            <v xml:space="preserve"> </v>
          </cell>
        </row>
        <row r="631">
          <cell r="F631" t="str">
            <v xml:space="preserve"> </v>
          </cell>
          <cell r="J631" t="str">
            <v xml:space="preserve"> </v>
          </cell>
          <cell r="L631" t="str">
            <v xml:space="preserve"> </v>
          </cell>
        </row>
        <row r="632">
          <cell r="F632" t="str">
            <v xml:space="preserve"> </v>
          </cell>
          <cell r="J632" t="str">
            <v xml:space="preserve"> </v>
          </cell>
          <cell r="L632" t="str">
            <v xml:space="preserve"> </v>
          </cell>
        </row>
        <row r="633">
          <cell r="F633" t="str">
            <v xml:space="preserve"> </v>
          </cell>
          <cell r="J633" t="str">
            <v xml:space="preserve"> </v>
          </cell>
          <cell r="L633" t="str">
            <v xml:space="preserve"> </v>
          </cell>
        </row>
        <row r="634">
          <cell r="F634" t="str">
            <v xml:space="preserve"> </v>
          </cell>
          <cell r="J634" t="str">
            <v xml:space="preserve"> </v>
          </cell>
          <cell r="L634" t="str">
            <v xml:space="preserve"> </v>
          </cell>
        </row>
        <row r="635">
          <cell r="F635" t="str">
            <v xml:space="preserve"> </v>
          </cell>
          <cell r="J635" t="str">
            <v xml:space="preserve"> </v>
          </cell>
          <cell r="L635" t="str">
            <v xml:space="preserve"> </v>
          </cell>
        </row>
        <row r="636">
          <cell r="F636" t="str">
            <v xml:space="preserve"> </v>
          </cell>
          <cell r="J636" t="str">
            <v xml:space="preserve"> </v>
          </cell>
          <cell r="L636" t="str">
            <v xml:space="preserve"> </v>
          </cell>
        </row>
        <row r="637">
          <cell r="F637" t="str">
            <v xml:space="preserve"> </v>
          </cell>
          <cell r="J637" t="str">
            <v xml:space="preserve"> </v>
          </cell>
          <cell r="L637" t="str">
            <v xml:space="preserve"> </v>
          </cell>
        </row>
        <row r="638">
          <cell r="F638" t="str">
            <v xml:space="preserve"> </v>
          </cell>
          <cell r="J638" t="str">
            <v xml:space="preserve"> </v>
          </cell>
          <cell r="L638" t="str">
            <v xml:space="preserve"> </v>
          </cell>
        </row>
        <row r="639">
          <cell r="F639" t="str">
            <v xml:space="preserve"> </v>
          </cell>
          <cell r="J639" t="str">
            <v xml:space="preserve"> </v>
          </cell>
          <cell r="L639" t="str">
            <v xml:space="preserve"> </v>
          </cell>
        </row>
        <row r="640">
          <cell r="F640" t="str">
            <v xml:space="preserve"> </v>
          </cell>
          <cell r="J640" t="str">
            <v xml:space="preserve"> </v>
          </cell>
          <cell r="L640" t="str">
            <v xml:space="preserve"> </v>
          </cell>
        </row>
        <row r="641">
          <cell r="F641" t="str">
            <v xml:space="preserve"> </v>
          </cell>
          <cell r="J641" t="str">
            <v xml:space="preserve"> </v>
          </cell>
          <cell r="L641" t="str">
            <v xml:space="preserve"> </v>
          </cell>
        </row>
        <row r="642">
          <cell r="F642" t="str">
            <v xml:space="preserve"> </v>
          </cell>
          <cell r="J642" t="str">
            <v xml:space="preserve"> </v>
          </cell>
          <cell r="L642" t="str">
            <v xml:space="preserve"> </v>
          </cell>
        </row>
        <row r="643">
          <cell r="F643" t="str">
            <v xml:space="preserve"> </v>
          </cell>
          <cell r="J643" t="str">
            <v xml:space="preserve"> </v>
          </cell>
          <cell r="L643" t="str">
            <v xml:space="preserve"> </v>
          </cell>
        </row>
        <row r="644">
          <cell r="A644" t="str">
            <v>ROLLER GATE 설치 인건비</v>
          </cell>
        </row>
        <row r="645">
          <cell r="E645" t="str">
            <v xml:space="preserve"> </v>
          </cell>
        </row>
        <row r="646">
          <cell r="A646" t="str">
            <v>종       별</v>
          </cell>
          <cell r="C646" t="str">
            <v>재 료 또 는</v>
          </cell>
          <cell r="D646" t="str">
            <v xml:space="preserve">원 수 </v>
          </cell>
          <cell r="E646" t="str">
            <v>단 위</v>
          </cell>
          <cell r="F646" t="str">
            <v>총   액</v>
          </cell>
          <cell r="G646" t="str">
            <v>노   무   비</v>
          </cell>
          <cell r="I646" t="str">
            <v>재   료   비</v>
          </cell>
          <cell r="K646" t="str">
            <v>경      비</v>
          </cell>
          <cell r="M646" t="str">
            <v>비   고</v>
          </cell>
        </row>
        <row r="647">
          <cell r="C647" t="str">
            <v xml:space="preserve">규       격 </v>
          </cell>
          <cell r="F647" t="str">
            <v>금   액</v>
          </cell>
          <cell r="G647" t="str">
            <v>단  가</v>
          </cell>
          <cell r="H647" t="str">
            <v>금   액</v>
          </cell>
          <cell r="I647" t="str">
            <v>단  가</v>
          </cell>
          <cell r="J647" t="str">
            <v>금   액</v>
          </cell>
          <cell r="K647" t="str">
            <v>단  가</v>
          </cell>
          <cell r="L647" t="str">
            <v>금   액</v>
          </cell>
        </row>
        <row r="648">
          <cell r="A648" t="str">
            <v>기 술 관 리</v>
          </cell>
          <cell r="C648" t="str">
            <v>기계기사1급</v>
          </cell>
          <cell r="D648">
            <v>0.5</v>
          </cell>
          <cell r="E648" t="str">
            <v>인</v>
          </cell>
          <cell r="G648">
            <v>97488</v>
          </cell>
          <cell r="H648">
            <v>48744</v>
          </cell>
        </row>
        <row r="649">
          <cell r="A649" t="str">
            <v>형 장 교 정</v>
          </cell>
          <cell r="C649" t="str">
            <v>프랜트 제관공</v>
          </cell>
          <cell r="D649">
            <v>0.81599999999999995</v>
          </cell>
          <cell r="E649" t="str">
            <v>인</v>
          </cell>
          <cell r="G649">
            <v>81966</v>
          </cell>
          <cell r="H649">
            <v>66884</v>
          </cell>
        </row>
        <row r="650">
          <cell r="A650" t="str">
            <v xml:space="preserve"> </v>
          </cell>
          <cell r="C650" t="str">
            <v>비   계   공</v>
          </cell>
          <cell r="D650">
            <v>0.14599999999999999</v>
          </cell>
          <cell r="E650" t="str">
            <v>인</v>
          </cell>
          <cell r="G650">
            <v>79467</v>
          </cell>
          <cell r="H650">
            <v>11602</v>
          </cell>
        </row>
        <row r="651">
          <cell r="A651" t="str">
            <v>소 운 반 제 작</v>
          </cell>
          <cell r="C651" t="str">
            <v>비   계   공</v>
          </cell>
          <cell r="D651">
            <v>1.992</v>
          </cell>
          <cell r="E651" t="str">
            <v>인</v>
          </cell>
          <cell r="G651">
            <v>79467</v>
          </cell>
          <cell r="H651">
            <v>158298</v>
          </cell>
        </row>
        <row r="652">
          <cell r="A652" t="str">
            <v xml:space="preserve"> </v>
          </cell>
          <cell r="C652" t="str">
            <v>프랜트기계설치공</v>
          </cell>
          <cell r="D652">
            <v>0.79100000000000004</v>
          </cell>
          <cell r="E652" t="str">
            <v>인</v>
          </cell>
          <cell r="G652">
            <v>80805</v>
          </cell>
          <cell r="H652">
            <v>63916</v>
          </cell>
        </row>
        <row r="654">
          <cell r="A654" t="str">
            <v>조 립 조 정</v>
          </cell>
          <cell r="C654" t="str">
            <v>비   계   공</v>
          </cell>
          <cell r="D654">
            <v>2.4300000000000002</v>
          </cell>
          <cell r="E654" t="str">
            <v>인</v>
          </cell>
          <cell r="G654">
            <v>79467</v>
          </cell>
          <cell r="H654">
            <v>193104</v>
          </cell>
        </row>
        <row r="655">
          <cell r="A655" t="str">
            <v xml:space="preserve"> </v>
          </cell>
          <cell r="C655" t="str">
            <v>프랜트 제관공</v>
          </cell>
          <cell r="D655">
            <v>2.0350000000000001</v>
          </cell>
          <cell r="E655" t="str">
            <v>인</v>
          </cell>
          <cell r="G655">
            <v>81966</v>
          </cell>
          <cell r="H655">
            <v>166800</v>
          </cell>
        </row>
        <row r="656">
          <cell r="A656" t="str">
            <v xml:space="preserve"> </v>
          </cell>
          <cell r="C656" t="str">
            <v>측   량   사</v>
          </cell>
          <cell r="D656">
            <v>0.81200000000000006</v>
          </cell>
          <cell r="E656" t="str">
            <v>인</v>
          </cell>
          <cell r="G656">
            <v>58506</v>
          </cell>
          <cell r="H656">
            <v>47506</v>
          </cell>
        </row>
        <row r="657">
          <cell r="A657" t="str">
            <v>리  벳  팅</v>
          </cell>
          <cell r="C657" t="str">
            <v>리 벳 팅 공</v>
          </cell>
          <cell r="D657">
            <v>1.4470000000000001</v>
          </cell>
          <cell r="E657" t="str">
            <v>인</v>
          </cell>
          <cell r="G657">
            <v>71579</v>
          </cell>
          <cell r="H657">
            <v>103574</v>
          </cell>
        </row>
        <row r="658">
          <cell r="A658" t="str">
            <v xml:space="preserve"> </v>
          </cell>
          <cell r="C658" t="str">
            <v>플랜트기계설치공</v>
          </cell>
          <cell r="D658">
            <v>0.52700000000000002</v>
          </cell>
          <cell r="E658" t="str">
            <v>인</v>
          </cell>
          <cell r="G658">
            <v>80805</v>
          </cell>
          <cell r="H658">
            <v>42584</v>
          </cell>
        </row>
        <row r="659">
          <cell r="C659" t="str">
            <v xml:space="preserve"> </v>
          </cell>
        </row>
        <row r="660">
          <cell r="A660" t="str">
            <v>용      접</v>
          </cell>
          <cell r="C660" t="str">
            <v>프랜트 용접공</v>
          </cell>
          <cell r="D660">
            <v>0.70499999999999996</v>
          </cell>
          <cell r="E660" t="str">
            <v>인</v>
          </cell>
          <cell r="G660">
            <v>95379</v>
          </cell>
          <cell r="H660">
            <v>67242</v>
          </cell>
        </row>
        <row r="661">
          <cell r="A661" t="str">
            <v xml:space="preserve"> </v>
          </cell>
          <cell r="C661" t="str">
            <v>프랜트 제관공</v>
          </cell>
          <cell r="D661">
            <v>0.187</v>
          </cell>
          <cell r="E661" t="str">
            <v>인</v>
          </cell>
          <cell r="G661">
            <v>81966</v>
          </cell>
          <cell r="H661">
            <v>15327</v>
          </cell>
        </row>
        <row r="662">
          <cell r="A662" t="str">
            <v>전 원 배 선</v>
          </cell>
          <cell r="C662" t="str">
            <v>플랜트 전공</v>
          </cell>
          <cell r="D662">
            <v>0.187</v>
          </cell>
          <cell r="E662" t="str">
            <v>인</v>
          </cell>
          <cell r="G662">
            <v>64285</v>
          </cell>
          <cell r="H662">
            <v>12021</v>
          </cell>
        </row>
        <row r="664">
          <cell r="A664" t="str">
            <v>검사 및 교정</v>
          </cell>
          <cell r="C664" t="str">
            <v xml:space="preserve">기술관리,전원 </v>
          </cell>
          <cell r="D664" t="str">
            <v>1</v>
          </cell>
          <cell r="E664" t="str">
            <v>식</v>
          </cell>
          <cell r="H664">
            <v>93683</v>
          </cell>
        </row>
        <row r="665">
          <cell r="C665" t="str">
            <v>배선 제외 10%</v>
          </cell>
        </row>
        <row r="669">
          <cell r="B669" t="str">
            <v>계</v>
          </cell>
          <cell r="F669">
            <v>1091285</v>
          </cell>
          <cell r="H669">
            <v>1091285</v>
          </cell>
        </row>
        <row r="673">
          <cell r="A673" t="str">
            <v>ROLLER GATE 설치 사용장비 경비</v>
          </cell>
        </row>
        <row r="674">
          <cell r="E674" t="str">
            <v xml:space="preserve"> </v>
          </cell>
        </row>
        <row r="675">
          <cell r="A675" t="str">
            <v>종       별</v>
          </cell>
          <cell r="C675" t="str">
            <v>재 료 또 는</v>
          </cell>
          <cell r="D675" t="str">
            <v xml:space="preserve">원 수 </v>
          </cell>
          <cell r="E675" t="str">
            <v>단 위</v>
          </cell>
          <cell r="F675" t="str">
            <v>총   액</v>
          </cell>
          <cell r="G675" t="str">
            <v>노   무   비</v>
          </cell>
          <cell r="I675" t="str">
            <v>재   료   비</v>
          </cell>
          <cell r="K675" t="str">
            <v>경      비</v>
          </cell>
          <cell r="M675" t="str">
            <v>비   고</v>
          </cell>
        </row>
        <row r="676">
          <cell r="C676" t="str">
            <v xml:space="preserve">규       격 </v>
          </cell>
          <cell r="F676" t="str">
            <v>금   액</v>
          </cell>
          <cell r="G676" t="str">
            <v>단  가</v>
          </cell>
          <cell r="H676" t="str">
            <v>금   액</v>
          </cell>
          <cell r="I676" t="str">
            <v>단  가</v>
          </cell>
          <cell r="J676" t="str">
            <v>금   액</v>
          </cell>
          <cell r="K676" t="str">
            <v>단  가</v>
          </cell>
          <cell r="L676" t="str">
            <v>금   액</v>
          </cell>
        </row>
        <row r="677">
          <cell r="A677" t="str">
            <v>A.C WELDER</v>
          </cell>
          <cell r="C677" t="str">
            <v>10KVA</v>
          </cell>
          <cell r="D677">
            <v>8</v>
          </cell>
          <cell r="E677" t="str">
            <v>Hr</v>
          </cell>
          <cell r="K677">
            <v>155</v>
          </cell>
          <cell r="L677">
            <v>1240</v>
          </cell>
        </row>
        <row r="678">
          <cell r="A678" t="str">
            <v>D.C WELDER</v>
          </cell>
          <cell r="C678" t="str">
            <v>5.5KW</v>
          </cell>
          <cell r="D678">
            <v>32</v>
          </cell>
          <cell r="E678" t="str">
            <v>Hr</v>
          </cell>
          <cell r="K678">
            <v>359</v>
          </cell>
          <cell r="L678">
            <v>11488</v>
          </cell>
        </row>
        <row r="679">
          <cell r="A679" t="str">
            <v>GAS CUTTING M/C</v>
          </cell>
          <cell r="C679" t="str">
            <v>중 형</v>
          </cell>
          <cell r="D679">
            <v>32</v>
          </cell>
          <cell r="E679" t="str">
            <v>Hr</v>
          </cell>
          <cell r="G679">
            <v>3974</v>
          </cell>
          <cell r="H679">
            <v>127168</v>
          </cell>
          <cell r="K679">
            <v>115</v>
          </cell>
          <cell r="L679">
            <v>3680</v>
          </cell>
        </row>
        <row r="680">
          <cell r="A680" t="str">
            <v>GAS WELDER</v>
          </cell>
          <cell r="C680" t="str">
            <v>중 형</v>
          </cell>
          <cell r="D680">
            <v>24</v>
          </cell>
          <cell r="E680" t="str">
            <v>Hr</v>
          </cell>
          <cell r="K680">
            <v>115</v>
          </cell>
          <cell r="L680">
            <v>2760</v>
          </cell>
        </row>
        <row r="681">
          <cell r="A681" t="str">
            <v>PORTABLE DRILL</v>
          </cell>
          <cell r="C681" t="str">
            <v>1.5 HP</v>
          </cell>
          <cell r="D681">
            <v>16</v>
          </cell>
          <cell r="E681" t="str">
            <v>Hr</v>
          </cell>
          <cell r="K681">
            <v>14</v>
          </cell>
          <cell r="L681">
            <v>224</v>
          </cell>
        </row>
        <row r="683">
          <cell r="A683" t="str">
            <v>PORTABLE GRINDER</v>
          </cell>
          <cell r="C683" t="str">
            <v>0.5 HP</v>
          </cell>
          <cell r="D683">
            <v>32</v>
          </cell>
          <cell r="E683" t="str">
            <v>Hr</v>
          </cell>
          <cell r="K683">
            <v>22</v>
          </cell>
          <cell r="L683">
            <v>704</v>
          </cell>
        </row>
        <row r="684">
          <cell r="A684" t="str">
            <v>COMPRESSOR</v>
          </cell>
          <cell r="C684" t="str">
            <v>8.9㎥/min</v>
          </cell>
          <cell r="D684">
            <v>8</v>
          </cell>
          <cell r="E684" t="str">
            <v>Hr</v>
          </cell>
          <cell r="G684">
            <v>9681</v>
          </cell>
          <cell r="H684">
            <v>77448</v>
          </cell>
          <cell r="I684">
            <v>8779</v>
          </cell>
          <cell r="J684">
            <v>70232</v>
          </cell>
          <cell r="K684">
            <v>6250</v>
          </cell>
          <cell r="L684">
            <v>50000</v>
          </cell>
        </row>
        <row r="685">
          <cell r="A685" t="str">
            <v>WINCH</v>
          </cell>
          <cell r="C685" t="str">
            <v>10 HP</v>
          </cell>
          <cell r="D685">
            <v>16</v>
          </cell>
          <cell r="E685" t="str">
            <v>Hr</v>
          </cell>
          <cell r="G685">
            <v>9235</v>
          </cell>
          <cell r="H685">
            <v>147760</v>
          </cell>
          <cell r="K685">
            <v>850</v>
          </cell>
          <cell r="L685">
            <v>13600</v>
          </cell>
        </row>
        <row r="686">
          <cell r="A686" t="str">
            <v>리프트 트럭</v>
          </cell>
          <cell r="C686" t="str">
            <v>7 TON</v>
          </cell>
          <cell r="D686">
            <v>8</v>
          </cell>
          <cell r="E686" t="str">
            <v>Hr</v>
          </cell>
          <cell r="G686">
            <v>9681</v>
          </cell>
          <cell r="H686">
            <v>77448</v>
          </cell>
          <cell r="I686">
            <v>5898</v>
          </cell>
          <cell r="J686">
            <v>47184</v>
          </cell>
          <cell r="K686">
            <v>5845</v>
          </cell>
          <cell r="L686">
            <v>46760</v>
          </cell>
        </row>
        <row r="687">
          <cell r="A687" t="str">
            <v>TRUCK CRANE</v>
          </cell>
          <cell r="C687" t="str">
            <v>40 TON</v>
          </cell>
          <cell r="D687">
            <v>8</v>
          </cell>
          <cell r="E687" t="str">
            <v>Hr</v>
          </cell>
          <cell r="G687">
            <v>18615</v>
          </cell>
          <cell r="H687">
            <v>148920</v>
          </cell>
          <cell r="I687">
            <v>8730</v>
          </cell>
          <cell r="J687">
            <v>69840</v>
          </cell>
          <cell r="K687">
            <v>55621</v>
          </cell>
          <cell r="L687">
            <v>444968</v>
          </cell>
        </row>
        <row r="691">
          <cell r="B691" t="str">
            <v xml:space="preserve"> 계</v>
          </cell>
          <cell r="F691">
            <v>1341424</v>
          </cell>
          <cell r="H691">
            <v>578744</v>
          </cell>
          <cell r="J691">
            <v>187256</v>
          </cell>
          <cell r="L691">
            <v>575424</v>
          </cell>
        </row>
        <row r="699">
          <cell r="J699" t="str">
            <v xml:space="preserve"> </v>
          </cell>
        </row>
        <row r="700">
          <cell r="J700" t="str">
            <v xml:space="preserve"> </v>
          </cell>
        </row>
        <row r="701">
          <cell r="J701" t="str">
            <v xml:space="preserve"> </v>
          </cell>
        </row>
        <row r="702">
          <cell r="A702" t="str">
            <v>ROLLER GATE LEAF 설치 소모 자재비</v>
          </cell>
        </row>
        <row r="703">
          <cell r="E703" t="str">
            <v xml:space="preserve"> </v>
          </cell>
        </row>
        <row r="704">
          <cell r="A704" t="str">
            <v>종       별</v>
          </cell>
          <cell r="C704" t="str">
            <v>재 료 또 는</v>
          </cell>
          <cell r="D704" t="str">
            <v xml:space="preserve">원 수 </v>
          </cell>
          <cell r="E704" t="str">
            <v>단 위</v>
          </cell>
          <cell r="F704" t="str">
            <v>총   액</v>
          </cell>
          <cell r="G704" t="str">
            <v>노   무   비</v>
          </cell>
          <cell r="I704" t="str">
            <v>재   료   비</v>
          </cell>
          <cell r="K704" t="str">
            <v>경      비</v>
          </cell>
          <cell r="M704" t="str">
            <v>비   고</v>
          </cell>
        </row>
        <row r="705">
          <cell r="C705" t="str">
            <v xml:space="preserve">규       격 </v>
          </cell>
          <cell r="F705" t="str">
            <v>금   액</v>
          </cell>
          <cell r="G705" t="str">
            <v>단  가</v>
          </cell>
          <cell r="H705" t="str">
            <v>금   액</v>
          </cell>
          <cell r="I705" t="str">
            <v>단  가</v>
          </cell>
          <cell r="J705" t="str">
            <v>금   액</v>
          </cell>
          <cell r="K705" t="str">
            <v>단  가</v>
          </cell>
          <cell r="L705" t="str">
            <v>금   액</v>
          </cell>
        </row>
        <row r="706">
          <cell r="A706" t="str">
            <v>산       소</v>
          </cell>
          <cell r="C706" t="str">
            <v>6,000L용</v>
          </cell>
          <cell r="D706">
            <v>0.46</v>
          </cell>
          <cell r="E706" t="str">
            <v>병</v>
          </cell>
          <cell r="G706" t="str">
            <v xml:space="preserve"> </v>
          </cell>
          <cell r="I706">
            <v>12000</v>
          </cell>
          <cell r="J706">
            <v>5520</v>
          </cell>
        </row>
        <row r="707">
          <cell r="A707" t="str">
            <v>아 세 치 렌</v>
          </cell>
          <cell r="C707" t="str">
            <v>4,500L용</v>
          </cell>
          <cell r="D707">
            <v>0.39</v>
          </cell>
          <cell r="E707" t="str">
            <v>병</v>
          </cell>
          <cell r="I707">
            <v>55392</v>
          </cell>
          <cell r="J707">
            <v>21602</v>
          </cell>
        </row>
        <row r="708">
          <cell r="A708" t="str">
            <v>용   접  봉</v>
          </cell>
          <cell r="C708" t="str">
            <v>SS400 , 4M/M</v>
          </cell>
          <cell r="D708">
            <v>5.4</v>
          </cell>
          <cell r="E708" t="str">
            <v>KG</v>
          </cell>
          <cell r="I708">
            <v>1260</v>
          </cell>
          <cell r="J708">
            <v>6804</v>
          </cell>
        </row>
        <row r="709">
          <cell r="A709" t="str">
            <v>코  크  스</v>
          </cell>
          <cell r="D709">
            <v>27</v>
          </cell>
          <cell r="E709" t="str">
            <v>KG</v>
          </cell>
          <cell r="I709">
            <v>183</v>
          </cell>
          <cell r="J709">
            <v>4941</v>
          </cell>
        </row>
        <row r="712">
          <cell r="A712" t="str">
            <v xml:space="preserve"> </v>
          </cell>
        </row>
        <row r="713">
          <cell r="L713" t="str">
            <v xml:space="preserve"> </v>
          </cell>
        </row>
        <row r="714">
          <cell r="B714" t="str">
            <v>계</v>
          </cell>
          <cell r="F714">
            <v>38867</v>
          </cell>
          <cell r="J714">
            <v>38867</v>
          </cell>
        </row>
        <row r="715">
          <cell r="A715" t="str">
            <v xml:space="preserve"> </v>
          </cell>
        </row>
        <row r="716">
          <cell r="A716" t="str">
            <v xml:space="preserve"> </v>
          </cell>
        </row>
        <row r="717">
          <cell r="A717" t="str">
            <v xml:space="preserve"> </v>
          </cell>
        </row>
        <row r="718">
          <cell r="A718" t="str">
            <v xml:space="preserve"> </v>
          </cell>
        </row>
        <row r="719">
          <cell r="A719" t="str">
            <v xml:space="preserve"> </v>
          </cell>
        </row>
        <row r="720">
          <cell r="A720" t="str">
            <v xml:space="preserve"> </v>
          </cell>
        </row>
        <row r="721">
          <cell r="A721" t="str">
            <v xml:space="preserve"> </v>
          </cell>
        </row>
        <row r="722">
          <cell r="A722" t="str">
            <v xml:space="preserve"> </v>
          </cell>
        </row>
        <row r="723">
          <cell r="A723" t="str">
            <v xml:space="preserve"> </v>
          </cell>
        </row>
        <row r="724">
          <cell r="A724" t="str">
            <v xml:space="preserve"> </v>
          </cell>
        </row>
        <row r="725">
          <cell r="A725" t="str">
            <v xml:space="preserve"> </v>
          </cell>
        </row>
        <row r="726">
          <cell r="A726" t="str">
            <v xml:space="preserve"> </v>
          </cell>
        </row>
        <row r="727">
          <cell r="A727" t="str">
            <v xml:space="preserve"> </v>
          </cell>
        </row>
        <row r="728">
          <cell r="A728" t="str">
            <v xml:space="preserve"> </v>
          </cell>
        </row>
        <row r="729">
          <cell r="A729" t="str">
            <v xml:space="preserve"> </v>
          </cell>
        </row>
        <row r="730">
          <cell r="A730" t="str">
            <v xml:space="preserve"> </v>
          </cell>
        </row>
        <row r="731">
          <cell r="A731" t="str">
            <v>ROLLER GATE GUIDE FRAME 설치 인건비</v>
          </cell>
        </row>
        <row r="732">
          <cell r="E732" t="str">
            <v xml:space="preserve"> </v>
          </cell>
        </row>
        <row r="733">
          <cell r="A733" t="str">
            <v>종       별</v>
          </cell>
          <cell r="C733" t="str">
            <v>재 료 또 는</v>
          </cell>
          <cell r="D733" t="str">
            <v xml:space="preserve">원 수 </v>
          </cell>
          <cell r="E733" t="str">
            <v>단 위</v>
          </cell>
          <cell r="F733" t="str">
            <v>총   액</v>
          </cell>
          <cell r="G733" t="str">
            <v>노   무   비</v>
          </cell>
          <cell r="I733" t="str">
            <v>재   료   비</v>
          </cell>
          <cell r="K733" t="str">
            <v>경      비</v>
          </cell>
          <cell r="M733" t="str">
            <v>비   고</v>
          </cell>
        </row>
        <row r="734">
          <cell r="C734" t="str">
            <v xml:space="preserve">규       격 </v>
          </cell>
          <cell r="F734" t="str">
            <v>금   액</v>
          </cell>
          <cell r="G734" t="str">
            <v>단  가</v>
          </cell>
          <cell r="H734" t="str">
            <v>금   액</v>
          </cell>
          <cell r="I734" t="str">
            <v>단  가</v>
          </cell>
          <cell r="J734" t="str">
            <v>금   액</v>
          </cell>
          <cell r="K734" t="str">
            <v>단  가</v>
          </cell>
          <cell r="L734" t="str">
            <v>금   액</v>
          </cell>
        </row>
        <row r="735">
          <cell r="A735" t="str">
            <v>기 술 지 도</v>
          </cell>
          <cell r="C735" t="str">
            <v>기계기사1급</v>
          </cell>
          <cell r="D735">
            <v>5.33</v>
          </cell>
          <cell r="E735" t="str">
            <v>인</v>
          </cell>
          <cell r="G735">
            <v>97488</v>
          </cell>
          <cell r="H735">
            <v>519611</v>
          </cell>
        </row>
        <row r="736">
          <cell r="A736" t="str">
            <v>박 스 해 체</v>
          </cell>
          <cell r="C736" t="str">
            <v>목       공</v>
          </cell>
          <cell r="D736">
            <v>0.34</v>
          </cell>
          <cell r="E736" t="str">
            <v>인</v>
          </cell>
          <cell r="G736">
            <v>75306</v>
          </cell>
          <cell r="H736">
            <v>25604</v>
          </cell>
        </row>
        <row r="737">
          <cell r="C737" t="str">
            <v>특 별 인 부</v>
          </cell>
          <cell r="D737">
            <v>0.34</v>
          </cell>
          <cell r="E737" t="str">
            <v>인</v>
          </cell>
          <cell r="G737">
            <v>57379</v>
          </cell>
          <cell r="H737">
            <v>19508</v>
          </cell>
        </row>
        <row r="738">
          <cell r="A738" t="str">
            <v>검       측</v>
          </cell>
          <cell r="C738" t="str">
            <v>플랜트기계설치공</v>
          </cell>
          <cell r="D738">
            <v>0.17</v>
          </cell>
          <cell r="E738" t="str">
            <v>인</v>
          </cell>
          <cell r="G738">
            <v>80805</v>
          </cell>
          <cell r="H738">
            <v>13736</v>
          </cell>
        </row>
        <row r="739">
          <cell r="C739" t="str">
            <v>특 별 인 부</v>
          </cell>
          <cell r="D739">
            <v>0.17</v>
          </cell>
          <cell r="E739" t="str">
            <v>인</v>
          </cell>
          <cell r="G739">
            <v>57379</v>
          </cell>
          <cell r="H739">
            <v>9754</v>
          </cell>
        </row>
        <row r="741">
          <cell r="A741" t="str">
            <v xml:space="preserve">수정 및 교정 </v>
          </cell>
          <cell r="C741" t="str">
            <v>프랜트기계설치공</v>
          </cell>
          <cell r="D741">
            <v>0.34</v>
          </cell>
          <cell r="E741" t="str">
            <v>인</v>
          </cell>
          <cell r="G741">
            <v>80805</v>
          </cell>
          <cell r="H741">
            <v>27473</v>
          </cell>
        </row>
        <row r="742">
          <cell r="C742" t="str">
            <v>특 별 인 부</v>
          </cell>
          <cell r="D742">
            <v>0.17</v>
          </cell>
          <cell r="E742" t="str">
            <v>인</v>
          </cell>
          <cell r="G742">
            <v>57379</v>
          </cell>
          <cell r="H742">
            <v>9754</v>
          </cell>
        </row>
        <row r="743">
          <cell r="A743" t="str">
            <v>설치준비,CHIPPING</v>
          </cell>
          <cell r="C743" t="str">
            <v>석      공</v>
          </cell>
          <cell r="D743">
            <v>1.1499999999999999</v>
          </cell>
          <cell r="E743" t="str">
            <v>인</v>
          </cell>
          <cell r="G743">
            <v>77005</v>
          </cell>
          <cell r="H743">
            <v>88555</v>
          </cell>
        </row>
        <row r="744">
          <cell r="C744" t="str">
            <v>특 별 인 부</v>
          </cell>
          <cell r="D744">
            <v>0.86</v>
          </cell>
          <cell r="E744" t="str">
            <v>인</v>
          </cell>
          <cell r="G744">
            <v>57379</v>
          </cell>
          <cell r="H744">
            <v>49345</v>
          </cell>
        </row>
        <row r="745">
          <cell r="A745" t="str">
            <v>가설 장비 설치</v>
          </cell>
          <cell r="C745" t="str">
            <v>프랜트기계설치공</v>
          </cell>
          <cell r="D745">
            <v>0.19</v>
          </cell>
          <cell r="E745" t="str">
            <v>인</v>
          </cell>
          <cell r="G745">
            <v>80805</v>
          </cell>
          <cell r="H745">
            <v>15352</v>
          </cell>
        </row>
        <row r="747">
          <cell r="C747" t="str">
            <v>프랜트 배관공</v>
          </cell>
          <cell r="D747">
            <v>0.19</v>
          </cell>
          <cell r="E747" t="str">
            <v>인</v>
          </cell>
          <cell r="G747">
            <v>97219</v>
          </cell>
          <cell r="H747">
            <v>18471</v>
          </cell>
        </row>
        <row r="748">
          <cell r="C748" t="str">
            <v>산소 절단공</v>
          </cell>
          <cell r="D748">
            <v>0.12</v>
          </cell>
          <cell r="E748" t="str">
            <v>인</v>
          </cell>
          <cell r="G748">
            <v>31794</v>
          </cell>
          <cell r="H748">
            <v>3815</v>
          </cell>
        </row>
        <row r="749">
          <cell r="C749" t="str">
            <v>프랜트 용접공</v>
          </cell>
          <cell r="D749">
            <v>0.12</v>
          </cell>
          <cell r="E749" t="str">
            <v>인</v>
          </cell>
          <cell r="G749">
            <v>95379</v>
          </cell>
          <cell r="H749">
            <v>11445</v>
          </cell>
        </row>
        <row r="750">
          <cell r="C750" t="str">
            <v>특 별 인 부</v>
          </cell>
          <cell r="D750">
            <v>0.51</v>
          </cell>
          <cell r="E750" t="str">
            <v>인</v>
          </cell>
          <cell r="G750">
            <v>57379</v>
          </cell>
          <cell r="H750">
            <v>29263</v>
          </cell>
        </row>
        <row r="751">
          <cell r="A751" t="str">
            <v>앙카바 정리 작업</v>
          </cell>
          <cell r="C751" t="str">
            <v>산소 절단공</v>
          </cell>
          <cell r="D751">
            <v>0.56000000000000005</v>
          </cell>
          <cell r="E751" t="str">
            <v>인</v>
          </cell>
          <cell r="G751">
            <v>31794</v>
          </cell>
          <cell r="H751">
            <v>17804</v>
          </cell>
        </row>
        <row r="753">
          <cell r="A753" t="str">
            <v xml:space="preserve"> </v>
          </cell>
          <cell r="C753" t="str">
            <v>프랜트기계설치공</v>
          </cell>
          <cell r="D753">
            <v>0.56000000000000005</v>
          </cell>
          <cell r="E753" t="str">
            <v>인</v>
          </cell>
          <cell r="G753">
            <v>80805</v>
          </cell>
          <cell r="H753">
            <v>45250</v>
          </cell>
        </row>
        <row r="754">
          <cell r="A754" t="str">
            <v xml:space="preserve"> </v>
          </cell>
          <cell r="C754" t="str">
            <v>특 별 인 부</v>
          </cell>
          <cell r="D754">
            <v>1.1200000000000001</v>
          </cell>
          <cell r="E754" t="str">
            <v>인</v>
          </cell>
          <cell r="G754">
            <v>57379</v>
          </cell>
          <cell r="H754">
            <v>64264</v>
          </cell>
        </row>
        <row r="755">
          <cell r="A755" t="str">
            <v>조       립</v>
          </cell>
          <cell r="C755" t="str">
            <v>특수 비계공</v>
          </cell>
          <cell r="D755">
            <v>0.79</v>
          </cell>
          <cell r="E755" t="str">
            <v>인</v>
          </cell>
          <cell r="G755">
            <v>85884</v>
          </cell>
          <cell r="H755">
            <v>67848</v>
          </cell>
        </row>
        <row r="756">
          <cell r="A756" t="str">
            <v xml:space="preserve"> </v>
          </cell>
          <cell r="C756" t="str">
            <v>프랜트기계설치공</v>
          </cell>
          <cell r="D756">
            <v>0.59</v>
          </cell>
          <cell r="E756" t="str">
            <v>인</v>
          </cell>
          <cell r="G756">
            <v>80805</v>
          </cell>
          <cell r="H756">
            <v>47674</v>
          </cell>
        </row>
        <row r="757">
          <cell r="C757" t="str">
            <v>산소 절단공</v>
          </cell>
          <cell r="D757">
            <v>0.28999999999999998</v>
          </cell>
          <cell r="E757" t="str">
            <v>인</v>
          </cell>
          <cell r="G757">
            <v>31794</v>
          </cell>
          <cell r="H757">
            <v>9220</v>
          </cell>
        </row>
        <row r="758">
          <cell r="C758" t="str">
            <v>플랜트기계설치공</v>
          </cell>
          <cell r="D758">
            <v>0.28999999999999998</v>
          </cell>
          <cell r="E758" t="str">
            <v>인</v>
          </cell>
          <cell r="G758">
            <v>80805</v>
          </cell>
          <cell r="H758">
            <v>23433</v>
          </cell>
        </row>
        <row r="759">
          <cell r="C759" t="str">
            <v>프랜트 용접공</v>
          </cell>
          <cell r="D759">
            <v>1.6</v>
          </cell>
          <cell r="E759" t="str">
            <v>인</v>
          </cell>
          <cell r="G759">
            <v>95379</v>
          </cell>
          <cell r="H759">
            <v>152606</v>
          </cell>
        </row>
        <row r="760">
          <cell r="A760" t="str">
            <v>종       별</v>
          </cell>
          <cell r="C760" t="str">
            <v>재 료 또 는</v>
          </cell>
          <cell r="D760" t="str">
            <v xml:space="preserve">원 수 </v>
          </cell>
          <cell r="E760" t="str">
            <v>단 위</v>
          </cell>
          <cell r="F760" t="str">
            <v>총   액</v>
          </cell>
          <cell r="G760" t="str">
            <v>노   무   비</v>
          </cell>
          <cell r="I760" t="str">
            <v>재   료   비</v>
          </cell>
          <cell r="K760" t="str">
            <v>경      비</v>
          </cell>
          <cell r="M760" t="str">
            <v>비   고</v>
          </cell>
        </row>
        <row r="761">
          <cell r="C761" t="str">
            <v xml:space="preserve">규       격 </v>
          </cell>
          <cell r="F761" t="str">
            <v>금   액</v>
          </cell>
          <cell r="G761" t="str">
            <v>단  가</v>
          </cell>
          <cell r="H761" t="str">
            <v>금   액</v>
          </cell>
          <cell r="I761" t="str">
            <v>단  가</v>
          </cell>
          <cell r="J761" t="str">
            <v>금   액</v>
          </cell>
          <cell r="K761" t="str">
            <v>단  가</v>
          </cell>
          <cell r="L761" t="str">
            <v>금   액</v>
          </cell>
        </row>
        <row r="762">
          <cell r="C762" t="str">
            <v>특 별 인 부</v>
          </cell>
          <cell r="D762">
            <v>2.77</v>
          </cell>
          <cell r="E762" t="str">
            <v>인</v>
          </cell>
          <cell r="G762">
            <v>57379</v>
          </cell>
          <cell r="H762">
            <v>158939</v>
          </cell>
        </row>
        <row r="763">
          <cell r="A763" t="str">
            <v>쎈   터   링</v>
          </cell>
          <cell r="C763" t="str">
            <v>특수 비계공</v>
          </cell>
          <cell r="D763">
            <v>0.79</v>
          </cell>
          <cell r="E763" t="str">
            <v>인</v>
          </cell>
          <cell r="G763">
            <v>85884</v>
          </cell>
          <cell r="H763">
            <v>67848</v>
          </cell>
        </row>
        <row r="764">
          <cell r="C764" t="str">
            <v>프랜트 용접공</v>
          </cell>
          <cell r="D764">
            <v>4.9000000000000004</v>
          </cell>
          <cell r="E764" t="str">
            <v>인</v>
          </cell>
          <cell r="G764">
            <v>95379</v>
          </cell>
          <cell r="H764">
            <v>467357</v>
          </cell>
        </row>
        <row r="765">
          <cell r="A765" t="str">
            <v xml:space="preserve"> </v>
          </cell>
          <cell r="C765" t="str">
            <v>측   량   사</v>
          </cell>
          <cell r="D765">
            <v>0.59</v>
          </cell>
          <cell r="E765" t="str">
            <v>인</v>
          </cell>
          <cell r="G765">
            <v>58506</v>
          </cell>
          <cell r="H765">
            <v>34518</v>
          </cell>
          <cell r="I765" t="str">
            <v xml:space="preserve"> </v>
          </cell>
        </row>
        <row r="766">
          <cell r="C766" t="str">
            <v>측 량 조 수</v>
          </cell>
          <cell r="D766">
            <v>0.59</v>
          </cell>
          <cell r="E766" t="str">
            <v>인</v>
          </cell>
          <cell r="G766">
            <v>38777</v>
          </cell>
          <cell r="H766">
            <v>22878</v>
          </cell>
        </row>
        <row r="767">
          <cell r="A767" t="str">
            <v xml:space="preserve"> </v>
          </cell>
          <cell r="C767" t="str">
            <v>산소 절단공</v>
          </cell>
          <cell r="D767">
            <v>0.59</v>
          </cell>
          <cell r="E767" t="str">
            <v>인</v>
          </cell>
          <cell r="G767">
            <v>31794</v>
          </cell>
          <cell r="H767">
            <v>18758</v>
          </cell>
        </row>
        <row r="768">
          <cell r="C768" t="str">
            <v>프랜트기계설치공</v>
          </cell>
          <cell r="D768">
            <v>1.48</v>
          </cell>
          <cell r="E768" t="str">
            <v>인</v>
          </cell>
          <cell r="G768">
            <v>80805</v>
          </cell>
          <cell r="H768">
            <v>119591</v>
          </cell>
        </row>
        <row r="769">
          <cell r="A769" t="str">
            <v xml:space="preserve"> </v>
          </cell>
          <cell r="C769" t="str">
            <v>특 별 인 부</v>
          </cell>
          <cell r="D769">
            <v>7.76</v>
          </cell>
          <cell r="E769" t="str">
            <v>인</v>
          </cell>
          <cell r="G769">
            <v>57379</v>
          </cell>
          <cell r="H769">
            <v>445261</v>
          </cell>
        </row>
        <row r="771">
          <cell r="A771" t="str">
            <v>거프집용 앙카설치</v>
          </cell>
          <cell r="C771" t="str">
            <v>산소 절단공</v>
          </cell>
          <cell r="D771">
            <v>0.21</v>
          </cell>
          <cell r="E771" t="str">
            <v>인</v>
          </cell>
          <cell r="G771">
            <v>31794</v>
          </cell>
          <cell r="H771">
            <v>6676</v>
          </cell>
        </row>
        <row r="772">
          <cell r="A772" t="str">
            <v xml:space="preserve"> </v>
          </cell>
          <cell r="C772" t="str">
            <v>프랜트 용접공</v>
          </cell>
          <cell r="D772">
            <v>1.6</v>
          </cell>
          <cell r="E772" t="str">
            <v>인</v>
          </cell>
          <cell r="G772">
            <v>95379</v>
          </cell>
          <cell r="H772">
            <v>152606</v>
          </cell>
        </row>
        <row r="773">
          <cell r="C773" t="str">
            <v>특 별 인 부</v>
          </cell>
          <cell r="D773">
            <v>1.81</v>
          </cell>
          <cell r="E773" t="str">
            <v>인</v>
          </cell>
          <cell r="G773">
            <v>57379</v>
          </cell>
          <cell r="H773">
            <v>103855</v>
          </cell>
        </row>
        <row r="774">
          <cell r="A774" t="str">
            <v>검 사 기 록</v>
          </cell>
          <cell r="C774" t="str">
            <v>측   량   사</v>
          </cell>
          <cell r="D774">
            <v>0.28999999999999998</v>
          </cell>
          <cell r="E774" t="str">
            <v>인</v>
          </cell>
          <cell r="G774">
            <v>58506</v>
          </cell>
          <cell r="H774">
            <v>16966</v>
          </cell>
        </row>
        <row r="775">
          <cell r="C775" t="str">
            <v>측 량 조 수</v>
          </cell>
          <cell r="D775">
            <v>0.28999999999999998</v>
          </cell>
          <cell r="E775" t="str">
            <v>인</v>
          </cell>
          <cell r="G775">
            <v>38777</v>
          </cell>
          <cell r="H775">
            <v>11245</v>
          </cell>
        </row>
        <row r="777">
          <cell r="C777" t="str">
            <v>프랜트기계설치공</v>
          </cell>
          <cell r="D777">
            <v>0.73</v>
          </cell>
          <cell r="E777" t="str">
            <v>인</v>
          </cell>
          <cell r="G777">
            <v>80805</v>
          </cell>
          <cell r="H777">
            <v>58987</v>
          </cell>
        </row>
        <row r="778">
          <cell r="C778" t="str">
            <v>특 별 인 부</v>
          </cell>
          <cell r="D778">
            <v>2.29</v>
          </cell>
          <cell r="E778" t="str">
            <v>인</v>
          </cell>
          <cell r="G778">
            <v>57379</v>
          </cell>
          <cell r="H778">
            <v>131397</v>
          </cell>
        </row>
        <row r="779">
          <cell r="A779" t="str">
            <v>뒷   정   리</v>
          </cell>
          <cell r="C779" t="str">
            <v>특수 비계공</v>
          </cell>
          <cell r="D779">
            <v>0.22</v>
          </cell>
          <cell r="E779" t="str">
            <v>인</v>
          </cell>
          <cell r="G779">
            <v>85884</v>
          </cell>
          <cell r="H779">
            <v>18894</v>
          </cell>
        </row>
        <row r="780">
          <cell r="C780" t="str">
            <v>프랜트기계설치공</v>
          </cell>
          <cell r="D780">
            <v>0.34</v>
          </cell>
          <cell r="E780" t="str">
            <v>인</v>
          </cell>
          <cell r="G780">
            <v>80805</v>
          </cell>
          <cell r="H780">
            <v>27473</v>
          </cell>
        </row>
        <row r="781">
          <cell r="C781" t="str">
            <v>산소 절단공</v>
          </cell>
          <cell r="D781">
            <v>0.22</v>
          </cell>
          <cell r="E781" t="str">
            <v>인</v>
          </cell>
          <cell r="G781">
            <v>31794</v>
          </cell>
          <cell r="H781">
            <v>6994</v>
          </cell>
        </row>
        <row r="783">
          <cell r="C783" t="str">
            <v>특 별 인 부</v>
          </cell>
          <cell r="D783">
            <v>0.56000000000000005</v>
          </cell>
          <cell r="E783" t="str">
            <v>인</v>
          </cell>
          <cell r="G783">
            <v>57379</v>
          </cell>
          <cell r="H783">
            <v>32132</v>
          </cell>
        </row>
        <row r="784">
          <cell r="A784" t="str">
            <v>전기설비,설치유지비</v>
          </cell>
          <cell r="C784" t="str">
            <v>플랜트전공</v>
          </cell>
          <cell r="D784">
            <v>4.25</v>
          </cell>
          <cell r="E784" t="str">
            <v>인</v>
          </cell>
          <cell r="G784">
            <v>64285</v>
          </cell>
          <cell r="H784">
            <v>273211</v>
          </cell>
        </row>
        <row r="785">
          <cell r="A785" t="str">
            <v>철     거</v>
          </cell>
          <cell r="C785" t="str">
            <v>특 별 인 부</v>
          </cell>
          <cell r="D785">
            <v>4.25</v>
          </cell>
          <cell r="E785" t="str">
            <v>인</v>
          </cell>
          <cell r="G785">
            <v>57379</v>
          </cell>
          <cell r="H785">
            <v>243860</v>
          </cell>
        </row>
        <row r="787">
          <cell r="B787" t="str">
            <v>계</v>
          </cell>
          <cell r="F787">
            <v>3689231</v>
          </cell>
          <cell r="H787">
            <v>3689231</v>
          </cell>
        </row>
        <row r="789">
          <cell r="A789" t="str">
            <v>ROLLER GATE GUIDE FRAME 설치 사용장비 경비</v>
          </cell>
        </row>
        <row r="790">
          <cell r="E790" t="str">
            <v xml:space="preserve"> </v>
          </cell>
        </row>
        <row r="791">
          <cell r="A791" t="str">
            <v>종       별</v>
          </cell>
          <cell r="C791" t="str">
            <v>재 료 또 는</v>
          </cell>
          <cell r="D791" t="str">
            <v xml:space="preserve">원 수 </v>
          </cell>
          <cell r="E791" t="str">
            <v>단 위</v>
          </cell>
          <cell r="F791" t="str">
            <v>총   액</v>
          </cell>
          <cell r="G791" t="str">
            <v>노   무   비</v>
          </cell>
          <cell r="I791" t="str">
            <v>재   료   비</v>
          </cell>
          <cell r="K791" t="str">
            <v>경      비</v>
          </cell>
          <cell r="M791" t="str">
            <v>비   고</v>
          </cell>
        </row>
        <row r="792">
          <cell r="C792" t="str">
            <v xml:space="preserve">규       격 </v>
          </cell>
          <cell r="F792" t="str">
            <v>금   액</v>
          </cell>
          <cell r="G792" t="str">
            <v>단  가</v>
          </cell>
          <cell r="H792" t="str">
            <v>금   액</v>
          </cell>
          <cell r="I792" t="str">
            <v>단  가</v>
          </cell>
          <cell r="J792" t="str">
            <v>금   액</v>
          </cell>
          <cell r="K792" t="str">
            <v>단  가</v>
          </cell>
          <cell r="L792" t="str">
            <v>금   액</v>
          </cell>
        </row>
        <row r="793">
          <cell r="A793" t="str">
            <v>A.C WELDER</v>
          </cell>
          <cell r="C793" t="str">
            <v>10KVA</v>
          </cell>
          <cell r="D793">
            <v>8</v>
          </cell>
          <cell r="E793" t="str">
            <v>Hr</v>
          </cell>
          <cell r="K793">
            <v>155</v>
          </cell>
          <cell r="L793">
            <v>1240</v>
          </cell>
        </row>
        <row r="794">
          <cell r="A794" t="str">
            <v>D.C WELDER</v>
          </cell>
          <cell r="C794" t="str">
            <v>5.5KW</v>
          </cell>
          <cell r="D794">
            <v>32</v>
          </cell>
          <cell r="E794" t="str">
            <v>Hr</v>
          </cell>
          <cell r="K794">
            <v>359</v>
          </cell>
          <cell r="L794">
            <v>11488</v>
          </cell>
        </row>
        <row r="795">
          <cell r="A795" t="str">
            <v>GAS CUTTING M/C</v>
          </cell>
          <cell r="C795" t="str">
            <v>중 형</v>
          </cell>
          <cell r="D795">
            <v>32</v>
          </cell>
          <cell r="E795" t="str">
            <v>Hr</v>
          </cell>
          <cell r="G795">
            <v>3974</v>
          </cell>
          <cell r="H795">
            <v>127168</v>
          </cell>
          <cell r="K795">
            <v>115</v>
          </cell>
          <cell r="L795">
            <v>3680</v>
          </cell>
        </row>
        <row r="796">
          <cell r="A796" t="str">
            <v>GAS WELDER</v>
          </cell>
          <cell r="C796" t="str">
            <v>중 형</v>
          </cell>
          <cell r="D796">
            <v>24</v>
          </cell>
          <cell r="E796" t="str">
            <v>Hr</v>
          </cell>
          <cell r="K796">
            <v>115</v>
          </cell>
          <cell r="L796">
            <v>2760</v>
          </cell>
        </row>
        <row r="797">
          <cell r="A797" t="str">
            <v>PORTABLE DRILL</v>
          </cell>
          <cell r="C797" t="str">
            <v>1.5 HP</v>
          </cell>
          <cell r="D797">
            <v>16</v>
          </cell>
          <cell r="E797" t="str">
            <v>Hr</v>
          </cell>
          <cell r="K797">
            <v>14</v>
          </cell>
          <cell r="L797">
            <v>224</v>
          </cell>
        </row>
        <row r="799">
          <cell r="A799" t="str">
            <v>PORTABLE GRINDER</v>
          </cell>
          <cell r="C799" t="str">
            <v>0.5 HP</v>
          </cell>
          <cell r="D799">
            <v>32</v>
          </cell>
          <cell r="E799" t="str">
            <v>Hr</v>
          </cell>
          <cell r="K799">
            <v>22</v>
          </cell>
          <cell r="L799">
            <v>704</v>
          </cell>
        </row>
        <row r="800">
          <cell r="A800" t="str">
            <v>COMPRESSOR</v>
          </cell>
          <cell r="C800" t="str">
            <v>8.9㎥/min</v>
          </cell>
          <cell r="D800">
            <v>8</v>
          </cell>
          <cell r="E800" t="str">
            <v>Hr</v>
          </cell>
          <cell r="G800">
            <v>9681</v>
          </cell>
          <cell r="H800">
            <v>77448</v>
          </cell>
          <cell r="I800">
            <v>8779</v>
          </cell>
          <cell r="J800">
            <v>70232</v>
          </cell>
          <cell r="K800">
            <v>6250</v>
          </cell>
          <cell r="L800">
            <v>50000</v>
          </cell>
        </row>
        <row r="801">
          <cell r="A801" t="str">
            <v>WINCH</v>
          </cell>
          <cell r="C801" t="str">
            <v>10 HP</v>
          </cell>
          <cell r="D801">
            <v>16</v>
          </cell>
          <cell r="E801" t="str">
            <v>Hr</v>
          </cell>
          <cell r="G801">
            <v>9235</v>
          </cell>
          <cell r="H801">
            <v>147760</v>
          </cell>
          <cell r="K801">
            <v>850</v>
          </cell>
          <cell r="L801">
            <v>13600</v>
          </cell>
        </row>
        <row r="802">
          <cell r="A802" t="str">
            <v>리프트 트럭</v>
          </cell>
          <cell r="C802" t="str">
            <v>7 TON</v>
          </cell>
          <cell r="D802">
            <v>8</v>
          </cell>
          <cell r="E802" t="str">
            <v>Hr</v>
          </cell>
          <cell r="G802">
            <v>9681</v>
          </cell>
          <cell r="H802">
            <v>77448</v>
          </cell>
          <cell r="I802">
            <v>5898</v>
          </cell>
          <cell r="J802">
            <v>47184</v>
          </cell>
          <cell r="K802">
            <v>5845</v>
          </cell>
          <cell r="L802">
            <v>46760</v>
          </cell>
        </row>
        <row r="803">
          <cell r="A803" t="str">
            <v>TRUCK CRANE</v>
          </cell>
          <cell r="C803" t="str">
            <v>40 TON</v>
          </cell>
          <cell r="D803">
            <v>8</v>
          </cell>
          <cell r="E803" t="str">
            <v>Hr</v>
          </cell>
          <cell r="G803">
            <v>18615</v>
          </cell>
          <cell r="H803">
            <v>148920</v>
          </cell>
          <cell r="I803">
            <v>8730</v>
          </cell>
          <cell r="J803">
            <v>69840</v>
          </cell>
          <cell r="K803">
            <v>55621</v>
          </cell>
          <cell r="L803">
            <v>444968</v>
          </cell>
        </row>
        <row r="807">
          <cell r="B807" t="str">
            <v xml:space="preserve"> 계</v>
          </cell>
          <cell r="F807">
            <v>1341424</v>
          </cell>
          <cell r="H807">
            <v>578744</v>
          </cell>
          <cell r="J807">
            <v>187256</v>
          </cell>
          <cell r="L807">
            <v>575424</v>
          </cell>
        </row>
        <row r="815">
          <cell r="J815" t="str">
            <v xml:space="preserve"> </v>
          </cell>
        </row>
        <row r="816">
          <cell r="J816" t="str">
            <v xml:space="preserve"> </v>
          </cell>
        </row>
        <row r="817">
          <cell r="J817" t="str">
            <v xml:space="preserve"> </v>
          </cell>
        </row>
        <row r="818">
          <cell r="A818" t="str">
            <v>ROLLER GATE GUIDE FRAME 설치 소모 자재비</v>
          </cell>
        </row>
        <row r="819">
          <cell r="E819" t="str">
            <v xml:space="preserve"> </v>
          </cell>
        </row>
        <row r="820">
          <cell r="A820" t="str">
            <v>종       별</v>
          </cell>
          <cell r="C820" t="str">
            <v>재 료 또 는</v>
          </cell>
          <cell r="D820" t="str">
            <v xml:space="preserve">원 수 </v>
          </cell>
          <cell r="E820" t="str">
            <v>단 위</v>
          </cell>
          <cell r="F820" t="str">
            <v>총   액</v>
          </cell>
          <cell r="G820" t="str">
            <v>노   무   비</v>
          </cell>
          <cell r="I820" t="str">
            <v>재   료   비</v>
          </cell>
          <cell r="K820" t="str">
            <v>경      비</v>
          </cell>
          <cell r="M820" t="str">
            <v>비   고</v>
          </cell>
        </row>
        <row r="821">
          <cell r="C821" t="str">
            <v xml:space="preserve">규       격 </v>
          </cell>
          <cell r="F821" t="str">
            <v>금   액</v>
          </cell>
          <cell r="G821" t="str">
            <v>단  가</v>
          </cell>
          <cell r="H821" t="str">
            <v>금   액</v>
          </cell>
          <cell r="I821" t="str">
            <v>단  가</v>
          </cell>
          <cell r="J821" t="str">
            <v>금   액</v>
          </cell>
          <cell r="K821" t="str">
            <v>단  가</v>
          </cell>
          <cell r="L821" t="str">
            <v>금   액</v>
          </cell>
        </row>
        <row r="822">
          <cell r="A822" t="str">
            <v>산       소</v>
          </cell>
          <cell r="C822" t="str">
            <v>6,000L용</v>
          </cell>
          <cell r="D822">
            <v>0.69</v>
          </cell>
          <cell r="E822" t="str">
            <v>병</v>
          </cell>
          <cell r="G822" t="str">
            <v xml:space="preserve"> </v>
          </cell>
          <cell r="I822">
            <v>12000</v>
          </cell>
          <cell r="J822">
            <v>8280</v>
          </cell>
        </row>
        <row r="823">
          <cell r="A823" t="str">
            <v>아 세 치 렌</v>
          </cell>
          <cell r="C823" t="str">
            <v>2,100L용</v>
          </cell>
          <cell r="D823">
            <v>0.2</v>
          </cell>
          <cell r="E823" t="str">
            <v>병</v>
          </cell>
          <cell r="I823">
            <v>25849</v>
          </cell>
          <cell r="J823">
            <v>5169</v>
          </cell>
        </row>
        <row r="824">
          <cell r="A824" t="str">
            <v>용   접  봉</v>
          </cell>
          <cell r="C824" t="str">
            <v>SS41+STS304,4M/M</v>
          </cell>
          <cell r="D824">
            <v>31.05</v>
          </cell>
          <cell r="E824" t="str">
            <v>KG</v>
          </cell>
          <cell r="I824">
            <v>3360</v>
          </cell>
          <cell r="J824">
            <v>104328</v>
          </cell>
        </row>
        <row r="825">
          <cell r="A825" t="str">
            <v xml:space="preserve"> </v>
          </cell>
          <cell r="D825" t="str">
            <v xml:space="preserve"> </v>
          </cell>
          <cell r="E825" t="str">
            <v xml:space="preserve"> </v>
          </cell>
        </row>
        <row r="828">
          <cell r="A828" t="str">
            <v xml:space="preserve"> </v>
          </cell>
        </row>
        <row r="829">
          <cell r="L829" t="str">
            <v xml:space="preserve"> </v>
          </cell>
        </row>
        <row r="830">
          <cell r="B830" t="str">
            <v>계</v>
          </cell>
          <cell r="F830">
            <v>117777</v>
          </cell>
          <cell r="J830">
            <v>117777</v>
          </cell>
          <cell r="L830" t="str">
            <v xml:space="preserve"> </v>
          </cell>
        </row>
        <row r="831">
          <cell r="F831" t="str">
            <v xml:space="preserve"> </v>
          </cell>
          <cell r="L831" t="str">
            <v xml:space="preserve"> </v>
          </cell>
        </row>
        <row r="832">
          <cell r="F832" t="str">
            <v xml:space="preserve"> </v>
          </cell>
          <cell r="J832" t="str">
            <v xml:space="preserve"> </v>
          </cell>
          <cell r="L832" t="str">
            <v xml:space="preserve"> </v>
          </cell>
        </row>
        <row r="833">
          <cell r="F833" t="str">
            <v xml:space="preserve"> </v>
          </cell>
          <cell r="J833" t="str">
            <v xml:space="preserve"> </v>
          </cell>
          <cell r="L833" t="str">
            <v xml:space="preserve"> </v>
          </cell>
        </row>
        <row r="834">
          <cell r="F834" t="str">
            <v xml:space="preserve"> </v>
          </cell>
          <cell r="J834" t="str">
            <v xml:space="preserve"> </v>
          </cell>
          <cell r="L834" t="str">
            <v xml:space="preserve"> </v>
          </cell>
        </row>
        <row r="835">
          <cell r="F835" t="str">
            <v xml:space="preserve"> </v>
          </cell>
          <cell r="J835" t="str">
            <v xml:space="preserve"> </v>
          </cell>
          <cell r="L835" t="str">
            <v xml:space="preserve"> </v>
          </cell>
        </row>
        <row r="836">
          <cell r="F836" t="str">
            <v xml:space="preserve"> </v>
          </cell>
          <cell r="J836" t="str">
            <v xml:space="preserve"> </v>
          </cell>
          <cell r="L836" t="str">
            <v xml:space="preserve"> </v>
          </cell>
        </row>
        <row r="837">
          <cell r="F837" t="str">
            <v xml:space="preserve"> </v>
          </cell>
          <cell r="J837" t="str">
            <v xml:space="preserve"> </v>
          </cell>
          <cell r="L837" t="str">
            <v xml:space="preserve"> </v>
          </cell>
        </row>
        <row r="838">
          <cell r="F838" t="str">
            <v xml:space="preserve"> </v>
          </cell>
          <cell r="J838" t="str">
            <v xml:space="preserve"> </v>
          </cell>
          <cell r="L838" t="str">
            <v xml:space="preserve"> </v>
          </cell>
        </row>
        <row r="839">
          <cell r="F839" t="str">
            <v xml:space="preserve"> </v>
          </cell>
          <cell r="J839" t="str">
            <v xml:space="preserve"> </v>
          </cell>
          <cell r="L839" t="str">
            <v xml:space="preserve"> </v>
          </cell>
        </row>
        <row r="840">
          <cell r="F840" t="str">
            <v xml:space="preserve"> </v>
          </cell>
          <cell r="J840" t="str">
            <v xml:space="preserve"> </v>
          </cell>
          <cell r="L840" t="str">
            <v xml:space="preserve"> </v>
          </cell>
        </row>
        <row r="841">
          <cell r="F841" t="str">
            <v xml:space="preserve"> </v>
          </cell>
          <cell r="J841" t="str">
            <v xml:space="preserve"> </v>
          </cell>
          <cell r="L841" t="str">
            <v xml:space="preserve"> </v>
          </cell>
        </row>
        <row r="842">
          <cell r="F842" t="str">
            <v xml:space="preserve"> </v>
          </cell>
          <cell r="J842" t="str">
            <v xml:space="preserve"> </v>
          </cell>
          <cell r="L842" t="str">
            <v xml:space="preserve"> </v>
          </cell>
        </row>
        <row r="843">
          <cell r="F843" t="str">
            <v xml:space="preserve"> </v>
          </cell>
          <cell r="J843" t="str">
            <v xml:space="preserve"> </v>
          </cell>
          <cell r="L843" t="str">
            <v xml:space="preserve"> </v>
          </cell>
        </row>
        <row r="844">
          <cell r="F844" t="str">
            <v xml:space="preserve"> </v>
          </cell>
          <cell r="J844" t="str">
            <v xml:space="preserve"> </v>
          </cell>
          <cell r="L844" t="str">
            <v xml:space="preserve"> </v>
          </cell>
        </row>
        <row r="845">
          <cell r="F845" t="str">
            <v xml:space="preserve"> </v>
          </cell>
          <cell r="J845" t="str">
            <v xml:space="preserve"> </v>
          </cell>
          <cell r="L845" t="str">
            <v xml:space="preserve"> </v>
          </cell>
        </row>
        <row r="846">
          <cell r="F846" t="str">
            <v xml:space="preserve"> </v>
          </cell>
          <cell r="J846" t="str">
            <v xml:space="preserve"> </v>
          </cell>
          <cell r="L846" t="str">
            <v xml:space="preserve"> </v>
          </cell>
        </row>
        <row r="847">
          <cell r="A847" t="str">
            <v>HOIST 설치 인건비</v>
          </cell>
        </row>
        <row r="848">
          <cell r="E848" t="str">
            <v xml:space="preserve"> </v>
          </cell>
        </row>
        <row r="849">
          <cell r="A849" t="str">
            <v>종       별</v>
          </cell>
          <cell r="C849" t="str">
            <v>재 료 또 는</v>
          </cell>
          <cell r="D849" t="str">
            <v xml:space="preserve">원 수 </v>
          </cell>
          <cell r="E849" t="str">
            <v>단 위</v>
          </cell>
          <cell r="F849" t="str">
            <v>총   액</v>
          </cell>
          <cell r="G849" t="str">
            <v>노   무   비</v>
          </cell>
          <cell r="I849" t="str">
            <v>재   료   비</v>
          </cell>
          <cell r="K849" t="str">
            <v>경      비</v>
          </cell>
          <cell r="M849" t="str">
            <v>비   고</v>
          </cell>
        </row>
        <row r="850">
          <cell r="C850" t="str">
            <v xml:space="preserve">규       격 </v>
          </cell>
          <cell r="F850" t="str">
            <v>금   액</v>
          </cell>
          <cell r="G850" t="str">
            <v>단  가</v>
          </cell>
          <cell r="H850" t="str">
            <v>금   액</v>
          </cell>
          <cell r="I850" t="str">
            <v>단  가</v>
          </cell>
          <cell r="J850" t="str">
            <v>금   액</v>
          </cell>
          <cell r="K850" t="str">
            <v>단  가</v>
          </cell>
          <cell r="L850" t="str">
            <v>금   액</v>
          </cell>
        </row>
        <row r="851">
          <cell r="A851" t="str">
            <v>기 술 관 리</v>
          </cell>
          <cell r="C851" t="str">
            <v>기계기사2급</v>
          </cell>
          <cell r="D851">
            <v>0.5</v>
          </cell>
          <cell r="E851" t="str">
            <v>인</v>
          </cell>
          <cell r="G851">
            <v>69405</v>
          </cell>
          <cell r="H851">
            <v>34702</v>
          </cell>
        </row>
        <row r="852">
          <cell r="A852" t="str">
            <v>소운반 조작</v>
          </cell>
          <cell r="C852" t="str">
            <v>비   계   공</v>
          </cell>
          <cell r="D852">
            <v>1.105</v>
          </cell>
          <cell r="E852" t="str">
            <v>인</v>
          </cell>
          <cell r="G852">
            <v>79467</v>
          </cell>
          <cell r="H852">
            <v>87811</v>
          </cell>
        </row>
        <row r="853">
          <cell r="A853" t="str">
            <v>조립 및 조정</v>
          </cell>
          <cell r="C853" t="str">
            <v>비   계   공</v>
          </cell>
          <cell r="D853">
            <v>1.9279999999999999</v>
          </cell>
          <cell r="E853" t="str">
            <v>인</v>
          </cell>
          <cell r="G853">
            <v>79467</v>
          </cell>
          <cell r="H853">
            <v>153212</v>
          </cell>
        </row>
        <row r="854">
          <cell r="A854" t="str">
            <v xml:space="preserve"> </v>
          </cell>
          <cell r="C854" t="str">
            <v>측   량   사</v>
          </cell>
          <cell r="D854">
            <v>0.26800000000000002</v>
          </cell>
          <cell r="E854" t="str">
            <v>인</v>
          </cell>
          <cell r="G854">
            <v>58506</v>
          </cell>
          <cell r="H854">
            <v>15679</v>
          </cell>
        </row>
        <row r="855">
          <cell r="A855" t="str">
            <v xml:space="preserve"> </v>
          </cell>
          <cell r="C855" t="str">
            <v>프랜트기계설치공</v>
          </cell>
          <cell r="D855">
            <v>2.1150000000000002</v>
          </cell>
          <cell r="E855" t="str">
            <v>인</v>
          </cell>
          <cell r="G855">
            <v>80805</v>
          </cell>
          <cell r="H855">
            <v>170902</v>
          </cell>
        </row>
        <row r="857">
          <cell r="A857" t="str">
            <v>용       접</v>
          </cell>
          <cell r="C857" t="str">
            <v>프랜트 용접공</v>
          </cell>
          <cell r="D857">
            <v>1.03</v>
          </cell>
          <cell r="E857" t="str">
            <v>인</v>
          </cell>
          <cell r="G857">
            <v>95379</v>
          </cell>
          <cell r="H857">
            <v>98240</v>
          </cell>
        </row>
        <row r="858">
          <cell r="A858" t="str">
            <v>시운전 및 조작</v>
          </cell>
          <cell r="C858" t="str">
            <v>프랜트기계설치공</v>
          </cell>
          <cell r="D858">
            <v>0.36</v>
          </cell>
          <cell r="E858" t="str">
            <v>인</v>
          </cell>
          <cell r="G858">
            <v>80805</v>
          </cell>
          <cell r="H858">
            <v>29089</v>
          </cell>
        </row>
        <row r="859">
          <cell r="A859" t="str">
            <v xml:space="preserve"> </v>
          </cell>
          <cell r="B859" t="str">
            <v xml:space="preserve"> </v>
          </cell>
          <cell r="C859" t="str">
            <v>프랜트 전공</v>
          </cell>
          <cell r="D859">
            <v>0.41299999999999998</v>
          </cell>
          <cell r="E859" t="str">
            <v>인</v>
          </cell>
          <cell r="G859">
            <v>64285</v>
          </cell>
          <cell r="H859">
            <v>26549</v>
          </cell>
        </row>
        <row r="860">
          <cell r="C860" t="str">
            <v>비   계   공</v>
          </cell>
          <cell r="D860">
            <v>0.9</v>
          </cell>
          <cell r="E860" t="str">
            <v>인</v>
          </cell>
          <cell r="G860">
            <v>79467</v>
          </cell>
          <cell r="H860">
            <v>71520</v>
          </cell>
        </row>
        <row r="861">
          <cell r="A861" t="str">
            <v>검사 및 교정</v>
          </cell>
          <cell r="C861" t="str">
            <v>기술관리,시운</v>
          </cell>
          <cell r="D861" t="str">
            <v>1</v>
          </cell>
          <cell r="E861" t="str">
            <v>식</v>
          </cell>
        </row>
        <row r="862">
          <cell r="C862" t="str">
            <v>전및조작제외</v>
          </cell>
          <cell r="E862" t="str">
            <v xml:space="preserve"> </v>
          </cell>
        </row>
        <row r="863">
          <cell r="A863" t="str">
            <v xml:space="preserve"> </v>
          </cell>
          <cell r="C863" t="str">
            <v>10 %</v>
          </cell>
        </row>
        <row r="865">
          <cell r="B865" t="str">
            <v>계</v>
          </cell>
          <cell r="F865">
            <v>687704</v>
          </cell>
          <cell r="H865">
            <v>687704</v>
          </cell>
        </row>
        <row r="876">
          <cell r="A876" t="str">
            <v>ROLLER GATE HOIST 설치 사용장비 경비</v>
          </cell>
        </row>
        <row r="877">
          <cell r="E877" t="str">
            <v xml:space="preserve"> </v>
          </cell>
        </row>
        <row r="878">
          <cell r="A878" t="str">
            <v>종       별</v>
          </cell>
          <cell r="C878" t="str">
            <v>재 료 또 는</v>
          </cell>
          <cell r="D878" t="str">
            <v xml:space="preserve">원 수 </v>
          </cell>
          <cell r="E878" t="str">
            <v>단 위</v>
          </cell>
          <cell r="F878" t="str">
            <v>총   액</v>
          </cell>
          <cell r="G878" t="str">
            <v>노   무   비</v>
          </cell>
          <cell r="I878" t="str">
            <v>재   료   비</v>
          </cell>
          <cell r="K878" t="str">
            <v>경      비</v>
          </cell>
          <cell r="M878" t="str">
            <v>비   고</v>
          </cell>
        </row>
        <row r="879">
          <cell r="C879" t="str">
            <v xml:space="preserve">규       격 </v>
          </cell>
          <cell r="F879" t="str">
            <v>금   액</v>
          </cell>
          <cell r="G879" t="str">
            <v>단  가</v>
          </cell>
          <cell r="H879" t="str">
            <v>금   액</v>
          </cell>
          <cell r="I879" t="str">
            <v>단  가</v>
          </cell>
          <cell r="J879" t="str">
            <v>금   액</v>
          </cell>
          <cell r="K879" t="str">
            <v>단  가</v>
          </cell>
          <cell r="L879" t="str">
            <v>금   액</v>
          </cell>
        </row>
        <row r="880">
          <cell r="A880" t="str">
            <v>A.C WELDER</v>
          </cell>
          <cell r="C880" t="str">
            <v>10KVA</v>
          </cell>
          <cell r="D880">
            <v>8</v>
          </cell>
          <cell r="E880" t="str">
            <v>Hr</v>
          </cell>
          <cell r="K880">
            <v>155</v>
          </cell>
          <cell r="L880">
            <v>1240</v>
          </cell>
        </row>
        <row r="881">
          <cell r="A881" t="str">
            <v>D.C WELDER</v>
          </cell>
          <cell r="C881" t="str">
            <v>300A,5.5KW</v>
          </cell>
          <cell r="D881">
            <v>8</v>
          </cell>
          <cell r="E881" t="str">
            <v>Hr</v>
          </cell>
          <cell r="K881">
            <v>359</v>
          </cell>
          <cell r="L881">
            <v>2872</v>
          </cell>
        </row>
        <row r="882">
          <cell r="A882" t="str">
            <v>GAS CUTTING M/C</v>
          </cell>
          <cell r="C882" t="str">
            <v>중 형</v>
          </cell>
          <cell r="D882">
            <v>16</v>
          </cell>
          <cell r="E882" t="str">
            <v>Hr</v>
          </cell>
          <cell r="G882">
            <v>3974</v>
          </cell>
          <cell r="H882">
            <v>63584</v>
          </cell>
          <cell r="K882">
            <v>115</v>
          </cell>
          <cell r="L882">
            <v>1840</v>
          </cell>
        </row>
        <row r="883">
          <cell r="A883" t="str">
            <v>PORTABLE DRILL</v>
          </cell>
          <cell r="C883" t="str">
            <v>1.5 HP</v>
          </cell>
          <cell r="D883">
            <v>8</v>
          </cell>
          <cell r="E883" t="str">
            <v>Hr</v>
          </cell>
          <cell r="K883">
            <v>14</v>
          </cell>
          <cell r="L883">
            <v>112</v>
          </cell>
        </row>
        <row r="884">
          <cell r="A884" t="str">
            <v>PORTABLE GRINDER</v>
          </cell>
          <cell r="C884" t="str">
            <v>0.5 HP</v>
          </cell>
          <cell r="D884">
            <v>16</v>
          </cell>
          <cell r="E884" t="str">
            <v>Hr</v>
          </cell>
          <cell r="K884">
            <v>22</v>
          </cell>
          <cell r="L884">
            <v>352</v>
          </cell>
        </row>
        <row r="886">
          <cell r="A886" t="str">
            <v>TRUCK CRANE</v>
          </cell>
          <cell r="C886" t="str">
            <v>30 TON</v>
          </cell>
          <cell r="D886">
            <v>8</v>
          </cell>
          <cell r="E886" t="str">
            <v>Hr</v>
          </cell>
          <cell r="G886">
            <v>18615</v>
          </cell>
          <cell r="H886">
            <v>148920</v>
          </cell>
          <cell r="I886">
            <v>7046</v>
          </cell>
          <cell r="J886">
            <v>56368</v>
          </cell>
          <cell r="K886">
            <v>44939</v>
          </cell>
          <cell r="L886">
            <v>359512</v>
          </cell>
        </row>
        <row r="887">
          <cell r="A887" t="str">
            <v>WINCH</v>
          </cell>
          <cell r="C887" t="str">
            <v>10 HP</v>
          </cell>
          <cell r="D887">
            <v>16</v>
          </cell>
          <cell r="E887" t="str">
            <v>Hr</v>
          </cell>
          <cell r="G887">
            <v>9235</v>
          </cell>
          <cell r="H887">
            <v>147760</v>
          </cell>
          <cell r="K887">
            <v>850</v>
          </cell>
          <cell r="L887">
            <v>13600</v>
          </cell>
        </row>
        <row r="888">
          <cell r="A888" t="str">
            <v>TRAILER</v>
          </cell>
          <cell r="C888" t="str">
            <v>30 TON</v>
          </cell>
          <cell r="D888">
            <v>8</v>
          </cell>
          <cell r="E888" t="str">
            <v>Hr</v>
          </cell>
          <cell r="G888">
            <v>8683</v>
          </cell>
          <cell r="H888">
            <v>69464</v>
          </cell>
          <cell r="I888">
            <v>15763</v>
          </cell>
          <cell r="J888">
            <v>126104</v>
          </cell>
          <cell r="K888">
            <v>27414</v>
          </cell>
          <cell r="L888">
            <v>219312</v>
          </cell>
        </row>
        <row r="889">
          <cell r="A889" t="str">
            <v>TRUCK</v>
          </cell>
          <cell r="C889" t="str">
            <v>6TON</v>
          </cell>
          <cell r="D889">
            <v>8</v>
          </cell>
          <cell r="E889" t="str">
            <v>Hr</v>
          </cell>
          <cell r="G889">
            <v>8683</v>
          </cell>
          <cell r="H889">
            <v>69464</v>
          </cell>
          <cell r="I889">
            <v>8110</v>
          </cell>
          <cell r="J889">
            <v>64880</v>
          </cell>
          <cell r="K889">
            <v>4902</v>
          </cell>
          <cell r="L889">
            <v>39216</v>
          </cell>
        </row>
        <row r="892">
          <cell r="B892" t="str">
            <v xml:space="preserve"> 계</v>
          </cell>
          <cell r="F892">
            <v>1384600</v>
          </cell>
          <cell r="H892">
            <v>499192</v>
          </cell>
          <cell r="J892">
            <v>247352</v>
          </cell>
          <cell r="L892">
            <v>638056</v>
          </cell>
        </row>
        <row r="905">
          <cell r="A905" t="str">
            <v>HOIST 설치 소모 자재비</v>
          </cell>
        </row>
        <row r="906">
          <cell r="E906" t="str">
            <v xml:space="preserve"> </v>
          </cell>
        </row>
        <row r="907">
          <cell r="A907" t="str">
            <v>종       별</v>
          </cell>
          <cell r="C907" t="str">
            <v>재 료 또 는</v>
          </cell>
          <cell r="D907" t="str">
            <v xml:space="preserve">원 수 </v>
          </cell>
          <cell r="E907" t="str">
            <v>단 위</v>
          </cell>
          <cell r="F907" t="str">
            <v>총   액</v>
          </cell>
          <cell r="G907" t="str">
            <v>노   무   비</v>
          </cell>
          <cell r="I907" t="str">
            <v>재   료   비</v>
          </cell>
          <cell r="K907" t="str">
            <v>경      비</v>
          </cell>
          <cell r="M907" t="str">
            <v>비   고</v>
          </cell>
        </row>
        <row r="908">
          <cell r="C908" t="str">
            <v xml:space="preserve">규       격 </v>
          </cell>
          <cell r="F908" t="str">
            <v>금   액</v>
          </cell>
          <cell r="G908" t="str">
            <v>단  가</v>
          </cell>
          <cell r="H908" t="str">
            <v>금   액</v>
          </cell>
          <cell r="I908" t="str">
            <v>단  가</v>
          </cell>
          <cell r="J908" t="str">
            <v>금   액</v>
          </cell>
          <cell r="K908" t="str">
            <v>단  가</v>
          </cell>
          <cell r="L908" t="str">
            <v>금   액</v>
          </cell>
        </row>
        <row r="909">
          <cell r="A909" t="str">
            <v>산       소</v>
          </cell>
          <cell r="C909" t="str">
            <v>6,000L용</v>
          </cell>
          <cell r="D909">
            <v>0.38</v>
          </cell>
          <cell r="E909" t="str">
            <v>병</v>
          </cell>
          <cell r="G909" t="str">
            <v xml:space="preserve"> </v>
          </cell>
          <cell r="I909">
            <v>12000</v>
          </cell>
          <cell r="J909">
            <v>4560</v>
          </cell>
        </row>
        <row r="910">
          <cell r="A910" t="str">
            <v>아 세 치 렌</v>
          </cell>
          <cell r="C910" t="str">
            <v>4,500L용</v>
          </cell>
          <cell r="D910">
            <v>0.33</v>
          </cell>
          <cell r="E910" t="str">
            <v>병</v>
          </cell>
          <cell r="I910">
            <v>55392</v>
          </cell>
          <cell r="J910">
            <v>18279</v>
          </cell>
        </row>
        <row r="911">
          <cell r="A911" t="str">
            <v>용   접  봉</v>
          </cell>
          <cell r="C911" t="str">
            <v>SS400 , 4M/M</v>
          </cell>
          <cell r="D911">
            <v>3</v>
          </cell>
          <cell r="E911" t="str">
            <v>KG</v>
          </cell>
          <cell r="I911">
            <v>1260</v>
          </cell>
          <cell r="J911">
            <v>3780</v>
          </cell>
        </row>
        <row r="912">
          <cell r="A912" t="str">
            <v>세    유(경유)</v>
          </cell>
          <cell r="D912">
            <v>3</v>
          </cell>
          <cell r="E912" t="str">
            <v>L</v>
          </cell>
          <cell r="I912">
            <v>526.4</v>
          </cell>
          <cell r="J912">
            <v>1579</v>
          </cell>
        </row>
        <row r="915">
          <cell r="A915" t="str">
            <v xml:space="preserve"> </v>
          </cell>
        </row>
        <row r="916">
          <cell r="L916" t="str">
            <v xml:space="preserve"> </v>
          </cell>
        </row>
        <row r="917">
          <cell r="B917" t="str">
            <v>계</v>
          </cell>
          <cell r="F917">
            <v>28198</v>
          </cell>
          <cell r="J917">
            <v>28198</v>
          </cell>
          <cell r="L917" t="str">
            <v xml:space="preserve"> </v>
          </cell>
        </row>
        <row r="918">
          <cell r="A918" t="str">
            <v xml:space="preserve"> </v>
          </cell>
        </row>
        <row r="919">
          <cell r="A919" t="str">
            <v xml:space="preserve"> </v>
          </cell>
        </row>
        <row r="920">
          <cell r="A920" t="str">
            <v xml:space="preserve"> </v>
          </cell>
        </row>
        <row r="921">
          <cell r="A921" t="str">
            <v xml:space="preserve"> </v>
          </cell>
        </row>
        <row r="922">
          <cell r="A922" t="str">
            <v xml:space="preserve"> </v>
          </cell>
        </row>
        <row r="923">
          <cell r="A923" t="str">
            <v xml:space="preserve"> </v>
          </cell>
        </row>
        <row r="924">
          <cell r="A924" t="str">
            <v xml:space="preserve"> </v>
          </cell>
        </row>
        <row r="925">
          <cell r="A925" t="str">
            <v xml:space="preserve"> </v>
          </cell>
        </row>
        <row r="926">
          <cell r="A926" t="str">
            <v xml:space="preserve"> </v>
          </cell>
        </row>
        <row r="927">
          <cell r="A927" t="str">
            <v xml:space="preserve"> </v>
          </cell>
        </row>
        <row r="928">
          <cell r="A928" t="str">
            <v xml:space="preserve"> </v>
          </cell>
        </row>
        <row r="929">
          <cell r="A929" t="str">
            <v xml:space="preserve"> </v>
          </cell>
        </row>
        <row r="930">
          <cell r="A930" t="str">
            <v xml:space="preserve"> </v>
          </cell>
        </row>
        <row r="931">
          <cell r="A931" t="str">
            <v xml:space="preserve"> </v>
          </cell>
        </row>
        <row r="932">
          <cell r="A932" t="str">
            <v xml:space="preserve"> </v>
          </cell>
        </row>
        <row r="933">
          <cell r="A933" t="str">
            <v xml:space="preserve"> </v>
          </cell>
        </row>
        <row r="934">
          <cell r="A934" t="str">
            <v>STOP LOG LEAF 제작 인건비</v>
          </cell>
        </row>
        <row r="935">
          <cell r="E935" t="str">
            <v xml:space="preserve"> </v>
          </cell>
        </row>
        <row r="936">
          <cell r="A936" t="str">
            <v>종       별</v>
          </cell>
          <cell r="C936" t="str">
            <v>재 료 또 는</v>
          </cell>
          <cell r="D936" t="str">
            <v xml:space="preserve">원 수 </v>
          </cell>
          <cell r="E936" t="str">
            <v>단 위</v>
          </cell>
          <cell r="F936" t="str">
            <v>총   액</v>
          </cell>
          <cell r="G936" t="str">
            <v>노   무   비</v>
          </cell>
          <cell r="I936" t="str">
            <v>재   료   비</v>
          </cell>
          <cell r="K936" t="str">
            <v>경      비</v>
          </cell>
          <cell r="M936" t="str">
            <v>비   고</v>
          </cell>
        </row>
        <row r="937">
          <cell r="C937" t="str">
            <v xml:space="preserve">규       격 </v>
          </cell>
          <cell r="F937" t="str">
            <v>금   액</v>
          </cell>
          <cell r="G937" t="str">
            <v>단  가</v>
          </cell>
          <cell r="H937" t="str">
            <v>금   액</v>
          </cell>
          <cell r="I937" t="str">
            <v>단  가</v>
          </cell>
          <cell r="J937" t="str">
            <v>금   액</v>
          </cell>
          <cell r="K937" t="str">
            <v>단  가</v>
          </cell>
          <cell r="L937" t="str">
            <v>금   액</v>
          </cell>
        </row>
        <row r="938">
          <cell r="A938" t="str">
            <v>기 술 관 리</v>
          </cell>
          <cell r="C938" t="str">
            <v>기계기사2급</v>
          </cell>
          <cell r="D938">
            <v>0.5</v>
          </cell>
          <cell r="E938" t="str">
            <v>인</v>
          </cell>
          <cell r="G938">
            <v>69405</v>
          </cell>
          <cell r="H938">
            <v>34702</v>
          </cell>
        </row>
        <row r="939">
          <cell r="A939" t="str">
            <v>본  뜨  기</v>
          </cell>
          <cell r="C939" t="str">
            <v>프랜트 제관공</v>
          </cell>
          <cell r="D939">
            <v>0.52300000000000002</v>
          </cell>
          <cell r="E939" t="str">
            <v>인</v>
          </cell>
          <cell r="G939">
            <v>81966</v>
          </cell>
          <cell r="H939">
            <v>42868</v>
          </cell>
        </row>
        <row r="940">
          <cell r="A940" t="str">
            <v>금  긋  기</v>
          </cell>
          <cell r="C940" t="str">
            <v>프랜트 제관공</v>
          </cell>
          <cell r="D940">
            <v>1.514</v>
          </cell>
          <cell r="E940" t="str">
            <v>인</v>
          </cell>
          <cell r="G940">
            <v>81966</v>
          </cell>
          <cell r="H940">
            <v>124096</v>
          </cell>
        </row>
        <row r="941">
          <cell r="A941" t="str">
            <v>절      단</v>
          </cell>
          <cell r="C941" t="str">
            <v>프랜트 제관공</v>
          </cell>
          <cell r="D941">
            <v>0.41399999999999998</v>
          </cell>
          <cell r="E941" t="str">
            <v>인</v>
          </cell>
          <cell r="G941">
            <v>81966</v>
          </cell>
          <cell r="H941">
            <v>33933</v>
          </cell>
        </row>
        <row r="942">
          <cell r="A942" t="str">
            <v>가      공</v>
          </cell>
          <cell r="C942" t="str">
            <v>프랜트 제관공</v>
          </cell>
          <cell r="D942">
            <v>0.5</v>
          </cell>
          <cell r="E942" t="str">
            <v>인</v>
          </cell>
          <cell r="G942">
            <v>81966</v>
          </cell>
          <cell r="H942">
            <v>40983</v>
          </cell>
        </row>
        <row r="944">
          <cell r="A944" t="str">
            <v>구 멍 뚫 기</v>
          </cell>
          <cell r="C944" t="str">
            <v>프랜트 제관공</v>
          </cell>
          <cell r="D944">
            <v>0.61299999999999999</v>
          </cell>
          <cell r="E944" t="str">
            <v>인</v>
          </cell>
          <cell r="G944">
            <v>81966</v>
          </cell>
          <cell r="H944">
            <v>50245</v>
          </cell>
        </row>
        <row r="945">
          <cell r="A945" t="str">
            <v>용      접</v>
          </cell>
          <cell r="C945" t="str">
            <v>프랜트 용접공</v>
          </cell>
          <cell r="D945">
            <v>2.968</v>
          </cell>
          <cell r="E945" t="str">
            <v>인</v>
          </cell>
          <cell r="G945">
            <v>95379</v>
          </cell>
          <cell r="H945">
            <v>283084</v>
          </cell>
        </row>
        <row r="946">
          <cell r="A946" t="str">
            <v>부 품 조 립</v>
          </cell>
          <cell r="C946" t="str">
            <v>비   계   공</v>
          </cell>
          <cell r="D946">
            <v>1.325</v>
          </cell>
          <cell r="E946" t="str">
            <v>인</v>
          </cell>
          <cell r="G946">
            <v>79467</v>
          </cell>
          <cell r="H946">
            <v>105293</v>
          </cell>
        </row>
        <row r="947">
          <cell r="C947" t="str">
            <v>프랜트기계설치공</v>
          </cell>
          <cell r="D947">
            <v>1.325</v>
          </cell>
          <cell r="E947" t="str">
            <v>인</v>
          </cell>
          <cell r="G947">
            <v>80805</v>
          </cell>
          <cell r="H947">
            <v>107066</v>
          </cell>
        </row>
        <row r="948">
          <cell r="A948" t="str">
            <v>소운반 조작</v>
          </cell>
          <cell r="C948" t="str">
            <v>비   계   공</v>
          </cell>
          <cell r="D948">
            <v>0.97</v>
          </cell>
          <cell r="E948" t="str">
            <v>인</v>
          </cell>
          <cell r="G948">
            <v>79467</v>
          </cell>
          <cell r="H948">
            <v>77082</v>
          </cell>
        </row>
        <row r="949">
          <cell r="A949" t="str">
            <v>검사 및 교정</v>
          </cell>
          <cell r="C949" t="str">
            <v>기술관리 제외한</v>
          </cell>
          <cell r="D949" t="str">
            <v>1</v>
          </cell>
          <cell r="E949" t="str">
            <v>식</v>
          </cell>
          <cell r="H949">
            <v>86465</v>
          </cell>
        </row>
        <row r="950">
          <cell r="C950" t="str">
            <v>10%</v>
          </cell>
        </row>
        <row r="953">
          <cell r="B953" t="str">
            <v>계</v>
          </cell>
          <cell r="F953">
            <v>985817</v>
          </cell>
          <cell r="H953">
            <v>985817</v>
          </cell>
        </row>
        <row r="963">
          <cell r="A963" t="str">
            <v>STOP LOG LEAF 제작 사용장비 경비</v>
          </cell>
        </row>
        <row r="964">
          <cell r="E964" t="str">
            <v xml:space="preserve"> </v>
          </cell>
        </row>
        <row r="965">
          <cell r="A965" t="str">
            <v>종       별</v>
          </cell>
          <cell r="C965" t="str">
            <v>재 료 또 는</v>
          </cell>
          <cell r="D965" t="str">
            <v xml:space="preserve">원 수 </v>
          </cell>
          <cell r="E965" t="str">
            <v>단 위</v>
          </cell>
          <cell r="F965" t="str">
            <v>총   액</v>
          </cell>
          <cell r="G965" t="str">
            <v>노   무   비</v>
          </cell>
          <cell r="I965" t="str">
            <v>재   료   비</v>
          </cell>
          <cell r="K965" t="str">
            <v>경      비</v>
          </cell>
          <cell r="M965" t="str">
            <v>비   고</v>
          </cell>
        </row>
        <row r="966">
          <cell r="C966" t="str">
            <v xml:space="preserve">규       격 </v>
          </cell>
          <cell r="F966" t="str">
            <v>금   액</v>
          </cell>
          <cell r="G966" t="str">
            <v>단  가</v>
          </cell>
          <cell r="H966" t="str">
            <v>금   액</v>
          </cell>
          <cell r="I966" t="str">
            <v>단  가</v>
          </cell>
          <cell r="J966" t="str">
            <v>금   액</v>
          </cell>
          <cell r="K966" t="str">
            <v>단  가</v>
          </cell>
          <cell r="L966" t="str">
            <v>금   액</v>
          </cell>
        </row>
        <row r="967">
          <cell r="A967" t="str">
            <v>LATHE</v>
          </cell>
          <cell r="C967" t="str">
            <v>12FT x 7.5HP</v>
          </cell>
          <cell r="D967">
            <v>0.41599999999999998</v>
          </cell>
          <cell r="E967" t="str">
            <v>Hr</v>
          </cell>
          <cell r="G967">
            <v>3418</v>
          </cell>
          <cell r="H967">
            <v>1421</v>
          </cell>
          <cell r="K967">
            <v>3775</v>
          </cell>
          <cell r="L967">
            <v>1570.3999999999999</v>
          </cell>
        </row>
        <row r="968">
          <cell r="A968" t="str">
            <v>PLANER</v>
          </cell>
          <cell r="C968" t="str">
            <v>4FT x 8FT</v>
          </cell>
          <cell r="D968">
            <v>7.5999999999999998E-2</v>
          </cell>
          <cell r="E968" t="str">
            <v>Hr</v>
          </cell>
          <cell r="G968">
            <v>3129</v>
          </cell>
          <cell r="H968">
            <v>237</v>
          </cell>
          <cell r="K968">
            <v>2743</v>
          </cell>
          <cell r="L968">
            <v>208.46799999999999</v>
          </cell>
        </row>
        <row r="969">
          <cell r="A969" t="str">
            <v>BORING M/C</v>
          </cell>
          <cell r="C969" t="str">
            <v>Hori.type,3HP</v>
          </cell>
          <cell r="D969">
            <v>0.248</v>
          </cell>
          <cell r="E969" t="str">
            <v>Hr</v>
          </cell>
          <cell r="G969">
            <v>3547</v>
          </cell>
          <cell r="H969">
            <v>879</v>
          </cell>
          <cell r="K969">
            <v>8928</v>
          </cell>
          <cell r="L969">
            <v>2214.1439999999998</v>
          </cell>
        </row>
        <row r="970">
          <cell r="A970" t="str">
            <v>UNION MELT WELDER</v>
          </cell>
          <cell r="C970" t="str">
            <v>5.5 KVA</v>
          </cell>
          <cell r="D970">
            <v>3.2240000000000002</v>
          </cell>
          <cell r="E970" t="str">
            <v>Hr</v>
          </cell>
          <cell r="G970">
            <v>3488</v>
          </cell>
          <cell r="H970">
            <v>11245</v>
          </cell>
          <cell r="K970">
            <v>1797</v>
          </cell>
          <cell r="L970">
            <v>5793.5280000000002</v>
          </cell>
        </row>
        <row r="971">
          <cell r="A971" t="str">
            <v>A.C WELDER</v>
          </cell>
          <cell r="C971" t="str">
            <v>10KVA</v>
          </cell>
          <cell r="D971">
            <v>9.9760000000000009</v>
          </cell>
          <cell r="E971" t="str">
            <v>Hr</v>
          </cell>
          <cell r="K971">
            <v>155</v>
          </cell>
          <cell r="L971">
            <v>1546.2800000000002</v>
          </cell>
        </row>
        <row r="972">
          <cell r="E972" t="str">
            <v xml:space="preserve"> </v>
          </cell>
        </row>
        <row r="973">
          <cell r="A973" t="str">
            <v>GOUGING M/C</v>
          </cell>
          <cell r="C973" t="str">
            <v>중 형</v>
          </cell>
          <cell r="D973">
            <v>3.56</v>
          </cell>
          <cell r="E973" t="str">
            <v>Hr</v>
          </cell>
          <cell r="G973">
            <v>3380</v>
          </cell>
          <cell r="H973">
            <v>12032</v>
          </cell>
          <cell r="K973">
            <v>670</v>
          </cell>
          <cell r="L973">
            <v>2385.1999999999998</v>
          </cell>
        </row>
        <row r="974">
          <cell r="A974" t="str">
            <v>GAS CUTTING M/C</v>
          </cell>
          <cell r="C974" t="str">
            <v>Auto형</v>
          </cell>
          <cell r="D974">
            <v>1.3280000000000001</v>
          </cell>
          <cell r="E974" t="str">
            <v>Hr</v>
          </cell>
          <cell r="G974">
            <v>11922</v>
          </cell>
          <cell r="H974">
            <v>15832</v>
          </cell>
          <cell r="K974">
            <v>119</v>
          </cell>
          <cell r="L974">
            <v>158.03200000000001</v>
          </cell>
        </row>
        <row r="975">
          <cell r="A975" t="str">
            <v>GAS CUTTING M/C</v>
          </cell>
          <cell r="C975" t="str">
            <v>수 동</v>
          </cell>
          <cell r="D975">
            <v>1.984</v>
          </cell>
          <cell r="E975" t="str">
            <v>Hr</v>
          </cell>
          <cell r="G975">
            <v>3974</v>
          </cell>
          <cell r="H975">
            <v>7884</v>
          </cell>
          <cell r="K975">
            <v>115</v>
          </cell>
          <cell r="L975">
            <v>228.16</v>
          </cell>
        </row>
        <row r="976">
          <cell r="A976" t="str">
            <v>GAS HEATING TOUCH</v>
          </cell>
          <cell r="C976" t="str">
            <v>중 형</v>
          </cell>
          <cell r="D976">
            <v>3.8719999999999999</v>
          </cell>
          <cell r="E976" t="str">
            <v>Hr</v>
          </cell>
          <cell r="G976">
            <v>3174</v>
          </cell>
          <cell r="H976">
            <v>12289</v>
          </cell>
          <cell r="K976">
            <v>115</v>
          </cell>
          <cell r="L976">
            <v>445.28</v>
          </cell>
        </row>
        <row r="977">
          <cell r="A977" t="str">
            <v>OVER HEAD CRANE</v>
          </cell>
          <cell r="C977" t="str">
            <v>30 TON</v>
          </cell>
          <cell r="D977">
            <v>0.88</v>
          </cell>
          <cell r="E977" t="str">
            <v>Hr</v>
          </cell>
          <cell r="G977">
            <v>9681</v>
          </cell>
          <cell r="H977">
            <v>8519</v>
          </cell>
          <cell r="K977">
            <v>3338</v>
          </cell>
          <cell r="L977">
            <v>2937.44</v>
          </cell>
        </row>
        <row r="978">
          <cell r="E978" t="str">
            <v xml:space="preserve"> </v>
          </cell>
        </row>
        <row r="979">
          <cell r="A979" t="str">
            <v>OVER HEAD CRANE</v>
          </cell>
          <cell r="C979" t="str">
            <v>20 TON</v>
          </cell>
          <cell r="D979">
            <v>0.88</v>
          </cell>
          <cell r="E979" t="str">
            <v>Hr</v>
          </cell>
          <cell r="G979">
            <v>9681</v>
          </cell>
          <cell r="H979">
            <v>8519</v>
          </cell>
          <cell r="K979">
            <v>3338</v>
          </cell>
          <cell r="L979">
            <v>2937.44</v>
          </cell>
        </row>
        <row r="980">
          <cell r="A980" t="str">
            <v>HYDRO PRESS</v>
          </cell>
          <cell r="C980" t="str">
            <v>100 TON</v>
          </cell>
          <cell r="D980">
            <v>1.72</v>
          </cell>
          <cell r="E980" t="str">
            <v>Hr</v>
          </cell>
          <cell r="G980">
            <v>3281</v>
          </cell>
          <cell r="H980">
            <v>5643</v>
          </cell>
          <cell r="K980">
            <v>6045</v>
          </cell>
          <cell r="L980">
            <v>10397.4</v>
          </cell>
        </row>
        <row r="981">
          <cell r="A981" t="str">
            <v>SHEARING M/C</v>
          </cell>
          <cell r="D981">
            <v>2</v>
          </cell>
          <cell r="E981" t="str">
            <v>Hr</v>
          </cell>
          <cell r="G981">
            <v>3688</v>
          </cell>
          <cell r="H981">
            <v>7376</v>
          </cell>
          <cell r="K981">
            <v>3209</v>
          </cell>
          <cell r="L981">
            <v>6418</v>
          </cell>
        </row>
        <row r="982">
          <cell r="A982" t="str">
            <v>DRILLING M/C</v>
          </cell>
          <cell r="C982" t="str">
            <v>3 HP</v>
          </cell>
          <cell r="D982">
            <v>0.48799999999999999</v>
          </cell>
          <cell r="E982" t="str">
            <v>Hr</v>
          </cell>
          <cell r="G982">
            <v>3401</v>
          </cell>
          <cell r="H982">
            <v>1659</v>
          </cell>
          <cell r="K982">
            <v>576</v>
          </cell>
          <cell r="L982">
            <v>281.08799999999997</v>
          </cell>
        </row>
        <row r="983">
          <cell r="A983" t="str">
            <v>DRILLING M/C</v>
          </cell>
          <cell r="C983" t="str">
            <v>Radial,5 HP</v>
          </cell>
          <cell r="D983">
            <v>0.48799999999999999</v>
          </cell>
          <cell r="E983" t="str">
            <v>Hr</v>
          </cell>
          <cell r="G983">
            <v>3401</v>
          </cell>
          <cell r="H983">
            <v>1659</v>
          </cell>
          <cell r="K983">
            <v>1720</v>
          </cell>
          <cell r="L983">
            <v>839.36</v>
          </cell>
        </row>
        <row r="984">
          <cell r="E984" t="str">
            <v xml:space="preserve"> </v>
          </cell>
        </row>
        <row r="985">
          <cell r="A985" t="str">
            <v>PORTABLE DRILL</v>
          </cell>
          <cell r="C985" t="str">
            <v>0.5 HP</v>
          </cell>
          <cell r="D985">
            <v>1.5640000000000001</v>
          </cell>
          <cell r="E985" t="str">
            <v>Hr</v>
          </cell>
          <cell r="K985">
            <v>12</v>
          </cell>
          <cell r="L985">
            <v>18.768000000000001</v>
          </cell>
        </row>
        <row r="986">
          <cell r="A986" t="str">
            <v>TRUCK CRANE</v>
          </cell>
          <cell r="C986" t="str">
            <v>30 TON</v>
          </cell>
          <cell r="D986">
            <v>0.65</v>
          </cell>
          <cell r="E986" t="str">
            <v>Hr</v>
          </cell>
          <cell r="G986">
            <v>18615</v>
          </cell>
          <cell r="H986">
            <v>12099</v>
          </cell>
          <cell r="I986">
            <v>7046</v>
          </cell>
          <cell r="J986">
            <v>4579</v>
          </cell>
          <cell r="K986">
            <v>44939</v>
          </cell>
          <cell r="L986">
            <v>29210.350000000002</v>
          </cell>
        </row>
        <row r="987">
          <cell r="A987" t="str">
            <v>리프트 트럭</v>
          </cell>
          <cell r="C987" t="str">
            <v>5 TON</v>
          </cell>
          <cell r="D987">
            <v>0.65</v>
          </cell>
          <cell r="E987" t="str">
            <v>Hr</v>
          </cell>
          <cell r="G987">
            <v>9681</v>
          </cell>
          <cell r="H987">
            <v>6292</v>
          </cell>
          <cell r="I987">
            <v>5116.08</v>
          </cell>
          <cell r="J987">
            <v>3325</v>
          </cell>
          <cell r="K987">
            <v>4863</v>
          </cell>
          <cell r="L987">
            <v>3160.9500000000003</v>
          </cell>
        </row>
        <row r="988">
          <cell r="A988" t="str">
            <v>COMPRESSOR</v>
          </cell>
          <cell r="C988" t="str">
            <v>7.1㎥/min</v>
          </cell>
          <cell r="D988">
            <v>3.32</v>
          </cell>
          <cell r="E988" t="str">
            <v>Hr</v>
          </cell>
          <cell r="G988">
            <v>9681</v>
          </cell>
          <cell r="H988">
            <v>32140</v>
          </cell>
          <cell r="I988">
            <v>6189</v>
          </cell>
          <cell r="J988">
            <v>20547</v>
          </cell>
          <cell r="K988">
            <v>3137</v>
          </cell>
          <cell r="L988">
            <v>10414.84</v>
          </cell>
        </row>
        <row r="989">
          <cell r="A989" t="str">
            <v>TRAILER</v>
          </cell>
          <cell r="C989" t="str">
            <v>30 TON</v>
          </cell>
          <cell r="D989">
            <v>0.65</v>
          </cell>
          <cell r="E989" t="str">
            <v>Hr</v>
          </cell>
          <cell r="G989">
            <v>8683</v>
          </cell>
          <cell r="H989">
            <v>5643</v>
          </cell>
          <cell r="I989">
            <v>15763</v>
          </cell>
          <cell r="J989">
            <v>10245</v>
          </cell>
          <cell r="K989">
            <v>27414</v>
          </cell>
          <cell r="L989">
            <v>17819.100000000002</v>
          </cell>
        </row>
        <row r="991">
          <cell r="B991" t="str">
            <v>계</v>
          </cell>
          <cell r="F991">
            <v>289048.228</v>
          </cell>
          <cell r="H991">
            <v>151368</v>
          </cell>
          <cell r="J991">
            <v>38696</v>
          </cell>
          <cell r="K991" t="str">
            <v xml:space="preserve"> </v>
          </cell>
          <cell r="L991">
            <v>98984.228000000003</v>
          </cell>
        </row>
        <row r="992">
          <cell r="A992" t="str">
            <v>STOP LOG LEAF 제작 소모 자재비</v>
          </cell>
        </row>
        <row r="993">
          <cell r="E993" t="str">
            <v xml:space="preserve"> </v>
          </cell>
        </row>
        <row r="994">
          <cell r="A994" t="str">
            <v>종       별</v>
          </cell>
          <cell r="C994" t="str">
            <v>재 료 또 는</v>
          </cell>
          <cell r="D994" t="str">
            <v xml:space="preserve">원 수 </v>
          </cell>
          <cell r="E994" t="str">
            <v>단 위</v>
          </cell>
          <cell r="F994" t="str">
            <v>총   액</v>
          </cell>
          <cell r="G994" t="str">
            <v>노   무   비</v>
          </cell>
          <cell r="I994" t="str">
            <v>재   료   비</v>
          </cell>
          <cell r="K994" t="str">
            <v>경      비</v>
          </cell>
          <cell r="M994" t="str">
            <v>비   고</v>
          </cell>
        </row>
        <row r="995">
          <cell r="C995" t="str">
            <v xml:space="preserve">규       격 </v>
          </cell>
          <cell r="F995" t="str">
            <v>금   액</v>
          </cell>
          <cell r="G995" t="str">
            <v>단  가</v>
          </cell>
          <cell r="H995" t="str">
            <v>금   액</v>
          </cell>
          <cell r="I995" t="str">
            <v>단  가</v>
          </cell>
          <cell r="J995" t="str">
            <v>금   액</v>
          </cell>
          <cell r="K995" t="str">
            <v>단  가</v>
          </cell>
          <cell r="L995" t="str">
            <v>금   액</v>
          </cell>
        </row>
        <row r="996">
          <cell r="A996" t="str">
            <v>산       소</v>
          </cell>
          <cell r="C996" t="str">
            <v>6,000L용</v>
          </cell>
          <cell r="D996">
            <v>0.38</v>
          </cell>
          <cell r="E996" t="str">
            <v>병</v>
          </cell>
          <cell r="G996" t="str">
            <v xml:space="preserve"> </v>
          </cell>
          <cell r="I996">
            <v>12000</v>
          </cell>
          <cell r="J996">
            <v>4560</v>
          </cell>
        </row>
        <row r="997">
          <cell r="A997" t="str">
            <v>아 세 치 렌</v>
          </cell>
          <cell r="C997" t="str">
            <v>4,500L용</v>
          </cell>
          <cell r="D997">
            <v>0.33</v>
          </cell>
          <cell r="E997" t="str">
            <v>병</v>
          </cell>
          <cell r="I997">
            <v>55392</v>
          </cell>
          <cell r="J997">
            <v>18279</v>
          </cell>
        </row>
        <row r="998">
          <cell r="A998" t="str">
            <v>용   접  봉</v>
          </cell>
          <cell r="C998" t="str">
            <v>SS41, 4M/Mx350L</v>
          </cell>
          <cell r="D998">
            <v>3</v>
          </cell>
          <cell r="E998" t="str">
            <v>KG</v>
          </cell>
          <cell r="I998">
            <v>1260</v>
          </cell>
          <cell r="J998">
            <v>3780</v>
          </cell>
        </row>
        <row r="1000">
          <cell r="A1000" t="str">
            <v xml:space="preserve"> </v>
          </cell>
          <cell r="D1000" t="str">
            <v xml:space="preserve"> </v>
          </cell>
          <cell r="E1000" t="str">
            <v xml:space="preserve"> </v>
          </cell>
        </row>
        <row r="1001">
          <cell r="E1001" t="str">
            <v xml:space="preserve"> </v>
          </cell>
        </row>
        <row r="1003">
          <cell r="B1003" t="str">
            <v>계</v>
          </cell>
          <cell r="F1003">
            <v>26619</v>
          </cell>
          <cell r="J1003">
            <v>26619</v>
          </cell>
        </row>
        <row r="1021">
          <cell r="A1021" t="str">
            <v>STOP LOG LEAF 설치 인건비</v>
          </cell>
        </row>
        <row r="1022">
          <cell r="E1022" t="str">
            <v xml:space="preserve"> </v>
          </cell>
        </row>
        <row r="1023">
          <cell r="A1023" t="str">
            <v>종       별</v>
          </cell>
          <cell r="C1023" t="str">
            <v>재 료 또 는</v>
          </cell>
          <cell r="D1023" t="str">
            <v xml:space="preserve">원 수 </v>
          </cell>
          <cell r="E1023" t="str">
            <v>단 위</v>
          </cell>
          <cell r="F1023" t="str">
            <v>총   액</v>
          </cell>
          <cell r="G1023" t="str">
            <v>노   무   비</v>
          </cell>
          <cell r="I1023" t="str">
            <v>재   료   비</v>
          </cell>
          <cell r="K1023" t="str">
            <v>경      비</v>
          </cell>
          <cell r="M1023" t="str">
            <v>비   고</v>
          </cell>
        </row>
        <row r="1024">
          <cell r="C1024" t="str">
            <v xml:space="preserve">규       격 </v>
          </cell>
          <cell r="F1024" t="str">
            <v>금   액</v>
          </cell>
          <cell r="G1024" t="str">
            <v>단  가</v>
          </cell>
          <cell r="H1024" t="str">
            <v>금   액</v>
          </cell>
          <cell r="I1024" t="str">
            <v>단  가</v>
          </cell>
          <cell r="J1024" t="str">
            <v>금   액</v>
          </cell>
          <cell r="K1024" t="str">
            <v>단  가</v>
          </cell>
          <cell r="L1024" t="str">
            <v>금   액</v>
          </cell>
        </row>
        <row r="1025">
          <cell r="A1025" t="str">
            <v>기 술 관 리</v>
          </cell>
          <cell r="C1025" t="str">
            <v>기계기사2급</v>
          </cell>
          <cell r="D1025">
            <v>0.5</v>
          </cell>
          <cell r="E1025" t="str">
            <v>인</v>
          </cell>
          <cell r="G1025">
            <v>69405</v>
          </cell>
          <cell r="H1025">
            <v>34702</v>
          </cell>
        </row>
        <row r="1026">
          <cell r="A1026" t="str">
            <v>운 반 조 작</v>
          </cell>
          <cell r="C1026" t="str">
            <v>비   계   공</v>
          </cell>
          <cell r="D1026">
            <v>0.97</v>
          </cell>
          <cell r="E1026" t="str">
            <v>인</v>
          </cell>
          <cell r="G1026">
            <v>79467</v>
          </cell>
          <cell r="H1026">
            <v>77082</v>
          </cell>
        </row>
        <row r="1027">
          <cell r="A1027" t="str">
            <v>조 립 조 정</v>
          </cell>
          <cell r="C1027" t="str">
            <v>비   계   공</v>
          </cell>
          <cell r="D1027">
            <v>2.02</v>
          </cell>
          <cell r="E1027" t="str">
            <v>인</v>
          </cell>
          <cell r="G1027">
            <v>79467</v>
          </cell>
          <cell r="H1027">
            <v>160523</v>
          </cell>
        </row>
        <row r="1028">
          <cell r="A1028" t="str">
            <v xml:space="preserve"> </v>
          </cell>
          <cell r="C1028" t="str">
            <v>프랜트 제관공</v>
          </cell>
          <cell r="D1028">
            <v>1.19</v>
          </cell>
          <cell r="E1028" t="str">
            <v>인</v>
          </cell>
          <cell r="G1028">
            <v>81966</v>
          </cell>
          <cell r="H1028">
            <v>97539</v>
          </cell>
        </row>
        <row r="1029">
          <cell r="A1029" t="str">
            <v xml:space="preserve"> </v>
          </cell>
          <cell r="C1029" t="str">
            <v>측   량   사</v>
          </cell>
          <cell r="D1029">
            <v>0.122</v>
          </cell>
          <cell r="E1029" t="str">
            <v>인</v>
          </cell>
          <cell r="G1029">
            <v>58506</v>
          </cell>
          <cell r="H1029">
            <v>7137</v>
          </cell>
        </row>
        <row r="1031">
          <cell r="C1031" t="str">
            <v>프랜트기계설치공</v>
          </cell>
          <cell r="D1031">
            <v>1.17</v>
          </cell>
          <cell r="E1031" t="str">
            <v>인</v>
          </cell>
          <cell r="G1031">
            <v>80805</v>
          </cell>
          <cell r="H1031">
            <v>94541</v>
          </cell>
        </row>
        <row r="1032">
          <cell r="A1032" t="str">
            <v>설      치</v>
          </cell>
          <cell r="C1032" t="str">
            <v>비   계   공</v>
          </cell>
          <cell r="D1032">
            <v>0.36</v>
          </cell>
          <cell r="E1032" t="str">
            <v>인</v>
          </cell>
          <cell r="G1032">
            <v>79467</v>
          </cell>
          <cell r="H1032">
            <v>28608</v>
          </cell>
        </row>
        <row r="1033">
          <cell r="C1033" t="str">
            <v>프랜트기계설치공</v>
          </cell>
          <cell r="D1033">
            <v>0.13</v>
          </cell>
          <cell r="E1033" t="str">
            <v>인</v>
          </cell>
          <cell r="G1033">
            <v>81966</v>
          </cell>
          <cell r="H1033">
            <v>10655</v>
          </cell>
        </row>
        <row r="1034">
          <cell r="A1034" t="str">
            <v>전 원 배 선</v>
          </cell>
          <cell r="C1034" t="str">
            <v>플랜트전공</v>
          </cell>
          <cell r="D1034">
            <v>6.3E-2</v>
          </cell>
          <cell r="E1034" t="str">
            <v>인</v>
          </cell>
          <cell r="G1034">
            <v>64285</v>
          </cell>
          <cell r="H1034">
            <v>4049</v>
          </cell>
          <cell r="I1034" t="str">
            <v xml:space="preserve"> </v>
          </cell>
          <cell r="J1034" t="str">
            <v xml:space="preserve"> </v>
          </cell>
        </row>
        <row r="1035">
          <cell r="A1035" t="str">
            <v xml:space="preserve"> </v>
          </cell>
          <cell r="C1035" t="str">
            <v xml:space="preserve"> </v>
          </cell>
          <cell r="D1035" t="str">
            <v xml:space="preserve"> </v>
          </cell>
          <cell r="E1035" t="str">
            <v xml:space="preserve"> </v>
          </cell>
          <cell r="G1035" t="str">
            <v xml:space="preserve"> </v>
          </cell>
        </row>
        <row r="1036">
          <cell r="A1036" t="str">
            <v>검사 및 교정</v>
          </cell>
          <cell r="C1036" t="str">
            <v>기술관리,전원</v>
          </cell>
          <cell r="D1036" t="str">
            <v>1</v>
          </cell>
          <cell r="E1036" t="str">
            <v>식</v>
          </cell>
          <cell r="H1036">
            <v>47608</v>
          </cell>
        </row>
        <row r="1037">
          <cell r="C1037" t="str">
            <v>배선제외10%</v>
          </cell>
        </row>
        <row r="1040">
          <cell r="B1040" t="str">
            <v>계</v>
          </cell>
          <cell r="F1040">
            <v>562444</v>
          </cell>
          <cell r="H1040">
            <v>562444</v>
          </cell>
        </row>
        <row r="1050">
          <cell r="E1050" t="str">
            <v xml:space="preserve"> </v>
          </cell>
          <cell r="F1050" t="str">
            <v>STOP LOG LEAF 설치 사용장비 경비</v>
          </cell>
        </row>
        <row r="1051">
          <cell r="E1051" t="str">
            <v xml:space="preserve"> </v>
          </cell>
        </row>
        <row r="1052">
          <cell r="A1052" t="str">
            <v>종       별</v>
          </cell>
          <cell r="C1052" t="str">
            <v>재 료 또 는</v>
          </cell>
          <cell r="D1052" t="str">
            <v xml:space="preserve">원 수 </v>
          </cell>
          <cell r="E1052" t="str">
            <v>단 위</v>
          </cell>
          <cell r="F1052" t="str">
            <v>총   액</v>
          </cell>
          <cell r="G1052" t="str">
            <v>노   무   비</v>
          </cell>
          <cell r="I1052" t="str">
            <v>재   료   비</v>
          </cell>
          <cell r="K1052" t="str">
            <v>경      비</v>
          </cell>
          <cell r="M1052" t="str">
            <v>비   고</v>
          </cell>
        </row>
        <row r="1053">
          <cell r="C1053" t="str">
            <v xml:space="preserve">규       격 </v>
          </cell>
          <cell r="F1053" t="str">
            <v>금   액</v>
          </cell>
          <cell r="G1053" t="str">
            <v>단  가</v>
          </cell>
          <cell r="H1053" t="str">
            <v>금   액</v>
          </cell>
          <cell r="I1053" t="str">
            <v>단  가</v>
          </cell>
          <cell r="J1053" t="str">
            <v>금   액</v>
          </cell>
          <cell r="K1053" t="str">
            <v>단  가</v>
          </cell>
          <cell r="L1053" t="str">
            <v>금   액</v>
          </cell>
        </row>
        <row r="1054">
          <cell r="A1054" t="str">
            <v>A.C WELDER</v>
          </cell>
          <cell r="C1054" t="str">
            <v>10KVA</v>
          </cell>
          <cell r="D1054">
            <v>8</v>
          </cell>
          <cell r="E1054" t="str">
            <v>Hr</v>
          </cell>
          <cell r="K1054">
            <v>155</v>
          </cell>
          <cell r="L1054">
            <v>1240</v>
          </cell>
        </row>
        <row r="1055">
          <cell r="A1055" t="str">
            <v>PORTABLE DRILL</v>
          </cell>
          <cell r="C1055" t="str">
            <v>1.5 Hp</v>
          </cell>
          <cell r="D1055">
            <v>16</v>
          </cell>
          <cell r="E1055" t="str">
            <v>Hr</v>
          </cell>
          <cell r="K1055">
            <v>14</v>
          </cell>
          <cell r="L1055">
            <v>224</v>
          </cell>
        </row>
        <row r="1056">
          <cell r="A1056" t="str">
            <v>PORTABLE GRINDER</v>
          </cell>
          <cell r="C1056" t="str">
            <v>0.5 Hp</v>
          </cell>
          <cell r="D1056">
            <v>16</v>
          </cell>
          <cell r="E1056" t="str">
            <v>Hr</v>
          </cell>
          <cell r="K1056">
            <v>22</v>
          </cell>
          <cell r="L1056">
            <v>352</v>
          </cell>
        </row>
        <row r="1057">
          <cell r="A1057" t="str">
            <v>WINCH</v>
          </cell>
          <cell r="C1057" t="str">
            <v>10Hp</v>
          </cell>
          <cell r="D1057">
            <v>8</v>
          </cell>
          <cell r="E1057" t="str">
            <v>Hr</v>
          </cell>
          <cell r="G1057">
            <v>9235</v>
          </cell>
          <cell r="H1057">
            <v>73880</v>
          </cell>
          <cell r="K1057">
            <v>850</v>
          </cell>
          <cell r="L1057">
            <v>6800</v>
          </cell>
        </row>
        <row r="1058">
          <cell r="A1058" t="str">
            <v>FORK LIFT</v>
          </cell>
          <cell r="C1058" t="str">
            <v>3.5TON</v>
          </cell>
          <cell r="D1058">
            <v>8</v>
          </cell>
          <cell r="E1058" t="str">
            <v>Hr</v>
          </cell>
          <cell r="G1058">
            <v>9681</v>
          </cell>
          <cell r="H1058">
            <v>77448</v>
          </cell>
          <cell r="I1058">
            <v>5116</v>
          </cell>
          <cell r="J1058">
            <v>40928</v>
          </cell>
          <cell r="K1058">
            <v>3470</v>
          </cell>
          <cell r="L1058">
            <v>27760</v>
          </cell>
        </row>
        <row r="1060">
          <cell r="A1060" t="str">
            <v>TRUCK CRANE</v>
          </cell>
          <cell r="C1060" t="str">
            <v>20TON</v>
          </cell>
          <cell r="D1060">
            <v>8</v>
          </cell>
          <cell r="E1060" t="str">
            <v>Hr</v>
          </cell>
          <cell r="G1060">
            <v>18615</v>
          </cell>
          <cell r="H1060">
            <v>148920</v>
          </cell>
          <cell r="I1060">
            <v>4939</v>
          </cell>
          <cell r="J1060">
            <v>39512</v>
          </cell>
          <cell r="K1060">
            <v>40975</v>
          </cell>
          <cell r="L1060">
            <v>327800</v>
          </cell>
        </row>
        <row r="1063">
          <cell r="A1063" t="str">
            <v xml:space="preserve">      계</v>
          </cell>
          <cell r="F1063">
            <v>744864</v>
          </cell>
          <cell r="H1063">
            <v>300248</v>
          </cell>
          <cell r="J1063">
            <v>80440</v>
          </cell>
          <cell r="L1063">
            <v>364176</v>
          </cell>
        </row>
        <row r="1079">
          <cell r="E1079" t="str">
            <v xml:space="preserve"> </v>
          </cell>
          <cell r="F1079" t="str">
            <v>STOP LOG LEAF 설치 소모 자재비</v>
          </cell>
        </row>
        <row r="1080">
          <cell r="E1080" t="str">
            <v xml:space="preserve"> </v>
          </cell>
        </row>
        <row r="1081">
          <cell r="A1081" t="str">
            <v>종       별</v>
          </cell>
          <cell r="C1081" t="str">
            <v>재 료 또 는</v>
          </cell>
          <cell r="D1081" t="str">
            <v xml:space="preserve">원 수 </v>
          </cell>
          <cell r="E1081" t="str">
            <v>단 위</v>
          </cell>
          <cell r="F1081" t="str">
            <v>총   액</v>
          </cell>
          <cell r="G1081" t="str">
            <v>노   무   비</v>
          </cell>
          <cell r="I1081" t="str">
            <v>재   료   비</v>
          </cell>
          <cell r="K1081" t="str">
            <v>경      비</v>
          </cell>
          <cell r="M1081" t="str">
            <v>비   고</v>
          </cell>
        </row>
        <row r="1082">
          <cell r="C1082" t="str">
            <v xml:space="preserve">규       격 </v>
          </cell>
          <cell r="F1082" t="str">
            <v>금   액</v>
          </cell>
          <cell r="G1082" t="str">
            <v>단  가</v>
          </cell>
          <cell r="H1082" t="str">
            <v>금   액</v>
          </cell>
          <cell r="I1082" t="str">
            <v>단  가</v>
          </cell>
          <cell r="J1082" t="str">
            <v>금   액</v>
          </cell>
          <cell r="K1082" t="str">
            <v>단  가</v>
          </cell>
          <cell r="L1082" t="str">
            <v>금   액</v>
          </cell>
        </row>
        <row r="1083">
          <cell r="A1083" t="str">
            <v>산       소</v>
          </cell>
          <cell r="C1083" t="str">
            <v>6,000L용</v>
          </cell>
          <cell r="D1083">
            <v>2.2999999999999998</v>
          </cell>
          <cell r="E1083" t="str">
            <v>병</v>
          </cell>
          <cell r="G1083" t="str">
            <v xml:space="preserve"> </v>
          </cell>
          <cell r="I1083">
            <v>12000</v>
          </cell>
          <cell r="J1083">
            <v>27600</v>
          </cell>
        </row>
        <row r="1084">
          <cell r="A1084" t="str">
            <v>아 세 치 렌</v>
          </cell>
          <cell r="C1084" t="str">
            <v>4,500L용</v>
          </cell>
          <cell r="D1084">
            <v>1.98</v>
          </cell>
          <cell r="E1084" t="str">
            <v>병</v>
          </cell>
          <cell r="I1084">
            <v>55392</v>
          </cell>
          <cell r="J1084">
            <v>109676</v>
          </cell>
        </row>
        <row r="1085">
          <cell r="A1085" t="str">
            <v>용   접  봉</v>
          </cell>
          <cell r="C1085" t="str">
            <v>SS41 , 4M/M</v>
          </cell>
          <cell r="D1085">
            <v>14.35</v>
          </cell>
          <cell r="E1085" t="str">
            <v>KG</v>
          </cell>
          <cell r="I1085">
            <v>1260</v>
          </cell>
          <cell r="J1085">
            <v>18081</v>
          </cell>
        </row>
        <row r="1086">
          <cell r="A1086" t="str">
            <v>함       석</v>
          </cell>
          <cell r="C1086" t="str">
            <v>#31x3'x6'</v>
          </cell>
          <cell r="D1086">
            <v>0.53</v>
          </cell>
          <cell r="E1086" t="str">
            <v>매</v>
          </cell>
          <cell r="I1086">
            <v>2825</v>
          </cell>
          <cell r="J1086">
            <v>1497</v>
          </cell>
        </row>
        <row r="1087">
          <cell r="A1087" t="str">
            <v>전       력</v>
          </cell>
          <cell r="D1087">
            <v>306</v>
          </cell>
          <cell r="E1087" t="str">
            <v>KWH</v>
          </cell>
          <cell r="K1087">
            <v>61.6</v>
          </cell>
          <cell r="L1087">
            <v>18849</v>
          </cell>
        </row>
        <row r="1089">
          <cell r="A1089" t="str">
            <v xml:space="preserve"> </v>
          </cell>
        </row>
        <row r="1091">
          <cell r="B1091" t="str">
            <v>계</v>
          </cell>
          <cell r="F1091">
            <v>175703</v>
          </cell>
          <cell r="J1091">
            <v>156854</v>
          </cell>
          <cell r="L1091">
            <v>18849</v>
          </cell>
        </row>
        <row r="1092">
          <cell r="A1092" t="str">
            <v xml:space="preserve"> </v>
          </cell>
        </row>
        <row r="1093">
          <cell r="A1093" t="str">
            <v xml:space="preserve"> </v>
          </cell>
        </row>
        <row r="1094">
          <cell r="A1094" t="str">
            <v xml:space="preserve"> </v>
          </cell>
        </row>
        <row r="1095">
          <cell r="A1095" t="str">
            <v xml:space="preserve"> </v>
          </cell>
        </row>
        <row r="1096">
          <cell r="A1096" t="str">
            <v xml:space="preserve"> </v>
          </cell>
        </row>
        <row r="1097">
          <cell r="A1097" t="str">
            <v xml:space="preserve"> </v>
          </cell>
        </row>
        <row r="1098">
          <cell r="A1098" t="str">
            <v xml:space="preserve"> </v>
          </cell>
        </row>
        <row r="1099">
          <cell r="A1099" t="str">
            <v xml:space="preserve"> </v>
          </cell>
        </row>
        <row r="1100">
          <cell r="A1100" t="str">
            <v xml:space="preserve"> </v>
          </cell>
        </row>
        <row r="1101">
          <cell r="A1101" t="str">
            <v xml:space="preserve"> </v>
          </cell>
        </row>
        <row r="1102">
          <cell r="A1102" t="str">
            <v xml:space="preserve"> </v>
          </cell>
        </row>
        <row r="1103">
          <cell r="A1103" t="str">
            <v xml:space="preserve"> </v>
          </cell>
        </row>
        <row r="1105">
          <cell r="A1105" t="str">
            <v xml:space="preserve"> </v>
          </cell>
        </row>
        <row r="1106">
          <cell r="A1106" t="str">
            <v xml:space="preserve"> </v>
          </cell>
        </row>
        <row r="1107">
          <cell r="A1107" t="str">
            <v xml:space="preserve"> </v>
          </cell>
        </row>
        <row r="1108">
          <cell r="E1108" t="str">
            <v xml:space="preserve"> </v>
          </cell>
          <cell r="F1108" t="str">
            <v>RADIAL GATE LEAF 제작 인건비</v>
          </cell>
        </row>
        <row r="1109">
          <cell r="E1109" t="str">
            <v xml:space="preserve"> </v>
          </cell>
        </row>
        <row r="1110">
          <cell r="A1110" t="str">
            <v>종       별</v>
          </cell>
          <cell r="C1110" t="str">
            <v>재 료 또 는</v>
          </cell>
          <cell r="F1110" t="str">
            <v>총   액</v>
          </cell>
          <cell r="G1110" t="str">
            <v xml:space="preserve">    노   무   비</v>
          </cell>
          <cell r="I1110" t="str">
            <v xml:space="preserve">    재   료   비</v>
          </cell>
          <cell r="K1110" t="str">
            <v xml:space="preserve">    경      비</v>
          </cell>
        </row>
        <row r="1111">
          <cell r="C1111" t="str">
            <v xml:space="preserve">규       격 </v>
          </cell>
          <cell r="E1111" t="str">
            <v xml:space="preserve"> </v>
          </cell>
          <cell r="F1111" t="str">
            <v>금   액</v>
          </cell>
          <cell r="G1111" t="str">
            <v>단  가</v>
          </cell>
          <cell r="H1111" t="str">
            <v>금   액</v>
          </cell>
          <cell r="I1111" t="str">
            <v>단  가</v>
          </cell>
          <cell r="J1111" t="str">
            <v>금   액</v>
          </cell>
          <cell r="K1111" t="str">
            <v>단  가</v>
          </cell>
          <cell r="L1111" t="str">
            <v>금   액</v>
          </cell>
        </row>
        <row r="1112">
          <cell r="A1112" t="str">
            <v>기술관리</v>
          </cell>
          <cell r="C1112" t="str">
            <v>기계기사1급</v>
          </cell>
          <cell r="D1112">
            <v>0.5</v>
          </cell>
          <cell r="E1112" t="str">
            <v>인</v>
          </cell>
          <cell r="G1112">
            <v>97488</v>
          </cell>
          <cell r="H1112">
            <v>48744</v>
          </cell>
        </row>
        <row r="1113">
          <cell r="A1113" t="str">
            <v>본  뜨  기</v>
          </cell>
          <cell r="C1113" t="str">
            <v>프랜트 제관공</v>
          </cell>
          <cell r="D1113">
            <v>0.52300000000000002</v>
          </cell>
          <cell r="E1113" t="str">
            <v>인</v>
          </cell>
          <cell r="G1113">
            <v>81966</v>
          </cell>
          <cell r="H1113">
            <v>42868</v>
          </cell>
        </row>
        <row r="1114">
          <cell r="A1114" t="str">
            <v>금  긋  기</v>
          </cell>
          <cell r="C1114" t="str">
            <v>프랜트 제관공</v>
          </cell>
          <cell r="D1114">
            <v>1.39</v>
          </cell>
          <cell r="E1114" t="str">
            <v>인</v>
          </cell>
          <cell r="G1114">
            <v>81966</v>
          </cell>
          <cell r="H1114">
            <v>113932</v>
          </cell>
        </row>
        <row r="1115">
          <cell r="A1115" t="str">
            <v>절      단</v>
          </cell>
          <cell r="C1115" t="str">
            <v>프랜트 제관공</v>
          </cell>
          <cell r="D1115">
            <v>0.38</v>
          </cell>
          <cell r="E1115" t="str">
            <v>인</v>
          </cell>
          <cell r="G1115">
            <v>81966</v>
          </cell>
          <cell r="H1115">
            <v>31147</v>
          </cell>
        </row>
        <row r="1116">
          <cell r="A1116" t="str">
            <v>가      공</v>
          </cell>
          <cell r="C1116" t="str">
            <v>프랜트 제관공</v>
          </cell>
          <cell r="D1116">
            <v>1.59</v>
          </cell>
          <cell r="E1116" t="str">
            <v>인</v>
          </cell>
          <cell r="G1116">
            <v>81966</v>
          </cell>
          <cell r="H1116">
            <v>130325</v>
          </cell>
        </row>
        <row r="1118">
          <cell r="A1118" t="str">
            <v>구 멍 뚫 기</v>
          </cell>
          <cell r="C1118" t="str">
            <v>프랜트 제관공</v>
          </cell>
          <cell r="D1118">
            <v>0.47499999999999998</v>
          </cell>
          <cell r="E1118" t="str">
            <v>인</v>
          </cell>
          <cell r="G1118">
            <v>81966</v>
          </cell>
          <cell r="H1118">
            <v>38933</v>
          </cell>
        </row>
        <row r="1119">
          <cell r="A1119" t="str">
            <v>용      접</v>
          </cell>
          <cell r="C1119" t="str">
            <v>프랜트 용접공</v>
          </cell>
          <cell r="D1119">
            <v>2.5499999999999998</v>
          </cell>
          <cell r="E1119" t="str">
            <v>인</v>
          </cell>
          <cell r="G1119">
            <v>95379</v>
          </cell>
          <cell r="H1119">
            <v>243216</v>
          </cell>
        </row>
        <row r="1120">
          <cell r="A1120" t="str">
            <v>부 품 조 립</v>
          </cell>
          <cell r="C1120" t="str">
            <v>비   계   공</v>
          </cell>
          <cell r="D1120">
            <v>1.3049999999999999</v>
          </cell>
          <cell r="E1120" t="str">
            <v>인</v>
          </cell>
          <cell r="G1120">
            <v>79467</v>
          </cell>
          <cell r="H1120">
            <v>103704</v>
          </cell>
        </row>
        <row r="1121">
          <cell r="C1121" t="str">
            <v>프랜트기계설치공</v>
          </cell>
          <cell r="D1121">
            <v>1.3049999999999999</v>
          </cell>
          <cell r="E1121" t="str">
            <v>인</v>
          </cell>
          <cell r="G1121">
            <v>80805</v>
          </cell>
          <cell r="H1121">
            <v>105450</v>
          </cell>
        </row>
        <row r="1122">
          <cell r="A1122" t="str">
            <v>소운반 조작</v>
          </cell>
          <cell r="C1122" t="str">
            <v>비   계   공</v>
          </cell>
          <cell r="D1122">
            <v>0.98</v>
          </cell>
          <cell r="E1122" t="str">
            <v>인</v>
          </cell>
          <cell r="G1122">
            <v>79467</v>
          </cell>
          <cell r="H1122">
            <v>77877</v>
          </cell>
        </row>
        <row r="1124">
          <cell r="A1124" t="str">
            <v>가   조   립</v>
          </cell>
          <cell r="C1124" t="str">
            <v>비   계   공</v>
          </cell>
          <cell r="D1124">
            <v>1.0329999999999999</v>
          </cell>
          <cell r="E1124" t="str">
            <v>인</v>
          </cell>
          <cell r="G1124">
            <v>79467</v>
          </cell>
          <cell r="H1124">
            <v>82089</v>
          </cell>
        </row>
        <row r="1125">
          <cell r="C1125" t="str">
            <v>프랜트 제관공</v>
          </cell>
          <cell r="D1125">
            <v>2.1160000000000001</v>
          </cell>
          <cell r="E1125" t="str">
            <v>인</v>
          </cell>
          <cell r="G1125">
            <v>81966</v>
          </cell>
          <cell r="H1125">
            <v>173440</v>
          </cell>
        </row>
        <row r="1126">
          <cell r="C1126" t="str">
            <v>프랜트 용접공</v>
          </cell>
          <cell r="D1126">
            <v>1.02</v>
          </cell>
          <cell r="E1126" t="str">
            <v>인</v>
          </cell>
          <cell r="G1126">
            <v>95379</v>
          </cell>
          <cell r="H1126">
            <v>97286</v>
          </cell>
        </row>
        <row r="1127">
          <cell r="C1127" t="str">
            <v>측   량   사</v>
          </cell>
          <cell r="D1127">
            <v>0.17199999999999999</v>
          </cell>
          <cell r="E1127" t="str">
            <v>인</v>
          </cell>
          <cell r="G1127">
            <v>58506</v>
          </cell>
          <cell r="H1127">
            <v>10063</v>
          </cell>
        </row>
        <row r="1128">
          <cell r="C1128" t="str">
            <v>프랜트기계설치공</v>
          </cell>
          <cell r="D1128">
            <v>0.62</v>
          </cell>
          <cell r="E1128" t="str">
            <v>인</v>
          </cell>
          <cell r="G1128">
            <v>80805</v>
          </cell>
          <cell r="H1128">
            <v>50099</v>
          </cell>
        </row>
        <row r="1129">
          <cell r="E1129" t="str">
            <v xml:space="preserve"> </v>
          </cell>
        </row>
        <row r="1130">
          <cell r="C1130" t="str">
            <v>특 별 인 부</v>
          </cell>
          <cell r="D1130">
            <v>0.372</v>
          </cell>
          <cell r="E1130" t="str">
            <v>인</v>
          </cell>
          <cell r="G1130">
            <v>57379</v>
          </cell>
          <cell r="H1130">
            <v>21344</v>
          </cell>
        </row>
        <row r="1131">
          <cell r="A1131" t="str">
            <v>검사 및 교정</v>
          </cell>
          <cell r="C1131" t="str">
            <v>기술관리 제외한</v>
          </cell>
          <cell r="D1131" t="str">
            <v>1</v>
          </cell>
          <cell r="E1131" t="str">
            <v>식</v>
          </cell>
          <cell r="H1131">
            <v>132177</v>
          </cell>
        </row>
        <row r="1132">
          <cell r="C1132" t="str">
            <v>10%</v>
          </cell>
        </row>
        <row r="1134">
          <cell r="B1134" t="str">
            <v>계</v>
          </cell>
          <cell r="F1134">
            <v>1502694</v>
          </cell>
          <cell r="H1134">
            <v>1502694</v>
          </cell>
        </row>
        <row r="1137">
          <cell r="E1137" t="str">
            <v xml:space="preserve"> </v>
          </cell>
          <cell r="F1137" t="str">
            <v>RADIAL GATE LEAF 제작 사용장비 경비</v>
          </cell>
        </row>
        <row r="1138">
          <cell r="E1138" t="str">
            <v xml:space="preserve"> </v>
          </cell>
        </row>
        <row r="1139">
          <cell r="A1139" t="str">
            <v>종       별</v>
          </cell>
          <cell r="C1139" t="str">
            <v>재 료 또 는</v>
          </cell>
          <cell r="D1139" t="str">
            <v xml:space="preserve">원 수 </v>
          </cell>
          <cell r="E1139" t="str">
            <v>단 위</v>
          </cell>
          <cell r="F1139" t="str">
            <v>총   액</v>
          </cell>
          <cell r="G1139" t="str">
            <v>노   무   비</v>
          </cell>
          <cell r="I1139" t="str">
            <v>재   료   비</v>
          </cell>
          <cell r="K1139" t="str">
            <v>경      비</v>
          </cell>
          <cell r="M1139" t="str">
            <v>비   고</v>
          </cell>
        </row>
        <row r="1140">
          <cell r="C1140" t="str">
            <v xml:space="preserve">규       격 </v>
          </cell>
          <cell r="F1140" t="str">
            <v>금   액</v>
          </cell>
          <cell r="G1140" t="str">
            <v>단  가</v>
          </cell>
          <cell r="H1140" t="str">
            <v>금   액</v>
          </cell>
          <cell r="I1140" t="str">
            <v>단  가</v>
          </cell>
          <cell r="J1140" t="str">
            <v>금   액</v>
          </cell>
          <cell r="K1140" t="str">
            <v>단  가</v>
          </cell>
          <cell r="L1140" t="str">
            <v>금   액</v>
          </cell>
        </row>
        <row r="1141">
          <cell r="A1141" t="str">
            <v>LATHE</v>
          </cell>
          <cell r="C1141" t="str">
            <v>12FT x 7.5HP</v>
          </cell>
          <cell r="D1141">
            <v>0.64</v>
          </cell>
          <cell r="E1141" t="str">
            <v>Hr</v>
          </cell>
          <cell r="G1141">
            <v>3418</v>
          </cell>
          <cell r="H1141">
            <v>2187</v>
          </cell>
          <cell r="K1141">
            <v>3775</v>
          </cell>
          <cell r="L1141">
            <v>2416</v>
          </cell>
        </row>
        <row r="1142">
          <cell r="A1142" t="str">
            <v>PLANER</v>
          </cell>
          <cell r="C1142" t="str">
            <v>4FT x 8FT</v>
          </cell>
          <cell r="D1142">
            <v>0.72</v>
          </cell>
          <cell r="E1142" t="str">
            <v>Hr</v>
          </cell>
          <cell r="G1142">
            <v>3129</v>
          </cell>
          <cell r="H1142">
            <v>2252</v>
          </cell>
          <cell r="K1142">
            <v>2743</v>
          </cell>
          <cell r="L1142">
            <v>1974</v>
          </cell>
        </row>
        <row r="1143">
          <cell r="A1143" t="str">
            <v>BORING M/C</v>
          </cell>
          <cell r="C1143" t="str">
            <v>Hori.type,3HP</v>
          </cell>
          <cell r="D1143">
            <v>1.72</v>
          </cell>
          <cell r="E1143" t="str">
            <v>Hr</v>
          </cell>
          <cell r="G1143">
            <v>3547</v>
          </cell>
          <cell r="H1143">
            <v>6100</v>
          </cell>
          <cell r="K1143">
            <v>8928</v>
          </cell>
          <cell r="L1143">
            <v>15356</v>
          </cell>
        </row>
        <row r="1144">
          <cell r="A1144" t="str">
            <v>UNION MELT WELDER</v>
          </cell>
          <cell r="C1144" t="str">
            <v>5.5 KVA</v>
          </cell>
          <cell r="D1144">
            <v>2.8559999999999999</v>
          </cell>
          <cell r="E1144" t="str">
            <v>Hr</v>
          </cell>
          <cell r="G1144">
            <v>3488</v>
          </cell>
          <cell r="H1144">
            <v>9961</v>
          </cell>
          <cell r="K1144">
            <v>1797</v>
          </cell>
          <cell r="L1144">
            <v>5132</v>
          </cell>
        </row>
        <row r="1145">
          <cell r="A1145" t="str">
            <v>A.C WELDER</v>
          </cell>
          <cell r="C1145" t="str">
            <v>10KVA</v>
          </cell>
          <cell r="D1145">
            <v>8.5679999999999996</v>
          </cell>
          <cell r="E1145" t="str">
            <v>Hr</v>
          </cell>
          <cell r="K1145">
            <v>107</v>
          </cell>
          <cell r="L1145">
            <v>916</v>
          </cell>
        </row>
        <row r="1146">
          <cell r="E1146" t="str">
            <v xml:space="preserve"> </v>
          </cell>
        </row>
        <row r="1147">
          <cell r="A1147" t="str">
            <v>GOUGING M/C</v>
          </cell>
          <cell r="C1147" t="str">
            <v>중 형</v>
          </cell>
          <cell r="D1147">
            <v>3.06</v>
          </cell>
          <cell r="E1147" t="str">
            <v>Hr</v>
          </cell>
          <cell r="G1147">
            <v>3380</v>
          </cell>
          <cell r="H1147">
            <v>10342</v>
          </cell>
          <cell r="K1147">
            <v>670</v>
          </cell>
          <cell r="L1147">
            <v>2050</v>
          </cell>
        </row>
        <row r="1148">
          <cell r="A1148" t="str">
            <v>GAS CUTTING M/C</v>
          </cell>
          <cell r="C1148" t="str">
            <v>Auto형</v>
          </cell>
          <cell r="D1148">
            <v>1.24</v>
          </cell>
          <cell r="E1148" t="str">
            <v>Hr</v>
          </cell>
          <cell r="G1148">
            <v>11922</v>
          </cell>
          <cell r="H1148">
            <v>14783</v>
          </cell>
          <cell r="K1148">
            <v>119</v>
          </cell>
          <cell r="L1148">
            <v>147</v>
          </cell>
        </row>
        <row r="1149">
          <cell r="A1149" t="str">
            <v>GAS CUTTING M/C</v>
          </cell>
          <cell r="C1149" t="str">
            <v>수 동</v>
          </cell>
          <cell r="D1149">
            <v>1.8</v>
          </cell>
          <cell r="E1149" t="str">
            <v>Hr</v>
          </cell>
          <cell r="G1149">
            <v>3974</v>
          </cell>
          <cell r="H1149">
            <v>7153</v>
          </cell>
          <cell r="K1149">
            <v>115</v>
          </cell>
          <cell r="L1149">
            <v>207</v>
          </cell>
        </row>
        <row r="1150">
          <cell r="A1150" t="str">
            <v>GAS HEATING TOUCH</v>
          </cell>
          <cell r="C1150" t="str">
            <v>중 형</v>
          </cell>
          <cell r="D1150">
            <v>3.984</v>
          </cell>
          <cell r="E1150" t="str">
            <v>Hr</v>
          </cell>
          <cell r="G1150">
            <v>3174</v>
          </cell>
          <cell r="H1150">
            <v>12645</v>
          </cell>
          <cell r="K1150">
            <v>115</v>
          </cell>
          <cell r="L1150">
            <v>458</v>
          </cell>
        </row>
        <row r="1152">
          <cell r="A1152" t="str">
            <v>OVER HEAD CRANE</v>
          </cell>
          <cell r="C1152" t="str">
            <v>30 TON</v>
          </cell>
          <cell r="D1152">
            <v>0.75900000000000001</v>
          </cell>
          <cell r="E1152" t="str">
            <v>Hr</v>
          </cell>
          <cell r="G1152">
            <v>9681</v>
          </cell>
          <cell r="H1152">
            <v>7347</v>
          </cell>
          <cell r="K1152">
            <v>3338</v>
          </cell>
          <cell r="L1152">
            <v>2533</v>
          </cell>
        </row>
        <row r="1153">
          <cell r="A1153" t="str">
            <v>OVER HEAD CRANE</v>
          </cell>
          <cell r="C1153" t="str">
            <v>20 TON</v>
          </cell>
          <cell r="D1153">
            <v>0.75900000000000001</v>
          </cell>
          <cell r="E1153" t="str">
            <v>Hr</v>
          </cell>
          <cell r="G1153">
            <v>9681</v>
          </cell>
          <cell r="H1153">
            <v>7347</v>
          </cell>
          <cell r="K1153">
            <v>3338</v>
          </cell>
          <cell r="L1153">
            <v>2533</v>
          </cell>
        </row>
        <row r="1154">
          <cell r="A1154" t="str">
            <v>HYDRO PRESS</v>
          </cell>
          <cell r="C1154" t="str">
            <v>300 TON</v>
          </cell>
          <cell r="D1154">
            <v>1.7709999999999999</v>
          </cell>
          <cell r="E1154" t="str">
            <v>Hr</v>
          </cell>
          <cell r="G1154">
            <v>3281</v>
          </cell>
          <cell r="H1154">
            <v>5810</v>
          </cell>
          <cell r="K1154">
            <v>8463</v>
          </cell>
          <cell r="L1154">
            <v>14987</v>
          </cell>
        </row>
        <row r="1155">
          <cell r="A1155" t="str">
            <v>BENDING ROLLER</v>
          </cell>
          <cell r="C1155" t="str">
            <v>23 FT</v>
          </cell>
          <cell r="D1155">
            <v>1.48</v>
          </cell>
          <cell r="E1155" t="str">
            <v>Hr</v>
          </cell>
          <cell r="G1155">
            <v>4281</v>
          </cell>
          <cell r="H1155">
            <v>6335</v>
          </cell>
          <cell r="K1155">
            <v>6323</v>
          </cell>
          <cell r="L1155">
            <v>9358</v>
          </cell>
        </row>
        <row r="1156">
          <cell r="A1156" t="str">
            <v>EDGE BENDING ROLLER</v>
          </cell>
          <cell r="C1156" t="str">
            <v>23 FT</v>
          </cell>
          <cell r="D1156">
            <v>1.38</v>
          </cell>
          <cell r="E1156" t="str">
            <v>Hr</v>
          </cell>
          <cell r="G1156">
            <v>4281</v>
          </cell>
          <cell r="H1156">
            <v>5907</v>
          </cell>
          <cell r="K1156">
            <v>9484.5</v>
          </cell>
          <cell r="L1156">
            <v>13088</v>
          </cell>
        </row>
        <row r="1158">
          <cell r="A1158" t="str">
            <v>SHEARING M/C</v>
          </cell>
          <cell r="D1158">
            <v>0.64</v>
          </cell>
          <cell r="E1158" t="str">
            <v>Hr</v>
          </cell>
          <cell r="G1158">
            <v>3688</v>
          </cell>
          <cell r="H1158">
            <v>2360</v>
          </cell>
          <cell r="K1158">
            <v>3209</v>
          </cell>
          <cell r="L1158">
            <v>2053</v>
          </cell>
        </row>
        <row r="1159">
          <cell r="A1159" t="str">
            <v>DRILLING M/C</v>
          </cell>
          <cell r="C1159" t="str">
            <v>3 HP</v>
          </cell>
          <cell r="D1159">
            <v>0.36799999999999999</v>
          </cell>
          <cell r="E1159" t="str">
            <v>Hr</v>
          </cell>
          <cell r="G1159">
            <v>3401</v>
          </cell>
          <cell r="H1159">
            <v>1251</v>
          </cell>
          <cell r="K1159">
            <v>576</v>
          </cell>
          <cell r="L1159">
            <v>211</v>
          </cell>
        </row>
        <row r="1160">
          <cell r="A1160" t="str">
            <v>DRILLING M/C</v>
          </cell>
          <cell r="C1160" t="str">
            <v>Radial,5 HP</v>
          </cell>
          <cell r="D1160">
            <v>0.184</v>
          </cell>
          <cell r="E1160" t="str">
            <v>Hr</v>
          </cell>
          <cell r="G1160">
            <v>3401</v>
          </cell>
          <cell r="H1160">
            <v>625</v>
          </cell>
          <cell r="K1160">
            <v>1720</v>
          </cell>
          <cell r="L1160">
            <v>316</v>
          </cell>
        </row>
        <row r="1161">
          <cell r="A1161" t="str">
            <v>PORTABLE DRILL</v>
          </cell>
          <cell r="C1161" t="str">
            <v>0.5 HP</v>
          </cell>
          <cell r="D1161">
            <v>1.532</v>
          </cell>
          <cell r="E1161" t="str">
            <v>Hr</v>
          </cell>
          <cell r="K1161">
            <v>12</v>
          </cell>
          <cell r="L1161">
            <v>18</v>
          </cell>
        </row>
        <row r="1162">
          <cell r="A1162" t="str">
            <v>TRUCK CRANE</v>
          </cell>
          <cell r="C1162" t="str">
            <v>30 TON</v>
          </cell>
          <cell r="D1162">
            <v>0.50600000000000001</v>
          </cell>
          <cell r="E1162" t="str">
            <v>Hr</v>
          </cell>
          <cell r="G1162">
            <v>18615</v>
          </cell>
          <cell r="H1162">
            <v>9419</v>
          </cell>
          <cell r="I1162">
            <v>7046</v>
          </cell>
          <cell r="J1162">
            <v>3565</v>
          </cell>
          <cell r="K1162">
            <v>44939</v>
          </cell>
          <cell r="L1162">
            <v>22739</v>
          </cell>
        </row>
        <row r="1164">
          <cell r="A1164" t="str">
            <v>리프트 트럭</v>
          </cell>
          <cell r="C1164" t="str">
            <v xml:space="preserve"> 5 TON</v>
          </cell>
          <cell r="D1164">
            <v>0.50600000000000001</v>
          </cell>
          <cell r="E1164" t="str">
            <v>Hr</v>
          </cell>
          <cell r="G1164">
            <v>9681</v>
          </cell>
          <cell r="H1164">
            <v>4898</v>
          </cell>
          <cell r="I1164">
            <v>5116.08</v>
          </cell>
          <cell r="J1164">
            <v>2588</v>
          </cell>
          <cell r="K1164">
            <v>4863</v>
          </cell>
          <cell r="L1164">
            <v>2460</v>
          </cell>
        </row>
        <row r="1165">
          <cell r="A1165" t="str">
            <v>TRAILER</v>
          </cell>
          <cell r="C1165" t="str">
            <v>30 TON</v>
          </cell>
          <cell r="D1165">
            <v>0.50600000000000001</v>
          </cell>
          <cell r="E1165" t="str">
            <v>Hr</v>
          </cell>
          <cell r="G1165">
            <v>8683</v>
          </cell>
          <cell r="H1165">
            <v>4393</v>
          </cell>
          <cell r="I1165">
            <v>15763</v>
          </cell>
          <cell r="J1165">
            <v>7976</v>
          </cell>
          <cell r="K1165">
            <v>27414</v>
          </cell>
          <cell r="L1165">
            <v>13871</v>
          </cell>
        </row>
        <row r="1166">
          <cell r="A1166" t="str">
            <v>종       별</v>
          </cell>
          <cell r="C1166" t="str">
            <v>재 료 또 는</v>
          </cell>
          <cell r="D1166" t="str">
            <v xml:space="preserve">원 수 </v>
          </cell>
          <cell r="E1166" t="str">
            <v>단 위</v>
          </cell>
          <cell r="F1166" t="str">
            <v>총   액</v>
          </cell>
          <cell r="G1166" t="str">
            <v>노   무   비</v>
          </cell>
          <cell r="I1166" t="str">
            <v>재   료   비</v>
          </cell>
          <cell r="K1166" t="str">
            <v>경      비</v>
          </cell>
          <cell r="M1166" t="str">
            <v>비   고</v>
          </cell>
        </row>
        <row r="1167">
          <cell r="C1167" t="str">
            <v xml:space="preserve">규       격 </v>
          </cell>
          <cell r="F1167" t="str">
            <v>금   액</v>
          </cell>
          <cell r="G1167" t="str">
            <v>단  가</v>
          </cell>
          <cell r="H1167" t="str">
            <v>금   액</v>
          </cell>
          <cell r="I1167" t="str">
            <v>단  가</v>
          </cell>
          <cell r="J1167" t="str">
            <v>금   액</v>
          </cell>
          <cell r="K1167" t="str">
            <v>단  가</v>
          </cell>
          <cell r="L1167" t="str">
            <v>금   액</v>
          </cell>
        </row>
        <row r="1168">
          <cell r="A1168" t="str">
            <v>COMPRESSOR</v>
          </cell>
          <cell r="C1168" t="str">
            <v>7.1㎥/min</v>
          </cell>
          <cell r="D1168">
            <v>3.79</v>
          </cell>
          <cell r="E1168" t="str">
            <v>Hr</v>
          </cell>
          <cell r="G1168">
            <v>9681</v>
          </cell>
          <cell r="H1168">
            <v>36690</v>
          </cell>
          <cell r="I1168">
            <v>8779</v>
          </cell>
          <cell r="J1168">
            <v>33272</v>
          </cell>
          <cell r="K1168">
            <v>6250</v>
          </cell>
          <cell r="L1168">
            <v>23687</v>
          </cell>
        </row>
        <row r="1170">
          <cell r="B1170" t="str">
            <v>계</v>
          </cell>
          <cell r="F1170">
            <v>341716</v>
          </cell>
          <cell r="H1170">
            <v>157805</v>
          </cell>
          <cell r="J1170">
            <v>47401</v>
          </cell>
          <cell r="K1170" t="str">
            <v xml:space="preserve"> </v>
          </cell>
          <cell r="L1170">
            <v>136510</v>
          </cell>
        </row>
        <row r="1195">
          <cell r="E1195" t="str">
            <v xml:space="preserve"> </v>
          </cell>
          <cell r="F1195" t="str">
            <v>RADIAL GATE LEAF 제작 소모 자재비</v>
          </cell>
        </row>
        <row r="1196">
          <cell r="E1196" t="str">
            <v xml:space="preserve"> </v>
          </cell>
        </row>
        <row r="1197">
          <cell r="A1197" t="str">
            <v>종       별</v>
          </cell>
          <cell r="C1197" t="str">
            <v>재 료 또 는</v>
          </cell>
          <cell r="D1197" t="str">
            <v xml:space="preserve">원 수 </v>
          </cell>
          <cell r="E1197" t="str">
            <v>단 위</v>
          </cell>
          <cell r="F1197" t="str">
            <v>총   액</v>
          </cell>
          <cell r="G1197" t="str">
            <v>노   무   비</v>
          </cell>
          <cell r="I1197" t="str">
            <v>재   료   비</v>
          </cell>
          <cell r="K1197" t="str">
            <v>경      비</v>
          </cell>
          <cell r="M1197" t="str">
            <v>비   고</v>
          </cell>
        </row>
        <row r="1198">
          <cell r="C1198" t="str">
            <v xml:space="preserve">규       격 </v>
          </cell>
          <cell r="F1198" t="str">
            <v>금   액</v>
          </cell>
          <cell r="G1198" t="str">
            <v>단  가</v>
          </cell>
          <cell r="H1198" t="str">
            <v>금   액</v>
          </cell>
          <cell r="I1198" t="str">
            <v>단  가</v>
          </cell>
          <cell r="J1198" t="str">
            <v>금   액</v>
          </cell>
          <cell r="K1198" t="str">
            <v>단  가</v>
          </cell>
          <cell r="L1198" t="str">
            <v>금   액</v>
          </cell>
        </row>
        <row r="1199">
          <cell r="A1199" t="str">
            <v>산       소</v>
          </cell>
          <cell r="C1199" t="str">
            <v>6,000L용</v>
          </cell>
          <cell r="D1199">
            <v>3.76</v>
          </cell>
          <cell r="E1199" t="str">
            <v>병</v>
          </cell>
          <cell r="G1199" t="str">
            <v xml:space="preserve"> </v>
          </cell>
          <cell r="I1199">
            <v>12000</v>
          </cell>
          <cell r="J1199">
            <v>45120</v>
          </cell>
        </row>
        <row r="1200">
          <cell r="A1200" t="str">
            <v>아 세 치 렌</v>
          </cell>
          <cell r="C1200" t="str">
            <v>4,500L용</v>
          </cell>
          <cell r="D1200">
            <v>3.23</v>
          </cell>
          <cell r="E1200" t="str">
            <v>병</v>
          </cell>
          <cell r="I1200">
            <v>55392</v>
          </cell>
          <cell r="J1200">
            <v>178916</v>
          </cell>
        </row>
        <row r="1201">
          <cell r="A1201" t="str">
            <v>함       석</v>
          </cell>
          <cell r="C1201" t="str">
            <v>#31 x 3' x 6'</v>
          </cell>
          <cell r="D1201">
            <v>0.71</v>
          </cell>
          <cell r="E1201" t="str">
            <v>매</v>
          </cell>
          <cell r="I1201">
            <v>2825</v>
          </cell>
          <cell r="J1201">
            <v>2005</v>
          </cell>
        </row>
        <row r="1202">
          <cell r="A1202" t="str">
            <v>용   접  봉</v>
          </cell>
          <cell r="C1202" t="str">
            <v>SS400, 4M/Mx350L</v>
          </cell>
          <cell r="D1202">
            <v>24.99</v>
          </cell>
          <cell r="E1202" t="str">
            <v>KG</v>
          </cell>
          <cell r="I1202">
            <v>1260</v>
          </cell>
          <cell r="J1202">
            <v>31487</v>
          </cell>
        </row>
        <row r="1203">
          <cell r="A1203" t="str">
            <v>전       력</v>
          </cell>
          <cell r="D1203">
            <v>370</v>
          </cell>
          <cell r="E1203" t="str">
            <v>KWH</v>
          </cell>
          <cell r="K1203">
            <v>61.6</v>
          </cell>
          <cell r="L1203">
            <v>22792</v>
          </cell>
        </row>
        <row r="1204">
          <cell r="E1204" t="str">
            <v xml:space="preserve"> </v>
          </cell>
          <cell r="K1204" t="str">
            <v xml:space="preserve"> </v>
          </cell>
        </row>
        <row r="1206">
          <cell r="B1206" t="str">
            <v>계</v>
          </cell>
          <cell r="F1206">
            <v>280320</v>
          </cell>
          <cell r="J1206">
            <v>257528</v>
          </cell>
          <cell r="L1206">
            <v>22792</v>
          </cell>
        </row>
        <row r="1224">
          <cell r="E1224" t="str">
            <v xml:space="preserve"> </v>
          </cell>
          <cell r="F1224" t="str">
            <v>RADIAL GATE GUIDE FRAME 제작 인건비</v>
          </cell>
        </row>
        <row r="1225">
          <cell r="E1225" t="str">
            <v xml:space="preserve"> </v>
          </cell>
        </row>
        <row r="1226">
          <cell r="A1226" t="str">
            <v>종       별</v>
          </cell>
          <cell r="C1226" t="str">
            <v>재 료 또 는</v>
          </cell>
          <cell r="D1226" t="str">
            <v xml:space="preserve">원 수 </v>
          </cell>
          <cell r="E1226" t="str">
            <v>단 위</v>
          </cell>
          <cell r="F1226" t="str">
            <v>총   액</v>
          </cell>
          <cell r="G1226" t="str">
            <v>노   무   비</v>
          </cell>
          <cell r="I1226" t="str">
            <v>재   료   비</v>
          </cell>
          <cell r="K1226" t="str">
            <v>경      비</v>
          </cell>
          <cell r="M1226" t="str">
            <v>비   고</v>
          </cell>
        </row>
        <row r="1227">
          <cell r="C1227" t="str">
            <v xml:space="preserve">규       격 </v>
          </cell>
          <cell r="F1227" t="str">
            <v>금   액</v>
          </cell>
          <cell r="G1227" t="str">
            <v>단  가</v>
          </cell>
          <cell r="H1227" t="str">
            <v>금   액</v>
          </cell>
          <cell r="I1227" t="str">
            <v>단  가</v>
          </cell>
          <cell r="J1227" t="str">
            <v>금   액</v>
          </cell>
          <cell r="K1227" t="str">
            <v>단  가</v>
          </cell>
          <cell r="L1227" t="str">
            <v>금   액</v>
          </cell>
        </row>
        <row r="1228">
          <cell r="A1228" t="str">
            <v>기 술 관 리</v>
          </cell>
          <cell r="C1228" t="str">
            <v>기계기사1급</v>
          </cell>
          <cell r="D1228">
            <v>8</v>
          </cell>
          <cell r="E1228" t="str">
            <v>인</v>
          </cell>
          <cell r="G1228">
            <v>97488</v>
          </cell>
          <cell r="H1228">
            <v>779904</v>
          </cell>
        </row>
        <row r="1229">
          <cell r="A1229" t="str">
            <v>재료 절단 사도</v>
          </cell>
          <cell r="C1229" t="str">
            <v>제   도   공</v>
          </cell>
          <cell r="D1229">
            <v>2</v>
          </cell>
          <cell r="E1229" t="str">
            <v>인</v>
          </cell>
          <cell r="G1229">
            <v>32747</v>
          </cell>
          <cell r="H1229">
            <v>65494</v>
          </cell>
        </row>
        <row r="1230">
          <cell r="A1230" t="str">
            <v xml:space="preserve"> </v>
          </cell>
          <cell r="B1230" t="str">
            <v>현    도</v>
          </cell>
          <cell r="C1230" t="str">
            <v>현   도   공</v>
          </cell>
          <cell r="D1230">
            <v>1.4</v>
          </cell>
          <cell r="E1230" t="str">
            <v>인</v>
          </cell>
          <cell r="G1230">
            <v>28487</v>
          </cell>
          <cell r="H1230">
            <v>39881</v>
          </cell>
        </row>
        <row r="1231">
          <cell r="A1231" t="str">
            <v xml:space="preserve"> </v>
          </cell>
          <cell r="B1231" t="str">
            <v>괘    서</v>
          </cell>
          <cell r="C1231" t="str">
            <v>마   킹   공</v>
          </cell>
          <cell r="D1231">
            <v>2.8</v>
          </cell>
          <cell r="E1231" t="str">
            <v>인</v>
          </cell>
          <cell r="G1231">
            <v>26924</v>
          </cell>
          <cell r="H1231">
            <v>75387</v>
          </cell>
        </row>
        <row r="1232">
          <cell r="A1232" t="str">
            <v xml:space="preserve"> </v>
          </cell>
          <cell r="B1232" t="str">
            <v>절    단</v>
          </cell>
          <cell r="C1232" t="str">
            <v>절   단   공</v>
          </cell>
          <cell r="D1232">
            <v>0.52</v>
          </cell>
          <cell r="E1232" t="str">
            <v>인</v>
          </cell>
          <cell r="G1232">
            <v>65881</v>
          </cell>
          <cell r="H1232">
            <v>34258</v>
          </cell>
        </row>
        <row r="1234">
          <cell r="A1234" t="str">
            <v>단재가공 괘서</v>
          </cell>
          <cell r="C1234" t="str">
            <v>마   킹   공</v>
          </cell>
          <cell r="D1234">
            <v>2.8</v>
          </cell>
          <cell r="E1234" t="str">
            <v>인</v>
          </cell>
          <cell r="G1234">
            <v>26250</v>
          </cell>
          <cell r="H1234">
            <v>73500</v>
          </cell>
        </row>
        <row r="1235">
          <cell r="A1235" t="str">
            <v xml:space="preserve"> </v>
          </cell>
          <cell r="B1235" t="str">
            <v>절    단</v>
          </cell>
          <cell r="C1235" t="str">
            <v>산소 절단공</v>
          </cell>
          <cell r="D1235">
            <v>0.26</v>
          </cell>
          <cell r="E1235" t="str">
            <v>인</v>
          </cell>
          <cell r="G1235">
            <v>31794</v>
          </cell>
          <cell r="H1235">
            <v>8266</v>
          </cell>
        </row>
        <row r="1236">
          <cell r="C1236" t="str">
            <v>프랜트기계설치공</v>
          </cell>
          <cell r="D1236">
            <v>2.2999999999999998</v>
          </cell>
          <cell r="E1236" t="str">
            <v>인</v>
          </cell>
          <cell r="G1236">
            <v>80805</v>
          </cell>
          <cell r="H1236">
            <v>185851</v>
          </cell>
        </row>
        <row r="1237">
          <cell r="B1237" t="str">
            <v>EDGE가공</v>
          </cell>
          <cell r="C1237" t="str">
            <v>산소 절단공</v>
          </cell>
          <cell r="D1237">
            <v>1.1000000000000001</v>
          </cell>
          <cell r="E1237" t="str">
            <v>인</v>
          </cell>
          <cell r="G1237">
            <v>31794</v>
          </cell>
          <cell r="H1237">
            <v>34973</v>
          </cell>
        </row>
        <row r="1238">
          <cell r="A1238" t="str">
            <v xml:space="preserve"> </v>
          </cell>
          <cell r="B1238" t="str">
            <v>용    접</v>
          </cell>
          <cell r="C1238" t="str">
            <v>프랜트 용접공</v>
          </cell>
          <cell r="D1238">
            <v>0.78</v>
          </cell>
          <cell r="E1238" t="str">
            <v>인</v>
          </cell>
          <cell r="G1238">
            <v>95379</v>
          </cell>
          <cell r="H1238">
            <v>74395</v>
          </cell>
        </row>
        <row r="1240">
          <cell r="A1240" t="str">
            <v xml:space="preserve"> </v>
          </cell>
          <cell r="B1240" t="str">
            <v>교    정</v>
          </cell>
          <cell r="C1240" t="str">
            <v>프랜트 제관공</v>
          </cell>
          <cell r="D1240">
            <v>0.75</v>
          </cell>
          <cell r="E1240" t="str">
            <v>인</v>
          </cell>
          <cell r="G1240">
            <v>81966</v>
          </cell>
          <cell r="H1240">
            <v>61474</v>
          </cell>
        </row>
        <row r="1241">
          <cell r="B1241" t="str">
            <v>HOLING</v>
          </cell>
          <cell r="C1241" t="str">
            <v>프랜트 제관공</v>
          </cell>
          <cell r="D1241">
            <v>0.62</v>
          </cell>
          <cell r="E1241" t="str">
            <v>인</v>
          </cell>
          <cell r="G1241">
            <v>81966</v>
          </cell>
          <cell r="H1241">
            <v>50818</v>
          </cell>
        </row>
        <row r="1242">
          <cell r="A1242" t="str">
            <v>부분조립,취부조정</v>
          </cell>
          <cell r="C1242" t="str">
            <v>프랜트기계설치공</v>
          </cell>
          <cell r="D1242">
            <v>6.2</v>
          </cell>
          <cell r="E1242" t="str">
            <v>인</v>
          </cell>
          <cell r="G1242">
            <v>80805</v>
          </cell>
          <cell r="H1242">
            <v>500991</v>
          </cell>
        </row>
        <row r="1243">
          <cell r="A1243" t="str">
            <v xml:space="preserve"> </v>
          </cell>
          <cell r="B1243" t="str">
            <v>용    접</v>
          </cell>
          <cell r="C1243" t="str">
            <v>프랜트 용접공</v>
          </cell>
          <cell r="D1243">
            <v>3.9</v>
          </cell>
          <cell r="E1243" t="str">
            <v>인</v>
          </cell>
          <cell r="G1243">
            <v>95379</v>
          </cell>
          <cell r="H1243">
            <v>371978</v>
          </cell>
        </row>
        <row r="1244">
          <cell r="A1244" t="str">
            <v xml:space="preserve"> </v>
          </cell>
          <cell r="B1244" t="str">
            <v>교    정</v>
          </cell>
          <cell r="C1244" t="str">
            <v>프랜트 제관공</v>
          </cell>
          <cell r="D1244">
            <v>1.75</v>
          </cell>
          <cell r="E1244" t="str">
            <v>인</v>
          </cell>
          <cell r="G1244">
            <v>81966</v>
          </cell>
          <cell r="H1244">
            <v>143440</v>
          </cell>
        </row>
        <row r="1246">
          <cell r="A1246" t="str">
            <v>기 계 가 공</v>
          </cell>
          <cell r="C1246" t="str">
            <v>기   계   공</v>
          </cell>
          <cell r="D1246">
            <v>10</v>
          </cell>
          <cell r="E1246" t="str">
            <v>인</v>
          </cell>
          <cell r="G1246">
            <v>58906</v>
          </cell>
          <cell r="H1246">
            <v>589060</v>
          </cell>
        </row>
        <row r="1247">
          <cell r="A1247" t="str">
            <v>가 조 립,조 립</v>
          </cell>
          <cell r="C1247" t="str">
            <v>프랜트기계설치공</v>
          </cell>
          <cell r="D1247">
            <v>2</v>
          </cell>
          <cell r="E1247" t="str">
            <v>인</v>
          </cell>
          <cell r="G1247">
            <v>80805</v>
          </cell>
          <cell r="H1247">
            <v>161610</v>
          </cell>
        </row>
        <row r="1248">
          <cell r="A1248" t="str">
            <v xml:space="preserve"> </v>
          </cell>
          <cell r="B1248" t="str">
            <v>해    체</v>
          </cell>
          <cell r="C1248" t="str">
            <v>프랜트기계설치공</v>
          </cell>
          <cell r="D1248">
            <v>1</v>
          </cell>
          <cell r="E1248" t="str">
            <v>인</v>
          </cell>
          <cell r="G1248">
            <v>80805</v>
          </cell>
          <cell r="H1248">
            <v>80805</v>
          </cell>
        </row>
        <row r="1249">
          <cell r="A1249" t="str">
            <v>운 반 조 작</v>
          </cell>
          <cell r="C1249" t="str">
            <v>특수 비계공</v>
          </cell>
          <cell r="D1249">
            <v>5</v>
          </cell>
          <cell r="E1249" t="str">
            <v>인</v>
          </cell>
          <cell r="G1249">
            <v>85884</v>
          </cell>
          <cell r="H1249">
            <v>429420</v>
          </cell>
        </row>
        <row r="1250">
          <cell r="A1250" t="str">
            <v>동 력 조 작</v>
          </cell>
          <cell r="C1250" t="str">
            <v>프랜트 전공</v>
          </cell>
          <cell r="D1250">
            <v>2</v>
          </cell>
          <cell r="E1250" t="str">
            <v>인</v>
          </cell>
          <cell r="G1250">
            <v>64285</v>
          </cell>
          <cell r="H1250">
            <v>128570</v>
          </cell>
        </row>
        <row r="1252">
          <cell r="A1252" t="str">
            <v xml:space="preserve">      보 조</v>
          </cell>
          <cell r="C1252" t="str">
            <v>특 별 인 부</v>
          </cell>
          <cell r="D1252">
            <v>2.5</v>
          </cell>
          <cell r="E1252" t="str">
            <v>인</v>
          </cell>
          <cell r="G1252">
            <v>57379</v>
          </cell>
          <cell r="H1252">
            <v>143447</v>
          </cell>
        </row>
        <row r="1253">
          <cell r="A1253" t="str">
            <v>종       별</v>
          </cell>
          <cell r="C1253" t="str">
            <v>재 료 또 는</v>
          </cell>
          <cell r="D1253" t="str">
            <v xml:space="preserve">원 수 </v>
          </cell>
          <cell r="E1253" t="str">
            <v>단 위</v>
          </cell>
          <cell r="F1253" t="str">
            <v>총   액</v>
          </cell>
          <cell r="G1253" t="str">
            <v>노   무   비</v>
          </cell>
          <cell r="I1253" t="str">
            <v>재   료   비</v>
          </cell>
          <cell r="K1253" t="str">
            <v>경      비</v>
          </cell>
          <cell r="M1253" t="str">
            <v>비   고</v>
          </cell>
        </row>
        <row r="1254">
          <cell r="C1254" t="str">
            <v xml:space="preserve">규       격 </v>
          </cell>
          <cell r="F1254" t="str">
            <v>금   액</v>
          </cell>
          <cell r="G1254" t="str">
            <v>단  가</v>
          </cell>
          <cell r="H1254" t="str">
            <v>금   액</v>
          </cell>
          <cell r="I1254" t="str">
            <v>단  가</v>
          </cell>
          <cell r="J1254" t="str">
            <v>금   액</v>
          </cell>
          <cell r="K1254" t="str">
            <v>단  가</v>
          </cell>
          <cell r="L1254" t="str">
            <v>금   액</v>
          </cell>
        </row>
        <row r="1255">
          <cell r="A1255" t="str">
            <v>검      사</v>
          </cell>
          <cell r="C1255" t="str">
            <v>노무비의 7%</v>
          </cell>
          <cell r="D1255" t="str">
            <v>1</v>
          </cell>
          <cell r="E1255" t="str">
            <v>식</v>
          </cell>
          <cell r="H1255">
            <v>282346</v>
          </cell>
        </row>
        <row r="1256">
          <cell r="E1256" t="str">
            <v xml:space="preserve"> </v>
          </cell>
          <cell r="F1256" t="str">
            <v xml:space="preserve"> </v>
          </cell>
          <cell r="H1256" t="str">
            <v xml:space="preserve"> </v>
          </cell>
        </row>
        <row r="1257">
          <cell r="A1257" t="str">
            <v xml:space="preserve">       계</v>
          </cell>
          <cell r="F1257">
            <v>4315868</v>
          </cell>
          <cell r="H1257">
            <v>4315868</v>
          </cell>
        </row>
        <row r="1282">
          <cell r="E1282" t="str">
            <v xml:space="preserve"> </v>
          </cell>
          <cell r="F1282" t="str">
            <v>RADIAL GATE GUIDE FRAME 제작 소모 자재비</v>
          </cell>
        </row>
        <row r="1283">
          <cell r="E1283" t="str">
            <v xml:space="preserve"> </v>
          </cell>
        </row>
        <row r="1284">
          <cell r="A1284" t="str">
            <v>종       별</v>
          </cell>
          <cell r="C1284" t="str">
            <v>재 료 또 는</v>
          </cell>
          <cell r="D1284" t="str">
            <v xml:space="preserve">원 수 </v>
          </cell>
          <cell r="E1284" t="str">
            <v>단 위</v>
          </cell>
          <cell r="F1284" t="str">
            <v>총   액</v>
          </cell>
          <cell r="G1284" t="str">
            <v>노   무   비</v>
          </cell>
          <cell r="I1284" t="str">
            <v>재   료   비</v>
          </cell>
          <cell r="K1284" t="str">
            <v>경      비</v>
          </cell>
          <cell r="M1284" t="str">
            <v>비   고</v>
          </cell>
        </row>
        <row r="1285">
          <cell r="C1285" t="str">
            <v xml:space="preserve">규       격 </v>
          </cell>
          <cell r="F1285" t="str">
            <v>금   액</v>
          </cell>
          <cell r="G1285" t="str">
            <v>단  가</v>
          </cell>
          <cell r="H1285" t="str">
            <v>금   액</v>
          </cell>
          <cell r="I1285" t="str">
            <v>단  가</v>
          </cell>
          <cell r="J1285" t="str">
            <v>금   액</v>
          </cell>
          <cell r="K1285" t="str">
            <v>단  가</v>
          </cell>
          <cell r="L1285" t="str">
            <v>금   액</v>
          </cell>
        </row>
        <row r="1286">
          <cell r="A1286" t="str">
            <v>산       소</v>
          </cell>
          <cell r="C1286" t="str">
            <v>6,000L용</v>
          </cell>
          <cell r="D1286">
            <v>2.2000000000000002</v>
          </cell>
          <cell r="E1286" t="str">
            <v>병</v>
          </cell>
          <cell r="G1286" t="str">
            <v xml:space="preserve"> </v>
          </cell>
          <cell r="I1286">
            <v>12000</v>
          </cell>
          <cell r="J1286">
            <v>26400</v>
          </cell>
        </row>
        <row r="1287">
          <cell r="A1287" t="str">
            <v>아 세 치 렌</v>
          </cell>
          <cell r="C1287" t="str">
            <v>2,100L용</v>
          </cell>
          <cell r="D1287">
            <v>1.6</v>
          </cell>
          <cell r="E1287" t="str">
            <v>병</v>
          </cell>
          <cell r="I1287">
            <v>25849</v>
          </cell>
          <cell r="J1287">
            <v>41358</v>
          </cell>
        </row>
        <row r="1288">
          <cell r="A1288" t="str">
            <v>함       석</v>
          </cell>
          <cell r="C1288" t="str">
            <v>#32 x 3' x 6'</v>
          </cell>
          <cell r="D1288">
            <v>1.7</v>
          </cell>
          <cell r="E1288" t="str">
            <v>매</v>
          </cell>
          <cell r="I1288">
            <v>2597</v>
          </cell>
          <cell r="J1288">
            <v>4414</v>
          </cell>
        </row>
        <row r="1289">
          <cell r="A1289" t="str">
            <v>용   접  봉</v>
          </cell>
          <cell r="C1289" t="str">
            <v>SS41+STS304,4M/M</v>
          </cell>
          <cell r="D1289">
            <v>22.5</v>
          </cell>
          <cell r="E1289" t="str">
            <v>KG</v>
          </cell>
          <cell r="I1289">
            <v>3360</v>
          </cell>
          <cell r="J1289">
            <v>75600</v>
          </cell>
        </row>
        <row r="1290">
          <cell r="A1290" t="str">
            <v>전       력</v>
          </cell>
          <cell r="D1290">
            <v>595</v>
          </cell>
          <cell r="E1290" t="str">
            <v>KWH</v>
          </cell>
          <cell r="I1290" t="str">
            <v xml:space="preserve"> </v>
          </cell>
          <cell r="K1290">
            <v>61.6</v>
          </cell>
          <cell r="L1290">
            <v>36652</v>
          </cell>
        </row>
        <row r="1291">
          <cell r="A1291" t="str">
            <v xml:space="preserve"> </v>
          </cell>
          <cell r="C1291" t="str">
            <v xml:space="preserve"> </v>
          </cell>
          <cell r="D1291" t="str">
            <v xml:space="preserve"> </v>
          </cell>
          <cell r="E1291" t="str">
            <v xml:space="preserve"> </v>
          </cell>
          <cell r="I1291" t="str">
            <v xml:space="preserve">  </v>
          </cell>
          <cell r="K1291" t="str">
            <v xml:space="preserve"> </v>
          </cell>
        </row>
        <row r="1293">
          <cell r="L1293" t="str">
            <v xml:space="preserve"> </v>
          </cell>
        </row>
        <row r="1294">
          <cell r="B1294" t="str">
            <v>계</v>
          </cell>
          <cell r="F1294">
            <v>184424</v>
          </cell>
          <cell r="J1294">
            <v>147772</v>
          </cell>
          <cell r="L1294">
            <v>36652</v>
          </cell>
        </row>
        <row r="1295">
          <cell r="F1295" t="str">
            <v xml:space="preserve"> </v>
          </cell>
          <cell r="J1295" t="str">
            <v xml:space="preserve"> </v>
          </cell>
          <cell r="L1295" t="str">
            <v xml:space="preserve"> </v>
          </cell>
        </row>
        <row r="1296">
          <cell r="F1296" t="str">
            <v xml:space="preserve"> </v>
          </cell>
          <cell r="J1296" t="str">
            <v xml:space="preserve"> </v>
          </cell>
          <cell r="L1296" t="str">
            <v xml:space="preserve"> </v>
          </cell>
        </row>
        <row r="1297">
          <cell r="F1297" t="str">
            <v xml:space="preserve"> </v>
          </cell>
          <cell r="J1297" t="str">
            <v xml:space="preserve"> </v>
          </cell>
          <cell r="L1297" t="str">
            <v xml:space="preserve"> </v>
          </cell>
        </row>
        <row r="1298">
          <cell r="F1298" t="str">
            <v xml:space="preserve"> </v>
          </cell>
          <cell r="J1298" t="str">
            <v xml:space="preserve"> </v>
          </cell>
          <cell r="L1298" t="str">
            <v xml:space="preserve"> </v>
          </cell>
        </row>
        <row r="1299">
          <cell r="F1299" t="str">
            <v xml:space="preserve"> </v>
          </cell>
          <cell r="J1299" t="str">
            <v xml:space="preserve"> </v>
          </cell>
          <cell r="L1299" t="str">
            <v xml:space="preserve"> </v>
          </cell>
        </row>
        <row r="1300">
          <cell r="F1300" t="str">
            <v xml:space="preserve"> </v>
          </cell>
          <cell r="J1300" t="str">
            <v xml:space="preserve"> </v>
          </cell>
          <cell r="L1300" t="str">
            <v xml:space="preserve"> </v>
          </cell>
        </row>
        <row r="1301">
          <cell r="F1301" t="str">
            <v xml:space="preserve"> </v>
          </cell>
          <cell r="J1301" t="str">
            <v xml:space="preserve"> </v>
          </cell>
          <cell r="L1301" t="str">
            <v xml:space="preserve"> </v>
          </cell>
        </row>
        <row r="1302">
          <cell r="F1302" t="str">
            <v xml:space="preserve"> </v>
          </cell>
          <cell r="J1302" t="str">
            <v xml:space="preserve"> </v>
          </cell>
          <cell r="L1302" t="str">
            <v xml:space="preserve"> </v>
          </cell>
        </row>
        <row r="1303">
          <cell r="F1303" t="str">
            <v xml:space="preserve"> </v>
          </cell>
          <cell r="J1303" t="str">
            <v xml:space="preserve"> </v>
          </cell>
          <cell r="L1303" t="str">
            <v xml:space="preserve"> </v>
          </cell>
        </row>
        <row r="1304">
          <cell r="F1304" t="str">
            <v xml:space="preserve"> </v>
          </cell>
          <cell r="J1304" t="str">
            <v xml:space="preserve"> </v>
          </cell>
          <cell r="L1304" t="str">
            <v xml:space="preserve"> </v>
          </cell>
        </row>
        <row r="1305">
          <cell r="F1305" t="str">
            <v xml:space="preserve"> </v>
          </cell>
          <cell r="J1305" t="str">
            <v xml:space="preserve"> </v>
          </cell>
          <cell r="L1305" t="str">
            <v xml:space="preserve"> </v>
          </cell>
        </row>
        <row r="1306">
          <cell r="F1306" t="str">
            <v xml:space="preserve"> </v>
          </cell>
          <cell r="J1306" t="str">
            <v xml:space="preserve"> </v>
          </cell>
          <cell r="L1306" t="str">
            <v xml:space="preserve"> </v>
          </cell>
        </row>
        <row r="1307">
          <cell r="F1307" t="str">
            <v xml:space="preserve"> </v>
          </cell>
          <cell r="J1307" t="str">
            <v xml:space="preserve"> </v>
          </cell>
          <cell r="L1307" t="str">
            <v xml:space="preserve"> </v>
          </cell>
        </row>
        <row r="1308">
          <cell r="F1308" t="str">
            <v xml:space="preserve"> </v>
          </cell>
          <cell r="J1308" t="str">
            <v xml:space="preserve"> </v>
          </cell>
          <cell r="L1308" t="str">
            <v xml:space="preserve"> </v>
          </cell>
        </row>
        <row r="1309">
          <cell r="F1309" t="str">
            <v xml:space="preserve"> </v>
          </cell>
          <cell r="J1309" t="str">
            <v xml:space="preserve"> </v>
          </cell>
          <cell r="L1309" t="str">
            <v xml:space="preserve"> </v>
          </cell>
        </row>
        <row r="1310">
          <cell r="F1310" t="str">
            <v xml:space="preserve"> </v>
          </cell>
          <cell r="J1310" t="str">
            <v xml:space="preserve"> </v>
          </cell>
          <cell r="L1310" t="str">
            <v xml:space="preserve"> </v>
          </cell>
        </row>
        <row r="1311">
          <cell r="E1311" t="str">
            <v xml:space="preserve"> </v>
          </cell>
          <cell r="F1311" t="str">
            <v>RADIAL GATE ANCHORAGE 제작 인건비</v>
          </cell>
        </row>
        <row r="1312">
          <cell r="E1312" t="str">
            <v xml:space="preserve"> </v>
          </cell>
        </row>
        <row r="1313">
          <cell r="A1313" t="str">
            <v>종       별</v>
          </cell>
          <cell r="C1313" t="str">
            <v>재 료 또 는</v>
          </cell>
          <cell r="D1313" t="str">
            <v xml:space="preserve">원 수 </v>
          </cell>
          <cell r="E1313" t="str">
            <v>단 위</v>
          </cell>
          <cell r="F1313" t="str">
            <v>총   액</v>
          </cell>
          <cell r="G1313" t="str">
            <v>노   무   비</v>
          </cell>
          <cell r="I1313" t="str">
            <v>재   료   비</v>
          </cell>
          <cell r="K1313" t="str">
            <v>경      비</v>
          </cell>
          <cell r="M1313" t="str">
            <v>비   고</v>
          </cell>
        </row>
        <row r="1314">
          <cell r="C1314" t="str">
            <v xml:space="preserve">규       격 </v>
          </cell>
          <cell r="F1314" t="str">
            <v>금   액</v>
          </cell>
          <cell r="G1314" t="str">
            <v>단  가</v>
          </cell>
          <cell r="H1314" t="str">
            <v>금   액</v>
          </cell>
          <cell r="I1314" t="str">
            <v>단  가</v>
          </cell>
          <cell r="J1314" t="str">
            <v>금   액</v>
          </cell>
          <cell r="K1314" t="str">
            <v>단  가</v>
          </cell>
          <cell r="L1314" t="str">
            <v>금   액</v>
          </cell>
        </row>
        <row r="1315">
          <cell r="A1315" t="str">
            <v>기 술 관 리</v>
          </cell>
          <cell r="C1315" t="str">
            <v>기계기사1급</v>
          </cell>
          <cell r="D1315">
            <v>1.6</v>
          </cell>
          <cell r="E1315" t="str">
            <v>인</v>
          </cell>
          <cell r="G1315">
            <v>97488</v>
          </cell>
          <cell r="H1315">
            <v>155980</v>
          </cell>
        </row>
        <row r="1316">
          <cell r="A1316" t="str">
            <v>재료 절단 사도</v>
          </cell>
          <cell r="C1316" t="str">
            <v>제   도   공</v>
          </cell>
          <cell r="D1316">
            <v>0.5</v>
          </cell>
          <cell r="E1316" t="str">
            <v>인</v>
          </cell>
          <cell r="G1316">
            <v>32747</v>
          </cell>
          <cell r="H1316">
            <v>16373</v>
          </cell>
        </row>
        <row r="1317">
          <cell r="A1317" t="str">
            <v xml:space="preserve"> </v>
          </cell>
          <cell r="B1317" t="str">
            <v>현    도</v>
          </cell>
          <cell r="C1317" t="str">
            <v>현   도   공</v>
          </cell>
          <cell r="D1317">
            <v>0.2</v>
          </cell>
          <cell r="E1317" t="str">
            <v>인</v>
          </cell>
          <cell r="G1317">
            <v>28487</v>
          </cell>
          <cell r="H1317">
            <v>5697</v>
          </cell>
        </row>
        <row r="1318">
          <cell r="A1318" t="str">
            <v xml:space="preserve"> </v>
          </cell>
          <cell r="B1318" t="str">
            <v>괘    서</v>
          </cell>
          <cell r="C1318" t="str">
            <v>마   킹   공</v>
          </cell>
          <cell r="D1318">
            <v>1.3</v>
          </cell>
          <cell r="E1318" t="str">
            <v>인</v>
          </cell>
          <cell r="G1318">
            <v>26924</v>
          </cell>
          <cell r="H1318">
            <v>35001</v>
          </cell>
        </row>
        <row r="1319">
          <cell r="B1319" t="str">
            <v>절    단</v>
          </cell>
          <cell r="C1319" t="str">
            <v>절   단   공</v>
          </cell>
          <cell r="D1319">
            <v>0.28000000000000003</v>
          </cell>
          <cell r="E1319" t="str">
            <v>인</v>
          </cell>
          <cell r="G1319">
            <v>65881</v>
          </cell>
          <cell r="H1319">
            <v>18446</v>
          </cell>
        </row>
        <row r="1321">
          <cell r="A1321" t="str">
            <v xml:space="preserve"> </v>
          </cell>
          <cell r="B1321" t="str">
            <v>교    정</v>
          </cell>
          <cell r="C1321" t="str">
            <v>프랜트 제관공</v>
          </cell>
          <cell r="D1321">
            <v>0.5</v>
          </cell>
          <cell r="E1321" t="str">
            <v>인</v>
          </cell>
          <cell r="G1321">
            <v>81966</v>
          </cell>
          <cell r="H1321">
            <v>40983</v>
          </cell>
        </row>
        <row r="1322">
          <cell r="A1322" t="str">
            <v>단재가공 괘서</v>
          </cell>
          <cell r="C1322" t="str">
            <v>마   킹   공</v>
          </cell>
          <cell r="D1322">
            <v>1.3</v>
          </cell>
          <cell r="E1322" t="str">
            <v>인</v>
          </cell>
          <cell r="G1322">
            <v>26924</v>
          </cell>
          <cell r="H1322">
            <v>35001</v>
          </cell>
        </row>
        <row r="1323">
          <cell r="A1323" t="str">
            <v xml:space="preserve"> </v>
          </cell>
          <cell r="B1323" t="str">
            <v>절    단</v>
          </cell>
          <cell r="C1323" t="str">
            <v>절   단   공</v>
          </cell>
          <cell r="D1323">
            <v>0.14000000000000001</v>
          </cell>
          <cell r="E1323" t="str">
            <v>인</v>
          </cell>
          <cell r="G1323">
            <v>65881</v>
          </cell>
          <cell r="H1323">
            <v>9223</v>
          </cell>
        </row>
        <row r="1324">
          <cell r="A1324" t="str">
            <v>EDGE     가공</v>
          </cell>
          <cell r="C1324" t="str">
            <v>산 소 절 단 공</v>
          </cell>
          <cell r="D1324">
            <v>0.14000000000000001</v>
          </cell>
          <cell r="E1324" t="str">
            <v>인</v>
          </cell>
          <cell r="G1324">
            <v>31794</v>
          </cell>
          <cell r="H1324">
            <v>4451</v>
          </cell>
        </row>
        <row r="1325">
          <cell r="A1325" t="str">
            <v xml:space="preserve"> </v>
          </cell>
          <cell r="B1325" t="str">
            <v>용    접</v>
          </cell>
          <cell r="C1325" t="str">
            <v>프랜트 용접공</v>
          </cell>
          <cell r="D1325">
            <v>1</v>
          </cell>
          <cell r="E1325" t="str">
            <v>인</v>
          </cell>
          <cell r="G1325">
            <v>95379</v>
          </cell>
          <cell r="H1325">
            <v>95379</v>
          </cell>
        </row>
        <row r="1327">
          <cell r="B1327" t="str">
            <v>교    정</v>
          </cell>
          <cell r="C1327" t="str">
            <v>프랜트 제관공</v>
          </cell>
          <cell r="D1327">
            <v>0.75</v>
          </cell>
          <cell r="E1327" t="str">
            <v>인</v>
          </cell>
          <cell r="G1327">
            <v>81966</v>
          </cell>
          <cell r="H1327">
            <v>61474</v>
          </cell>
          <cell r="M1327" t="str">
            <v xml:space="preserve"> </v>
          </cell>
        </row>
        <row r="1328">
          <cell r="A1328" t="str">
            <v>HOLING</v>
          </cell>
          <cell r="C1328" t="str">
            <v>프랜트 제관공</v>
          </cell>
          <cell r="D1328">
            <v>0.37</v>
          </cell>
          <cell r="E1328" t="str">
            <v>인</v>
          </cell>
          <cell r="G1328">
            <v>81966</v>
          </cell>
          <cell r="H1328">
            <v>30327</v>
          </cell>
        </row>
        <row r="1329">
          <cell r="A1329" t="str">
            <v>부분조립취부조정</v>
          </cell>
          <cell r="C1329" t="str">
            <v>프랜트기계설치공</v>
          </cell>
          <cell r="D1329">
            <v>2.5</v>
          </cell>
          <cell r="E1329" t="str">
            <v>인</v>
          </cell>
          <cell r="G1329">
            <v>80805</v>
          </cell>
          <cell r="H1329">
            <v>202012</v>
          </cell>
        </row>
        <row r="1330">
          <cell r="B1330" t="str">
            <v>용    접</v>
          </cell>
          <cell r="C1330" t="str">
            <v>프랜트 용접공</v>
          </cell>
          <cell r="D1330">
            <v>6.8</v>
          </cell>
          <cell r="E1330" t="str">
            <v>인</v>
          </cell>
          <cell r="G1330">
            <v>95379</v>
          </cell>
          <cell r="H1330">
            <v>648577</v>
          </cell>
        </row>
        <row r="1331">
          <cell r="B1331" t="str">
            <v>절    단</v>
          </cell>
          <cell r="C1331" t="str">
            <v>산 소 절 단 공</v>
          </cell>
          <cell r="D1331">
            <v>0.08</v>
          </cell>
          <cell r="E1331" t="str">
            <v>인</v>
          </cell>
          <cell r="G1331">
            <v>31794</v>
          </cell>
          <cell r="H1331">
            <v>2543</v>
          </cell>
        </row>
        <row r="1332">
          <cell r="E1332" t="str">
            <v xml:space="preserve"> </v>
          </cell>
        </row>
        <row r="1333">
          <cell r="A1333" t="str">
            <v>부분조립 수정</v>
          </cell>
          <cell r="C1333" t="str">
            <v>프랜트 제관공</v>
          </cell>
          <cell r="D1333">
            <v>1.75</v>
          </cell>
          <cell r="E1333" t="str">
            <v>인</v>
          </cell>
          <cell r="G1333">
            <v>81966</v>
          </cell>
          <cell r="H1333">
            <v>143440</v>
          </cell>
        </row>
        <row r="1334">
          <cell r="A1334" t="str">
            <v>GRINDING</v>
          </cell>
          <cell r="C1334" t="str">
            <v>프랜트 제관공</v>
          </cell>
          <cell r="D1334">
            <v>1.5</v>
          </cell>
          <cell r="E1334" t="str">
            <v>인</v>
          </cell>
          <cell r="G1334">
            <v>81966</v>
          </cell>
          <cell r="H1334">
            <v>122949</v>
          </cell>
        </row>
        <row r="1335">
          <cell r="C1335" t="str">
            <v>연 마 공 (기계)</v>
          </cell>
          <cell r="D1335">
            <v>0.13</v>
          </cell>
          <cell r="E1335" t="str">
            <v>인</v>
          </cell>
          <cell r="G1335">
            <v>26032</v>
          </cell>
          <cell r="H1335">
            <v>3384</v>
          </cell>
        </row>
        <row r="1336">
          <cell r="A1336" t="str">
            <v>가 조 립 조립</v>
          </cell>
          <cell r="C1336" t="str">
            <v>프랜트기계설치공</v>
          </cell>
          <cell r="D1336">
            <v>2</v>
          </cell>
          <cell r="E1336" t="str">
            <v>인</v>
          </cell>
          <cell r="G1336">
            <v>80805</v>
          </cell>
          <cell r="H1336">
            <v>161610</v>
          </cell>
        </row>
        <row r="1337">
          <cell r="B1337" t="str">
            <v>해    체</v>
          </cell>
          <cell r="C1337" t="str">
            <v>프랜트기계설치공</v>
          </cell>
          <cell r="D1337">
            <v>1</v>
          </cell>
          <cell r="E1337" t="str">
            <v>인</v>
          </cell>
          <cell r="G1337">
            <v>80805</v>
          </cell>
          <cell r="H1337">
            <v>80805</v>
          </cell>
        </row>
        <row r="1338">
          <cell r="E1338" t="str">
            <v xml:space="preserve"> </v>
          </cell>
        </row>
        <row r="1339">
          <cell r="A1339" t="str">
            <v>운 반 조 작</v>
          </cell>
          <cell r="C1339" t="str">
            <v>특 수 비 계 공</v>
          </cell>
          <cell r="D1339">
            <v>3.3</v>
          </cell>
          <cell r="E1339" t="str">
            <v>인</v>
          </cell>
          <cell r="G1339">
            <v>85884</v>
          </cell>
          <cell r="H1339">
            <v>283417</v>
          </cell>
        </row>
        <row r="1340">
          <cell r="A1340" t="str">
            <v>종       별</v>
          </cell>
          <cell r="C1340" t="str">
            <v>재 료 또 는</v>
          </cell>
          <cell r="D1340" t="str">
            <v xml:space="preserve">원 수 </v>
          </cell>
          <cell r="E1340" t="str">
            <v>단 위</v>
          </cell>
          <cell r="F1340" t="str">
            <v>총   액</v>
          </cell>
          <cell r="G1340" t="str">
            <v>노   무   비</v>
          </cell>
          <cell r="I1340" t="str">
            <v>재   료   비</v>
          </cell>
          <cell r="K1340" t="str">
            <v>경      비</v>
          </cell>
          <cell r="M1340" t="str">
            <v>비   고</v>
          </cell>
        </row>
        <row r="1341">
          <cell r="C1341" t="str">
            <v xml:space="preserve">규       격 </v>
          </cell>
          <cell r="F1341" t="str">
            <v>금   액</v>
          </cell>
          <cell r="G1341" t="str">
            <v>단  가</v>
          </cell>
          <cell r="H1341" t="str">
            <v>금   액</v>
          </cell>
          <cell r="I1341" t="str">
            <v>단  가</v>
          </cell>
          <cell r="J1341" t="str">
            <v>금   액</v>
          </cell>
          <cell r="K1341" t="str">
            <v>단  가</v>
          </cell>
          <cell r="L1341" t="str">
            <v>금   액</v>
          </cell>
        </row>
        <row r="1342">
          <cell r="A1342" t="str">
            <v>동 력 조 작</v>
          </cell>
          <cell r="C1342" t="str">
            <v>프 랜 트 전 공</v>
          </cell>
          <cell r="D1342">
            <v>0.66</v>
          </cell>
          <cell r="E1342" t="str">
            <v>인</v>
          </cell>
          <cell r="G1342">
            <v>64285</v>
          </cell>
          <cell r="H1342">
            <v>42428</v>
          </cell>
        </row>
        <row r="1343">
          <cell r="B1343" t="str">
            <v xml:space="preserve">보    조  </v>
          </cell>
          <cell r="C1343" t="str">
            <v>특 별 인 부</v>
          </cell>
          <cell r="D1343">
            <v>14.3</v>
          </cell>
          <cell r="E1343" t="str">
            <v>인</v>
          </cell>
          <cell r="G1343">
            <v>57379</v>
          </cell>
          <cell r="H1343">
            <v>820519</v>
          </cell>
        </row>
        <row r="1344">
          <cell r="B1344" t="str">
            <v xml:space="preserve">검    사  </v>
          </cell>
          <cell r="C1344" t="str">
            <v>7 %</v>
          </cell>
          <cell r="D1344">
            <v>1</v>
          </cell>
          <cell r="E1344" t="str">
            <v>식</v>
          </cell>
          <cell r="H1344">
            <v>211401</v>
          </cell>
        </row>
        <row r="1346">
          <cell r="B1346" t="str">
            <v>계</v>
          </cell>
          <cell r="F1346">
            <v>3231420</v>
          </cell>
          <cell r="H1346">
            <v>3231420</v>
          </cell>
        </row>
        <row r="1369">
          <cell r="E1369" t="str">
            <v xml:space="preserve"> </v>
          </cell>
          <cell r="F1369" t="str">
            <v>RADIAL GATE ANCHORAGE 제작 소모 자재비</v>
          </cell>
        </row>
        <row r="1370">
          <cell r="E1370" t="str">
            <v xml:space="preserve"> </v>
          </cell>
        </row>
        <row r="1371">
          <cell r="A1371" t="str">
            <v>종       별</v>
          </cell>
          <cell r="C1371" t="str">
            <v>재 료 또 는</v>
          </cell>
          <cell r="D1371" t="str">
            <v xml:space="preserve">원 수 </v>
          </cell>
          <cell r="E1371" t="str">
            <v>단 위</v>
          </cell>
          <cell r="F1371" t="str">
            <v>총   액</v>
          </cell>
          <cell r="G1371" t="str">
            <v>노   무   비</v>
          </cell>
          <cell r="I1371" t="str">
            <v>재   료   비</v>
          </cell>
          <cell r="K1371" t="str">
            <v>경      비</v>
          </cell>
          <cell r="M1371" t="str">
            <v>비   고</v>
          </cell>
        </row>
        <row r="1372">
          <cell r="C1372" t="str">
            <v xml:space="preserve">규       격 </v>
          </cell>
          <cell r="F1372" t="str">
            <v>금   액</v>
          </cell>
          <cell r="G1372" t="str">
            <v>단  가</v>
          </cell>
          <cell r="H1372" t="str">
            <v>금   액</v>
          </cell>
          <cell r="I1372" t="str">
            <v>단  가</v>
          </cell>
          <cell r="J1372" t="str">
            <v>금   액</v>
          </cell>
          <cell r="K1372" t="str">
            <v>단  가</v>
          </cell>
          <cell r="L1372" t="str">
            <v>금   액</v>
          </cell>
        </row>
        <row r="1373">
          <cell r="A1373" t="str">
            <v>산       소</v>
          </cell>
          <cell r="C1373" t="str">
            <v>6,000L용</v>
          </cell>
          <cell r="D1373">
            <v>2.2000000000000002</v>
          </cell>
          <cell r="E1373" t="str">
            <v>병</v>
          </cell>
          <cell r="G1373" t="str">
            <v xml:space="preserve"> </v>
          </cell>
          <cell r="I1373">
            <v>12000</v>
          </cell>
          <cell r="J1373">
            <v>26400</v>
          </cell>
        </row>
        <row r="1374">
          <cell r="A1374" t="str">
            <v>아 세 치 렌</v>
          </cell>
          <cell r="C1374" t="str">
            <v>2,100L용</v>
          </cell>
          <cell r="D1374">
            <v>1.5</v>
          </cell>
          <cell r="E1374" t="str">
            <v>병</v>
          </cell>
          <cell r="I1374">
            <v>25849</v>
          </cell>
          <cell r="J1374">
            <v>38773</v>
          </cell>
        </row>
        <row r="1375">
          <cell r="A1375" t="str">
            <v>함       석</v>
          </cell>
          <cell r="C1375" t="str">
            <v>#32 x 3' x 6'</v>
          </cell>
          <cell r="D1375">
            <v>1.2</v>
          </cell>
          <cell r="E1375" t="str">
            <v>매</v>
          </cell>
          <cell r="I1375">
            <v>2597</v>
          </cell>
          <cell r="J1375">
            <v>3116</v>
          </cell>
        </row>
        <row r="1376">
          <cell r="A1376" t="str">
            <v>용   접  봉</v>
          </cell>
          <cell r="C1376" t="str">
            <v>SS400, 4M/Mx350L</v>
          </cell>
          <cell r="D1376">
            <v>30.5</v>
          </cell>
          <cell r="E1376" t="str">
            <v>KG</v>
          </cell>
          <cell r="I1376">
            <v>1260</v>
          </cell>
          <cell r="J1376">
            <v>38430</v>
          </cell>
        </row>
        <row r="1377">
          <cell r="A1377" t="str">
            <v>전       력</v>
          </cell>
          <cell r="D1377">
            <v>420</v>
          </cell>
          <cell r="E1377" t="str">
            <v>KWH</v>
          </cell>
          <cell r="K1377">
            <v>61.6</v>
          </cell>
          <cell r="L1377">
            <v>25872</v>
          </cell>
        </row>
        <row r="1378">
          <cell r="A1378" t="str">
            <v>그라인다돌</v>
          </cell>
          <cell r="C1378" t="str">
            <v>300m/mΦ</v>
          </cell>
          <cell r="D1378">
            <v>0.33</v>
          </cell>
          <cell r="E1378" t="str">
            <v>개</v>
          </cell>
          <cell r="I1378">
            <v>3380</v>
          </cell>
          <cell r="J1378">
            <v>1115</v>
          </cell>
          <cell r="K1378" t="str">
            <v xml:space="preserve"> </v>
          </cell>
        </row>
        <row r="1380">
          <cell r="B1380" t="str">
            <v>계</v>
          </cell>
          <cell r="F1380">
            <v>133706</v>
          </cell>
          <cell r="J1380">
            <v>107834</v>
          </cell>
          <cell r="L1380">
            <v>25872</v>
          </cell>
        </row>
        <row r="1398">
          <cell r="E1398" t="str">
            <v xml:space="preserve"> </v>
          </cell>
          <cell r="F1398" t="str">
            <v>RADIAL GATE LEAF 설치 인건비</v>
          </cell>
        </row>
        <row r="1399">
          <cell r="E1399" t="str">
            <v xml:space="preserve"> </v>
          </cell>
        </row>
        <row r="1400">
          <cell r="A1400" t="str">
            <v>종       별</v>
          </cell>
          <cell r="C1400" t="str">
            <v>재 료 또 는</v>
          </cell>
          <cell r="D1400" t="str">
            <v xml:space="preserve">원 수 </v>
          </cell>
          <cell r="E1400" t="str">
            <v>단 위</v>
          </cell>
          <cell r="F1400" t="str">
            <v>총   액</v>
          </cell>
          <cell r="G1400" t="str">
            <v>노   무   비</v>
          </cell>
          <cell r="I1400" t="str">
            <v>재   료   비</v>
          </cell>
          <cell r="K1400" t="str">
            <v>경      비</v>
          </cell>
          <cell r="M1400" t="str">
            <v>비   고</v>
          </cell>
        </row>
        <row r="1401">
          <cell r="C1401" t="str">
            <v xml:space="preserve">규       격 </v>
          </cell>
          <cell r="F1401" t="str">
            <v>금   액</v>
          </cell>
          <cell r="G1401" t="str">
            <v>단  가</v>
          </cell>
          <cell r="H1401" t="str">
            <v>금   액</v>
          </cell>
          <cell r="I1401" t="str">
            <v>단  가</v>
          </cell>
          <cell r="J1401" t="str">
            <v>금   액</v>
          </cell>
          <cell r="K1401" t="str">
            <v>단  가</v>
          </cell>
          <cell r="L1401" t="str">
            <v>금   액</v>
          </cell>
        </row>
        <row r="1402">
          <cell r="A1402" t="str">
            <v>기술관리</v>
          </cell>
          <cell r="C1402" t="str">
            <v>기계기사1급</v>
          </cell>
          <cell r="D1402">
            <v>0.5</v>
          </cell>
          <cell r="E1402" t="str">
            <v>인</v>
          </cell>
          <cell r="G1402">
            <v>97488</v>
          </cell>
          <cell r="H1402">
            <v>48744</v>
          </cell>
        </row>
        <row r="1403">
          <cell r="A1403" t="str">
            <v>현 장 교 정</v>
          </cell>
          <cell r="C1403" t="str">
            <v>프랜트 제관공</v>
          </cell>
          <cell r="D1403">
            <v>1.034</v>
          </cell>
          <cell r="E1403" t="str">
            <v>인</v>
          </cell>
          <cell r="G1403">
            <v>81966</v>
          </cell>
          <cell r="H1403">
            <v>84752</v>
          </cell>
        </row>
        <row r="1404">
          <cell r="A1404" t="str">
            <v xml:space="preserve"> </v>
          </cell>
          <cell r="C1404" t="str">
            <v>비   계   공</v>
          </cell>
          <cell r="D1404">
            <v>0.51700000000000002</v>
          </cell>
          <cell r="E1404" t="str">
            <v>인</v>
          </cell>
          <cell r="G1404">
            <v>79467</v>
          </cell>
          <cell r="H1404">
            <v>41084</v>
          </cell>
        </row>
        <row r="1405">
          <cell r="A1405" t="str">
            <v>소운반 조작</v>
          </cell>
          <cell r="C1405" t="str">
            <v>비   계   공</v>
          </cell>
          <cell r="D1405">
            <v>2.2999999999999998</v>
          </cell>
          <cell r="E1405" t="str">
            <v>인</v>
          </cell>
          <cell r="G1405">
            <v>79467</v>
          </cell>
          <cell r="H1405">
            <v>182774</v>
          </cell>
        </row>
        <row r="1406">
          <cell r="A1406" t="str">
            <v xml:space="preserve"> </v>
          </cell>
          <cell r="C1406" t="str">
            <v>프랜트기계설치공</v>
          </cell>
          <cell r="D1406">
            <v>0.91</v>
          </cell>
          <cell r="E1406" t="str">
            <v>인</v>
          </cell>
          <cell r="G1406">
            <v>80805</v>
          </cell>
          <cell r="H1406">
            <v>73532</v>
          </cell>
        </row>
        <row r="1408">
          <cell r="A1408" t="str">
            <v>조 립 조 정</v>
          </cell>
          <cell r="C1408" t="str">
            <v>비   계   공</v>
          </cell>
          <cell r="D1408">
            <v>1.46</v>
          </cell>
          <cell r="E1408" t="str">
            <v>인</v>
          </cell>
          <cell r="G1408">
            <v>79467</v>
          </cell>
          <cell r="H1408">
            <v>116021</v>
          </cell>
        </row>
        <row r="1409">
          <cell r="C1409" t="str">
            <v>프랜트 제관공</v>
          </cell>
          <cell r="D1409">
            <v>4.92</v>
          </cell>
          <cell r="E1409" t="str">
            <v>인</v>
          </cell>
          <cell r="G1409">
            <v>81966</v>
          </cell>
          <cell r="H1409">
            <v>403272</v>
          </cell>
        </row>
        <row r="1410">
          <cell r="C1410" t="str">
            <v>측   량   사</v>
          </cell>
          <cell r="D1410">
            <v>0.41</v>
          </cell>
          <cell r="E1410" t="str">
            <v>인</v>
          </cell>
          <cell r="G1410">
            <v>58506</v>
          </cell>
          <cell r="H1410">
            <v>23987</v>
          </cell>
        </row>
        <row r="1411">
          <cell r="A1411" t="str">
            <v>용      접</v>
          </cell>
          <cell r="C1411" t="str">
            <v>프랜트 용접공</v>
          </cell>
          <cell r="D1411">
            <v>0.81</v>
          </cell>
          <cell r="E1411" t="str">
            <v>인</v>
          </cell>
          <cell r="G1411">
            <v>95379</v>
          </cell>
          <cell r="H1411">
            <v>77256</v>
          </cell>
        </row>
        <row r="1412">
          <cell r="C1412" t="str">
            <v>프랜트 제관공</v>
          </cell>
          <cell r="D1412">
            <v>0.215</v>
          </cell>
          <cell r="E1412" t="str">
            <v>인</v>
          </cell>
          <cell r="G1412">
            <v>81966</v>
          </cell>
          <cell r="H1412">
            <v>17622</v>
          </cell>
        </row>
        <row r="1414">
          <cell r="A1414" t="str">
            <v>전 원 배 선</v>
          </cell>
          <cell r="C1414" t="str">
            <v>프랜트 전공</v>
          </cell>
          <cell r="D1414">
            <v>0.31</v>
          </cell>
          <cell r="E1414" t="str">
            <v>인</v>
          </cell>
          <cell r="G1414">
            <v>64285</v>
          </cell>
          <cell r="H1414">
            <v>19928</v>
          </cell>
        </row>
        <row r="1415">
          <cell r="A1415" t="str">
            <v>검사 및 교정</v>
          </cell>
          <cell r="C1415" t="str">
            <v>기술관리</v>
          </cell>
          <cell r="D1415" t="str">
            <v>1</v>
          </cell>
          <cell r="E1415" t="str">
            <v>식</v>
          </cell>
          <cell r="H1415">
            <v>104022</v>
          </cell>
        </row>
        <row r="1416">
          <cell r="C1416" t="str">
            <v>를 제외한 10%</v>
          </cell>
        </row>
        <row r="1419">
          <cell r="A1419" t="str">
            <v xml:space="preserve">      계  </v>
          </cell>
          <cell r="F1419">
            <v>1192994</v>
          </cell>
          <cell r="H1419">
            <v>1192994</v>
          </cell>
        </row>
        <row r="1427">
          <cell r="E1427" t="str">
            <v xml:space="preserve"> </v>
          </cell>
          <cell r="F1427" t="str">
            <v>RADIAL GATE 설치 사용장비 경비</v>
          </cell>
        </row>
        <row r="1428">
          <cell r="E1428" t="str">
            <v xml:space="preserve"> </v>
          </cell>
        </row>
        <row r="1429">
          <cell r="A1429" t="str">
            <v>종       별</v>
          </cell>
          <cell r="C1429" t="str">
            <v>재 료 또 는</v>
          </cell>
          <cell r="D1429" t="str">
            <v xml:space="preserve">원 수 </v>
          </cell>
          <cell r="E1429" t="str">
            <v>단 위</v>
          </cell>
          <cell r="F1429" t="str">
            <v>총   액</v>
          </cell>
          <cell r="G1429" t="str">
            <v>노   무   비</v>
          </cell>
          <cell r="I1429" t="str">
            <v>재   료   비</v>
          </cell>
          <cell r="K1429" t="str">
            <v>경      비</v>
          </cell>
          <cell r="M1429" t="str">
            <v>비   고</v>
          </cell>
        </row>
        <row r="1430">
          <cell r="C1430" t="str">
            <v xml:space="preserve">규       격 </v>
          </cell>
          <cell r="F1430" t="str">
            <v>금   액</v>
          </cell>
          <cell r="G1430" t="str">
            <v>단  가</v>
          </cell>
          <cell r="H1430" t="str">
            <v>금   액</v>
          </cell>
          <cell r="I1430" t="str">
            <v>단  가</v>
          </cell>
          <cell r="J1430" t="str">
            <v>금   액</v>
          </cell>
          <cell r="K1430" t="str">
            <v>단  가</v>
          </cell>
          <cell r="L1430" t="str">
            <v>금   액</v>
          </cell>
        </row>
        <row r="1432">
          <cell r="A1432" t="str">
            <v>A.C WELDER</v>
          </cell>
          <cell r="C1432" t="str">
            <v>10KVA</v>
          </cell>
          <cell r="D1432">
            <v>8</v>
          </cell>
          <cell r="E1432" t="str">
            <v>Hr</v>
          </cell>
          <cell r="K1432">
            <v>155</v>
          </cell>
          <cell r="L1432">
            <v>1240</v>
          </cell>
        </row>
        <row r="1433">
          <cell r="A1433" t="str">
            <v>GAS CUTTING M/C</v>
          </cell>
          <cell r="C1433" t="str">
            <v>중 형</v>
          </cell>
          <cell r="D1433">
            <v>48</v>
          </cell>
          <cell r="E1433" t="str">
            <v>Hr</v>
          </cell>
          <cell r="G1433">
            <v>3974</v>
          </cell>
          <cell r="H1433">
            <v>190752</v>
          </cell>
          <cell r="K1433">
            <v>115</v>
          </cell>
          <cell r="L1433">
            <v>5520</v>
          </cell>
        </row>
        <row r="1434">
          <cell r="A1434" t="str">
            <v>GAS WELDER</v>
          </cell>
          <cell r="C1434" t="str">
            <v>중 형</v>
          </cell>
          <cell r="D1434">
            <v>24</v>
          </cell>
          <cell r="E1434" t="str">
            <v>Hr</v>
          </cell>
          <cell r="K1434">
            <v>115</v>
          </cell>
          <cell r="L1434">
            <v>2760</v>
          </cell>
        </row>
        <row r="1435">
          <cell r="A1435" t="str">
            <v>PORTABLE DRILL</v>
          </cell>
          <cell r="C1435" t="str">
            <v>1.5 HP</v>
          </cell>
          <cell r="D1435">
            <v>16</v>
          </cell>
          <cell r="E1435" t="str">
            <v>Hr</v>
          </cell>
          <cell r="K1435">
            <v>14</v>
          </cell>
          <cell r="L1435">
            <v>224</v>
          </cell>
        </row>
        <row r="1436">
          <cell r="A1436" t="str">
            <v>PORTABLE GRINDER</v>
          </cell>
          <cell r="C1436" t="str">
            <v>0.5 HP</v>
          </cell>
          <cell r="D1436">
            <v>48</v>
          </cell>
          <cell r="E1436" t="str">
            <v>Hr</v>
          </cell>
          <cell r="K1436">
            <v>22</v>
          </cell>
          <cell r="L1436">
            <v>1056</v>
          </cell>
        </row>
        <row r="1438">
          <cell r="A1438" t="str">
            <v>COMPRESSOR</v>
          </cell>
          <cell r="C1438" t="str">
            <v>7.1㎥/min</v>
          </cell>
          <cell r="D1438">
            <v>16</v>
          </cell>
          <cell r="E1438" t="str">
            <v>Hr</v>
          </cell>
          <cell r="G1438">
            <v>9681</v>
          </cell>
          <cell r="H1438">
            <v>154896</v>
          </cell>
          <cell r="I1438">
            <v>8779</v>
          </cell>
          <cell r="J1438">
            <v>140464</v>
          </cell>
          <cell r="K1438">
            <v>6250</v>
          </cell>
          <cell r="L1438">
            <v>100000</v>
          </cell>
        </row>
        <row r="1439">
          <cell r="A1439" t="str">
            <v>리프트 트럭</v>
          </cell>
          <cell r="C1439" t="str">
            <v>5 TON</v>
          </cell>
          <cell r="D1439">
            <v>8</v>
          </cell>
          <cell r="E1439" t="str">
            <v>Hr</v>
          </cell>
          <cell r="G1439">
            <v>9681</v>
          </cell>
          <cell r="H1439">
            <v>77448</v>
          </cell>
          <cell r="I1439">
            <v>5116.08</v>
          </cell>
          <cell r="J1439">
            <v>40928</v>
          </cell>
          <cell r="K1439">
            <v>4863</v>
          </cell>
          <cell r="L1439">
            <v>38904</v>
          </cell>
        </row>
        <row r="1440">
          <cell r="A1440" t="str">
            <v>TRUCK CRANE</v>
          </cell>
          <cell r="C1440" t="str">
            <v>40 TON</v>
          </cell>
          <cell r="D1440">
            <v>16</v>
          </cell>
          <cell r="E1440" t="str">
            <v>Hr</v>
          </cell>
          <cell r="G1440">
            <v>18615</v>
          </cell>
          <cell r="H1440">
            <v>297840</v>
          </cell>
          <cell r="I1440">
            <v>8730</v>
          </cell>
          <cell r="J1440">
            <v>139680</v>
          </cell>
          <cell r="K1440">
            <v>55621</v>
          </cell>
          <cell r="L1440">
            <v>889936</v>
          </cell>
        </row>
        <row r="1441">
          <cell r="A1441" t="str">
            <v>WINCH</v>
          </cell>
          <cell r="C1441" t="str">
            <v>50 HP</v>
          </cell>
          <cell r="D1441">
            <v>16</v>
          </cell>
          <cell r="E1441" t="str">
            <v>Hr</v>
          </cell>
          <cell r="G1441">
            <v>9235</v>
          </cell>
          <cell r="H1441">
            <v>147760</v>
          </cell>
          <cell r="K1441">
            <v>5209</v>
          </cell>
          <cell r="L1441">
            <v>83344</v>
          </cell>
        </row>
        <row r="1445">
          <cell r="B1445" t="str">
            <v xml:space="preserve"> 계</v>
          </cell>
          <cell r="F1445">
            <v>2312752</v>
          </cell>
          <cell r="H1445">
            <v>868696</v>
          </cell>
          <cell r="J1445">
            <v>321072</v>
          </cell>
          <cell r="L1445">
            <v>1122984</v>
          </cell>
        </row>
        <row r="1456">
          <cell r="E1456" t="str">
            <v xml:space="preserve"> </v>
          </cell>
          <cell r="F1456" t="str">
            <v>RADIAL GATE LEAF 설치 소모 자재비</v>
          </cell>
        </row>
        <row r="1457">
          <cell r="E1457" t="str">
            <v xml:space="preserve"> </v>
          </cell>
        </row>
        <row r="1458">
          <cell r="A1458" t="str">
            <v>종       별</v>
          </cell>
          <cell r="C1458" t="str">
            <v>재 료 또 는</v>
          </cell>
          <cell r="D1458" t="str">
            <v xml:space="preserve">원 수 </v>
          </cell>
          <cell r="E1458" t="str">
            <v>단 위</v>
          </cell>
          <cell r="F1458" t="str">
            <v>총   액</v>
          </cell>
          <cell r="G1458" t="str">
            <v>노   무   비</v>
          </cell>
          <cell r="I1458" t="str">
            <v>재   료   비</v>
          </cell>
          <cell r="K1458" t="str">
            <v>경      비</v>
          </cell>
          <cell r="M1458" t="str">
            <v>비   고</v>
          </cell>
        </row>
        <row r="1459">
          <cell r="C1459" t="str">
            <v xml:space="preserve">규       격 </v>
          </cell>
          <cell r="F1459" t="str">
            <v>금   액</v>
          </cell>
          <cell r="G1459" t="str">
            <v>단  가</v>
          </cell>
          <cell r="H1459" t="str">
            <v>금   액</v>
          </cell>
          <cell r="I1459" t="str">
            <v>단  가</v>
          </cell>
          <cell r="J1459" t="str">
            <v>금   액</v>
          </cell>
          <cell r="K1459" t="str">
            <v>단  가</v>
          </cell>
          <cell r="L1459" t="str">
            <v>금   액</v>
          </cell>
        </row>
        <row r="1460">
          <cell r="A1460" t="str">
            <v>산       소</v>
          </cell>
          <cell r="C1460" t="str">
            <v>6,000L용</v>
          </cell>
          <cell r="D1460">
            <v>0.53</v>
          </cell>
          <cell r="E1460" t="str">
            <v>병</v>
          </cell>
          <cell r="G1460" t="str">
            <v xml:space="preserve"> </v>
          </cell>
          <cell r="I1460">
            <v>12000</v>
          </cell>
          <cell r="J1460">
            <v>6360</v>
          </cell>
        </row>
        <row r="1461">
          <cell r="A1461" t="str">
            <v>아 세 치 렌</v>
          </cell>
          <cell r="C1461" t="str">
            <v>4,500L용</v>
          </cell>
          <cell r="D1461">
            <v>0.45</v>
          </cell>
          <cell r="E1461" t="str">
            <v>병</v>
          </cell>
          <cell r="I1461">
            <v>55392</v>
          </cell>
          <cell r="J1461">
            <v>24926.400000000001</v>
          </cell>
        </row>
        <row r="1462">
          <cell r="A1462" t="str">
            <v>용   접  봉</v>
          </cell>
          <cell r="C1462" t="str">
            <v>SS400 , 4M/M</v>
          </cell>
          <cell r="D1462">
            <v>6.2</v>
          </cell>
          <cell r="E1462" t="str">
            <v>KG</v>
          </cell>
          <cell r="I1462">
            <v>1260</v>
          </cell>
          <cell r="J1462">
            <v>7812</v>
          </cell>
        </row>
        <row r="1463">
          <cell r="A1463" t="str">
            <v xml:space="preserve"> </v>
          </cell>
          <cell r="D1463" t="str">
            <v xml:space="preserve"> </v>
          </cell>
          <cell r="E1463" t="str">
            <v xml:space="preserve"> </v>
          </cell>
        </row>
        <row r="1466">
          <cell r="B1466" t="str">
            <v>계</v>
          </cell>
          <cell r="F1466">
            <v>39098.400000000001</v>
          </cell>
          <cell r="J1466">
            <v>39098.400000000001</v>
          </cell>
        </row>
        <row r="1485">
          <cell r="E1485" t="str">
            <v xml:space="preserve"> </v>
          </cell>
          <cell r="F1485" t="str">
            <v>RADIAL GATE GUIDE FRAME 설치 인건비</v>
          </cell>
        </row>
        <row r="1486">
          <cell r="E1486" t="str">
            <v xml:space="preserve"> </v>
          </cell>
        </row>
        <row r="1487">
          <cell r="A1487" t="str">
            <v>종       별</v>
          </cell>
          <cell r="C1487" t="str">
            <v>재 료 또 는</v>
          </cell>
          <cell r="D1487" t="str">
            <v xml:space="preserve">원 수 </v>
          </cell>
          <cell r="E1487" t="str">
            <v>단 위</v>
          </cell>
          <cell r="F1487" t="str">
            <v>총   액</v>
          </cell>
          <cell r="G1487" t="str">
            <v>노   무   비</v>
          </cell>
          <cell r="I1487" t="str">
            <v>재   료   비</v>
          </cell>
          <cell r="K1487" t="str">
            <v>경      비</v>
          </cell>
          <cell r="M1487" t="str">
            <v>비   고</v>
          </cell>
        </row>
        <row r="1488">
          <cell r="C1488" t="str">
            <v xml:space="preserve">규       격 </v>
          </cell>
          <cell r="F1488" t="str">
            <v>금   액</v>
          </cell>
          <cell r="G1488" t="str">
            <v>단  가</v>
          </cell>
          <cell r="H1488" t="str">
            <v>금   액</v>
          </cell>
          <cell r="I1488" t="str">
            <v>단  가</v>
          </cell>
          <cell r="J1488" t="str">
            <v>금   액</v>
          </cell>
          <cell r="K1488" t="str">
            <v>단  가</v>
          </cell>
          <cell r="L1488" t="str">
            <v>금   액</v>
          </cell>
        </row>
        <row r="1489">
          <cell r="A1489" t="str">
            <v>기 술 관 리</v>
          </cell>
          <cell r="C1489" t="str">
            <v>기계기사1급</v>
          </cell>
          <cell r="D1489">
            <v>12.882</v>
          </cell>
          <cell r="E1489" t="str">
            <v>인</v>
          </cell>
          <cell r="G1489">
            <v>97488</v>
          </cell>
          <cell r="H1489">
            <v>1255840</v>
          </cell>
        </row>
        <row r="1490">
          <cell r="A1490" t="str">
            <v>BOX 해 체 검 수</v>
          </cell>
          <cell r="C1490" t="str">
            <v>(해체) 목  공</v>
          </cell>
          <cell r="D1490">
            <v>4.7060000000000004</v>
          </cell>
          <cell r="E1490" t="str">
            <v>인</v>
          </cell>
          <cell r="G1490">
            <v>75306</v>
          </cell>
          <cell r="H1490">
            <v>354390</v>
          </cell>
        </row>
        <row r="1491">
          <cell r="B1491" t="str">
            <v xml:space="preserve">      검 수</v>
          </cell>
          <cell r="C1491" t="str">
            <v>프랜트기계설치공</v>
          </cell>
          <cell r="D1491">
            <v>4.7060000000000004</v>
          </cell>
          <cell r="E1491" t="str">
            <v>인</v>
          </cell>
          <cell r="G1491">
            <v>80805</v>
          </cell>
          <cell r="H1491">
            <v>380268</v>
          </cell>
        </row>
        <row r="1492">
          <cell r="B1492" t="str">
            <v xml:space="preserve">      보 조</v>
          </cell>
          <cell r="C1492" t="str">
            <v>특 별 인 부</v>
          </cell>
          <cell r="D1492">
            <v>4.7060000000000004</v>
          </cell>
          <cell r="E1492" t="str">
            <v>인</v>
          </cell>
          <cell r="G1492">
            <v>57379</v>
          </cell>
          <cell r="H1492">
            <v>270025</v>
          </cell>
        </row>
        <row r="1493">
          <cell r="A1493" t="str">
            <v>설치준비,CHIPPING</v>
          </cell>
          <cell r="C1493" t="str">
            <v>석      공</v>
          </cell>
          <cell r="D1493">
            <v>3.294</v>
          </cell>
          <cell r="E1493" t="str">
            <v>인</v>
          </cell>
          <cell r="G1493">
            <v>77005</v>
          </cell>
          <cell r="H1493">
            <v>253654</v>
          </cell>
        </row>
        <row r="1495">
          <cell r="A1495" t="str">
            <v xml:space="preserve"> </v>
          </cell>
          <cell r="C1495" t="str">
            <v>특 별 인 부</v>
          </cell>
          <cell r="D1495">
            <v>2.4700000000000002</v>
          </cell>
          <cell r="E1495" t="str">
            <v>인</v>
          </cell>
          <cell r="G1495">
            <v>57379</v>
          </cell>
          <cell r="H1495">
            <v>141726</v>
          </cell>
        </row>
        <row r="1496">
          <cell r="A1496" t="str">
            <v>가설비 Jig 및</v>
          </cell>
        </row>
        <row r="1497">
          <cell r="A1497" t="str">
            <v>Support  설  치</v>
          </cell>
          <cell r="C1497" t="str">
            <v>프랜트기계설치공</v>
          </cell>
          <cell r="D1497">
            <v>1.1759999999999999</v>
          </cell>
          <cell r="E1497" t="str">
            <v>인</v>
          </cell>
          <cell r="G1497">
            <v>80805</v>
          </cell>
          <cell r="H1497">
            <v>95026</v>
          </cell>
        </row>
        <row r="1498">
          <cell r="B1498" t="str">
            <v xml:space="preserve">     배  관</v>
          </cell>
          <cell r="C1498" t="str">
            <v>프랜트 배관공</v>
          </cell>
          <cell r="D1498">
            <v>1.1759999999999999</v>
          </cell>
          <cell r="E1498" t="str">
            <v>인</v>
          </cell>
          <cell r="G1498">
            <v>97219</v>
          </cell>
          <cell r="H1498">
            <v>114329</v>
          </cell>
        </row>
        <row r="1499">
          <cell r="B1499" t="str">
            <v xml:space="preserve">     절  단</v>
          </cell>
          <cell r="C1499" t="str">
            <v>산 소 절 단 공</v>
          </cell>
          <cell r="D1499">
            <v>0.94099999999999995</v>
          </cell>
          <cell r="E1499" t="str">
            <v>인</v>
          </cell>
          <cell r="G1499">
            <v>31794</v>
          </cell>
          <cell r="H1499">
            <v>29918</v>
          </cell>
        </row>
        <row r="1501">
          <cell r="B1501" t="str">
            <v xml:space="preserve">     용  접</v>
          </cell>
          <cell r="C1501" t="str">
            <v>프랜트 용접공</v>
          </cell>
          <cell r="D1501">
            <v>0.58799999999999997</v>
          </cell>
          <cell r="E1501" t="str">
            <v>인</v>
          </cell>
          <cell r="G1501">
            <v>95379</v>
          </cell>
          <cell r="H1501">
            <v>56082</v>
          </cell>
        </row>
        <row r="1502">
          <cell r="B1502" t="str">
            <v xml:space="preserve">     보  조</v>
          </cell>
          <cell r="C1502" t="str">
            <v>특 별 인 부</v>
          </cell>
          <cell r="D1502">
            <v>4.7060000000000004</v>
          </cell>
          <cell r="E1502" t="str">
            <v>인</v>
          </cell>
          <cell r="G1502">
            <v>57379</v>
          </cell>
          <cell r="H1502">
            <v>270025</v>
          </cell>
        </row>
        <row r="1503">
          <cell r="A1503" t="str">
            <v>조 립 및 조 작</v>
          </cell>
          <cell r="C1503" t="str">
            <v>특수 비계공</v>
          </cell>
          <cell r="D1503">
            <v>4.7060000000000004</v>
          </cell>
          <cell r="E1503" t="str">
            <v>인</v>
          </cell>
          <cell r="G1503">
            <v>85884</v>
          </cell>
          <cell r="H1503">
            <v>404170</v>
          </cell>
        </row>
        <row r="1504">
          <cell r="B1504" t="str">
            <v xml:space="preserve">     조  립</v>
          </cell>
          <cell r="C1504" t="str">
            <v>프랜트기계설치공</v>
          </cell>
          <cell r="D1504">
            <v>4.7060000000000004</v>
          </cell>
          <cell r="E1504" t="str">
            <v>인</v>
          </cell>
          <cell r="G1504">
            <v>80805</v>
          </cell>
          <cell r="H1504">
            <v>380268</v>
          </cell>
        </row>
        <row r="1505">
          <cell r="B1505" t="str">
            <v xml:space="preserve">     교  정</v>
          </cell>
          <cell r="C1505" t="str">
            <v>프랜트 제관공</v>
          </cell>
          <cell r="D1505">
            <v>2.3530000000000002</v>
          </cell>
          <cell r="E1505" t="str">
            <v>인</v>
          </cell>
          <cell r="G1505">
            <v>81966</v>
          </cell>
          <cell r="H1505">
            <v>192865</v>
          </cell>
        </row>
        <row r="1507">
          <cell r="B1507" t="str">
            <v xml:space="preserve">     측  량</v>
          </cell>
          <cell r="C1507" t="str">
            <v>시공측량기사</v>
          </cell>
          <cell r="D1507">
            <v>9.4120000000000008</v>
          </cell>
          <cell r="E1507" t="str">
            <v>인</v>
          </cell>
          <cell r="G1507">
            <v>58506</v>
          </cell>
          <cell r="H1507">
            <v>550658</v>
          </cell>
        </row>
        <row r="1508">
          <cell r="B1508" t="str">
            <v xml:space="preserve">   측량조수</v>
          </cell>
          <cell r="C1508" t="str">
            <v>시공측량조수</v>
          </cell>
          <cell r="D1508">
            <v>9.4120000000000008</v>
          </cell>
          <cell r="E1508" t="str">
            <v>인</v>
          </cell>
          <cell r="G1508">
            <v>38777</v>
          </cell>
          <cell r="H1508">
            <v>364969</v>
          </cell>
        </row>
        <row r="1509">
          <cell r="B1509" t="str">
            <v xml:space="preserve">     조  정</v>
          </cell>
          <cell r="C1509" t="str">
            <v>프랜트기계설치공</v>
          </cell>
          <cell r="D1509">
            <v>9.4120000000000008</v>
          </cell>
          <cell r="E1509" t="str">
            <v>인</v>
          </cell>
          <cell r="G1509">
            <v>80805</v>
          </cell>
          <cell r="H1509">
            <v>760536</v>
          </cell>
        </row>
        <row r="1510">
          <cell r="A1510" t="str">
            <v xml:space="preserve"> </v>
          </cell>
          <cell r="B1510" t="str">
            <v xml:space="preserve">     검  측</v>
          </cell>
          <cell r="C1510" t="str">
            <v>프랜트기계설치공</v>
          </cell>
          <cell r="D1510">
            <v>9.4120000000000008</v>
          </cell>
          <cell r="E1510" t="str">
            <v>인</v>
          </cell>
          <cell r="G1510">
            <v>80805</v>
          </cell>
          <cell r="H1510">
            <v>760536</v>
          </cell>
        </row>
        <row r="1511">
          <cell r="B1511" t="str">
            <v xml:space="preserve">     기  록</v>
          </cell>
          <cell r="C1511" t="str">
            <v>프랜트기계설치공</v>
          </cell>
          <cell r="D1511">
            <v>4.7060000000000004</v>
          </cell>
          <cell r="E1511" t="str">
            <v>인</v>
          </cell>
          <cell r="G1511">
            <v>80805</v>
          </cell>
          <cell r="H1511">
            <v>380268</v>
          </cell>
        </row>
        <row r="1513">
          <cell r="B1513" t="str">
            <v xml:space="preserve">     용  접</v>
          </cell>
          <cell r="C1513" t="str">
            <v>프랜트 용접공</v>
          </cell>
          <cell r="D1513">
            <v>4.7060000000000004</v>
          </cell>
          <cell r="E1513" t="str">
            <v>인</v>
          </cell>
          <cell r="G1513">
            <v>95379</v>
          </cell>
          <cell r="H1513">
            <v>448853</v>
          </cell>
          <cell r="I1513" t="str">
            <v xml:space="preserve"> </v>
          </cell>
        </row>
        <row r="1514">
          <cell r="A1514" t="str">
            <v>종       별</v>
          </cell>
          <cell r="C1514" t="str">
            <v>재 료 또 는</v>
          </cell>
          <cell r="D1514" t="str">
            <v xml:space="preserve">원 수 </v>
          </cell>
          <cell r="E1514" t="str">
            <v>단 위</v>
          </cell>
          <cell r="F1514" t="str">
            <v>총   액</v>
          </cell>
          <cell r="G1514" t="str">
            <v>노   무   비</v>
          </cell>
          <cell r="I1514" t="str">
            <v>재   료   비</v>
          </cell>
          <cell r="K1514" t="str">
            <v>경      비</v>
          </cell>
          <cell r="M1514" t="str">
            <v>비   고</v>
          </cell>
        </row>
        <row r="1515">
          <cell r="C1515" t="str">
            <v xml:space="preserve">규       격 </v>
          </cell>
          <cell r="F1515" t="str">
            <v>금   액</v>
          </cell>
          <cell r="G1515" t="str">
            <v>단  가</v>
          </cell>
          <cell r="H1515" t="str">
            <v>금   액</v>
          </cell>
          <cell r="I1515" t="str">
            <v>단  가</v>
          </cell>
          <cell r="J1515" t="str">
            <v>금   액</v>
          </cell>
          <cell r="K1515" t="str">
            <v>단  가</v>
          </cell>
          <cell r="L1515" t="str">
            <v>금   액</v>
          </cell>
        </row>
        <row r="1516">
          <cell r="B1516" t="str">
            <v xml:space="preserve">     보  조</v>
          </cell>
          <cell r="C1516" t="str">
            <v>특 별 인 부</v>
          </cell>
          <cell r="D1516">
            <v>14.118</v>
          </cell>
          <cell r="E1516" t="str">
            <v>인</v>
          </cell>
          <cell r="G1516">
            <v>57379</v>
          </cell>
          <cell r="H1516">
            <v>810076</v>
          </cell>
        </row>
        <row r="1517">
          <cell r="A1517" t="str">
            <v>검 사 및 기 록</v>
          </cell>
        </row>
        <row r="1518">
          <cell r="B1518" t="str">
            <v xml:space="preserve">     측  량</v>
          </cell>
          <cell r="C1518" t="str">
            <v>시공측량기사</v>
          </cell>
          <cell r="D1518">
            <v>2.3530000000000002</v>
          </cell>
          <cell r="E1518" t="str">
            <v>인</v>
          </cell>
          <cell r="G1518">
            <v>58506</v>
          </cell>
          <cell r="H1518">
            <v>137664</v>
          </cell>
        </row>
        <row r="1519">
          <cell r="B1519" t="str">
            <v xml:space="preserve">     측량조수</v>
          </cell>
          <cell r="C1519" t="str">
            <v>시공측량조수</v>
          </cell>
          <cell r="D1519">
            <v>2.3530000000000002</v>
          </cell>
          <cell r="E1519" t="str">
            <v>인</v>
          </cell>
          <cell r="G1519">
            <v>38777</v>
          </cell>
          <cell r="H1519">
            <v>91242</v>
          </cell>
        </row>
        <row r="1520">
          <cell r="B1520" t="str">
            <v xml:space="preserve">     검  측</v>
          </cell>
          <cell r="C1520" t="str">
            <v>프랜트기계설치공</v>
          </cell>
          <cell r="D1520">
            <v>2.3530000000000002</v>
          </cell>
          <cell r="E1520" t="str">
            <v>인</v>
          </cell>
          <cell r="G1520">
            <v>80805</v>
          </cell>
          <cell r="H1520">
            <v>190134</v>
          </cell>
        </row>
        <row r="1521">
          <cell r="A1521" t="str">
            <v>도면대조 및 기록</v>
          </cell>
          <cell r="C1521" t="str">
            <v>프랜트기계설치공</v>
          </cell>
          <cell r="D1521">
            <v>2.3530000000000002</v>
          </cell>
          <cell r="E1521" t="str">
            <v>인</v>
          </cell>
          <cell r="G1521">
            <v>80805</v>
          </cell>
          <cell r="H1521">
            <v>190134</v>
          </cell>
        </row>
        <row r="1522">
          <cell r="B1522" t="str">
            <v xml:space="preserve">     보  조</v>
          </cell>
          <cell r="C1522" t="str">
            <v>특 별 인 부</v>
          </cell>
          <cell r="D1522">
            <v>2.3530000000000002</v>
          </cell>
          <cell r="E1522" t="str">
            <v>인</v>
          </cell>
          <cell r="G1522">
            <v>57379</v>
          </cell>
          <cell r="H1522">
            <v>135012</v>
          </cell>
        </row>
        <row r="1523">
          <cell r="A1523" t="str">
            <v>뒷 정 리,조  작</v>
          </cell>
          <cell r="C1523" t="str">
            <v>특수 비계공</v>
          </cell>
          <cell r="D1523">
            <v>0.624</v>
          </cell>
          <cell r="E1523" t="str">
            <v>인</v>
          </cell>
          <cell r="G1523">
            <v>85884</v>
          </cell>
          <cell r="H1523">
            <v>53591</v>
          </cell>
        </row>
        <row r="1524">
          <cell r="B1524" t="str">
            <v xml:space="preserve">     철  거</v>
          </cell>
          <cell r="C1524" t="str">
            <v>프랜트기계설치공</v>
          </cell>
          <cell r="D1524">
            <v>1.4119999999999999</v>
          </cell>
          <cell r="E1524" t="str">
            <v>인</v>
          </cell>
          <cell r="G1524">
            <v>80805</v>
          </cell>
          <cell r="H1524">
            <v>114096</v>
          </cell>
        </row>
        <row r="1526">
          <cell r="B1526" t="str">
            <v xml:space="preserve">     절  단</v>
          </cell>
          <cell r="C1526" t="str">
            <v>산 소 절 단 공</v>
          </cell>
          <cell r="D1526">
            <v>0.94799999999999995</v>
          </cell>
          <cell r="E1526" t="str">
            <v>인</v>
          </cell>
          <cell r="G1526">
            <v>31794</v>
          </cell>
          <cell r="H1526">
            <v>30140</v>
          </cell>
        </row>
        <row r="1527">
          <cell r="B1527" t="str">
            <v xml:space="preserve">     보  조</v>
          </cell>
          <cell r="C1527" t="str">
            <v>특 별 인 부</v>
          </cell>
          <cell r="D1527">
            <v>2.3530000000000002</v>
          </cell>
          <cell r="E1527" t="str">
            <v>인</v>
          </cell>
          <cell r="G1527">
            <v>57379</v>
          </cell>
          <cell r="H1527">
            <v>135012</v>
          </cell>
        </row>
        <row r="1528">
          <cell r="A1528" t="str">
            <v>전기설비설치유지</v>
          </cell>
        </row>
        <row r="1529">
          <cell r="B1529" t="str">
            <v xml:space="preserve">     철  거</v>
          </cell>
          <cell r="C1529" t="str">
            <v>프 랜 트 전 공</v>
          </cell>
          <cell r="D1529">
            <v>3.5289999999999999</v>
          </cell>
          <cell r="E1529" t="str">
            <v>인</v>
          </cell>
          <cell r="G1529">
            <v>64285</v>
          </cell>
          <cell r="H1529">
            <v>226861</v>
          </cell>
        </row>
        <row r="1530">
          <cell r="B1530" t="str">
            <v xml:space="preserve">     보  조</v>
          </cell>
          <cell r="C1530" t="str">
            <v>특 별 인 부</v>
          </cell>
          <cell r="D1530">
            <v>3.5289999999999999</v>
          </cell>
          <cell r="E1530" t="str">
            <v>인</v>
          </cell>
          <cell r="G1530">
            <v>57379</v>
          </cell>
          <cell r="H1530">
            <v>202490</v>
          </cell>
        </row>
        <row r="1535">
          <cell r="A1535" t="str">
            <v xml:space="preserve">        계</v>
          </cell>
          <cell r="F1535">
            <v>9780858</v>
          </cell>
          <cell r="H1535">
            <v>9780858</v>
          </cell>
        </row>
        <row r="1543">
          <cell r="E1543" t="str">
            <v xml:space="preserve"> </v>
          </cell>
          <cell r="F1543" t="str">
            <v>RADIAL GATE GUIDE FRAME 설치 사용장비 경비</v>
          </cell>
        </row>
        <row r="1544">
          <cell r="E1544" t="str">
            <v xml:space="preserve"> </v>
          </cell>
        </row>
        <row r="1545">
          <cell r="A1545" t="str">
            <v>종       별</v>
          </cell>
          <cell r="C1545" t="str">
            <v>재 료 또 는</v>
          </cell>
          <cell r="D1545" t="str">
            <v xml:space="preserve">원 수 </v>
          </cell>
          <cell r="E1545" t="str">
            <v>단 위</v>
          </cell>
          <cell r="F1545" t="str">
            <v>총   액</v>
          </cell>
          <cell r="G1545" t="str">
            <v>노   무   비</v>
          </cell>
          <cell r="I1545" t="str">
            <v>재   료   비</v>
          </cell>
          <cell r="K1545" t="str">
            <v>경      비</v>
          </cell>
          <cell r="M1545" t="str">
            <v>비   고</v>
          </cell>
        </row>
        <row r="1546">
          <cell r="C1546" t="str">
            <v xml:space="preserve">규       격 </v>
          </cell>
          <cell r="F1546" t="str">
            <v>금   액</v>
          </cell>
          <cell r="G1546" t="str">
            <v>단  가</v>
          </cell>
          <cell r="H1546" t="str">
            <v>금   액</v>
          </cell>
          <cell r="I1546" t="str">
            <v>단  가</v>
          </cell>
          <cell r="J1546" t="str">
            <v>금   액</v>
          </cell>
          <cell r="K1546" t="str">
            <v>단  가</v>
          </cell>
          <cell r="L1546" t="str">
            <v>금   액</v>
          </cell>
        </row>
        <row r="1548">
          <cell r="A1548" t="str">
            <v>A.C WELDER</v>
          </cell>
          <cell r="C1548" t="str">
            <v>10KVA</v>
          </cell>
          <cell r="D1548">
            <v>8</v>
          </cell>
          <cell r="E1548" t="str">
            <v>Hr</v>
          </cell>
          <cell r="K1548">
            <v>155</v>
          </cell>
          <cell r="L1548">
            <v>1240</v>
          </cell>
        </row>
        <row r="1549">
          <cell r="A1549" t="str">
            <v>GAS CUTTING M/C</v>
          </cell>
          <cell r="C1549" t="str">
            <v>중 형</v>
          </cell>
          <cell r="D1549">
            <v>48</v>
          </cell>
          <cell r="E1549" t="str">
            <v>Hr</v>
          </cell>
          <cell r="G1549">
            <v>3974</v>
          </cell>
          <cell r="H1549">
            <v>190752</v>
          </cell>
          <cell r="K1549">
            <v>115</v>
          </cell>
          <cell r="L1549">
            <v>5520</v>
          </cell>
        </row>
        <row r="1550">
          <cell r="A1550" t="str">
            <v>GAS WELDER</v>
          </cell>
          <cell r="C1550" t="str">
            <v>중 형</v>
          </cell>
          <cell r="D1550">
            <v>24</v>
          </cell>
          <cell r="E1550" t="str">
            <v>Hr</v>
          </cell>
          <cell r="K1550">
            <v>115</v>
          </cell>
          <cell r="L1550">
            <v>2760</v>
          </cell>
        </row>
        <row r="1551">
          <cell r="A1551" t="str">
            <v>PORTABLE DRILL</v>
          </cell>
          <cell r="C1551" t="str">
            <v>1.5 HP</v>
          </cell>
          <cell r="D1551">
            <v>16</v>
          </cell>
          <cell r="E1551" t="str">
            <v>Hr</v>
          </cell>
          <cell r="K1551">
            <v>14</v>
          </cell>
          <cell r="L1551">
            <v>224</v>
          </cell>
        </row>
        <row r="1552">
          <cell r="A1552" t="str">
            <v>PORTABLE GRINDER</v>
          </cell>
          <cell r="C1552" t="str">
            <v>0.5 HP</v>
          </cell>
          <cell r="D1552">
            <v>48</v>
          </cell>
          <cell r="E1552" t="str">
            <v>Hr</v>
          </cell>
          <cell r="K1552">
            <v>22</v>
          </cell>
          <cell r="L1552">
            <v>1056</v>
          </cell>
        </row>
        <row r="1554">
          <cell r="A1554" t="str">
            <v>COMPRESSOR</v>
          </cell>
          <cell r="C1554" t="str">
            <v>7.1㎥/min</v>
          </cell>
          <cell r="D1554">
            <v>16</v>
          </cell>
          <cell r="E1554" t="str">
            <v>Hr</v>
          </cell>
          <cell r="G1554">
            <v>9681</v>
          </cell>
          <cell r="H1554">
            <v>154896</v>
          </cell>
          <cell r="I1554">
            <v>8779</v>
          </cell>
          <cell r="J1554">
            <v>140464</v>
          </cell>
          <cell r="K1554">
            <v>6250</v>
          </cell>
          <cell r="L1554">
            <v>100000</v>
          </cell>
        </row>
        <row r="1555">
          <cell r="A1555" t="str">
            <v>리프트 트럭</v>
          </cell>
          <cell r="C1555" t="str">
            <v>5 TON</v>
          </cell>
          <cell r="D1555">
            <v>8</v>
          </cell>
          <cell r="E1555" t="str">
            <v>Hr</v>
          </cell>
          <cell r="G1555">
            <v>9681</v>
          </cell>
          <cell r="H1555">
            <v>77448</v>
          </cell>
          <cell r="I1555">
            <v>5116.08</v>
          </cell>
          <cell r="J1555">
            <v>40928</v>
          </cell>
          <cell r="K1555">
            <v>4863</v>
          </cell>
          <cell r="L1555">
            <v>38904</v>
          </cell>
        </row>
        <row r="1556">
          <cell r="A1556" t="str">
            <v>TRUCK CRANE</v>
          </cell>
          <cell r="C1556" t="str">
            <v>40 TON</v>
          </cell>
          <cell r="D1556">
            <v>8</v>
          </cell>
          <cell r="E1556" t="str">
            <v>Hr</v>
          </cell>
          <cell r="G1556">
            <v>18615</v>
          </cell>
          <cell r="H1556">
            <v>148920</v>
          </cell>
          <cell r="I1556">
            <v>8730</v>
          </cell>
          <cell r="J1556">
            <v>69840</v>
          </cell>
          <cell r="K1556">
            <v>55621</v>
          </cell>
          <cell r="L1556">
            <v>444968</v>
          </cell>
        </row>
        <row r="1557">
          <cell r="A1557" t="str">
            <v>WINCH</v>
          </cell>
          <cell r="C1557" t="str">
            <v>50 HP</v>
          </cell>
          <cell r="D1557">
            <v>8</v>
          </cell>
          <cell r="E1557" t="str">
            <v>Hr</v>
          </cell>
          <cell r="G1557">
            <v>9235</v>
          </cell>
          <cell r="H1557">
            <v>73880</v>
          </cell>
          <cell r="K1557">
            <v>5209</v>
          </cell>
          <cell r="L1557">
            <v>41672</v>
          </cell>
        </row>
        <row r="1560">
          <cell r="B1560" t="str">
            <v xml:space="preserve"> 계</v>
          </cell>
          <cell r="F1560">
            <v>1533472</v>
          </cell>
          <cell r="H1560">
            <v>645896</v>
          </cell>
          <cell r="J1560">
            <v>251232</v>
          </cell>
          <cell r="L1560">
            <v>636344</v>
          </cell>
        </row>
        <row r="1572">
          <cell r="E1572" t="str">
            <v xml:space="preserve"> </v>
          </cell>
          <cell r="F1572" t="str">
            <v>RADIAL GATE GUIDE FRAME 설치 소모 자재비</v>
          </cell>
        </row>
        <row r="1573">
          <cell r="E1573" t="str">
            <v xml:space="preserve"> </v>
          </cell>
        </row>
        <row r="1574">
          <cell r="A1574" t="str">
            <v>종       별</v>
          </cell>
          <cell r="C1574" t="str">
            <v>재 료 또 는</v>
          </cell>
          <cell r="D1574" t="str">
            <v xml:space="preserve">원 수 </v>
          </cell>
          <cell r="E1574" t="str">
            <v>단 위</v>
          </cell>
          <cell r="F1574" t="str">
            <v>총   액</v>
          </cell>
          <cell r="G1574" t="str">
            <v>노   무   비</v>
          </cell>
          <cell r="I1574" t="str">
            <v>재   료   비</v>
          </cell>
          <cell r="K1574" t="str">
            <v>경      비</v>
          </cell>
          <cell r="M1574" t="str">
            <v>비   고</v>
          </cell>
        </row>
        <row r="1575">
          <cell r="C1575" t="str">
            <v xml:space="preserve">규       격 </v>
          </cell>
          <cell r="F1575" t="str">
            <v>금   액</v>
          </cell>
          <cell r="G1575" t="str">
            <v>단  가</v>
          </cell>
          <cell r="H1575" t="str">
            <v>금   액</v>
          </cell>
          <cell r="I1575" t="str">
            <v>단  가</v>
          </cell>
          <cell r="J1575" t="str">
            <v>금   액</v>
          </cell>
          <cell r="K1575" t="str">
            <v>단  가</v>
          </cell>
          <cell r="L1575" t="str">
            <v>금   액</v>
          </cell>
        </row>
        <row r="1576">
          <cell r="A1576" t="str">
            <v>산       소</v>
          </cell>
          <cell r="C1576" t="str">
            <v>6,000L용</v>
          </cell>
          <cell r="D1576">
            <v>0.5</v>
          </cell>
          <cell r="E1576" t="str">
            <v>병</v>
          </cell>
          <cell r="G1576" t="str">
            <v xml:space="preserve"> </v>
          </cell>
          <cell r="I1576">
            <v>12000</v>
          </cell>
          <cell r="J1576">
            <v>6000</v>
          </cell>
        </row>
        <row r="1577">
          <cell r="A1577" t="str">
            <v>아 세 치 렌</v>
          </cell>
          <cell r="C1577" t="str">
            <v>2,100L용</v>
          </cell>
          <cell r="D1577">
            <v>0.05</v>
          </cell>
          <cell r="E1577" t="str">
            <v>병</v>
          </cell>
          <cell r="I1577">
            <v>25849</v>
          </cell>
          <cell r="J1577">
            <v>1292</v>
          </cell>
        </row>
        <row r="1578">
          <cell r="A1578" t="str">
            <v>용   접  봉</v>
          </cell>
          <cell r="C1578" t="str">
            <v>SS41+STS304,4M/M</v>
          </cell>
          <cell r="D1578">
            <v>7</v>
          </cell>
          <cell r="E1578" t="str">
            <v>KG</v>
          </cell>
          <cell r="I1578">
            <v>3360</v>
          </cell>
          <cell r="J1578">
            <v>23520</v>
          </cell>
        </row>
        <row r="1579">
          <cell r="A1579" t="str">
            <v xml:space="preserve"> </v>
          </cell>
          <cell r="D1579" t="str">
            <v xml:space="preserve"> </v>
          </cell>
          <cell r="E1579" t="str">
            <v xml:space="preserve"> </v>
          </cell>
          <cell r="I1579" t="str">
            <v xml:space="preserve"> </v>
          </cell>
          <cell r="J1579" t="str">
            <v xml:space="preserve"> </v>
          </cell>
        </row>
        <row r="1582">
          <cell r="B1582" t="str">
            <v>계</v>
          </cell>
          <cell r="F1582">
            <v>30812</v>
          </cell>
          <cell r="J1582">
            <v>30812</v>
          </cell>
          <cell r="L1582" t="str">
            <v xml:space="preserve"> </v>
          </cell>
        </row>
        <row r="1601">
          <cell r="E1601" t="str">
            <v xml:space="preserve"> </v>
          </cell>
          <cell r="F1601" t="str">
            <v>RADIAL GATE HOIST 설치 사용장비 경비</v>
          </cell>
        </row>
        <row r="1602">
          <cell r="E1602" t="str">
            <v xml:space="preserve"> </v>
          </cell>
        </row>
        <row r="1603">
          <cell r="A1603" t="str">
            <v>종       별</v>
          </cell>
          <cell r="C1603" t="str">
            <v>재 료 또 는</v>
          </cell>
          <cell r="D1603" t="str">
            <v xml:space="preserve">원 수 </v>
          </cell>
          <cell r="E1603" t="str">
            <v>단 위</v>
          </cell>
          <cell r="F1603" t="str">
            <v>총   액</v>
          </cell>
          <cell r="G1603" t="str">
            <v>노   무   비</v>
          </cell>
          <cell r="I1603" t="str">
            <v>재   료   비</v>
          </cell>
          <cell r="K1603" t="str">
            <v>경      비</v>
          </cell>
          <cell r="M1603" t="str">
            <v>비   고</v>
          </cell>
        </row>
        <row r="1604">
          <cell r="C1604" t="str">
            <v xml:space="preserve">규       격 </v>
          </cell>
          <cell r="F1604" t="str">
            <v>금   액</v>
          </cell>
          <cell r="G1604" t="str">
            <v>단  가</v>
          </cell>
          <cell r="H1604" t="str">
            <v>금   액</v>
          </cell>
          <cell r="I1604" t="str">
            <v>단  가</v>
          </cell>
          <cell r="J1604" t="str">
            <v>금   액</v>
          </cell>
          <cell r="K1604" t="str">
            <v>단  가</v>
          </cell>
          <cell r="L1604" t="str">
            <v>금   액</v>
          </cell>
        </row>
        <row r="1607">
          <cell r="A1607" t="str">
            <v>A.C WELDER</v>
          </cell>
          <cell r="C1607" t="str">
            <v>10KVA</v>
          </cell>
          <cell r="D1607">
            <v>8</v>
          </cell>
          <cell r="E1607" t="str">
            <v>Hr</v>
          </cell>
          <cell r="K1607">
            <v>155</v>
          </cell>
          <cell r="L1607">
            <v>1240</v>
          </cell>
        </row>
        <row r="1608">
          <cell r="A1608" t="str">
            <v>GAS CUTTING M/C</v>
          </cell>
          <cell r="C1608" t="str">
            <v>중 형</v>
          </cell>
          <cell r="D1608">
            <v>16</v>
          </cell>
          <cell r="E1608" t="str">
            <v>Hr</v>
          </cell>
          <cell r="G1608">
            <v>3974</v>
          </cell>
          <cell r="H1608">
            <v>63584</v>
          </cell>
          <cell r="K1608">
            <v>115</v>
          </cell>
          <cell r="L1608">
            <v>1840</v>
          </cell>
        </row>
        <row r="1609">
          <cell r="A1609" t="str">
            <v>PORTABLE DRILL</v>
          </cell>
          <cell r="C1609" t="str">
            <v>1.5 HP</v>
          </cell>
          <cell r="D1609">
            <v>8</v>
          </cell>
          <cell r="E1609" t="str">
            <v>Hr</v>
          </cell>
          <cell r="K1609">
            <v>14</v>
          </cell>
          <cell r="L1609">
            <v>112</v>
          </cell>
        </row>
        <row r="1610">
          <cell r="A1610" t="str">
            <v>PORTABLE GRINDER</v>
          </cell>
          <cell r="C1610" t="str">
            <v>0.5 HP</v>
          </cell>
          <cell r="D1610">
            <v>16</v>
          </cell>
          <cell r="E1610" t="str">
            <v>Hr</v>
          </cell>
          <cell r="K1610">
            <v>22</v>
          </cell>
          <cell r="L1610">
            <v>352</v>
          </cell>
        </row>
        <row r="1611">
          <cell r="A1611" t="str">
            <v>TRUCK CRANE</v>
          </cell>
          <cell r="C1611" t="str">
            <v>30 TON</v>
          </cell>
          <cell r="D1611">
            <v>8</v>
          </cell>
          <cell r="E1611" t="str">
            <v>Hr</v>
          </cell>
          <cell r="G1611">
            <v>18615</v>
          </cell>
          <cell r="H1611">
            <v>148920</v>
          </cell>
          <cell r="I1611">
            <v>7046</v>
          </cell>
          <cell r="J1611">
            <v>56368</v>
          </cell>
          <cell r="K1611">
            <v>44939</v>
          </cell>
          <cell r="L1611">
            <v>359512</v>
          </cell>
        </row>
        <row r="1612">
          <cell r="E1612" t="str">
            <v xml:space="preserve"> </v>
          </cell>
          <cell r="G1612" t="str">
            <v xml:space="preserve"> </v>
          </cell>
          <cell r="I1612" t="str">
            <v xml:space="preserve"> </v>
          </cell>
          <cell r="J1612" t="str">
            <v xml:space="preserve"> </v>
          </cell>
          <cell r="K1612" t="str">
            <v xml:space="preserve"> </v>
          </cell>
        </row>
        <row r="1613">
          <cell r="A1613" t="str">
            <v>WINCH</v>
          </cell>
          <cell r="C1613" t="str">
            <v>10 HP</v>
          </cell>
          <cell r="D1613">
            <v>16</v>
          </cell>
          <cell r="E1613" t="str">
            <v>Hr</v>
          </cell>
          <cell r="G1613">
            <v>9235</v>
          </cell>
          <cell r="H1613">
            <v>147760</v>
          </cell>
          <cell r="I1613" t="str">
            <v xml:space="preserve"> </v>
          </cell>
          <cell r="J1613" t="str">
            <v xml:space="preserve"> </v>
          </cell>
          <cell r="K1613">
            <v>850</v>
          </cell>
          <cell r="L1613">
            <v>13600</v>
          </cell>
        </row>
        <row r="1618">
          <cell r="B1618" t="str">
            <v xml:space="preserve"> 계</v>
          </cell>
          <cell r="F1618">
            <v>793288</v>
          </cell>
          <cell r="H1618">
            <v>360264</v>
          </cell>
          <cell r="J1618">
            <v>56368</v>
          </cell>
          <cell r="L1618">
            <v>376656</v>
          </cell>
        </row>
        <row r="1630">
          <cell r="E1630" t="str">
            <v xml:space="preserve"> </v>
          </cell>
          <cell r="F1630" t="str">
            <v>TRASH RACK 제작 인건비</v>
          </cell>
        </row>
        <row r="1631">
          <cell r="E1631" t="str">
            <v xml:space="preserve"> </v>
          </cell>
        </row>
        <row r="1632">
          <cell r="A1632" t="str">
            <v>종       별</v>
          </cell>
          <cell r="C1632" t="str">
            <v>재 료 또 는</v>
          </cell>
          <cell r="D1632" t="str">
            <v xml:space="preserve">원 수 </v>
          </cell>
          <cell r="E1632" t="str">
            <v>단 위</v>
          </cell>
          <cell r="F1632" t="str">
            <v>총   액</v>
          </cell>
          <cell r="G1632" t="str">
            <v>노   무   비</v>
          </cell>
          <cell r="I1632" t="str">
            <v>재   료   비</v>
          </cell>
          <cell r="K1632" t="str">
            <v>경      비</v>
          </cell>
          <cell r="M1632" t="str">
            <v>비   고</v>
          </cell>
        </row>
        <row r="1633">
          <cell r="C1633" t="str">
            <v xml:space="preserve">규       격 </v>
          </cell>
          <cell r="F1633" t="str">
            <v>금   액</v>
          </cell>
          <cell r="G1633" t="str">
            <v>단  가</v>
          </cell>
          <cell r="H1633" t="str">
            <v>금   액</v>
          </cell>
          <cell r="I1633" t="str">
            <v>단  가</v>
          </cell>
          <cell r="J1633" t="str">
            <v>금   액</v>
          </cell>
          <cell r="K1633" t="str">
            <v>단  가</v>
          </cell>
          <cell r="L1633" t="str">
            <v>금   액</v>
          </cell>
        </row>
        <row r="1634">
          <cell r="A1634" t="str">
            <v>기 술 관 리</v>
          </cell>
          <cell r="C1634" t="str">
            <v>기계기사1급</v>
          </cell>
          <cell r="D1634">
            <v>5.2</v>
          </cell>
          <cell r="E1634" t="str">
            <v>인</v>
          </cell>
          <cell r="G1634">
            <v>97488</v>
          </cell>
          <cell r="H1634">
            <v>506937</v>
          </cell>
        </row>
        <row r="1635">
          <cell r="A1635" t="str">
            <v>제 작 정 리</v>
          </cell>
          <cell r="C1635" t="str">
            <v>프랜트 제관공</v>
          </cell>
          <cell r="D1635">
            <v>1.25</v>
          </cell>
          <cell r="E1635" t="str">
            <v>인</v>
          </cell>
          <cell r="G1635">
            <v>81966</v>
          </cell>
          <cell r="H1635">
            <v>102457</v>
          </cell>
        </row>
        <row r="1636">
          <cell r="A1636" t="str">
            <v xml:space="preserve"> </v>
          </cell>
          <cell r="B1636" t="str">
            <v>절    단</v>
          </cell>
          <cell r="C1636" t="str">
            <v>산소 절단공</v>
          </cell>
          <cell r="D1636">
            <v>0.65600000000000003</v>
          </cell>
          <cell r="E1636" t="str">
            <v>인</v>
          </cell>
          <cell r="G1636">
            <v>31794</v>
          </cell>
          <cell r="H1636">
            <v>20856</v>
          </cell>
        </row>
        <row r="1637">
          <cell r="B1637" t="str">
            <v>절    단</v>
          </cell>
          <cell r="C1637" t="str">
            <v>프랜트 제관공</v>
          </cell>
          <cell r="D1637">
            <v>36.902000000000001</v>
          </cell>
          <cell r="E1637" t="str">
            <v>인</v>
          </cell>
          <cell r="G1637">
            <v>81966</v>
          </cell>
          <cell r="H1637">
            <v>3024709</v>
          </cell>
        </row>
        <row r="1638">
          <cell r="A1638" t="str">
            <v>HOLING</v>
          </cell>
          <cell r="C1638" t="str">
            <v>프랜트 제관공</v>
          </cell>
          <cell r="D1638">
            <v>3.22</v>
          </cell>
          <cell r="E1638" t="str">
            <v>인</v>
          </cell>
          <cell r="G1638">
            <v>81966</v>
          </cell>
          <cell r="H1638">
            <v>263930</v>
          </cell>
        </row>
        <row r="1640">
          <cell r="A1640" t="str">
            <v>THREADING</v>
          </cell>
          <cell r="C1640" t="str">
            <v>프랜트 제관공</v>
          </cell>
          <cell r="D1640">
            <v>4.3</v>
          </cell>
          <cell r="E1640" t="str">
            <v>인</v>
          </cell>
          <cell r="G1640">
            <v>81966</v>
          </cell>
          <cell r="H1640">
            <v>352453</v>
          </cell>
        </row>
        <row r="1641">
          <cell r="B1641" t="str">
            <v>끝   손   질</v>
          </cell>
          <cell r="C1641" t="str">
            <v>기계 연마공</v>
          </cell>
          <cell r="D1641">
            <v>18.66</v>
          </cell>
          <cell r="E1641" t="str">
            <v>인</v>
          </cell>
          <cell r="G1641">
            <v>26032</v>
          </cell>
          <cell r="H1641">
            <v>485757</v>
          </cell>
        </row>
        <row r="1642">
          <cell r="B1642" t="str">
            <v>사    도</v>
          </cell>
          <cell r="C1642" t="str">
            <v>제   도   공</v>
          </cell>
          <cell r="D1642">
            <v>0.3</v>
          </cell>
          <cell r="E1642" t="str">
            <v>인</v>
          </cell>
          <cell r="G1642">
            <v>32747</v>
          </cell>
          <cell r="H1642">
            <v>9824</v>
          </cell>
        </row>
        <row r="1643">
          <cell r="B1643" t="str">
            <v>현    도</v>
          </cell>
          <cell r="C1643" t="str">
            <v>현   도   공</v>
          </cell>
          <cell r="D1643">
            <v>8.5999999999999993E-2</v>
          </cell>
          <cell r="E1643" t="str">
            <v>인</v>
          </cell>
          <cell r="G1643">
            <v>28487</v>
          </cell>
          <cell r="H1643">
            <v>2449</v>
          </cell>
        </row>
        <row r="1644">
          <cell r="B1644" t="str">
            <v>괘    서</v>
          </cell>
          <cell r="C1644" t="str">
            <v>마   킹   공</v>
          </cell>
          <cell r="D1644">
            <v>2</v>
          </cell>
          <cell r="E1644" t="str">
            <v>인</v>
          </cell>
          <cell r="G1644">
            <v>26924</v>
          </cell>
          <cell r="H1644">
            <v>53848</v>
          </cell>
        </row>
        <row r="1646">
          <cell r="A1646" t="str">
            <v xml:space="preserve"> </v>
          </cell>
          <cell r="B1646" t="str">
            <v>교    정</v>
          </cell>
          <cell r="C1646" t="str">
            <v>프랜트 제관공</v>
          </cell>
          <cell r="D1646">
            <v>0.5</v>
          </cell>
          <cell r="E1646" t="str">
            <v>인</v>
          </cell>
          <cell r="G1646">
            <v>81966</v>
          </cell>
          <cell r="H1646">
            <v>40983</v>
          </cell>
        </row>
        <row r="1647">
          <cell r="A1647" t="str">
            <v>용        접</v>
          </cell>
          <cell r="C1647" t="str">
            <v>프랜트 용접공</v>
          </cell>
          <cell r="D1647">
            <v>4.46</v>
          </cell>
          <cell r="E1647" t="str">
            <v>인</v>
          </cell>
          <cell r="G1647">
            <v>95379</v>
          </cell>
          <cell r="H1647">
            <v>425390</v>
          </cell>
        </row>
        <row r="1648">
          <cell r="B1648" t="str">
            <v>교    정</v>
          </cell>
          <cell r="C1648" t="str">
            <v>프랜트 제관공</v>
          </cell>
          <cell r="D1648">
            <v>0.75</v>
          </cell>
          <cell r="E1648" t="str">
            <v>인</v>
          </cell>
          <cell r="G1648">
            <v>81966</v>
          </cell>
          <cell r="H1648">
            <v>61474</v>
          </cell>
        </row>
        <row r="1649">
          <cell r="B1649" t="str">
            <v>조    작</v>
          </cell>
          <cell r="C1649" t="str">
            <v>특수 비계공</v>
          </cell>
          <cell r="D1649">
            <v>3.3</v>
          </cell>
          <cell r="E1649" t="str">
            <v>인</v>
          </cell>
          <cell r="G1649">
            <v>85884</v>
          </cell>
          <cell r="H1649">
            <v>283417</v>
          </cell>
        </row>
        <row r="1650">
          <cell r="B1650" t="str">
            <v>소  운  반</v>
          </cell>
          <cell r="C1650" t="str">
            <v>보 통 인 부</v>
          </cell>
          <cell r="D1650">
            <v>1</v>
          </cell>
          <cell r="E1650" t="str">
            <v>인</v>
          </cell>
          <cell r="G1650">
            <v>37736</v>
          </cell>
          <cell r="H1650">
            <v>37736</v>
          </cell>
        </row>
        <row r="1652">
          <cell r="B1652" t="str">
            <v>보  조(기 능)</v>
          </cell>
          <cell r="C1652" t="str">
            <v>특 별 인 부</v>
          </cell>
          <cell r="D1652">
            <v>37.68</v>
          </cell>
          <cell r="G1652">
            <v>57379</v>
          </cell>
          <cell r="H1652">
            <v>2162040</v>
          </cell>
        </row>
        <row r="1656">
          <cell r="B1656" t="str">
            <v xml:space="preserve">    계</v>
          </cell>
          <cell r="F1656">
            <v>7834260</v>
          </cell>
          <cell r="H1656">
            <v>7834260</v>
          </cell>
        </row>
        <row r="1659">
          <cell r="E1659" t="str">
            <v xml:space="preserve"> </v>
          </cell>
          <cell r="F1659" t="str">
            <v>TRASH RACK 제작 소모 자재비</v>
          </cell>
        </row>
        <row r="1660">
          <cell r="E1660" t="str">
            <v xml:space="preserve"> </v>
          </cell>
        </row>
        <row r="1661">
          <cell r="A1661" t="str">
            <v>종       별</v>
          </cell>
          <cell r="C1661" t="str">
            <v>재 료 또 는</v>
          </cell>
          <cell r="D1661" t="str">
            <v xml:space="preserve">원 수 </v>
          </cell>
          <cell r="E1661" t="str">
            <v>단 위</v>
          </cell>
          <cell r="F1661" t="str">
            <v>총   액</v>
          </cell>
          <cell r="G1661" t="str">
            <v>노   무   비</v>
          </cell>
          <cell r="I1661" t="str">
            <v>재   료   비</v>
          </cell>
          <cell r="K1661" t="str">
            <v>경      비</v>
          </cell>
          <cell r="M1661" t="str">
            <v>비   고</v>
          </cell>
        </row>
        <row r="1662">
          <cell r="C1662" t="str">
            <v xml:space="preserve">규       격 </v>
          </cell>
          <cell r="F1662" t="str">
            <v>금   액</v>
          </cell>
          <cell r="G1662" t="str">
            <v>단  가</v>
          </cell>
          <cell r="H1662" t="str">
            <v>금   액</v>
          </cell>
          <cell r="I1662" t="str">
            <v>단  가</v>
          </cell>
          <cell r="J1662" t="str">
            <v>금   액</v>
          </cell>
          <cell r="K1662" t="str">
            <v>단  가</v>
          </cell>
          <cell r="L1662" t="str">
            <v>금   액</v>
          </cell>
        </row>
        <row r="1663">
          <cell r="A1663" t="str">
            <v>산       소</v>
          </cell>
          <cell r="C1663" t="str">
            <v>6,000L용</v>
          </cell>
          <cell r="D1663">
            <v>1.8049999999999999</v>
          </cell>
          <cell r="E1663" t="str">
            <v>병</v>
          </cell>
          <cell r="G1663" t="str">
            <v xml:space="preserve"> </v>
          </cell>
          <cell r="I1663">
            <v>12000</v>
          </cell>
          <cell r="J1663">
            <v>21660</v>
          </cell>
        </row>
        <row r="1664">
          <cell r="A1664" t="str">
            <v>아 세 치 렌</v>
          </cell>
          <cell r="C1664" t="str">
            <v>2,100L용</v>
          </cell>
          <cell r="D1664">
            <v>1.2749999999999999</v>
          </cell>
          <cell r="E1664" t="str">
            <v>병</v>
          </cell>
          <cell r="I1664">
            <v>25849</v>
          </cell>
          <cell r="J1664">
            <v>32957</v>
          </cell>
        </row>
        <row r="1665">
          <cell r="A1665" t="str">
            <v>함       석</v>
          </cell>
          <cell r="C1665" t="str">
            <v>#32 x 3' x 6'</v>
          </cell>
          <cell r="D1665">
            <v>0.53</v>
          </cell>
          <cell r="E1665" t="str">
            <v>매</v>
          </cell>
          <cell r="I1665">
            <v>2597</v>
          </cell>
          <cell r="J1665">
            <v>1376</v>
          </cell>
        </row>
        <row r="1666">
          <cell r="A1666" t="str">
            <v>용   접  봉</v>
          </cell>
          <cell r="C1666" t="str">
            <v>SS400, 4M/Mx350L</v>
          </cell>
          <cell r="D1666">
            <v>20.7</v>
          </cell>
          <cell r="E1666" t="str">
            <v>KG</v>
          </cell>
          <cell r="I1666">
            <v>1260</v>
          </cell>
          <cell r="J1666">
            <v>26082</v>
          </cell>
        </row>
        <row r="1667">
          <cell r="A1667" t="str">
            <v xml:space="preserve"> </v>
          </cell>
          <cell r="D1667" t="str">
            <v xml:space="preserve"> </v>
          </cell>
          <cell r="E1667" t="str">
            <v xml:space="preserve"> </v>
          </cell>
          <cell r="K1667" t="str">
            <v xml:space="preserve"> </v>
          </cell>
          <cell r="L1667" t="str">
            <v xml:space="preserve"> </v>
          </cell>
        </row>
        <row r="1668">
          <cell r="A1668" t="str">
            <v>그라인다돌</v>
          </cell>
          <cell r="C1668" t="str">
            <v>300m/mΦ</v>
          </cell>
          <cell r="D1668">
            <v>1.55</v>
          </cell>
          <cell r="E1668" t="str">
            <v>개</v>
          </cell>
          <cell r="I1668">
            <v>3380</v>
          </cell>
          <cell r="J1668">
            <v>5239</v>
          </cell>
          <cell r="K1668" t="str">
            <v xml:space="preserve"> </v>
          </cell>
        </row>
        <row r="1670">
          <cell r="B1670" t="str">
            <v>계</v>
          </cell>
          <cell r="F1670">
            <v>87314</v>
          </cell>
          <cell r="J1670">
            <v>87314</v>
          </cell>
          <cell r="L1670" t="str">
            <v xml:space="preserve"> </v>
          </cell>
        </row>
        <row r="1672">
          <cell r="M1672" t="str">
            <v xml:space="preserve"> </v>
          </cell>
        </row>
        <row r="1673">
          <cell r="M1673" t="str">
            <v xml:space="preserve"> </v>
          </cell>
        </row>
        <row r="1674">
          <cell r="M1674" t="str">
            <v xml:space="preserve"> </v>
          </cell>
        </row>
        <row r="1675">
          <cell r="M1675" t="str">
            <v xml:space="preserve"> </v>
          </cell>
        </row>
        <row r="1676">
          <cell r="M1676" t="str">
            <v xml:space="preserve"> </v>
          </cell>
        </row>
        <row r="1677">
          <cell r="M1677" t="str">
            <v xml:space="preserve"> </v>
          </cell>
        </row>
        <row r="1678">
          <cell r="M1678" t="str">
            <v xml:space="preserve"> </v>
          </cell>
        </row>
        <row r="1679">
          <cell r="M1679" t="str">
            <v xml:space="preserve"> </v>
          </cell>
        </row>
        <row r="1680">
          <cell r="M1680" t="str">
            <v xml:space="preserve"> </v>
          </cell>
        </row>
        <row r="1681">
          <cell r="M1681" t="str">
            <v xml:space="preserve"> </v>
          </cell>
        </row>
        <row r="1682">
          <cell r="M1682" t="str">
            <v xml:space="preserve"> </v>
          </cell>
        </row>
        <row r="1683">
          <cell r="M1683" t="str">
            <v xml:space="preserve"> </v>
          </cell>
        </row>
        <row r="1684">
          <cell r="M1684" t="str">
            <v xml:space="preserve"> </v>
          </cell>
        </row>
        <row r="1685">
          <cell r="M1685" t="str">
            <v xml:space="preserve"> </v>
          </cell>
        </row>
        <row r="1686">
          <cell r="M1686" t="str">
            <v xml:space="preserve"> </v>
          </cell>
        </row>
        <row r="1687">
          <cell r="M1687" t="str">
            <v xml:space="preserve"> </v>
          </cell>
        </row>
        <row r="1688">
          <cell r="E1688" t="str">
            <v xml:space="preserve"> </v>
          </cell>
          <cell r="F1688" t="str">
            <v>TRASH RACK 설치 인건비</v>
          </cell>
        </row>
        <row r="1689">
          <cell r="E1689" t="str">
            <v xml:space="preserve"> </v>
          </cell>
        </row>
        <row r="1690">
          <cell r="A1690" t="str">
            <v>종       별</v>
          </cell>
          <cell r="C1690" t="str">
            <v>재 료 또 는</v>
          </cell>
          <cell r="D1690" t="str">
            <v xml:space="preserve">원 수 </v>
          </cell>
          <cell r="E1690" t="str">
            <v>단 위</v>
          </cell>
          <cell r="F1690" t="str">
            <v>총   액</v>
          </cell>
          <cell r="G1690" t="str">
            <v>노   무   비</v>
          </cell>
          <cell r="I1690" t="str">
            <v>재   료   비</v>
          </cell>
          <cell r="K1690" t="str">
            <v>경      비</v>
          </cell>
          <cell r="M1690" t="str">
            <v>비   고</v>
          </cell>
        </row>
        <row r="1691">
          <cell r="C1691" t="str">
            <v xml:space="preserve">규       격 </v>
          </cell>
          <cell r="F1691" t="str">
            <v>금   액</v>
          </cell>
          <cell r="G1691" t="str">
            <v>단  가</v>
          </cell>
          <cell r="H1691" t="str">
            <v>금   액</v>
          </cell>
          <cell r="I1691" t="str">
            <v>단  가</v>
          </cell>
          <cell r="J1691" t="str">
            <v>금   액</v>
          </cell>
          <cell r="K1691" t="str">
            <v>단  가</v>
          </cell>
          <cell r="L1691" t="str">
            <v>금   액</v>
          </cell>
        </row>
        <row r="1692">
          <cell r="A1692" t="str">
            <v>기 술 관 리</v>
          </cell>
          <cell r="C1692" t="str">
            <v>기계기사1급</v>
          </cell>
          <cell r="D1692">
            <v>1.66</v>
          </cell>
          <cell r="E1692" t="str">
            <v>인</v>
          </cell>
          <cell r="G1692">
            <v>97488</v>
          </cell>
          <cell r="H1692">
            <v>161830</v>
          </cell>
        </row>
        <row r="1693">
          <cell r="A1693" t="str">
            <v>운 반 검 측</v>
          </cell>
          <cell r="C1693" t="str">
            <v>프랜트기계설치공</v>
          </cell>
          <cell r="D1693">
            <v>0.05</v>
          </cell>
          <cell r="E1693" t="str">
            <v>인</v>
          </cell>
          <cell r="G1693">
            <v>80805</v>
          </cell>
          <cell r="H1693">
            <v>4040</v>
          </cell>
        </row>
        <row r="1694">
          <cell r="C1694" t="str">
            <v>특 별 인 부</v>
          </cell>
          <cell r="D1694">
            <v>0.05</v>
          </cell>
          <cell r="E1694" t="str">
            <v>인</v>
          </cell>
          <cell r="G1694">
            <v>57379</v>
          </cell>
          <cell r="H1694">
            <v>2868</v>
          </cell>
        </row>
        <row r="1695">
          <cell r="A1695" t="str">
            <v>수      정</v>
          </cell>
          <cell r="C1695" t="str">
            <v>산소 절단공</v>
          </cell>
          <cell r="D1695">
            <v>0.05</v>
          </cell>
          <cell r="E1695" t="str">
            <v>인</v>
          </cell>
          <cell r="G1695">
            <v>31794</v>
          </cell>
          <cell r="H1695">
            <v>1589</v>
          </cell>
        </row>
        <row r="1696">
          <cell r="A1696" t="str">
            <v xml:space="preserve"> </v>
          </cell>
          <cell r="C1696" t="str">
            <v>프랜트기계설치공</v>
          </cell>
          <cell r="D1696">
            <v>0.05</v>
          </cell>
          <cell r="E1696" t="str">
            <v>인</v>
          </cell>
          <cell r="G1696">
            <v>80805</v>
          </cell>
          <cell r="H1696">
            <v>4040</v>
          </cell>
        </row>
        <row r="1698">
          <cell r="A1698" t="str">
            <v xml:space="preserve"> </v>
          </cell>
          <cell r="C1698" t="str">
            <v>특 별 인 부</v>
          </cell>
          <cell r="D1698">
            <v>0.1</v>
          </cell>
          <cell r="E1698" t="str">
            <v>인</v>
          </cell>
          <cell r="G1698">
            <v>57379</v>
          </cell>
          <cell r="H1698">
            <v>5737</v>
          </cell>
        </row>
        <row r="1699">
          <cell r="A1699" t="str">
            <v>설치준비 철근정리</v>
          </cell>
          <cell r="C1699" t="str">
            <v>산 소 절 단 공</v>
          </cell>
          <cell r="D1699">
            <v>4.7E-2</v>
          </cell>
          <cell r="E1699" t="str">
            <v>인</v>
          </cell>
          <cell r="G1699">
            <v>31794</v>
          </cell>
          <cell r="H1699">
            <v>1494</v>
          </cell>
        </row>
        <row r="1700">
          <cell r="C1700" t="str">
            <v>특 별 인 부</v>
          </cell>
          <cell r="D1700">
            <v>4.7E-2</v>
          </cell>
          <cell r="E1700" t="str">
            <v>인</v>
          </cell>
          <cell r="G1700">
            <v>57379</v>
          </cell>
          <cell r="H1700">
            <v>2696</v>
          </cell>
        </row>
        <row r="1701">
          <cell r="A1701" t="str">
            <v>CHIPPING</v>
          </cell>
          <cell r="C1701" t="str">
            <v>석      공</v>
          </cell>
          <cell r="D1701">
            <v>0.1</v>
          </cell>
          <cell r="E1701" t="str">
            <v>인</v>
          </cell>
          <cell r="G1701">
            <v>77005</v>
          </cell>
          <cell r="H1701">
            <v>7700</v>
          </cell>
        </row>
        <row r="1702">
          <cell r="C1702" t="str">
            <v>특 별 인 부</v>
          </cell>
          <cell r="D1702">
            <v>0.05</v>
          </cell>
          <cell r="E1702" t="str">
            <v>인</v>
          </cell>
          <cell r="G1702">
            <v>57379</v>
          </cell>
          <cell r="H1702">
            <v>2868</v>
          </cell>
        </row>
        <row r="1704">
          <cell r="A1704" t="str">
            <v>BEAM설치,CRANE</v>
          </cell>
          <cell r="C1704" t="str">
            <v>특 별 인 부</v>
          </cell>
          <cell r="D1704">
            <v>0.17499999999999999</v>
          </cell>
          <cell r="E1704" t="str">
            <v>인</v>
          </cell>
          <cell r="G1704">
            <v>57379</v>
          </cell>
          <cell r="H1704">
            <v>10041</v>
          </cell>
        </row>
        <row r="1705">
          <cell r="A1705" t="str">
            <v xml:space="preserve"> </v>
          </cell>
          <cell r="B1705" t="str">
            <v>작업</v>
          </cell>
          <cell r="C1705" t="str">
            <v>특수 비계공</v>
          </cell>
          <cell r="D1705">
            <v>0.18</v>
          </cell>
          <cell r="E1705" t="str">
            <v>인</v>
          </cell>
          <cell r="G1705">
            <v>85884</v>
          </cell>
          <cell r="H1705">
            <v>15459</v>
          </cell>
        </row>
        <row r="1706">
          <cell r="A1706" t="str">
            <v>BEAM설치,CRANE</v>
          </cell>
          <cell r="C1706" t="str">
            <v>측   량   사</v>
          </cell>
          <cell r="D1706">
            <v>0.14000000000000001</v>
          </cell>
          <cell r="E1706" t="str">
            <v>인</v>
          </cell>
          <cell r="G1706">
            <v>58506</v>
          </cell>
          <cell r="H1706">
            <v>8190</v>
          </cell>
        </row>
        <row r="1707">
          <cell r="A1707" t="str">
            <v>작업,1차 쎈타링</v>
          </cell>
          <cell r="C1707" t="str">
            <v>측 량 조 수</v>
          </cell>
          <cell r="D1707">
            <v>0.14000000000000001</v>
          </cell>
          <cell r="E1707" t="str">
            <v>인</v>
          </cell>
          <cell r="G1707">
            <v>38777</v>
          </cell>
          <cell r="H1707">
            <v>5428</v>
          </cell>
        </row>
        <row r="1708">
          <cell r="C1708" t="str">
            <v>특수 비계공</v>
          </cell>
          <cell r="D1708">
            <v>0.14000000000000001</v>
          </cell>
          <cell r="E1708" t="str">
            <v>인</v>
          </cell>
          <cell r="G1708">
            <v>85884</v>
          </cell>
          <cell r="H1708">
            <v>12023</v>
          </cell>
        </row>
        <row r="1709">
          <cell r="A1709" t="str">
            <v xml:space="preserve"> </v>
          </cell>
          <cell r="B1709" t="str">
            <v xml:space="preserve"> </v>
          </cell>
        </row>
        <row r="1710">
          <cell r="A1710" t="str">
            <v xml:space="preserve"> </v>
          </cell>
          <cell r="B1710" t="str">
            <v xml:space="preserve"> </v>
          </cell>
          <cell r="C1710" t="str">
            <v>특 별 인 부</v>
          </cell>
          <cell r="D1710">
            <v>0.28000000000000003</v>
          </cell>
          <cell r="E1710" t="str">
            <v>인</v>
          </cell>
          <cell r="G1710">
            <v>57379</v>
          </cell>
          <cell r="H1710">
            <v>16066</v>
          </cell>
        </row>
        <row r="1711">
          <cell r="A1711" t="str">
            <v xml:space="preserve"> </v>
          </cell>
          <cell r="B1711" t="str">
            <v xml:space="preserve"> </v>
          </cell>
          <cell r="C1711" t="str">
            <v>프랜트기계설치공</v>
          </cell>
          <cell r="D1711">
            <v>0.14000000000000001</v>
          </cell>
          <cell r="E1711" t="str">
            <v>인</v>
          </cell>
          <cell r="G1711">
            <v>80805</v>
          </cell>
          <cell r="H1711">
            <v>11312</v>
          </cell>
        </row>
        <row r="1712">
          <cell r="A1712" t="str">
            <v>턴 바 클 용 접</v>
          </cell>
          <cell r="C1712" t="str">
            <v xml:space="preserve">프랜트 용접공 </v>
          </cell>
          <cell r="D1712">
            <v>0.21</v>
          </cell>
          <cell r="E1712" t="str">
            <v>인</v>
          </cell>
          <cell r="G1712">
            <v>95379</v>
          </cell>
          <cell r="H1712">
            <v>20029</v>
          </cell>
        </row>
        <row r="1713">
          <cell r="A1713" t="str">
            <v xml:space="preserve"> </v>
          </cell>
          <cell r="B1713" t="str">
            <v xml:space="preserve"> </v>
          </cell>
          <cell r="C1713" t="str">
            <v>특 별 인 부</v>
          </cell>
          <cell r="D1713">
            <v>0.21</v>
          </cell>
          <cell r="E1713" t="str">
            <v>인</v>
          </cell>
          <cell r="G1713">
            <v>57379</v>
          </cell>
          <cell r="H1713">
            <v>12049</v>
          </cell>
        </row>
        <row r="1714">
          <cell r="A1714" t="str">
            <v>BEAM 완전고정</v>
          </cell>
          <cell r="C1714" t="str">
            <v>산소 절단공</v>
          </cell>
          <cell r="D1714">
            <v>1.4999999999999999E-2</v>
          </cell>
          <cell r="E1714" t="str">
            <v>인</v>
          </cell>
          <cell r="G1714">
            <v>31794</v>
          </cell>
          <cell r="H1714">
            <v>476</v>
          </cell>
        </row>
        <row r="1717">
          <cell r="A1717" t="str">
            <v>종       별</v>
          </cell>
          <cell r="C1717" t="str">
            <v>재 료 또 는</v>
          </cell>
          <cell r="D1717" t="str">
            <v xml:space="preserve">원 수 </v>
          </cell>
          <cell r="E1717" t="str">
            <v>단 위</v>
          </cell>
          <cell r="F1717" t="str">
            <v>총   액</v>
          </cell>
          <cell r="G1717" t="str">
            <v>노   무   비</v>
          </cell>
          <cell r="I1717" t="str">
            <v>재   료   비</v>
          </cell>
          <cell r="K1717" t="str">
            <v>경      비</v>
          </cell>
          <cell r="M1717" t="str">
            <v>비   고</v>
          </cell>
        </row>
        <row r="1718">
          <cell r="C1718" t="str">
            <v xml:space="preserve">규       격 </v>
          </cell>
          <cell r="F1718" t="str">
            <v>금   액</v>
          </cell>
          <cell r="G1718" t="str">
            <v>단  가</v>
          </cell>
          <cell r="H1718" t="str">
            <v>금   액</v>
          </cell>
          <cell r="I1718" t="str">
            <v>단  가</v>
          </cell>
          <cell r="J1718" t="str">
            <v>금   액</v>
          </cell>
          <cell r="K1718" t="str">
            <v>단  가</v>
          </cell>
          <cell r="L1718" t="str">
            <v>금   액</v>
          </cell>
        </row>
        <row r="1719">
          <cell r="C1719" t="str">
            <v>프랜트 용접공</v>
          </cell>
          <cell r="D1719">
            <v>2.7</v>
          </cell>
          <cell r="E1719" t="str">
            <v>인</v>
          </cell>
          <cell r="G1719">
            <v>95379</v>
          </cell>
          <cell r="H1719">
            <v>257523</v>
          </cell>
        </row>
        <row r="1720">
          <cell r="A1720" t="str">
            <v xml:space="preserve"> </v>
          </cell>
          <cell r="C1720" t="str">
            <v>특 별 인 부</v>
          </cell>
          <cell r="D1720">
            <v>2.7</v>
          </cell>
          <cell r="E1720" t="str">
            <v>인</v>
          </cell>
          <cell r="G1720">
            <v>57379</v>
          </cell>
          <cell r="H1720">
            <v>154923</v>
          </cell>
        </row>
        <row r="1721">
          <cell r="A1721" t="str">
            <v>TRASH RACK 설치</v>
          </cell>
          <cell r="C1721" t="str">
            <v>특 별 인 부</v>
          </cell>
          <cell r="D1721">
            <v>0.67</v>
          </cell>
          <cell r="E1721" t="str">
            <v>인</v>
          </cell>
          <cell r="G1721">
            <v>57379</v>
          </cell>
          <cell r="H1721">
            <v>38443</v>
          </cell>
        </row>
        <row r="1722">
          <cell r="A1722" t="str">
            <v>1 차 조 립</v>
          </cell>
          <cell r="C1722" t="str">
            <v>특수 비계공</v>
          </cell>
          <cell r="D1722">
            <v>0.59</v>
          </cell>
          <cell r="E1722" t="str">
            <v>인</v>
          </cell>
          <cell r="G1722">
            <v>85884</v>
          </cell>
          <cell r="H1722">
            <v>50671</v>
          </cell>
        </row>
        <row r="1723">
          <cell r="B1723" t="str">
            <v xml:space="preserve"> </v>
          </cell>
          <cell r="C1723" t="str">
            <v>프랜트기계설치공</v>
          </cell>
          <cell r="D1723">
            <v>0.45</v>
          </cell>
          <cell r="E1723" t="str">
            <v>인</v>
          </cell>
          <cell r="G1723">
            <v>80805</v>
          </cell>
          <cell r="H1723">
            <v>36362</v>
          </cell>
        </row>
        <row r="1724">
          <cell r="A1724" t="str">
            <v>2차 쎈 타 링</v>
          </cell>
          <cell r="C1724" t="str">
            <v>측   량   사</v>
          </cell>
          <cell r="D1724">
            <v>8.6999999999999994E-2</v>
          </cell>
          <cell r="E1724" t="str">
            <v>인</v>
          </cell>
          <cell r="G1724">
            <v>58506</v>
          </cell>
          <cell r="H1724">
            <v>5090</v>
          </cell>
        </row>
        <row r="1725">
          <cell r="B1725" t="str">
            <v xml:space="preserve"> </v>
          </cell>
          <cell r="C1725" t="str">
            <v>측 량 조 수</v>
          </cell>
          <cell r="D1725">
            <v>8.6999999999999994E-2</v>
          </cell>
          <cell r="E1725" t="str">
            <v>인</v>
          </cell>
          <cell r="G1725">
            <v>38777</v>
          </cell>
          <cell r="H1725">
            <v>3373</v>
          </cell>
        </row>
        <row r="1726">
          <cell r="C1726" t="str">
            <v>프랜트기계설치공</v>
          </cell>
          <cell r="D1726">
            <v>8.6999999999999994E-2</v>
          </cell>
          <cell r="E1726" t="str">
            <v>인</v>
          </cell>
          <cell r="G1726">
            <v>80805</v>
          </cell>
          <cell r="H1726">
            <v>7030</v>
          </cell>
        </row>
        <row r="1727">
          <cell r="C1727" t="str">
            <v>특 별 인 부</v>
          </cell>
          <cell r="D1727">
            <v>0.16600000000000001</v>
          </cell>
          <cell r="E1727" t="str">
            <v>인</v>
          </cell>
          <cell r="G1727">
            <v>57379</v>
          </cell>
          <cell r="H1727">
            <v>9524</v>
          </cell>
        </row>
        <row r="1728">
          <cell r="C1728" t="str">
            <v>프랜트 용접공</v>
          </cell>
          <cell r="D1728">
            <v>0.79</v>
          </cell>
          <cell r="E1728" t="str">
            <v>인</v>
          </cell>
          <cell r="G1728">
            <v>95379</v>
          </cell>
          <cell r="H1728">
            <v>75349</v>
          </cell>
        </row>
        <row r="1729">
          <cell r="B1729" t="str">
            <v xml:space="preserve"> </v>
          </cell>
        </row>
        <row r="1730">
          <cell r="A1730" t="str">
            <v>검        사</v>
          </cell>
          <cell r="C1730" t="str">
            <v>프랜트기계설치공</v>
          </cell>
          <cell r="D1730">
            <v>3.5000000000000003E-2</v>
          </cell>
          <cell r="E1730" t="str">
            <v>인</v>
          </cell>
          <cell r="G1730">
            <v>80805</v>
          </cell>
          <cell r="H1730">
            <v>2828</v>
          </cell>
        </row>
        <row r="1731">
          <cell r="A1731" t="str">
            <v xml:space="preserve"> </v>
          </cell>
          <cell r="C1731" t="str">
            <v>특 별 인 부</v>
          </cell>
          <cell r="D1731">
            <v>3.5000000000000003E-2</v>
          </cell>
          <cell r="E1731" t="str">
            <v>인</v>
          </cell>
          <cell r="G1731">
            <v>57379</v>
          </cell>
          <cell r="H1731">
            <v>2008</v>
          </cell>
        </row>
        <row r="1732">
          <cell r="A1732" t="str">
            <v>강제거푸집철거</v>
          </cell>
          <cell r="C1732" t="str">
            <v>프랜트 용접공</v>
          </cell>
          <cell r="D1732">
            <v>1.7000000000000001E-2</v>
          </cell>
          <cell r="E1732" t="str">
            <v>인</v>
          </cell>
          <cell r="G1732">
            <v>95379</v>
          </cell>
          <cell r="H1732">
            <v>1621</v>
          </cell>
        </row>
        <row r="1733">
          <cell r="B1733" t="str">
            <v xml:space="preserve"> </v>
          </cell>
          <cell r="C1733" t="str">
            <v>특 별 인 부</v>
          </cell>
          <cell r="D1733">
            <v>1.7000000000000001E-2</v>
          </cell>
          <cell r="E1733" t="str">
            <v>인</v>
          </cell>
          <cell r="G1733">
            <v>57379</v>
          </cell>
          <cell r="H1733">
            <v>975</v>
          </cell>
        </row>
        <row r="1734">
          <cell r="A1734" t="str">
            <v>뒷    정    리</v>
          </cell>
          <cell r="C1734" t="str">
            <v>프랜트기계설치공</v>
          </cell>
          <cell r="D1734">
            <v>3.5000000000000003E-2</v>
          </cell>
          <cell r="E1734" t="str">
            <v>인</v>
          </cell>
          <cell r="G1734">
            <v>80805</v>
          </cell>
          <cell r="H1734">
            <v>2828</v>
          </cell>
        </row>
        <row r="1735">
          <cell r="B1735" t="str">
            <v xml:space="preserve"> </v>
          </cell>
        </row>
        <row r="1736">
          <cell r="C1736" t="str">
            <v>산소 절단공</v>
          </cell>
          <cell r="D1736">
            <v>1.7000000000000001E-2</v>
          </cell>
          <cell r="E1736" t="str">
            <v>인</v>
          </cell>
          <cell r="G1736">
            <v>31794</v>
          </cell>
          <cell r="H1736">
            <v>540</v>
          </cell>
        </row>
        <row r="1737">
          <cell r="C1737" t="str">
            <v>특 별 인 부</v>
          </cell>
          <cell r="D1737">
            <v>3.5000000000000003E-2</v>
          </cell>
          <cell r="E1737" t="str">
            <v>인</v>
          </cell>
          <cell r="G1737">
            <v>57379</v>
          </cell>
          <cell r="H1737">
            <v>2008</v>
          </cell>
        </row>
        <row r="1738">
          <cell r="A1738" t="str">
            <v>전 원 조 작</v>
          </cell>
          <cell r="C1738" t="str">
            <v>프랜트 전공</v>
          </cell>
          <cell r="D1738">
            <v>0.52</v>
          </cell>
          <cell r="E1738" t="str">
            <v>인</v>
          </cell>
          <cell r="G1738">
            <v>64285</v>
          </cell>
          <cell r="H1738">
            <v>33428</v>
          </cell>
        </row>
        <row r="1739">
          <cell r="C1739" t="str">
            <v>특 별 인 부</v>
          </cell>
          <cell r="D1739">
            <v>0.52</v>
          </cell>
          <cell r="E1739" t="str">
            <v>인</v>
          </cell>
          <cell r="G1739">
            <v>57379</v>
          </cell>
          <cell r="H1739">
            <v>29837</v>
          </cell>
        </row>
        <row r="1743">
          <cell r="B1743" t="str">
            <v xml:space="preserve">    계</v>
          </cell>
          <cell r="F1743">
            <v>1020296</v>
          </cell>
          <cell r="H1743">
            <v>1020296</v>
          </cell>
        </row>
        <row r="1746">
          <cell r="E1746" t="str">
            <v xml:space="preserve"> </v>
          </cell>
          <cell r="F1746" t="str">
            <v>TRASH RACK 설치 소모 자재비</v>
          </cell>
        </row>
        <row r="1747">
          <cell r="E1747" t="str">
            <v xml:space="preserve"> </v>
          </cell>
        </row>
        <row r="1748">
          <cell r="A1748" t="str">
            <v>종       별</v>
          </cell>
          <cell r="C1748" t="str">
            <v>재 료 또 는</v>
          </cell>
          <cell r="D1748" t="str">
            <v xml:space="preserve">원 수 </v>
          </cell>
          <cell r="E1748" t="str">
            <v>단 위</v>
          </cell>
          <cell r="F1748" t="str">
            <v>총   액</v>
          </cell>
          <cell r="G1748" t="str">
            <v>노   무   비</v>
          </cell>
          <cell r="I1748" t="str">
            <v>재   료   비</v>
          </cell>
          <cell r="K1748" t="str">
            <v>경      비</v>
          </cell>
          <cell r="M1748" t="str">
            <v>비   고</v>
          </cell>
        </row>
        <row r="1749">
          <cell r="C1749" t="str">
            <v xml:space="preserve">규       격 </v>
          </cell>
          <cell r="F1749" t="str">
            <v>금   액</v>
          </cell>
          <cell r="G1749" t="str">
            <v>단  가</v>
          </cell>
          <cell r="H1749" t="str">
            <v>금   액</v>
          </cell>
          <cell r="I1749" t="str">
            <v>단  가</v>
          </cell>
          <cell r="J1749" t="str">
            <v>금   액</v>
          </cell>
          <cell r="K1749" t="str">
            <v>단  가</v>
          </cell>
          <cell r="L1749" t="str">
            <v>금   액</v>
          </cell>
        </row>
        <row r="1750">
          <cell r="A1750" t="str">
            <v>산       소</v>
          </cell>
          <cell r="C1750" t="str">
            <v>6,000L용</v>
          </cell>
          <cell r="D1750">
            <v>2.9000000000000001E-2</v>
          </cell>
          <cell r="E1750" t="str">
            <v>병</v>
          </cell>
          <cell r="G1750" t="str">
            <v xml:space="preserve"> </v>
          </cell>
          <cell r="I1750">
            <v>12000</v>
          </cell>
          <cell r="J1750">
            <v>348</v>
          </cell>
        </row>
        <row r="1751">
          <cell r="A1751" t="str">
            <v>아 세 치 렌</v>
          </cell>
          <cell r="C1751" t="str">
            <v>2,100L용</v>
          </cell>
          <cell r="D1751">
            <v>1.2E-2</v>
          </cell>
          <cell r="E1751" t="str">
            <v>병</v>
          </cell>
          <cell r="I1751">
            <v>25849</v>
          </cell>
          <cell r="J1751">
            <v>310</v>
          </cell>
        </row>
        <row r="1752">
          <cell r="A1752" t="str">
            <v>용   접  봉</v>
          </cell>
          <cell r="C1752" t="str">
            <v>SS400, 4M/Mx350L</v>
          </cell>
          <cell r="D1752">
            <v>5.95</v>
          </cell>
          <cell r="E1752" t="str">
            <v>KG</v>
          </cell>
          <cell r="I1752">
            <v>1260</v>
          </cell>
          <cell r="J1752">
            <v>7497</v>
          </cell>
        </row>
        <row r="1754">
          <cell r="A1754" t="str">
            <v xml:space="preserve"> </v>
          </cell>
          <cell r="D1754" t="str">
            <v xml:space="preserve"> </v>
          </cell>
          <cell r="E1754" t="str">
            <v xml:space="preserve"> </v>
          </cell>
        </row>
        <row r="1755">
          <cell r="B1755" t="str">
            <v>계</v>
          </cell>
          <cell r="F1755">
            <v>8155</v>
          </cell>
          <cell r="J1755">
            <v>8155</v>
          </cell>
        </row>
        <row r="1757">
          <cell r="A1757" t="str">
            <v xml:space="preserve"> </v>
          </cell>
          <cell r="D1757" t="str">
            <v xml:space="preserve"> </v>
          </cell>
          <cell r="E1757" t="str">
            <v xml:space="preserve"> </v>
          </cell>
        </row>
        <row r="1758">
          <cell r="A1758" t="str">
            <v xml:space="preserve"> </v>
          </cell>
          <cell r="D1758" t="str">
            <v xml:space="preserve"> </v>
          </cell>
          <cell r="E1758" t="str">
            <v xml:space="preserve"> </v>
          </cell>
        </row>
        <row r="1759">
          <cell r="A1759" t="str">
            <v xml:space="preserve"> </v>
          </cell>
          <cell r="D1759" t="str">
            <v xml:space="preserve"> </v>
          </cell>
          <cell r="E1759" t="str">
            <v xml:space="preserve"> </v>
          </cell>
        </row>
        <row r="1760">
          <cell r="A1760" t="str">
            <v xml:space="preserve"> </v>
          </cell>
          <cell r="D1760" t="str">
            <v xml:space="preserve"> </v>
          </cell>
          <cell r="E1760" t="str">
            <v xml:space="preserve"> </v>
          </cell>
        </row>
        <row r="1761">
          <cell r="A1761" t="str">
            <v xml:space="preserve"> </v>
          </cell>
          <cell r="D1761" t="str">
            <v xml:space="preserve"> </v>
          </cell>
          <cell r="E1761" t="str">
            <v xml:space="preserve"> </v>
          </cell>
        </row>
        <row r="1762">
          <cell r="A1762" t="str">
            <v xml:space="preserve"> </v>
          </cell>
          <cell r="D1762" t="str">
            <v xml:space="preserve"> </v>
          </cell>
          <cell r="E1762" t="str">
            <v xml:space="preserve"> </v>
          </cell>
        </row>
        <row r="1763">
          <cell r="A1763" t="str">
            <v xml:space="preserve"> </v>
          </cell>
          <cell r="D1763" t="str">
            <v xml:space="preserve"> </v>
          </cell>
          <cell r="E1763" t="str">
            <v xml:space="preserve"> </v>
          </cell>
        </row>
        <row r="1764">
          <cell r="A1764" t="str">
            <v xml:space="preserve"> </v>
          </cell>
          <cell r="D1764" t="str">
            <v xml:space="preserve"> </v>
          </cell>
          <cell r="E1764" t="str">
            <v xml:space="preserve"> </v>
          </cell>
        </row>
        <row r="1765">
          <cell r="A1765" t="str">
            <v xml:space="preserve"> </v>
          </cell>
          <cell r="D1765" t="str">
            <v xml:space="preserve"> </v>
          </cell>
          <cell r="E1765" t="str">
            <v xml:space="preserve"> </v>
          </cell>
        </row>
        <row r="1766">
          <cell r="A1766" t="str">
            <v xml:space="preserve"> </v>
          </cell>
          <cell r="D1766" t="str">
            <v xml:space="preserve"> </v>
          </cell>
          <cell r="E1766" t="str">
            <v xml:space="preserve"> </v>
          </cell>
        </row>
        <row r="1767">
          <cell r="A1767" t="str">
            <v xml:space="preserve"> </v>
          </cell>
          <cell r="D1767" t="str">
            <v xml:space="preserve"> </v>
          </cell>
          <cell r="E1767" t="str">
            <v xml:space="preserve"> </v>
          </cell>
        </row>
        <row r="1768">
          <cell r="A1768" t="str">
            <v xml:space="preserve"> </v>
          </cell>
          <cell r="D1768" t="str">
            <v xml:space="preserve"> </v>
          </cell>
          <cell r="E1768" t="str">
            <v xml:space="preserve"> </v>
          </cell>
        </row>
        <row r="1769">
          <cell r="A1769" t="str">
            <v xml:space="preserve"> </v>
          </cell>
          <cell r="D1769" t="str">
            <v xml:space="preserve"> </v>
          </cell>
          <cell r="E1769" t="str">
            <v xml:space="preserve"> </v>
          </cell>
        </row>
        <row r="1770">
          <cell r="A1770" t="str">
            <v xml:space="preserve"> </v>
          </cell>
          <cell r="D1770" t="str">
            <v xml:space="preserve"> </v>
          </cell>
          <cell r="E1770" t="str">
            <v xml:space="preserve"> </v>
          </cell>
        </row>
        <row r="1771">
          <cell r="A1771" t="str">
            <v xml:space="preserve"> </v>
          </cell>
          <cell r="D1771" t="str">
            <v xml:space="preserve"> </v>
          </cell>
          <cell r="E1771" t="str">
            <v xml:space="preserve"> </v>
          </cell>
        </row>
        <row r="1772">
          <cell r="A1772" t="str">
            <v xml:space="preserve"> </v>
          </cell>
          <cell r="D1772" t="str">
            <v xml:space="preserve"> </v>
          </cell>
          <cell r="E1772" t="str">
            <v xml:space="preserve"> </v>
          </cell>
        </row>
        <row r="1773">
          <cell r="A1773" t="str">
            <v xml:space="preserve"> </v>
          </cell>
          <cell r="D1773" t="str">
            <v xml:space="preserve"> </v>
          </cell>
          <cell r="E1773" t="str">
            <v xml:space="preserve"> </v>
          </cell>
        </row>
        <row r="1774">
          <cell r="A1774" t="str">
            <v xml:space="preserve"> </v>
          </cell>
          <cell r="D1774" t="str">
            <v xml:space="preserve"> </v>
          </cell>
          <cell r="E1774" t="str">
            <v xml:space="preserve"> </v>
          </cell>
        </row>
        <row r="1775">
          <cell r="A1775" t="str">
            <v>잡철물 제작,설치(SCREEN등)</v>
          </cell>
        </row>
        <row r="1776">
          <cell r="E1776" t="str">
            <v xml:space="preserve"> </v>
          </cell>
        </row>
        <row r="1777">
          <cell r="A1777" t="str">
            <v>종       별</v>
          </cell>
          <cell r="C1777" t="str">
            <v>재 료 또 는</v>
          </cell>
          <cell r="D1777" t="str">
            <v xml:space="preserve">원 수 </v>
          </cell>
          <cell r="E1777" t="str">
            <v>단 위</v>
          </cell>
          <cell r="F1777" t="str">
            <v>총   액</v>
          </cell>
          <cell r="G1777" t="str">
            <v>노   무   비</v>
          </cell>
          <cell r="I1777" t="str">
            <v>재   료   비</v>
          </cell>
          <cell r="K1777" t="str">
            <v>경      비</v>
          </cell>
          <cell r="M1777" t="str">
            <v>비   고</v>
          </cell>
        </row>
        <row r="1778">
          <cell r="C1778" t="str">
            <v xml:space="preserve">규       격 </v>
          </cell>
          <cell r="F1778" t="str">
            <v>금   액</v>
          </cell>
          <cell r="G1778" t="str">
            <v>단  가</v>
          </cell>
          <cell r="H1778" t="str">
            <v>금   액</v>
          </cell>
          <cell r="I1778" t="str">
            <v>단  가</v>
          </cell>
          <cell r="J1778" t="str">
            <v>금   액</v>
          </cell>
          <cell r="K1778" t="str">
            <v>단  가</v>
          </cell>
          <cell r="L1778" t="str">
            <v>금   액</v>
          </cell>
        </row>
        <row r="1779">
          <cell r="A1779" t="str">
            <v>용  접  봉</v>
          </cell>
          <cell r="C1779" t="str">
            <v>KSE4301  3.2Φ</v>
          </cell>
          <cell r="D1779">
            <v>18.48</v>
          </cell>
          <cell r="E1779" t="str">
            <v>KG</v>
          </cell>
          <cell r="I1779">
            <v>1260</v>
          </cell>
          <cell r="J1779">
            <v>23284</v>
          </cell>
        </row>
        <row r="1780">
          <cell r="A1780" t="str">
            <v>산      소</v>
          </cell>
          <cell r="C1780" t="str">
            <v>6,000L</v>
          </cell>
          <cell r="D1780">
            <v>1.05</v>
          </cell>
          <cell r="E1780" t="str">
            <v>병</v>
          </cell>
          <cell r="I1780">
            <v>12000</v>
          </cell>
          <cell r="J1780">
            <v>12600</v>
          </cell>
        </row>
        <row r="1781">
          <cell r="A1781" t="str">
            <v>아 세 치 렌</v>
          </cell>
          <cell r="C1781" t="str">
            <v>4,500L</v>
          </cell>
          <cell r="D1781">
            <v>2.8</v>
          </cell>
          <cell r="E1781" t="str">
            <v>KG</v>
          </cell>
          <cell r="I1781">
            <v>10500</v>
          </cell>
          <cell r="J1781">
            <v>29400</v>
          </cell>
        </row>
        <row r="1782">
          <cell r="A1782" t="str">
            <v>철      공</v>
          </cell>
          <cell r="D1782">
            <v>27.65</v>
          </cell>
          <cell r="E1782" t="str">
            <v>인</v>
          </cell>
          <cell r="G1782">
            <v>72430</v>
          </cell>
          <cell r="H1782">
            <v>2002689</v>
          </cell>
        </row>
        <row r="1783">
          <cell r="A1783" t="str">
            <v>비  계   공</v>
          </cell>
          <cell r="D1783">
            <v>4.71</v>
          </cell>
          <cell r="E1783" t="str">
            <v>인</v>
          </cell>
          <cell r="G1783">
            <v>79467</v>
          </cell>
          <cell r="H1783">
            <v>374289</v>
          </cell>
        </row>
        <row r="1785">
          <cell r="A1785" t="str">
            <v>보 통 인 부</v>
          </cell>
          <cell r="D1785">
            <v>0.66</v>
          </cell>
          <cell r="E1785" t="str">
            <v>인</v>
          </cell>
          <cell r="G1785">
            <v>37736</v>
          </cell>
          <cell r="H1785">
            <v>24905</v>
          </cell>
        </row>
        <row r="1786">
          <cell r="A1786" t="str">
            <v>용  접  공</v>
          </cell>
          <cell r="D1786">
            <v>2.6</v>
          </cell>
          <cell r="E1786" t="str">
            <v>인</v>
          </cell>
          <cell r="G1786">
            <v>74016</v>
          </cell>
          <cell r="H1786">
            <v>192441</v>
          </cell>
        </row>
        <row r="1787">
          <cell r="A1787" t="str">
            <v>특 별 인 부</v>
          </cell>
          <cell r="D1787">
            <v>0.74</v>
          </cell>
          <cell r="E1787" t="str">
            <v>인</v>
          </cell>
          <cell r="G1787">
            <v>57379</v>
          </cell>
          <cell r="H1787">
            <v>42460</v>
          </cell>
        </row>
        <row r="1788">
          <cell r="A1788" t="str">
            <v>용접기 손료</v>
          </cell>
          <cell r="D1788">
            <v>20.83</v>
          </cell>
          <cell r="E1788" t="str">
            <v>Hr</v>
          </cell>
          <cell r="K1788">
            <v>155</v>
          </cell>
          <cell r="L1788">
            <v>3228</v>
          </cell>
        </row>
        <row r="1789">
          <cell r="A1789" t="str">
            <v>전력 소요량</v>
          </cell>
          <cell r="D1789">
            <v>126</v>
          </cell>
          <cell r="E1789" t="str">
            <v>KWH</v>
          </cell>
          <cell r="K1789">
            <v>61.6</v>
          </cell>
          <cell r="L1789">
            <v>7761</v>
          </cell>
        </row>
        <row r="1790">
          <cell r="A1790" t="str">
            <v>공 구 손 료</v>
          </cell>
          <cell r="C1790" t="str">
            <v>인건비의 3%</v>
          </cell>
          <cell r="L1790">
            <v>79103</v>
          </cell>
        </row>
        <row r="1792">
          <cell r="A1792" t="str">
            <v>소    계</v>
          </cell>
          <cell r="F1792">
            <v>2792160</v>
          </cell>
          <cell r="H1792">
            <v>2636784</v>
          </cell>
          <cell r="J1792">
            <v>65284</v>
          </cell>
          <cell r="L1792">
            <v>90092</v>
          </cell>
        </row>
        <row r="1794">
          <cell r="A1794" t="str">
            <v>계 ( 간단한구조 )</v>
          </cell>
          <cell r="C1794" t="str">
            <v>100 %</v>
          </cell>
          <cell r="F1794">
            <v>2792160</v>
          </cell>
          <cell r="H1794">
            <v>2636784</v>
          </cell>
          <cell r="J1794">
            <v>65284</v>
          </cell>
          <cell r="L1794">
            <v>90092</v>
          </cell>
        </row>
        <row r="1796">
          <cell r="A1796" t="str">
            <v>계 ( 복잡한구조 )</v>
          </cell>
          <cell r="C1796" t="str">
            <v>140 %</v>
          </cell>
          <cell r="F1796">
            <v>3909022</v>
          </cell>
          <cell r="H1796">
            <v>3691497</v>
          </cell>
          <cell r="J1796">
            <v>91397</v>
          </cell>
          <cell r="L1796">
            <v>126128</v>
          </cell>
        </row>
        <row r="1799">
          <cell r="F1799" t="str">
            <v xml:space="preserve"> </v>
          </cell>
        </row>
        <row r="1800">
          <cell r="F1800" t="str">
            <v xml:space="preserve"> </v>
          </cell>
        </row>
        <row r="1801">
          <cell r="F1801" t="str">
            <v xml:space="preserve"> </v>
          </cell>
        </row>
        <row r="1802">
          <cell r="F1802" t="str">
            <v xml:space="preserve"> </v>
          </cell>
        </row>
        <row r="1803">
          <cell r="B1803" t="str">
            <v>기존도장 방식을 채택할 경우</v>
          </cell>
          <cell r="E1803" t="str">
            <v xml:space="preserve"> </v>
          </cell>
          <cell r="F1803" t="str">
            <v>도 장 비 (M²당) 일 위 대 가</v>
          </cell>
        </row>
        <row r="1805">
          <cell r="A1805" t="str">
            <v>종       별</v>
          </cell>
          <cell r="C1805" t="str">
            <v>재 료 또 는</v>
          </cell>
          <cell r="D1805" t="str">
            <v xml:space="preserve">원 수 </v>
          </cell>
          <cell r="E1805" t="str">
            <v>단 위</v>
          </cell>
          <cell r="F1805" t="str">
            <v>총   액</v>
          </cell>
          <cell r="G1805" t="str">
            <v>노   무   비</v>
          </cell>
          <cell r="I1805" t="str">
            <v>재   료   비</v>
          </cell>
          <cell r="K1805" t="str">
            <v>경      비</v>
          </cell>
          <cell r="M1805" t="str">
            <v>비   고</v>
          </cell>
        </row>
        <row r="1806">
          <cell r="C1806" t="str">
            <v xml:space="preserve">규       격 </v>
          </cell>
          <cell r="F1806" t="str">
            <v>금   액</v>
          </cell>
          <cell r="G1806" t="str">
            <v>단  가</v>
          </cell>
          <cell r="H1806" t="str">
            <v>금   액</v>
          </cell>
          <cell r="I1806" t="str">
            <v>단  가</v>
          </cell>
          <cell r="J1806" t="str">
            <v>금   액</v>
          </cell>
          <cell r="K1806" t="str">
            <v>단  가</v>
          </cell>
          <cell r="L1806" t="str">
            <v>금   액</v>
          </cell>
        </row>
        <row r="1807">
          <cell r="A1807" t="str">
            <v>1. SAND BLASTING</v>
          </cell>
        </row>
        <row r="1808">
          <cell r="B1808" t="str">
            <v>모      래</v>
          </cell>
          <cell r="D1808">
            <v>5.0799999999999998E-2</v>
          </cell>
          <cell r="E1808" t="str">
            <v>㎥</v>
          </cell>
          <cell r="G1808">
            <v>17799.248685199098</v>
          </cell>
          <cell r="H1808">
            <v>904</v>
          </cell>
          <cell r="I1808">
            <v>10845.529676934633</v>
          </cell>
          <cell r="J1808">
            <v>550</v>
          </cell>
          <cell r="K1808">
            <v>13551.915852742301</v>
          </cell>
          <cell r="L1808">
            <v>688</v>
          </cell>
        </row>
        <row r="1809">
          <cell r="B1809" t="str">
            <v>계  령  공</v>
          </cell>
          <cell r="D1809">
            <v>3.2899999999999999E-2</v>
          </cell>
          <cell r="E1809" t="str">
            <v>인</v>
          </cell>
          <cell r="G1809">
            <v>41937</v>
          </cell>
          <cell r="H1809">
            <v>1379</v>
          </cell>
        </row>
        <row r="1810">
          <cell r="B1810" t="str">
            <v>보 통 인 부</v>
          </cell>
          <cell r="D1810">
            <v>3.5999999999999997E-2</v>
          </cell>
          <cell r="E1810" t="str">
            <v>인</v>
          </cell>
          <cell r="G1810">
            <v>37736</v>
          </cell>
          <cell r="H1810">
            <v>1358</v>
          </cell>
        </row>
        <row r="1811">
          <cell r="B1811" t="str">
            <v>COMPRESSOR</v>
          </cell>
          <cell r="C1811" t="str">
            <v>7.1㎥/min</v>
          </cell>
          <cell r="D1811">
            <v>0.13300000000000001</v>
          </cell>
          <cell r="E1811" t="str">
            <v>Hr</v>
          </cell>
          <cell r="G1811">
            <v>9681</v>
          </cell>
          <cell r="H1811">
            <v>1287</v>
          </cell>
          <cell r="I1811">
            <v>8779</v>
          </cell>
          <cell r="J1811">
            <v>1167</v>
          </cell>
          <cell r="K1811">
            <v>6250</v>
          </cell>
          <cell r="L1811">
            <v>831</v>
          </cell>
        </row>
        <row r="1812">
          <cell r="B1812" t="str">
            <v>AIR HOSE</v>
          </cell>
          <cell r="C1812" t="str">
            <v>3/4" ,1"</v>
          </cell>
          <cell r="D1812">
            <v>0.13300000000000001</v>
          </cell>
          <cell r="E1812" t="str">
            <v>Hr</v>
          </cell>
          <cell r="K1812">
            <v>48</v>
          </cell>
          <cell r="L1812">
            <v>6</v>
          </cell>
        </row>
        <row r="1813">
          <cell r="B1813" t="str">
            <v>브라스트기</v>
          </cell>
          <cell r="D1813">
            <v>0.13300000000000001</v>
          </cell>
          <cell r="E1813" t="str">
            <v>Hr</v>
          </cell>
          <cell r="K1813">
            <v>659</v>
          </cell>
          <cell r="L1813">
            <v>87</v>
          </cell>
        </row>
        <row r="1814">
          <cell r="B1814" t="str">
            <v>건  조  기</v>
          </cell>
          <cell r="D1814">
            <v>0.13300000000000001</v>
          </cell>
          <cell r="E1814" t="str">
            <v>Hr</v>
          </cell>
          <cell r="K1814">
            <v>211</v>
          </cell>
          <cell r="L1814">
            <v>28</v>
          </cell>
        </row>
        <row r="1815">
          <cell r="B1815" t="str">
            <v>방  진  복</v>
          </cell>
          <cell r="D1815">
            <v>0.13300000000000001</v>
          </cell>
          <cell r="E1815" t="str">
            <v>Hr</v>
          </cell>
          <cell r="K1815">
            <v>107</v>
          </cell>
          <cell r="L1815">
            <v>14</v>
          </cell>
        </row>
        <row r="1816">
          <cell r="B1816" t="str">
            <v>방  진  모</v>
          </cell>
          <cell r="D1816">
            <v>0.13300000000000001</v>
          </cell>
          <cell r="E1816" t="str">
            <v>Hr</v>
          </cell>
          <cell r="K1816">
            <v>21</v>
          </cell>
          <cell r="L1816">
            <v>2</v>
          </cell>
        </row>
        <row r="1817">
          <cell r="B1817" t="str">
            <v>건  조  유</v>
          </cell>
          <cell r="D1817">
            <v>0.33300000000000002</v>
          </cell>
          <cell r="E1817" t="str">
            <v>L</v>
          </cell>
          <cell r="I1817">
            <v>526.4</v>
          </cell>
          <cell r="J1817">
            <v>175</v>
          </cell>
        </row>
        <row r="1818">
          <cell r="B1818" t="str">
            <v>노      즐</v>
          </cell>
          <cell r="D1818">
            <v>0.03</v>
          </cell>
          <cell r="E1818" t="str">
            <v>개</v>
          </cell>
          <cell r="I1818">
            <v>32000</v>
          </cell>
          <cell r="J1818">
            <v>960</v>
          </cell>
        </row>
        <row r="1819">
          <cell r="B1819" t="str">
            <v>소      계</v>
          </cell>
          <cell r="F1819">
            <v>9436</v>
          </cell>
          <cell r="H1819">
            <v>4928</v>
          </cell>
          <cell r="J1819">
            <v>2852</v>
          </cell>
          <cell r="L1819">
            <v>1656</v>
          </cell>
        </row>
        <row r="1821">
          <cell r="A1821" t="str">
            <v>2. PRIMERY COATING (20μ)</v>
          </cell>
        </row>
        <row r="1822">
          <cell r="B1822" t="str">
            <v>ZINC RICH PRIMER</v>
          </cell>
          <cell r="D1822">
            <v>8.1000000000000003E-2</v>
          </cell>
          <cell r="E1822" t="str">
            <v>Liter</v>
          </cell>
          <cell r="I1822">
            <v>7945</v>
          </cell>
          <cell r="J1822">
            <v>643</v>
          </cell>
        </row>
        <row r="1823">
          <cell r="B1823" t="str">
            <v>신      나</v>
          </cell>
          <cell r="D1823">
            <v>0.01</v>
          </cell>
          <cell r="E1823" t="str">
            <v>Liter</v>
          </cell>
          <cell r="I1823">
            <v>2111</v>
          </cell>
          <cell r="J1823">
            <v>21</v>
          </cell>
        </row>
        <row r="1824">
          <cell r="B1824" t="str">
            <v>도  장  공</v>
          </cell>
          <cell r="D1824">
            <v>1.4999999999999999E-2</v>
          </cell>
          <cell r="E1824" t="str">
            <v>인</v>
          </cell>
          <cell r="G1824">
            <v>63038</v>
          </cell>
          <cell r="H1824">
            <v>945</v>
          </cell>
        </row>
        <row r="1825">
          <cell r="B1825" t="str">
            <v>공 구 손 료</v>
          </cell>
          <cell r="C1825" t="str">
            <v>2%</v>
          </cell>
          <cell r="D1825" t="str">
            <v>1</v>
          </cell>
          <cell r="E1825" t="str">
            <v>식</v>
          </cell>
          <cell r="L1825">
            <v>18</v>
          </cell>
        </row>
        <row r="1826">
          <cell r="B1826" t="str">
            <v>소      계</v>
          </cell>
          <cell r="F1826">
            <v>1627</v>
          </cell>
          <cell r="H1826">
            <v>945</v>
          </cell>
          <cell r="J1826">
            <v>664</v>
          </cell>
          <cell r="L1826">
            <v>18</v>
          </cell>
        </row>
        <row r="1828">
          <cell r="A1828" t="str">
            <v>3. COVER COATING (280μ)</v>
          </cell>
        </row>
        <row r="1829">
          <cell r="B1829" t="str">
            <v>PURE EPOXY</v>
          </cell>
          <cell r="D1829">
            <v>0.48299999999999998</v>
          </cell>
          <cell r="E1829" t="str">
            <v>Liter</v>
          </cell>
          <cell r="I1829">
            <v>4010</v>
          </cell>
          <cell r="J1829">
            <v>1936</v>
          </cell>
        </row>
        <row r="1830">
          <cell r="B1830" t="str">
            <v>신      나</v>
          </cell>
          <cell r="D1830">
            <v>4.8000000000000001E-2</v>
          </cell>
          <cell r="E1830" t="str">
            <v>Liter</v>
          </cell>
          <cell r="I1830">
            <v>2111</v>
          </cell>
          <cell r="J1830">
            <v>101</v>
          </cell>
        </row>
        <row r="1831">
          <cell r="B1831" t="str">
            <v>도  장  공</v>
          </cell>
          <cell r="D1831">
            <v>0.108</v>
          </cell>
          <cell r="E1831" t="str">
            <v>인</v>
          </cell>
          <cell r="G1831">
            <v>63038</v>
          </cell>
          <cell r="H1831">
            <v>6808</v>
          </cell>
        </row>
        <row r="1832">
          <cell r="A1832" t="str">
            <v>종       별</v>
          </cell>
          <cell r="C1832" t="str">
            <v>재 료 또 는</v>
          </cell>
          <cell r="D1832" t="str">
            <v xml:space="preserve">원 수 </v>
          </cell>
          <cell r="E1832" t="str">
            <v>단 위</v>
          </cell>
          <cell r="F1832" t="str">
            <v>총   액</v>
          </cell>
          <cell r="G1832" t="str">
            <v>노   무   비</v>
          </cell>
          <cell r="I1832" t="str">
            <v>재   료   비</v>
          </cell>
          <cell r="K1832" t="str">
            <v>경      비</v>
          </cell>
          <cell r="M1832" t="str">
            <v>비   고</v>
          </cell>
        </row>
        <row r="1833">
          <cell r="C1833" t="str">
            <v xml:space="preserve">규       격 </v>
          </cell>
          <cell r="F1833" t="str">
            <v>금   액</v>
          </cell>
          <cell r="G1833" t="str">
            <v>단  가</v>
          </cell>
          <cell r="H1833" t="str">
            <v>금   액</v>
          </cell>
          <cell r="I1833" t="str">
            <v>단  가</v>
          </cell>
          <cell r="J1833" t="str">
            <v>금   액</v>
          </cell>
          <cell r="K1833" t="str">
            <v>단  가</v>
          </cell>
          <cell r="L1833" t="str">
            <v>금   액</v>
          </cell>
        </row>
        <row r="1834">
          <cell r="B1834" t="str">
            <v>공 구 손 료</v>
          </cell>
          <cell r="C1834" t="str">
            <v>2%</v>
          </cell>
          <cell r="D1834" t="str">
            <v>1</v>
          </cell>
          <cell r="E1834" t="str">
            <v>식</v>
          </cell>
          <cell r="L1834">
            <v>136</v>
          </cell>
        </row>
        <row r="1835">
          <cell r="B1835" t="str">
            <v>소      계</v>
          </cell>
          <cell r="F1835">
            <v>8981</v>
          </cell>
          <cell r="H1835">
            <v>6808</v>
          </cell>
          <cell r="J1835">
            <v>2037</v>
          </cell>
          <cell r="L1835">
            <v>136</v>
          </cell>
        </row>
        <row r="1837">
          <cell r="A1837" t="str">
            <v>4. COVER COATING (280μ)</v>
          </cell>
        </row>
        <row r="1838">
          <cell r="B1838" t="str">
            <v>TAL  EPOXY</v>
          </cell>
          <cell r="D1838">
            <v>0.48299999999999998</v>
          </cell>
          <cell r="E1838" t="str">
            <v>Liter</v>
          </cell>
          <cell r="I1838">
            <v>3570</v>
          </cell>
          <cell r="J1838">
            <v>1724</v>
          </cell>
        </row>
        <row r="1839">
          <cell r="B1839" t="str">
            <v>신      나</v>
          </cell>
          <cell r="D1839">
            <v>4.8000000000000001E-2</v>
          </cell>
          <cell r="E1839" t="str">
            <v>Liter</v>
          </cell>
          <cell r="I1839">
            <v>2111</v>
          </cell>
          <cell r="J1839">
            <v>101</v>
          </cell>
        </row>
        <row r="1840">
          <cell r="B1840" t="str">
            <v>도  장  공</v>
          </cell>
          <cell r="D1840">
            <v>0.108</v>
          </cell>
          <cell r="E1840" t="str">
            <v>인</v>
          </cell>
          <cell r="G1840">
            <v>63038</v>
          </cell>
          <cell r="H1840">
            <v>6808</v>
          </cell>
        </row>
        <row r="1841">
          <cell r="B1841" t="str">
            <v>공 구 손 료</v>
          </cell>
          <cell r="C1841" t="str">
            <v>2%</v>
          </cell>
          <cell r="D1841" t="str">
            <v>1</v>
          </cell>
          <cell r="E1841" t="str">
            <v>식</v>
          </cell>
          <cell r="L1841">
            <v>136</v>
          </cell>
        </row>
        <row r="1843">
          <cell r="B1843" t="str">
            <v>소      계</v>
          </cell>
          <cell r="F1843">
            <v>8769</v>
          </cell>
          <cell r="H1843">
            <v>6808</v>
          </cell>
          <cell r="J1843">
            <v>1825</v>
          </cell>
          <cell r="L1843">
            <v>136</v>
          </cell>
        </row>
        <row r="1845">
          <cell r="A1845" t="str">
            <v>5. 방 오 도 료</v>
          </cell>
        </row>
        <row r="1846">
          <cell r="B1846" t="str">
            <v>방 오 도 료</v>
          </cell>
          <cell r="D1846">
            <v>0.154</v>
          </cell>
          <cell r="E1846" t="str">
            <v>Liter</v>
          </cell>
          <cell r="I1846">
            <v>9231</v>
          </cell>
          <cell r="J1846">
            <v>1421</v>
          </cell>
        </row>
        <row r="1847">
          <cell r="B1847" t="str">
            <v>신      나(ANTI FOULING)</v>
          </cell>
          <cell r="D1847">
            <v>8.0000000000000002E-3</v>
          </cell>
          <cell r="E1847" t="str">
            <v>Liter</v>
          </cell>
          <cell r="I1847">
            <v>1530</v>
          </cell>
          <cell r="J1847">
            <v>12</v>
          </cell>
        </row>
        <row r="1848">
          <cell r="B1848" t="str">
            <v>도  장  공</v>
          </cell>
          <cell r="D1848">
            <v>0.3</v>
          </cell>
          <cell r="E1848" t="str">
            <v>인</v>
          </cell>
          <cell r="G1848">
            <v>63038</v>
          </cell>
          <cell r="H1848">
            <v>18911</v>
          </cell>
        </row>
        <row r="1849">
          <cell r="B1849" t="str">
            <v>공 구 손 료</v>
          </cell>
          <cell r="C1849" t="str">
            <v>2%</v>
          </cell>
          <cell r="D1849" t="str">
            <v>1</v>
          </cell>
          <cell r="E1849" t="str">
            <v>식</v>
          </cell>
          <cell r="L1849">
            <v>378</v>
          </cell>
        </row>
        <row r="1850">
          <cell r="B1850" t="str">
            <v>소      계</v>
          </cell>
          <cell r="F1850">
            <v>20722</v>
          </cell>
          <cell r="H1850">
            <v>18911</v>
          </cell>
          <cell r="J1850">
            <v>1433</v>
          </cell>
          <cell r="L1850">
            <v>378</v>
          </cell>
        </row>
        <row r="1861">
          <cell r="B1861" t="str">
            <v>신공법 도장방식을 채택할 경우</v>
          </cell>
          <cell r="F1861" t="str">
            <v>도 장 비 (M²당) 일 위 대 가</v>
          </cell>
        </row>
        <row r="1862">
          <cell r="E1862" t="str">
            <v xml:space="preserve"> </v>
          </cell>
        </row>
        <row r="1863">
          <cell r="A1863" t="str">
            <v>종       별</v>
          </cell>
          <cell r="C1863" t="str">
            <v>재 료 또 는</v>
          </cell>
          <cell r="D1863" t="str">
            <v xml:space="preserve">원 수 </v>
          </cell>
          <cell r="E1863" t="str">
            <v>단 위</v>
          </cell>
          <cell r="F1863" t="str">
            <v>총   액</v>
          </cell>
          <cell r="G1863" t="str">
            <v>노   무   비</v>
          </cell>
          <cell r="I1863" t="str">
            <v>재   료   비</v>
          </cell>
          <cell r="K1863" t="str">
            <v>경      비</v>
          </cell>
          <cell r="M1863" t="str">
            <v>비   고</v>
          </cell>
        </row>
        <row r="1864">
          <cell r="C1864" t="str">
            <v xml:space="preserve">규       격 </v>
          </cell>
          <cell r="F1864" t="str">
            <v>금   액</v>
          </cell>
          <cell r="G1864" t="str">
            <v>단  가</v>
          </cell>
          <cell r="H1864" t="str">
            <v>금   액</v>
          </cell>
          <cell r="I1864" t="str">
            <v>단  가</v>
          </cell>
          <cell r="J1864" t="str">
            <v>금   액</v>
          </cell>
          <cell r="K1864" t="str">
            <v>단  가</v>
          </cell>
          <cell r="L1864" t="str">
            <v>금   액</v>
          </cell>
        </row>
        <row r="1865">
          <cell r="A1865" t="str">
            <v>1. 전처리 ( 육상용 ) (WATER SAND JET 공법) : BLAST CLEANINING  SA 2½</v>
          </cell>
        </row>
        <row r="1866">
          <cell r="B1866" t="str">
            <v>WATER JET</v>
          </cell>
          <cell r="C1866" t="str">
            <v>500 KG/㎡</v>
          </cell>
          <cell r="D1866">
            <v>1</v>
          </cell>
          <cell r="E1866" t="str">
            <v>㎡</v>
          </cell>
          <cell r="K1866">
            <v>1400</v>
          </cell>
          <cell r="L1866">
            <v>1400</v>
          </cell>
        </row>
        <row r="1867">
          <cell r="B1867" t="str">
            <v>시 리 카</v>
          </cell>
          <cell r="D1867">
            <v>10</v>
          </cell>
          <cell r="E1867" t="str">
            <v>kg</v>
          </cell>
          <cell r="I1867">
            <v>130</v>
          </cell>
          <cell r="J1867">
            <v>1300</v>
          </cell>
        </row>
        <row r="1868">
          <cell r="B1868" t="str">
            <v>경    유</v>
          </cell>
          <cell r="D1868">
            <v>4</v>
          </cell>
          <cell r="E1868" t="str">
            <v>L</v>
          </cell>
          <cell r="I1868">
            <v>526.4</v>
          </cell>
          <cell r="J1868">
            <v>2105</v>
          </cell>
        </row>
        <row r="1869">
          <cell r="B1869" t="str">
            <v>특별인부</v>
          </cell>
          <cell r="D1869">
            <v>0.1</v>
          </cell>
          <cell r="E1869" t="str">
            <v>인</v>
          </cell>
          <cell r="G1869">
            <v>57379</v>
          </cell>
          <cell r="H1869">
            <v>5737</v>
          </cell>
        </row>
        <row r="1870">
          <cell r="B1870" t="str">
            <v>보통인부</v>
          </cell>
          <cell r="D1870">
            <v>0.08</v>
          </cell>
          <cell r="E1870" t="str">
            <v>"</v>
          </cell>
          <cell r="G1870">
            <v>37736</v>
          </cell>
          <cell r="H1870">
            <v>3018</v>
          </cell>
        </row>
        <row r="1871">
          <cell r="B1871" t="str">
            <v>공구손료</v>
          </cell>
          <cell r="C1871" t="str">
            <v>10 %</v>
          </cell>
          <cell r="D1871" t="str">
            <v>1</v>
          </cell>
          <cell r="E1871" t="str">
            <v>식</v>
          </cell>
          <cell r="L1871">
            <v>875</v>
          </cell>
          <cell r="M1871" t="str">
            <v>열풍기,발청억</v>
          </cell>
        </row>
        <row r="1872">
          <cell r="B1872" t="str">
            <v>소      계</v>
          </cell>
          <cell r="F1872">
            <v>14435</v>
          </cell>
          <cell r="H1872">
            <v>8755</v>
          </cell>
          <cell r="J1872">
            <v>3405</v>
          </cell>
          <cell r="L1872">
            <v>2275</v>
          </cell>
        </row>
        <row r="1874">
          <cell r="A1874" t="str">
            <v>2. 전처리 ( 수중용 ) (WATER SAND JET 공법) : BLAST CLEANINING  ST 2</v>
          </cell>
        </row>
        <row r="1875">
          <cell r="B1875" t="str">
            <v>WATER JET</v>
          </cell>
          <cell r="C1875" t="str">
            <v>500 KG/㎡</v>
          </cell>
          <cell r="D1875">
            <v>1</v>
          </cell>
          <cell r="E1875" t="str">
            <v>㎡</v>
          </cell>
          <cell r="K1875">
            <v>2000</v>
          </cell>
          <cell r="L1875">
            <v>2000</v>
          </cell>
        </row>
        <row r="1876">
          <cell r="B1876" t="str">
            <v>시 리 카</v>
          </cell>
          <cell r="D1876">
            <v>10</v>
          </cell>
          <cell r="E1876" t="str">
            <v>kg</v>
          </cell>
          <cell r="I1876">
            <v>130</v>
          </cell>
          <cell r="J1876">
            <v>1300</v>
          </cell>
        </row>
        <row r="1877">
          <cell r="B1877" t="str">
            <v>경    유</v>
          </cell>
          <cell r="D1877">
            <v>6</v>
          </cell>
          <cell r="E1877" t="str">
            <v>L</v>
          </cell>
          <cell r="I1877">
            <v>526.4</v>
          </cell>
          <cell r="J1877">
            <v>3158</v>
          </cell>
        </row>
        <row r="1878">
          <cell r="B1878" t="str">
            <v>잠 수 부</v>
          </cell>
          <cell r="D1878">
            <v>0.7</v>
          </cell>
          <cell r="E1878" t="str">
            <v>인</v>
          </cell>
          <cell r="G1878">
            <v>81832</v>
          </cell>
          <cell r="H1878">
            <v>57282</v>
          </cell>
        </row>
        <row r="1879">
          <cell r="B1879" t="str">
            <v>보통인부</v>
          </cell>
          <cell r="D1879">
            <v>0.7</v>
          </cell>
          <cell r="E1879" t="str">
            <v>"</v>
          </cell>
          <cell r="G1879">
            <v>37736</v>
          </cell>
          <cell r="H1879">
            <v>26415</v>
          </cell>
        </row>
        <row r="1880">
          <cell r="B1880" t="str">
            <v>선    부</v>
          </cell>
          <cell r="D1880">
            <v>0.7</v>
          </cell>
          <cell r="E1880" t="str">
            <v>"</v>
          </cell>
          <cell r="G1880">
            <v>40088</v>
          </cell>
          <cell r="H1880">
            <v>28061</v>
          </cell>
        </row>
        <row r="1881">
          <cell r="B1881" t="str">
            <v>도선임대료</v>
          </cell>
          <cell r="D1881" t="str">
            <v>1</v>
          </cell>
          <cell r="E1881" t="str">
            <v>식</v>
          </cell>
          <cell r="L1881">
            <v>12000</v>
          </cell>
        </row>
        <row r="1882">
          <cell r="B1882" t="str">
            <v>공구손료</v>
          </cell>
          <cell r="C1882" t="str">
            <v>10 %</v>
          </cell>
          <cell r="D1882" t="str">
            <v>1</v>
          </cell>
          <cell r="E1882" t="str">
            <v>식</v>
          </cell>
          <cell r="L1882">
            <v>11175</v>
          </cell>
          <cell r="M1882" t="str">
            <v>열풍기,발청억</v>
          </cell>
        </row>
        <row r="1883">
          <cell r="B1883" t="str">
            <v>소      계</v>
          </cell>
          <cell r="F1883">
            <v>141391</v>
          </cell>
          <cell r="H1883">
            <v>111758</v>
          </cell>
          <cell r="J1883">
            <v>4458</v>
          </cell>
          <cell r="L1883">
            <v>25175</v>
          </cell>
        </row>
        <row r="1884">
          <cell r="F1884" t="str">
            <v xml:space="preserve"> </v>
          </cell>
        </row>
        <row r="1885">
          <cell r="A1885" t="str">
            <v>3. 도장 SYSTEM 1 : 상시 물속에 잠기는 구조물</v>
          </cell>
        </row>
        <row r="1886">
          <cell r="B1886" t="str">
            <v xml:space="preserve">소지처리 </v>
          </cell>
          <cell r="C1886" t="str">
            <v>BLASTING 작업으로서 SIS Sa2½ 이상</v>
          </cell>
        </row>
        <row r="1887">
          <cell r="B1887" t="str">
            <v>하    도</v>
          </cell>
          <cell r="C1887" t="str">
            <v>무기질 징크리치 푸라이머</v>
          </cell>
          <cell r="F1887" t="str">
            <v xml:space="preserve"> 75 μ</v>
          </cell>
        </row>
        <row r="1888">
          <cell r="B1888" t="str">
            <v>중    도</v>
          </cell>
          <cell r="C1888" t="str">
            <v>중도용 엑폭시 수지도료</v>
          </cell>
          <cell r="F1888" t="str">
            <v xml:space="preserve"> 45 μ</v>
          </cell>
        </row>
        <row r="1889">
          <cell r="B1889" t="str">
            <v>상    도</v>
          </cell>
          <cell r="C1889" t="str">
            <v>상도용 엑폭시</v>
          </cell>
          <cell r="F1889" t="str">
            <v>400 μ</v>
          </cell>
        </row>
        <row r="1890">
          <cell r="A1890" t="str">
            <v>종       별</v>
          </cell>
          <cell r="C1890" t="str">
            <v>재 료 또 는</v>
          </cell>
          <cell r="D1890" t="str">
            <v xml:space="preserve">원 수 </v>
          </cell>
          <cell r="E1890" t="str">
            <v>단 위</v>
          </cell>
          <cell r="F1890" t="str">
            <v>총   액</v>
          </cell>
          <cell r="G1890" t="str">
            <v>노   무   비</v>
          </cell>
          <cell r="I1890" t="str">
            <v>재   료   비</v>
          </cell>
          <cell r="K1890" t="str">
            <v>경      비</v>
          </cell>
          <cell r="M1890" t="str">
            <v>비   고</v>
          </cell>
        </row>
        <row r="1891">
          <cell r="C1891" t="str">
            <v xml:space="preserve">규       격 </v>
          </cell>
          <cell r="F1891" t="str">
            <v>금   액</v>
          </cell>
          <cell r="G1891" t="str">
            <v>단  가</v>
          </cell>
          <cell r="H1891" t="str">
            <v>금   액</v>
          </cell>
          <cell r="I1891" t="str">
            <v>단  가</v>
          </cell>
          <cell r="J1891" t="str">
            <v>금   액</v>
          </cell>
          <cell r="K1891" t="str">
            <v>단  가</v>
          </cell>
          <cell r="L1891" t="str">
            <v>금   액</v>
          </cell>
        </row>
        <row r="1892">
          <cell r="A1892" t="str">
            <v>공사비 산출</v>
          </cell>
          <cell r="F1892" t="str">
            <v xml:space="preserve"> </v>
          </cell>
        </row>
        <row r="1893">
          <cell r="B1893" t="str">
            <v>무기질 징크리치 푸라이머</v>
          </cell>
          <cell r="D1893">
            <v>0.2</v>
          </cell>
          <cell r="E1893" t="str">
            <v>L</v>
          </cell>
          <cell r="F1893" t="str">
            <v xml:space="preserve"> </v>
          </cell>
          <cell r="I1893">
            <v>7945</v>
          </cell>
          <cell r="J1893">
            <v>1589</v>
          </cell>
        </row>
        <row r="1894">
          <cell r="B1894" t="str">
            <v>중도용 엑폭시 수지도료</v>
          </cell>
          <cell r="D1894">
            <v>0.2</v>
          </cell>
          <cell r="E1894" t="str">
            <v>L</v>
          </cell>
          <cell r="F1894" t="str">
            <v xml:space="preserve"> </v>
          </cell>
          <cell r="I1894">
            <v>7500</v>
          </cell>
          <cell r="J1894">
            <v>1500</v>
          </cell>
        </row>
        <row r="1895">
          <cell r="B1895" t="str">
            <v>상도용 엑폭시</v>
          </cell>
          <cell r="D1895">
            <v>0.68</v>
          </cell>
          <cell r="E1895" t="str">
            <v>L</v>
          </cell>
          <cell r="F1895" t="str">
            <v xml:space="preserve"> </v>
          </cell>
          <cell r="I1895">
            <v>18000</v>
          </cell>
          <cell r="J1895">
            <v>12240</v>
          </cell>
        </row>
        <row r="1896">
          <cell r="B1896" t="str">
            <v>희 석 제</v>
          </cell>
          <cell r="D1896">
            <v>0.3</v>
          </cell>
          <cell r="E1896" t="str">
            <v>L</v>
          </cell>
          <cell r="F1896" t="str">
            <v xml:space="preserve"> </v>
          </cell>
          <cell r="I1896">
            <v>2111</v>
          </cell>
          <cell r="J1896">
            <v>633</v>
          </cell>
        </row>
        <row r="1897">
          <cell r="B1897" t="str">
            <v>도  장  공</v>
          </cell>
          <cell r="D1897">
            <v>0.1</v>
          </cell>
          <cell r="E1897" t="str">
            <v>인</v>
          </cell>
          <cell r="F1897" t="str">
            <v xml:space="preserve"> </v>
          </cell>
          <cell r="G1897">
            <v>63038</v>
          </cell>
          <cell r="H1897">
            <v>6303</v>
          </cell>
        </row>
        <row r="1898">
          <cell r="B1898" t="str">
            <v>보 통 인 부</v>
          </cell>
          <cell r="D1898">
            <v>0.1</v>
          </cell>
          <cell r="E1898" t="str">
            <v>인</v>
          </cell>
          <cell r="F1898" t="str">
            <v xml:space="preserve"> </v>
          </cell>
          <cell r="G1898">
            <v>37736</v>
          </cell>
          <cell r="H1898">
            <v>3773</v>
          </cell>
        </row>
        <row r="1899">
          <cell r="B1899" t="str">
            <v>공 구 손 료</v>
          </cell>
          <cell r="C1899" t="str">
            <v>노임의 2%</v>
          </cell>
          <cell r="D1899" t="str">
            <v>1</v>
          </cell>
          <cell r="E1899" t="str">
            <v>식</v>
          </cell>
          <cell r="F1899" t="str">
            <v xml:space="preserve"> </v>
          </cell>
          <cell r="L1899">
            <v>201</v>
          </cell>
        </row>
        <row r="1900">
          <cell r="B1900" t="str">
            <v>소      계</v>
          </cell>
          <cell r="F1900">
            <v>26239</v>
          </cell>
          <cell r="H1900">
            <v>10076</v>
          </cell>
          <cell r="J1900">
            <v>15962</v>
          </cell>
          <cell r="L1900">
            <v>201</v>
          </cell>
        </row>
        <row r="1901">
          <cell r="F1901" t="str">
            <v xml:space="preserve"> </v>
          </cell>
        </row>
        <row r="1902">
          <cell r="A1902" t="str">
            <v>4. 도장 SYSTEM 2 : 해수 가까이 상시 노출되어있는 구조물</v>
          </cell>
        </row>
        <row r="1903">
          <cell r="B1903" t="str">
            <v xml:space="preserve">소지처리 </v>
          </cell>
          <cell r="C1903" t="str">
            <v>BLASTING 작업으로서 SIS Sa2½ 이상</v>
          </cell>
        </row>
        <row r="1904">
          <cell r="B1904" t="str">
            <v>하    도</v>
          </cell>
          <cell r="C1904" t="str">
            <v>무기질 징크리치 푸라이머</v>
          </cell>
          <cell r="F1904" t="str">
            <v xml:space="preserve"> 75 μ</v>
          </cell>
        </row>
        <row r="1905">
          <cell r="B1905" t="str">
            <v>중    도 1</v>
          </cell>
          <cell r="C1905" t="str">
            <v>중도용 엑폭시 수지도료</v>
          </cell>
          <cell r="F1905" t="str">
            <v xml:space="preserve"> 45 μ</v>
          </cell>
        </row>
        <row r="1906">
          <cell r="B1906" t="str">
            <v>중    도 2</v>
          </cell>
          <cell r="C1906" t="str">
            <v>중도용 엑폭시 수지도료</v>
          </cell>
          <cell r="F1906" t="str">
            <v>355 μ</v>
          </cell>
        </row>
        <row r="1907">
          <cell r="B1907" t="str">
            <v>상    도</v>
          </cell>
          <cell r="C1907" t="str">
            <v>상도용 엑폭시</v>
          </cell>
          <cell r="F1907" t="str">
            <v xml:space="preserve"> 45 μ</v>
          </cell>
        </row>
        <row r="1908">
          <cell r="F1908" t="str">
            <v xml:space="preserve"> </v>
          </cell>
        </row>
        <row r="1909">
          <cell r="A1909" t="str">
            <v>공사비 산출</v>
          </cell>
          <cell r="F1909" t="str">
            <v xml:space="preserve"> </v>
          </cell>
        </row>
        <row r="1910">
          <cell r="B1910" t="str">
            <v>무기질 징크리치 푸라이머</v>
          </cell>
          <cell r="D1910">
            <v>0.2</v>
          </cell>
          <cell r="E1910" t="str">
            <v>L</v>
          </cell>
          <cell r="F1910" t="str">
            <v xml:space="preserve"> </v>
          </cell>
          <cell r="I1910">
            <v>7945</v>
          </cell>
          <cell r="J1910">
            <v>1589</v>
          </cell>
        </row>
        <row r="1911">
          <cell r="B1911" t="str">
            <v>중도용 엑폭시 수지도료 1</v>
          </cell>
          <cell r="D1911">
            <v>0.2</v>
          </cell>
          <cell r="E1911" t="str">
            <v>L</v>
          </cell>
          <cell r="F1911" t="str">
            <v xml:space="preserve"> </v>
          </cell>
          <cell r="I1911">
            <v>7500</v>
          </cell>
          <cell r="J1911">
            <v>1500</v>
          </cell>
        </row>
        <row r="1912">
          <cell r="B1912" t="str">
            <v>중도용 엑폭시 수지도료 2</v>
          </cell>
          <cell r="D1912">
            <v>0.6</v>
          </cell>
          <cell r="E1912" t="str">
            <v>L</v>
          </cell>
          <cell r="F1912" t="str">
            <v xml:space="preserve"> </v>
          </cell>
          <cell r="I1912">
            <v>18000</v>
          </cell>
          <cell r="J1912">
            <v>10800</v>
          </cell>
        </row>
        <row r="1913">
          <cell r="B1913" t="str">
            <v>상도용 엑폭시</v>
          </cell>
          <cell r="D1913">
            <v>0.2</v>
          </cell>
          <cell r="E1913" t="str">
            <v>L</v>
          </cell>
          <cell r="F1913" t="str">
            <v xml:space="preserve"> </v>
          </cell>
          <cell r="I1913">
            <v>5900</v>
          </cell>
          <cell r="J1913">
            <v>1180</v>
          </cell>
        </row>
        <row r="1914">
          <cell r="B1914" t="str">
            <v>희 석 제</v>
          </cell>
          <cell r="D1914">
            <v>0.36</v>
          </cell>
          <cell r="E1914" t="str">
            <v>L</v>
          </cell>
          <cell r="F1914" t="str">
            <v xml:space="preserve"> </v>
          </cell>
          <cell r="I1914">
            <v>2111</v>
          </cell>
          <cell r="J1914">
            <v>759</v>
          </cell>
        </row>
        <row r="1915">
          <cell r="B1915" t="str">
            <v>도  장  공</v>
          </cell>
          <cell r="D1915">
            <v>0.13</v>
          </cell>
          <cell r="E1915" t="str">
            <v>인</v>
          </cell>
          <cell r="F1915" t="str">
            <v xml:space="preserve"> </v>
          </cell>
          <cell r="G1915">
            <v>63038</v>
          </cell>
          <cell r="H1915">
            <v>8194</v>
          </cell>
        </row>
        <row r="1916">
          <cell r="B1916" t="str">
            <v>보 통 인 부</v>
          </cell>
          <cell r="D1916">
            <v>0.13</v>
          </cell>
          <cell r="E1916" t="str">
            <v>인</v>
          </cell>
          <cell r="F1916" t="str">
            <v xml:space="preserve"> </v>
          </cell>
          <cell r="G1916">
            <v>37736</v>
          </cell>
          <cell r="H1916">
            <v>4905</v>
          </cell>
        </row>
        <row r="1917">
          <cell r="B1917" t="str">
            <v>공 구 손 료</v>
          </cell>
          <cell r="C1917" t="str">
            <v>노임의 2%</v>
          </cell>
          <cell r="D1917" t="str">
            <v>1</v>
          </cell>
          <cell r="E1917" t="str">
            <v>식</v>
          </cell>
          <cell r="F1917" t="str">
            <v xml:space="preserve"> </v>
          </cell>
          <cell r="L1917">
            <v>261</v>
          </cell>
        </row>
        <row r="1918">
          <cell r="B1918" t="str">
            <v>소      계</v>
          </cell>
          <cell r="F1918">
            <v>29188</v>
          </cell>
          <cell r="H1918">
            <v>13099</v>
          </cell>
          <cell r="J1918">
            <v>15828</v>
          </cell>
          <cell r="L1918">
            <v>261</v>
          </cell>
        </row>
        <row r="1919">
          <cell r="A1919" t="str">
            <v>종       별</v>
          </cell>
          <cell r="C1919" t="str">
            <v>재 료 또 는</v>
          </cell>
          <cell r="D1919" t="str">
            <v xml:space="preserve">원 수 </v>
          </cell>
          <cell r="E1919" t="str">
            <v>단 위</v>
          </cell>
          <cell r="F1919" t="str">
            <v>총   액</v>
          </cell>
          <cell r="G1919" t="str">
            <v>노   무   비</v>
          </cell>
          <cell r="I1919" t="str">
            <v>재   료   비</v>
          </cell>
          <cell r="K1919" t="str">
            <v>경      비</v>
          </cell>
          <cell r="M1919" t="str">
            <v>비   고</v>
          </cell>
        </row>
        <row r="1920">
          <cell r="C1920" t="str">
            <v xml:space="preserve">규       격 </v>
          </cell>
          <cell r="F1920" t="str">
            <v>금   액</v>
          </cell>
          <cell r="G1920" t="str">
            <v>단  가</v>
          </cell>
          <cell r="H1920" t="str">
            <v>금   액</v>
          </cell>
          <cell r="I1920" t="str">
            <v>단  가</v>
          </cell>
          <cell r="J1920" t="str">
            <v>금   액</v>
          </cell>
          <cell r="K1920" t="str">
            <v>단  가</v>
          </cell>
          <cell r="L1920" t="str">
            <v>금   액</v>
          </cell>
        </row>
        <row r="1921">
          <cell r="A1921" t="str">
            <v>5. 도장 SYSTEM 3 : 해중에서 작업해야하는 구조물</v>
          </cell>
        </row>
        <row r="1922">
          <cell r="B1922" t="str">
            <v xml:space="preserve">소지처리 </v>
          </cell>
          <cell r="C1922" t="str">
            <v>WATER SAND JET나 WATER JET로써 피도면의 밀스케일등 이물질을 완전 제거하여 SIS ST 2 이상되게 할것.</v>
          </cell>
        </row>
        <row r="1923">
          <cell r="B1923" t="str">
            <v>하    도</v>
          </cell>
          <cell r="C1923" t="str">
            <v>수중용 엑폭시</v>
          </cell>
          <cell r="F1923" t="str">
            <v>1,000 μ</v>
          </cell>
        </row>
        <row r="1924">
          <cell r="F1924" t="str">
            <v xml:space="preserve"> </v>
          </cell>
        </row>
        <row r="1925">
          <cell r="A1925" t="str">
            <v>공사비 산출</v>
          </cell>
          <cell r="F1925" t="str">
            <v xml:space="preserve"> </v>
          </cell>
        </row>
        <row r="1926">
          <cell r="B1926" t="str">
            <v>상도용 엑폭시</v>
          </cell>
          <cell r="D1926">
            <v>1.74</v>
          </cell>
          <cell r="E1926" t="str">
            <v>L</v>
          </cell>
          <cell r="F1926" t="str">
            <v xml:space="preserve"> </v>
          </cell>
          <cell r="I1926">
            <v>26000</v>
          </cell>
          <cell r="J1926">
            <v>45240</v>
          </cell>
        </row>
        <row r="1927">
          <cell r="B1927" t="str">
            <v>잠  수  부</v>
          </cell>
          <cell r="D1927">
            <v>0.5</v>
          </cell>
          <cell r="E1927" t="str">
            <v>인</v>
          </cell>
          <cell r="F1927" t="str">
            <v xml:space="preserve"> </v>
          </cell>
          <cell r="G1927">
            <v>81832</v>
          </cell>
          <cell r="H1927">
            <v>40916</v>
          </cell>
        </row>
        <row r="1928">
          <cell r="B1928" t="str">
            <v>공 구 손 료</v>
          </cell>
          <cell r="C1928" t="str">
            <v>노임의 2%</v>
          </cell>
          <cell r="D1928" t="str">
            <v>1</v>
          </cell>
          <cell r="E1928" t="str">
            <v>식</v>
          </cell>
          <cell r="F1928" t="str">
            <v xml:space="preserve"> </v>
          </cell>
          <cell r="L1928">
            <v>818</v>
          </cell>
        </row>
        <row r="1929">
          <cell r="B1929" t="str">
            <v>소      계</v>
          </cell>
          <cell r="F1929">
            <v>86974</v>
          </cell>
          <cell r="H1929">
            <v>40916</v>
          </cell>
          <cell r="J1929">
            <v>45240</v>
          </cell>
          <cell r="L1929">
            <v>818</v>
          </cell>
        </row>
        <row r="1930">
          <cell r="F1930" t="str">
            <v xml:space="preserve"> </v>
          </cell>
        </row>
        <row r="1931">
          <cell r="A1931" t="str">
            <v>6. CERAMIC COATING (ATO) 200μ</v>
          </cell>
        </row>
        <row r="1932">
          <cell r="B1932" t="str">
            <v>6-1. 바탕만들기</v>
          </cell>
        </row>
        <row r="1933">
          <cell r="B1933" t="str">
            <v>SNAD</v>
          </cell>
          <cell r="D1933">
            <v>5.0799999999999998E-2</v>
          </cell>
          <cell r="E1933" t="str">
            <v>㎥</v>
          </cell>
          <cell r="F1933">
            <v>355</v>
          </cell>
          <cell r="I1933">
            <v>7000</v>
          </cell>
          <cell r="J1933">
            <v>355</v>
          </cell>
        </row>
        <row r="1934">
          <cell r="B1934" t="str">
            <v>계 령 공</v>
          </cell>
          <cell r="D1934">
            <v>0.05</v>
          </cell>
          <cell r="E1934" t="str">
            <v>인</v>
          </cell>
          <cell r="F1934">
            <v>2096</v>
          </cell>
          <cell r="G1934">
            <v>41937</v>
          </cell>
          <cell r="H1934">
            <v>2096</v>
          </cell>
        </row>
        <row r="1935">
          <cell r="B1935" t="str">
            <v>보 통 인 부</v>
          </cell>
          <cell r="D1935">
            <v>0.1</v>
          </cell>
          <cell r="E1935" t="str">
            <v>인</v>
          </cell>
          <cell r="F1935">
            <v>3773</v>
          </cell>
          <cell r="G1935">
            <v>37736</v>
          </cell>
          <cell r="H1935">
            <v>3773</v>
          </cell>
        </row>
        <row r="1936">
          <cell r="B1936" t="str">
            <v>POWER BRUSH</v>
          </cell>
          <cell r="D1936">
            <v>0.03</v>
          </cell>
          <cell r="E1936" t="str">
            <v>KG</v>
          </cell>
          <cell r="F1936">
            <v>150</v>
          </cell>
          <cell r="I1936">
            <v>5000</v>
          </cell>
          <cell r="J1936">
            <v>150</v>
          </cell>
        </row>
        <row r="1937">
          <cell r="B1937" t="str">
            <v>WIRE BRUSH</v>
          </cell>
          <cell r="D1937">
            <v>1.6E-2</v>
          </cell>
          <cell r="E1937" t="str">
            <v>KG</v>
          </cell>
          <cell r="F1937">
            <v>32</v>
          </cell>
          <cell r="I1937">
            <v>2000</v>
          </cell>
          <cell r="J1937">
            <v>32</v>
          </cell>
        </row>
        <row r="1938">
          <cell r="B1938" t="str">
            <v>기 계 공</v>
          </cell>
          <cell r="D1938">
            <v>0.13300000000000001</v>
          </cell>
          <cell r="E1938" t="str">
            <v>인</v>
          </cell>
          <cell r="F1938">
            <v>7834</v>
          </cell>
          <cell r="G1938">
            <v>58906</v>
          </cell>
          <cell r="H1938">
            <v>7834</v>
          </cell>
        </row>
        <row r="1939">
          <cell r="B1939" t="str">
            <v>조 력 공</v>
          </cell>
          <cell r="D1939">
            <v>0.05</v>
          </cell>
          <cell r="E1939" t="str">
            <v>인</v>
          </cell>
          <cell r="F1939">
            <v>2445</v>
          </cell>
          <cell r="G1939">
            <v>48912</v>
          </cell>
          <cell r="H1939">
            <v>2445</v>
          </cell>
        </row>
        <row r="1940">
          <cell r="B1940" t="str">
            <v>품질관리공(시험사1급)</v>
          </cell>
          <cell r="D1940">
            <v>1.6E-2</v>
          </cell>
          <cell r="E1940" t="str">
            <v>인</v>
          </cell>
          <cell r="F1940">
            <v>765</v>
          </cell>
          <cell r="G1940">
            <v>47867</v>
          </cell>
          <cell r="H1940">
            <v>765</v>
          </cell>
        </row>
        <row r="1941">
          <cell r="B1941" t="str">
            <v>공 구 손 료</v>
          </cell>
          <cell r="C1941" t="str">
            <v>노임의 2%</v>
          </cell>
          <cell r="D1941" t="str">
            <v>1</v>
          </cell>
          <cell r="E1941" t="str">
            <v>식</v>
          </cell>
          <cell r="F1941">
            <v>338</v>
          </cell>
          <cell r="L1941">
            <v>338</v>
          </cell>
        </row>
        <row r="1942">
          <cell r="B1942" t="str">
            <v>소      계</v>
          </cell>
          <cell r="F1942">
            <v>17788</v>
          </cell>
          <cell r="H1942">
            <v>16913</v>
          </cell>
          <cell r="J1942">
            <v>537</v>
          </cell>
          <cell r="L1942">
            <v>338</v>
          </cell>
        </row>
        <row r="1943">
          <cell r="F1943" t="str">
            <v xml:space="preserve"> </v>
          </cell>
        </row>
        <row r="1944">
          <cell r="B1944" t="str">
            <v>6-2. CERAMIC COATING (200μ)</v>
          </cell>
        </row>
        <row r="1945">
          <cell r="B1945" t="str">
            <v>세 척 제</v>
          </cell>
          <cell r="D1945">
            <v>0.05</v>
          </cell>
          <cell r="E1945" t="str">
            <v>통</v>
          </cell>
          <cell r="F1945">
            <v>525</v>
          </cell>
          <cell r="I1945">
            <v>10500</v>
          </cell>
          <cell r="J1945">
            <v>525</v>
          </cell>
        </row>
        <row r="1946">
          <cell r="B1946" t="str">
            <v>세 척 공(보통인부)</v>
          </cell>
          <cell r="D1946">
            <v>1.6E-2</v>
          </cell>
          <cell r="E1946" t="str">
            <v>인</v>
          </cell>
          <cell r="F1946">
            <v>603</v>
          </cell>
          <cell r="G1946">
            <v>37736</v>
          </cell>
          <cell r="H1946">
            <v>603</v>
          </cell>
        </row>
        <row r="1947">
          <cell r="B1947" t="str">
            <v>넝    마</v>
          </cell>
          <cell r="D1947">
            <v>0.01</v>
          </cell>
          <cell r="E1947" t="str">
            <v>KG</v>
          </cell>
          <cell r="F1947">
            <v>13</v>
          </cell>
          <cell r="I1947">
            <v>1363</v>
          </cell>
          <cell r="J1947">
            <v>13</v>
          </cell>
        </row>
        <row r="1948">
          <cell r="A1948" t="str">
            <v>종       별</v>
          </cell>
          <cell r="C1948" t="str">
            <v>재 료 또 는</v>
          </cell>
          <cell r="D1948" t="str">
            <v xml:space="preserve">원 수 </v>
          </cell>
          <cell r="E1948" t="str">
            <v>단 위</v>
          </cell>
          <cell r="F1948" t="str">
            <v>총   액</v>
          </cell>
          <cell r="G1948" t="str">
            <v>노   무   비</v>
          </cell>
          <cell r="I1948" t="str">
            <v>재   료   비</v>
          </cell>
          <cell r="K1948" t="str">
            <v>경      비</v>
          </cell>
          <cell r="M1948" t="str">
            <v>비   고</v>
          </cell>
        </row>
        <row r="1949">
          <cell r="C1949" t="str">
            <v xml:space="preserve">규       격 </v>
          </cell>
          <cell r="F1949" t="str">
            <v>금   액</v>
          </cell>
          <cell r="G1949" t="str">
            <v>단  가</v>
          </cell>
          <cell r="H1949" t="str">
            <v>금   액</v>
          </cell>
          <cell r="I1949" t="str">
            <v>단  가</v>
          </cell>
          <cell r="J1949" t="str">
            <v>금   액</v>
          </cell>
          <cell r="K1949" t="str">
            <v>단  가</v>
          </cell>
          <cell r="L1949" t="str">
            <v>금   액</v>
          </cell>
        </row>
        <row r="1950">
          <cell r="B1950" t="str">
            <v>세라믹코팅제</v>
          </cell>
          <cell r="D1950">
            <v>0.36</v>
          </cell>
          <cell r="E1950" t="str">
            <v>KG</v>
          </cell>
          <cell r="F1950">
            <v>60588</v>
          </cell>
          <cell r="I1950">
            <v>168300</v>
          </cell>
          <cell r="J1950">
            <v>60588</v>
          </cell>
        </row>
        <row r="1951">
          <cell r="B1951" t="str">
            <v>희 석 제</v>
          </cell>
          <cell r="D1951">
            <v>0.188</v>
          </cell>
          <cell r="E1951" t="str">
            <v>통</v>
          </cell>
          <cell r="F1951">
            <v>962</v>
          </cell>
          <cell r="I1951">
            <v>5120</v>
          </cell>
          <cell r="J1951">
            <v>962</v>
          </cell>
        </row>
        <row r="1952">
          <cell r="B1952" t="str">
            <v>도 장 공</v>
          </cell>
          <cell r="D1952">
            <v>6.6000000000000003E-2</v>
          </cell>
          <cell r="E1952" t="str">
            <v>인</v>
          </cell>
          <cell r="F1952">
            <v>4160</v>
          </cell>
          <cell r="G1952">
            <v>63038</v>
          </cell>
          <cell r="H1952">
            <v>4160</v>
          </cell>
        </row>
        <row r="1953">
          <cell r="B1953" t="str">
            <v>규    사</v>
          </cell>
          <cell r="D1953">
            <v>3.5999999999999997E-2</v>
          </cell>
          <cell r="E1953" t="str">
            <v>㎥</v>
          </cell>
          <cell r="F1953">
            <v>900</v>
          </cell>
          <cell r="I1953">
            <v>25000</v>
          </cell>
          <cell r="J1953">
            <v>900</v>
          </cell>
        </row>
        <row r="1954">
          <cell r="B1954" t="str">
            <v>장비사용료</v>
          </cell>
          <cell r="C1954" t="str">
            <v>TRUCK CRANE 
40TON x 2대</v>
          </cell>
          <cell r="D1954">
            <v>0.02</v>
          </cell>
          <cell r="E1954" t="str">
            <v>HR</v>
          </cell>
          <cell r="F1954">
            <v>3317</v>
          </cell>
          <cell r="G1954">
            <v>37230</v>
          </cell>
          <cell r="H1954">
            <v>744</v>
          </cell>
          <cell r="I1954">
            <v>17460</v>
          </cell>
          <cell r="J1954">
            <v>349</v>
          </cell>
          <cell r="K1954">
            <v>111242</v>
          </cell>
          <cell r="L1954">
            <v>2224</v>
          </cell>
        </row>
        <row r="1955">
          <cell r="B1955" t="str">
            <v>공 구 손 료</v>
          </cell>
          <cell r="C1955" t="str">
            <v>노임의 2%</v>
          </cell>
          <cell r="D1955">
            <v>1</v>
          </cell>
          <cell r="E1955" t="str">
            <v>식</v>
          </cell>
          <cell r="F1955">
            <v>110</v>
          </cell>
          <cell r="L1955">
            <v>110</v>
          </cell>
        </row>
        <row r="1956">
          <cell r="B1956" t="str">
            <v>소     계</v>
          </cell>
          <cell r="F1956">
            <v>71178</v>
          </cell>
          <cell r="H1956">
            <v>5507</v>
          </cell>
          <cell r="J1956">
            <v>63337</v>
          </cell>
          <cell r="L1956">
            <v>2334</v>
          </cell>
        </row>
        <row r="1958">
          <cell r="B1958" t="str">
            <v>합     계</v>
          </cell>
          <cell r="F1958">
            <v>88966</v>
          </cell>
          <cell r="H1958">
            <v>22420</v>
          </cell>
          <cell r="J1958">
            <v>63874</v>
          </cell>
          <cell r="L1958">
            <v>2672</v>
          </cell>
        </row>
        <row r="1971">
          <cell r="F1971" t="str">
            <v xml:space="preserve"> </v>
          </cell>
        </row>
        <row r="1976">
          <cell r="E1976" t="str">
            <v xml:space="preserve"> </v>
          </cell>
          <cell r="F1976" t="str">
            <v>S.T.S 잡철물 제작,설치(SCREEN등)</v>
          </cell>
        </row>
        <row r="1977">
          <cell r="E1977" t="str">
            <v xml:space="preserve"> </v>
          </cell>
        </row>
        <row r="1978">
          <cell r="A1978" t="str">
            <v>종       별</v>
          </cell>
          <cell r="C1978" t="str">
            <v>재 료 또 는</v>
          </cell>
          <cell r="D1978" t="str">
            <v xml:space="preserve">원 수 </v>
          </cell>
          <cell r="E1978" t="str">
            <v>단 위</v>
          </cell>
          <cell r="F1978" t="str">
            <v>총   액</v>
          </cell>
          <cell r="G1978" t="str">
            <v>노   무   비</v>
          </cell>
          <cell r="I1978" t="str">
            <v>재   료   비</v>
          </cell>
          <cell r="K1978" t="str">
            <v>경      비</v>
          </cell>
          <cell r="M1978" t="str">
            <v>비   고</v>
          </cell>
        </row>
        <row r="1979">
          <cell r="C1979" t="str">
            <v xml:space="preserve">규       격 </v>
          </cell>
          <cell r="F1979" t="str">
            <v>금   액</v>
          </cell>
          <cell r="G1979" t="str">
            <v>단  가</v>
          </cell>
          <cell r="H1979" t="str">
            <v>금   액</v>
          </cell>
          <cell r="I1979" t="str">
            <v>단  가</v>
          </cell>
          <cell r="J1979" t="str">
            <v>금   액</v>
          </cell>
          <cell r="K1979" t="str">
            <v>단  가</v>
          </cell>
          <cell r="L1979" t="str">
            <v>금   액</v>
          </cell>
        </row>
        <row r="1980">
          <cell r="A1980" t="str">
            <v>용  접  봉</v>
          </cell>
          <cell r="C1980" t="str">
            <v>AWSE 306-16 4Φ</v>
          </cell>
          <cell r="D1980">
            <v>18.48</v>
          </cell>
          <cell r="E1980" t="str">
            <v>KG</v>
          </cell>
          <cell r="I1980">
            <v>5460</v>
          </cell>
          <cell r="J1980">
            <v>100900</v>
          </cell>
        </row>
        <row r="1981">
          <cell r="A1981" t="str">
            <v>산      소</v>
          </cell>
          <cell r="C1981" t="str">
            <v>6,000L</v>
          </cell>
          <cell r="D1981">
            <v>1.05</v>
          </cell>
          <cell r="E1981" t="str">
            <v>병</v>
          </cell>
          <cell r="I1981">
            <v>12000</v>
          </cell>
          <cell r="J1981">
            <v>12600</v>
          </cell>
        </row>
        <row r="1982">
          <cell r="A1982" t="str">
            <v>아 세 치 렌</v>
          </cell>
          <cell r="C1982" t="str">
            <v>4,500L</v>
          </cell>
          <cell r="D1982">
            <v>2.8</v>
          </cell>
          <cell r="E1982" t="str">
            <v>KG</v>
          </cell>
          <cell r="I1982">
            <v>10500</v>
          </cell>
          <cell r="J1982">
            <v>29400</v>
          </cell>
        </row>
        <row r="1983">
          <cell r="A1983" t="str">
            <v>철      공</v>
          </cell>
          <cell r="D1983">
            <v>27.65</v>
          </cell>
          <cell r="E1983" t="str">
            <v>인</v>
          </cell>
          <cell r="G1983">
            <v>72430</v>
          </cell>
          <cell r="H1983">
            <v>2002689</v>
          </cell>
        </row>
        <row r="1984">
          <cell r="A1984" t="str">
            <v>비  계   공</v>
          </cell>
          <cell r="D1984">
            <v>4.71</v>
          </cell>
          <cell r="E1984" t="str">
            <v>인</v>
          </cell>
          <cell r="G1984">
            <v>79467</v>
          </cell>
          <cell r="H1984">
            <v>374289</v>
          </cell>
        </row>
        <row r="1986">
          <cell r="A1986" t="str">
            <v>보 통 인 부</v>
          </cell>
          <cell r="D1986">
            <v>0.66</v>
          </cell>
          <cell r="E1986" t="str">
            <v>인</v>
          </cell>
          <cell r="G1986">
            <v>37736</v>
          </cell>
          <cell r="H1986">
            <v>24905</v>
          </cell>
        </row>
        <row r="1987">
          <cell r="A1987" t="str">
            <v>용  접  공</v>
          </cell>
          <cell r="D1987">
            <v>2.6</v>
          </cell>
          <cell r="E1987" t="str">
            <v>인</v>
          </cell>
          <cell r="G1987">
            <v>74016</v>
          </cell>
          <cell r="H1987">
            <v>192441</v>
          </cell>
        </row>
        <row r="1988">
          <cell r="A1988" t="str">
            <v>특 별 인 부</v>
          </cell>
          <cell r="D1988">
            <v>0.74</v>
          </cell>
          <cell r="E1988" t="str">
            <v>인</v>
          </cell>
          <cell r="G1988">
            <v>57379</v>
          </cell>
          <cell r="H1988">
            <v>42460</v>
          </cell>
        </row>
        <row r="1989">
          <cell r="A1989" t="str">
            <v>용접기 손료</v>
          </cell>
          <cell r="D1989">
            <v>20.83</v>
          </cell>
          <cell r="E1989" t="str">
            <v>Hr</v>
          </cell>
          <cell r="K1989">
            <v>155</v>
          </cell>
          <cell r="L1989">
            <v>3228</v>
          </cell>
        </row>
        <row r="1990">
          <cell r="A1990" t="str">
            <v>전력 소요량</v>
          </cell>
          <cell r="D1990">
            <v>126</v>
          </cell>
          <cell r="E1990" t="str">
            <v>KWH</v>
          </cell>
          <cell r="K1990">
            <v>61.6</v>
          </cell>
          <cell r="L1990">
            <v>7761</v>
          </cell>
        </row>
        <row r="1991">
          <cell r="A1991" t="str">
            <v>공 구 손 료</v>
          </cell>
          <cell r="C1991" t="str">
            <v>인건비의 3%</v>
          </cell>
          <cell r="L1991">
            <v>79103</v>
          </cell>
        </row>
        <row r="1993">
          <cell r="A1993" t="str">
            <v>소    계</v>
          </cell>
          <cell r="F1993">
            <v>2869776</v>
          </cell>
          <cell r="H1993">
            <v>2636784</v>
          </cell>
          <cell r="J1993">
            <v>142900</v>
          </cell>
          <cell r="L1993">
            <v>90092</v>
          </cell>
        </row>
        <row r="1995">
          <cell r="A1995" t="str">
            <v>계 ( 간단한구조 )</v>
          </cell>
          <cell r="C1995" t="str">
            <v>100 %</v>
          </cell>
          <cell r="F1995">
            <v>2869776</v>
          </cell>
          <cell r="H1995">
            <v>2636784</v>
          </cell>
          <cell r="J1995">
            <v>142900</v>
          </cell>
          <cell r="L1995">
            <v>90092</v>
          </cell>
        </row>
        <row r="1997">
          <cell r="A1997" t="str">
            <v>계 ( 복잡한구조 )</v>
          </cell>
          <cell r="C1997" t="str">
            <v>140 %</v>
          </cell>
          <cell r="F1997">
            <v>4017685</v>
          </cell>
          <cell r="H1997">
            <v>3691497</v>
          </cell>
          <cell r="J1997">
            <v>200060</v>
          </cell>
          <cell r="L1997">
            <v>126128</v>
          </cell>
        </row>
        <row r="2000">
          <cell r="F2000" t="str">
            <v xml:space="preserve"> </v>
          </cell>
        </row>
        <row r="2001">
          <cell r="F2001" t="str">
            <v xml:space="preserve"> </v>
          </cell>
        </row>
        <row r="2002">
          <cell r="F2002" t="str">
            <v xml:space="preserve"> </v>
          </cell>
        </row>
        <row r="2004">
          <cell r="F2004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노임단가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단가"/>
      <sheetName val="발주내역"/>
      <sheetName val="설계개요"/>
      <sheetName val="계약일반사항"/>
      <sheetName val="내역"/>
      <sheetName val="ABUT수량-A1"/>
      <sheetName val="제경비요율"/>
      <sheetName val="사유서(출)"/>
      <sheetName val="도로구조공사비"/>
      <sheetName val="도로토공공사비"/>
      <sheetName val="여수토공사비"/>
      <sheetName val="한전납입금"/>
      <sheetName val="총괄표"/>
      <sheetName val="산출근거"/>
      <sheetName val="공사비"/>
      <sheetName val="CCTV내역서"/>
      <sheetName val="예가표"/>
      <sheetName val="철집"/>
      <sheetName val="약품설비"/>
      <sheetName val="노무비"/>
      <sheetName val="실행철강하도"/>
      <sheetName val="집계표"/>
      <sheetName val="unit"/>
      <sheetName val="재료값"/>
      <sheetName val="사리부설"/>
      <sheetName val="전차선로 물량표"/>
      <sheetName val="내역서"/>
      <sheetName val="교각계산"/>
      <sheetName val="VXXXXX"/>
      <sheetName val="전기"/>
      <sheetName val="조경일람"/>
      <sheetName val="수토공단위당"/>
      <sheetName val="단위가격 "/>
      <sheetName val="일위대가"/>
      <sheetName val="자재견적 (대왕) (2)"/>
      <sheetName val="양수장내역"/>
      <sheetName val="양수장"/>
      <sheetName val="재료비"/>
      <sheetName val="일위대가표"/>
      <sheetName val="#REF"/>
      <sheetName val="일위집계표"/>
      <sheetName val="결과조달"/>
      <sheetName val="품셈(기초)"/>
      <sheetName val="일위대가(가설)"/>
      <sheetName val="중기비"/>
      <sheetName val="대치판정"/>
      <sheetName val="내역표지"/>
      <sheetName val="현장관리비 산출내역"/>
      <sheetName val="부안일위"/>
      <sheetName val="남양내역"/>
      <sheetName val="산수배수"/>
      <sheetName val="Sheet1 (2)"/>
      <sheetName val="1.동력공사"/>
      <sheetName val="구조물철거타공정이월"/>
      <sheetName val="1,2공구원가계산서"/>
      <sheetName val="2공구산출내역"/>
      <sheetName val="1공구산출내역서"/>
      <sheetName val="투찰내역"/>
      <sheetName val="설계(원가)"/>
      <sheetName val="내역서(변경2)"/>
      <sheetName val="내역서 (변경)"/>
      <sheetName val="자재집계표"/>
      <sheetName val="환토"/>
      <sheetName val="단가산출(운반장비)"/>
      <sheetName val="토공집계표"/>
      <sheetName val="토공계산서"/>
      <sheetName val="운반성토집계"/>
      <sheetName val="토적집계"/>
      <sheetName val="토적표"/>
      <sheetName val="비탈면보호공수량"/>
      <sheetName val="구조물깨기"/>
      <sheetName val="구조물깨기산근"/>
      <sheetName val="배수공집계표"/>
      <sheetName val="배수토공"/>
      <sheetName val="측구공"/>
      <sheetName val="L형측구"/>
      <sheetName val="도로경계석"/>
      <sheetName val="산마루측구"/>
      <sheetName val=" U형배수관"/>
      <sheetName val="도수로"/>
      <sheetName val="집수정(측구)"/>
      <sheetName val="용수로"/>
      <sheetName val="우오수공"/>
      <sheetName val="관수량"/>
      <sheetName val="우수받이"/>
      <sheetName val="집수정 (우오수)"/>
      <sheetName val="암거공"/>
      <sheetName val="박스암거"/>
      <sheetName val="맹암거공"/>
      <sheetName val="설계변경(운동장)"/>
      <sheetName val="운동장맹암거1"/>
      <sheetName val="운동장맹암거2"/>
      <sheetName val="집수정(맹암거)"/>
      <sheetName val="운동장맹암거(평면도)"/>
      <sheetName val="옹벽공"/>
      <sheetName val="포장공"/>
      <sheetName val="소로수량"/>
      <sheetName val="소로수량산출"/>
      <sheetName val="보도수량"/>
      <sheetName val="가로수수량"/>
      <sheetName val="차선도색"/>
      <sheetName val="차선수량"/>
      <sheetName val="도수로원가"/>
      <sheetName val="도수로내역"/>
      <sheetName val="도수로수량"/>
      <sheetName val="횡배수관집현황(2공구)"/>
      <sheetName val="년도별"/>
      <sheetName val="공사비집계"/>
      <sheetName val="PAD TR보호대기초"/>
      <sheetName val="가로등기초"/>
      <sheetName val="HANDHOLE(2)"/>
      <sheetName val="일위대가(계측기설치)"/>
      <sheetName val="NYS"/>
      <sheetName val="참조"/>
      <sheetName val="설계"/>
      <sheetName val="1단계"/>
      <sheetName val="입찰안"/>
      <sheetName val="찍기"/>
      <sheetName val="P-산#1-1(WOWA1)"/>
      <sheetName val="자재단가비교표"/>
      <sheetName val="CAT_5"/>
      <sheetName val="요율"/>
      <sheetName val="토적"/>
      <sheetName val="공내역"/>
      <sheetName val="Sheet2"/>
      <sheetName val="설명"/>
      <sheetName val="시공여유율"/>
      <sheetName val="1호맨홀토공"/>
      <sheetName val="단면 (2)"/>
      <sheetName val="제출내역 (2)"/>
      <sheetName val="금액내역서"/>
      <sheetName val="전기혼잡제경비(45)"/>
      <sheetName val="공사비총괄표"/>
      <sheetName val="Sheet1"/>
      <sheetName val="유림골조"/>
      <sheetName val="가공비"/>
      <sheetName val="원가계산서(집계)"/>
      <sheetName val="날개벽"/>
      <sheetName val="PIPE내역_FCN_"/>
      <sheetName val="일위"/>
      <sheetName val="매립"/>
      <sheetName val="98수문일위"/>
      <sheetName val="96보완계획7.12"/>
      <sheetName val="날개벽(시점좌측)"/>
      <sheetName val="BID"/>
      <sheetName val="공문"/>
      <sheetName val="밸브설치"/>
      <sheetName val="98NS-N"/>
      <sheetName val="가설공사비"/>
      <sheetName val="DATA"/>
      <sheetName val="입상내역"/>
      <sheetName val="COPING-1"/>
      <sheetName val="역T형교대-2수량"/>
      <sheetName val="DATE"/>
      <sheetName val="조명시설"/>
      <sheetName val="수지예산서(세부) (2)"/>
      <sheetName val="공사비예산서(토목분)"/>
      <sheetName val="고창방향"/>
      <sheetName val="일위대가(목록)"/>
      <sheetName val="자원리스트"/>
      <sheetName val="대비"/>
      <sheetName val="터파기및재료"/>
      <sheetName val="단면가정"/>
      <sheetName val="부대내역"/>
      <sheetName val="별첨1-임식"/>
      <sheetName val="기본자료"/>
      <sheetName val="총괄내역서"/>
      <sheetName val="1.토공"/>
      <sheetName val="전선 및 전선관"/>
      <sheetName val="천방교접속"/>
      <sheetName val="견적대비"/>
      <sheetName val="지급자재"/>
      <sheetName val="변경집계표"/>
      <sheetName val="일위_파일"/>
      <sheetName val="지장물C"/>
      <sheetName val="Y-WORK"/>
      <sheetName val="업무처리전"/>
      <sheetName val="MACRO(MCC)"/>
      <sheetName val="수량산출"/>
      <sheetName val="본지점중"/>
      <sheetName val="교각1"/>
      <sheetName val="CODE"/>
      <sheetName val="COPING"/>
      <sheetName val="기초공"/>
      <sheetName val="기둥(원형)"/>
      <sheetName val="cover예산"/>
      <sheetName val="cover설계서"/>
      <sheetName val="예산서갑지"/>
      <sheetName val="원가계산"/>
      <sheetName val="원가근거 "/>
      <sheetName val="관급자재집계"/>
      <sheetName val="내역서집계"/>
      <sheetName val="내역서(1. 옥외전력 및 수변전설비)"/>
      <sheetName val="내역서(2. 접지 및 피뢰침 설비)"/>
      <sheetName val="내역서(3. CABLE TRAY)"/>
      <sheetName val="내역서(4. 가압장 동력)"/>
      <sheetName val="내역서(5. 약품투입동,응집침전지 동력)"/>
      <sheetName val="내역서(6. 여과지 동력)"/>
      <sheetName val="내역서(7. 농축조,농축분배조 동력)"/>
      <sheetName val="내역서(8. 조정농축조,조정농축분배조 동력)"/>
      <sheetName val="내역서(9. 탈리액농축조,탈리액농축분배조 동력)"/>
      <sheetName val="내역서(10. 탈수기동,회수펌프동 동력)"/>
      <sheetName val="내역서(11. 식당 및 창고 전력간선,전열)"/>
      <sheetName val="내역서(12. 식당 및 창고 전등)"/>
      <sheetName val="내역서(13. 가압장 전력간선,전열)"/>
      <sheetName val="내역서(14. 가압장 전등)"/>
      <sheetName val="내역서(15. 여과지 전력간선,전열)"/>
      <sheetName val="내역서(16. 여과지 전등)"/>
      <sheetName val="내역서(17. 각 농축분배조 전등.전열)"/>
      <sheetName val="내역서(18. 옥외 약전 및 방송)"/>
      <sheetName val="내역서(19. 각동 약전 및 방송)"/>
      <sheetName val="부대설비"/>
      <sheetName val="대가갑지"/>
      <sheetName val="분전반설치비 일위대가"/>
      <sheetName val="그림갑지"/>
      <sheetName val="잡철물제작"/>
      <sheetName val="관로굴착"/>
      <sheetName val="단가갑지"/>
      <sheetName val="단가비교표"/>
      <sheetName val="산출서갑지"/>
      <sheetName val="공량갑지"/>
      <sheetName val="공량(1. 옥외전력 및 수변전, 외등설비)"/>
      <sheetName val="공량(2. 접지 및 피뢰침 설비)"/>
      <sheetName val="공량(3. CABLE TRAY)"/>
      <sheetName val="공량(4. 가압장 동력)"/>
      <sheetName val="공량(5. 약품투입동,응집침전지 동력)"/>
      <sheetName val="공량(6. 여과지 동력)"/>
      <sheetName val="공량(7. 농축조,농축분배조 동력)"/>
      <sheetName val="공량(8. 조정농축조,조정농축분배조 동력)"/>
      <sheetName val="공량(9. 탈리액농축조,탈리액농축분배조 동력)"/>
      <sheetName val="공량(10. 탈수기동,회수펌프동 동력)"/>
      <sheetName val="공량(11. 식당 및 창고 전력간선,전열)"/>
      <sheetName val="공량(12. 식당 및 창고 전등)"/>
      <sheetName val="공량(13. 가압장 전력간선,전열)"/>
      <sheetName val="공량(14. 가압장 전등)"/>
      <sheetName val="공량(15. 여과지 전력간선,전열)"/>
      <sheetName val="공량(16. 여과지 전등)"/>
      <sheetName val="공량(17. 각 농축분배조 전등.전열)"/>
      <sheetName val="공량(18. 옥외 약전 및 방송)"/>
      <sheetName val="공량(19. 각동 약전 및 방송"/>
      <sheetName val="산출조서갑지"/>
      <sheetName val="산출조서(1.옥외전력 및 수변전, 외등설비)"/>
      <sheetName val="산출조서(2. 접지 및 피뢰침 설비)"/>
      <sheetName val="산출조서(3. CABLE TRAY)"/>
      <sheetName val="산출조서(4. 가압장 동력)"/>
      <sheetName val="산출조서(5. 약품투입동,응집침전지 동력)"/>
      <sheetName val="산출조서(6. 여과지 동력)"/>
      <sheetName val="산출조서(7. 농축조,농축분배조 동력)"/>
      <sheetName val="산출조서(8. 조정농축조,조정농축분배조 동력)"/>
      <sheetName val="산출조서(9. 탈리액농축조,탈리액농축분배조 동력)"/>
      <sheetName val="산출조서(10. 탈수기동,회수펌프동 동력)"/>
      <sheetName val="산출조서(11. 식당 및 창고 전력간선,전열)"/>
      <sheetName val="산출조서(12. 식당 및 창고 전등)"/>
      <sheetName val="산출조서(13. 가압장 전력간선,전열)"/>
      <sheetName val="산출조서(L1. 관리동 전등)"/>
      <sheetName val="산출조서(L2. 침사지 전등,전열)"/>
      <sheetName val="산출조서(15. 여과지 전력간선,전열)"/>
      <sheetName val="산출조서(16. 여과지 전등)"/>
      <sheetName val="산출조서(17. 각 농축분배조 전등.전열)"/>
      <sheetName val="산출조서(18. 옥외 약전 및 방송)"/>
      <sheetName val="산출조서(19. 각동 약전 및 방송)"/>
      <sheetName val="견적갑지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5"/>
      <sheetName val="한전 수탁비 계산 내역"/>
      <sheetName val="CUBICLE설치비 일위대가 "/>
      <sheetName val="9811"/>
      <sheetName val="NFB"/>
      <sheetName val="원가계산서 "/>
      <sheetName val="고용보험료"/>
      <sheetName val="예산내역서"/>
      <sheetName val="9509"/>
      <sheetName val="배수내역"/>
      <sheetName val="작업일보"/>
      <sheetName val="표준계약서"/>
      <sheetName val="본선 토공 분배표"/>
      <sheetName val="장비"/>
      <sheetName val="부하계산서"/>
      <sheetName val="부하(성남)"/>
      <sheetName val="하수급견적대비"/>
      <sheetName val="산근1"/>
      <sheetName val="관리,공감"/>
      <sheetName val="입찰"/>
      <sheetName val="설계내역"/>
      <sheetName val="소야공정계획표"/>
      <sheetName val="자재대"/>
      <sheetName val="현경"/>
      <sheetName val="간선계산"/>
      <sheetName val="점수계산1-2"/>
      <sheetName val="전화번호DATA (2001)"/>
      <sheetName val="A-4"/>
      <sheetName val="노무"/>
      <sheetName val="자압"/>
      <sheetName val="주형"/>
      <sheetName val="자재"/>
      <sheetName val="공  종  별  집  계  표"/>
      <sheetName val="일  위  대  가  목  록"/>
      <sheetName val="일 위 대 가 표"/>
      <sheetName val="단  가  대  비  표"/>
      <sheetName val="연습"/>
      <sheetName val="건축내역"/>
      <sheetName val="건              축"/>
      <sheetName val="기기리스트"/>
      <sheetName val="8.PILE  (돌출)"/>
      <sheetName val="계산근거"/>
      <sheetName val="_x0000__x000c__x0000__x000c__x0000__x0000_耀僵䅛_x0000__x0000__x0000__x0000__x0001__x0000__x0000__x0000_‎ӥ_x001b__x0000__x000c__x0000__x000c__x0000__x0000_"/>
      <sheetName val="설치중량_"/>
      <sheetName val="수문일위_"/>
      <sheetName val="_x0000__x000c__x0000__x000c__x0000__x0000_렀హ䆍_x0000__x0000__x0000__x0000__x0001__x0000__x0000__x0000_2_x0000__x0000__x0000__x0000__x0000__x001c__x0000__x000c__x0000_"/>
      <sheetName val="청하배수"/>
      <sheetName val="상 부"/>
      <sheetName val="유입량"/>
      <sheetName val=" 냉각수펌프"/>
      <sheetName val="샌딩 에폭시 도장"/>
      <sheetName val="스텐문틀설치"/>
      <sheetName val="일반문틀 설치"/>
      <sheetName val="설계조건"/>
      <sheetName val="안정계산"/>
      <sheetName val="단면검토"/>
      <sheetName val="관급수량총"/>
      <sheetName val="공장유"/>
      <sheetName val="문학간접"/>
      <sheetName val="가제당공사비"/>
      <sheetName val="기초처리공사비"/>
      <sheetName val="복통공사비"/>
      <sheetName val="본제당공사비"/>
      <sheetName val="시험비"/>
      <sheetName val="중기운반비"/>
      <sheetName val="진입도로공사비"/>
      <sheetName val="취수탑공사비"/>
      <sheetName val="토취장복구"/>
      <sheetName val="참조자료"/>
      <sheetName val="여과지동"/>
      <sheetName val="조건표"/>
      <sheetName val="설계내역서"/>
      <sheetName val="INPUT"/>
      <sheetName val="SG"/>
      <sheetName val="가도공"/>
      <sheetName val="분전함신설"/>
      <sheetName val="접지1종"/>
      <sheetName val="기존구조물철거집계계표"/>
      <sheetName val="일위대가목차"/>
      <sheetName val="INPUT(덕도방향-시점)"/>
      <sheetName val="장문교(대전)"/>
      <sheetName val="주재료비"/>
      <sheetName val="안정검토"/>
      <sheetName val="계화총괄"/>
      <sheetName val="계화배수(3대)"/>
      <sheetName val="공통"/>
      <sheetName val="갑지"/>
      <sheetName val="현산지구200420"/>
      <sheetName val="반중력식옹벽"/>
      <sheetName val="당초명세(평)"/>
      <sheetName val="약품공급2"/>
      <sheetName val="계화배수"/>
      <sheetName val="기계경비일람"/>
      <sheetName val="건축"/>
      <sheetName val="건축-물가변동"/>
      <sheetName val="주beam"/>
      <sheetName val="1.설계조건"/>
      <sheetName val="석탄2.3물량"/>
      <sheetName val="수문일위(2012)"/>
      <sheetName val="Macro2"/>
      <sheetName val="새공통"/>
      <sheetName val="화해(함평)"/>
      <sheetName val="화해(장성)"/>
      <sheetName val="수량이동"/>
      <sheetName val="제진기"/>
      <sheetName val="MOTOR"/>
      <sheetName val="경비2내역"/>
      <sheetName val="아파트 "/>
      <sheetName val="A(Rev.3)"/>
      <sheetName val="Macro"/>
      <sheetName val="Taux"/>
      <sheetName val="M-EQPT-Z"/>
      <sheetName val="단가일람"/>
      <sheetName val="6PILE  (돌출)"/>
      <sheetName val="단가산출내역(노임부분수정)"/>
      <sheetName val="공통비총괄표"/>
      <sheetName val="재개발"/>
      <sheetName val="토총괄 (2)"/>
      <sheetName val="음봉방향"/>
      <sheetName val="원형1호맨홀토공수량"/>
      <sheetName val="내역서1"/>
      <sheetName val="차액보증"/>
      <sheetName val="자재견적_(대왕)_(2)"/>
      <sheetName val="D-623D"/>
      <sheetName val="국내"/>
      <sheetName val="1NYS(당)"/>
      <sheetName val="원가계산서"/>
      <sheetName val="입력시트"/>
      <sheetName val="3.하중산정4.지지력"/>
      <sheetName val="단가산출서(표지)"/>
      <sheetName val="목차"/>
      <sheetName val="요율산출"/>
      <sheetName val="공종별예산조사"/>
      <sheetName val="수량산출서"/>
      <sheetName val="터파기,맨홀"/>
      <sheetName val="1공구8.개소"/>
      <sheetName val="운반"/>
      <sheetName val="운반산출"/>
      <sheetName val="작업부산물수량"/>
      <sheetName val="산업폐기물"/>
      <sheetName val="조립식 가설건물"/>
      <sheetName val="감독차량유지"/>
      <sheetName val="실행내역서"/>
      <sheetName val="2000년1차"/>
      <sheetName val="굴화내역"/>
      <sheetName val="굴화적격"/>
      <sheetName val="재료노무비율"/>
      <sheetName val="설계단가"/>
      <sheetName val="아파트내역"/>
      <sheetName val="48일위"/>
      <sheetName val="48수량"/>
      <sheetName val="22수량"/>
      <sheetName val="49일위"/>
      <sheetName val="22일위"/>
      <sheetName val="49수량"/>
      <sheetName val="증감내역서"/>
      <sheetName val="충돌 내용"/>
      <sheetName val="자재일위(경)"/>
      <sheetName val="기자재비"/>
      <sheetName val="EP0618"/>
      <sheetName val="정공공사"/>
      <sheetName val="기계경비(시간당)"/>
      <sheetName val="램머"/>
      <sheetName val="단가조사"/>
      <sheetName val="Baby일위대가"/>
      <sheetName val="조건"/>
      <sheetName val="단가산출"/>
      <sheetName val="전체도급"/>
      <sheetName val="부대대비"/>
      <sheetName val="냉연집계"/>
      <sheetName val="1-1"/>
      <sheetName val="토공총괄표"/>
      <sheetName val="산출내역서집계표"/>
      <sheetName val="1공구 건정토건 철콘"/>
      <sheetName val="2공구하도급내역서"/>
      <sheetName val="토량1-1"/>
      <sheetName val="적현로"/>
      <sheetName val="변경내역서"/>
      <sheetName val="수목단가"/>
      <sheetName val="시설수량표"/>
      <sheetName val="식재수량표"/>
      <sheetName val="전체"/>
      <sheetName val="관급자재"/>
      <sheetName val="제경비"/>
      <sheetName val="초기화면"/>
      <sheetName val="토공사"/>
      <sheetName val="정렬"/>
      <sheetName val="계약내역서"/>
      <sheetName val="직공비"/>
      <sheetName val="을"/>
      <sheetName val="TYPE-A"/>
      <sheetName val="공사비증감"/>
      <sheetName val="포장물량집계"/>
      <sheetName val="PIPE내역(FCN)"/>
      <sheetName val="준검 내역서"/>
      <sheetName val="strut type"/>
      <sheetName val="DATA1"/>
      <sheetName val="설계명세서"/>
      <sheetName val="예산명세서"/>
      <sheetName val="자료입력"/>
      <sheetName val="200"/>
      <sheetName val="공사비내역서"/>
      <sheetName val="산근터빈"/>
      <sheetName val="3.공통공사대비"/>
      <sheetName val="견적"/>
      <sheetName val="각형맨홀"/>
      <sheetName val="부표총괄"/>
      <sheetName val="간접비"/>
      <sheetName val="착공내역서"/>
      <sheetName val="단위수량"/>
      <sheetName val="SHL"/>
      <sheetName val="소일위대가코드표"/>
      <sheetName val="공사총원가계산서"/>
      <sheetName val="하수처리장-토목원가"/>
      <sheetName val="하수처리장-토목"/>
      <sheetName val="지장물취득비"/>
      <sheetName val="조경원가"/>
      <sheetName val="조경내역"/>
      <sheetName val="하수처리장-건축원가"/>
      <sheetName val="하수처리장-건축"/>
      <sheetName val="설비집계"/>
      <sheetName val="설비내역"/>
      <sheetName val="기계원가계산"/>
      <sheetName val="하수처리장-기계내역"/>
      <sheetName val="중계펌프장-기계내역"/>
      <sheetName val="전기원가"/>
      <sheetName val="인부신상자료"/>
      <sheetName val="BLOCK(1)"/>
      <sheetName val="위치조서"/>
      <sheetName val="Total"/>
      <sheetName val="이설도로유용토"/>
      <sheetName val="단위가격"/>
      <sheetName val="신표지1"/>
      <sheetName val="제수변수량"/>
      <sheetName val="3도로"/>
      <sheetName val="맨홀수량산출"/>
      <sheetName val="손익분석"/>
      <sheetName val="Sheet4"/>
      <sheetName val="갑지(추정)"/>
      <sheetName val="1.설계기준"/>
      <sheetName val="NAI"/>
      <sheetName val="총괄내역"/>
      <sheetName val="일반부표"/>
      <sheetName val="수로단위수량"/>
      <sheetName val="다곡2교"/>
      <sheetName val="전체내역서"/>
      <sheetName val="내역적용"/>
      <sheetName val="단가보완"/>
      <sheetName val="단면설계"/>
      <sheetName val="입력단가"/>
      <sheetName val="실행예산(97.12.17)"/>
      <sheetName val="집계표(육상)"/>
      <sheetName val="TOWER 12TON"/>
      <sheetName val="TOWER 10TON"/>
      <sheetName val="Macro1"/>
      <sheetName val="b_balju_cho"/>
      <sheetName val="CC16-내역서"/>
      <sheetName val="국공유지및사유지"/>
      <sheetName val="견적대비표"/>
      <sheetName val="투찰"/>
      <sheetName val="000000"/>
      <sheetName val="시행후면적"/>
      <sheetName val="수지예산"/>
      <sheetName val="TOTAL3"/>
      <sheetName val=""/>
      <sheetName val="직원유류수불현황"/>
      <sheetName val="전기집계"/>
      <sheetName val="하수처리장-전기집계"/>
      <sheetName val="하수처리장-전기내역"/>
      <sheetName val="중계펌프장-전기집계"/>
      <sheetName val="중계펌프장-전기내역"/>
      <sheetName val="1062-X방향 "/>
      <sheetName val="플랜트 설치"/>
      <sheetName val="교량하부공"/>
      <sheetName val="토사(PE)"/>
      <sheetName val="사  업  비  수  지  예  산  서"/>
      <sheetName val="tggwan(mac)"/>
      <sheetName val="IW-LIST"/>
      <sheetName val="A1"/>
      <sheetName val="집수정(600-700)"/>
      <sheetName val="입출재고현황 (2)"/>
      <sheetName val="경상비"/>
      <sheetName val="도급"/>
      <sheetName val="실행대비"/>
      <sheetName val="공사개요"/>
      <sheetName val="청천내"/>
      <sheetName val="도급내역"/>
      <sheetName val="세부내역"/>
      <sheetName val="연결임시"/>
      <sheetName val="구조물공"/>
      <sheetName val="투찰추정"/>
      <sheetName val="도급내역5+800"/>
      <sheetName val="수목표준대가"/>
      <sheetName val="JUCKEYK"/>
      <sheetName val="부대공"/>
      <sheetName val="도급금액"/>
      <sheetName val="재노경"/>
      <sheetName val="배수공"/>
      <sheetName val="일위대가(1)"/>
      <sheetName val="총공사내역서"/>
      <sheetName val="토공"/>
      <sheetName val="설 계"/>
      <sheetName val="WORK"/>
      <sheetName val="일반공사"/>
      <sheetName val="노임"/>
      <sheetName val="충주"/>
      <sheetName val="2000전체분"/>
      <sheetName val="공통부대비"/>
      <sheetName val="Sheet3"/>
      <sheetName val="입력값"/>
      <sheetName val="설계기준 및 하중계산"/>
      <sheetName val="BSD (2)"/>
      <sheetName val="하수처리장-사급자재대"/>
      <sheetName val="사급자재대-기계"/>
      <sheetName val="사급자재대-전기"/>
      <sheetName val="시운전비"/>
      <sheetName val="차집관로, 중계펌프장원가"/>
      <sheetName val="차집관로, 중계펌프장"/>
      <sheetName val="중계펌프장-건축"/>
      <sheetName val="중계펌프장-사급자재대"/>
      <sheetName val="JUCK"/>
      <sheetName val="연결관암거"/>
      <sheetName val="간접비총계"/>
      <sheetName val="부안변전"/>
      <sheetName val="연면적(평)단가"/>
      <sheetName val="구의33고"/>
      <sheetName val="B.O.M"/>
      <sheetName val="ESC(K치)"/>
      <sheetName val="CTEMCOST"/>
      <sheetName val="대림경상68억"/>
      <sheetName val="cal"/>
      <sheetName val="Eq. Mobilization"/>
      <sheetName val="PI"/>
      <sheetName val="계수시트"/>
      <sheetName val="용수간선"/>
      <sheetName val="수문보고"/>
      <sheetName val="S0"/>
      <sheetName val="대로근거"/>
      <sheetName val="중로근거"/>
      <sheetName val="진로도급"/>
      <sheetName val="백호우계수"/>
      <sheetName val="N賃率-職"/>
      <sheetName val="연돌일위집계"/>
      <sheetName val="G.R300경비"/>
      <sheetName val="노임이"/>
      <sheetName val="북방3터널"/>
      <sheetName val="1.취수장"/>
      <sheetName val="중기조종사 단위단가"/>
      <sheetName val="흥양2교토공집계표"/>
      <sheetName val="발주"/>
      <sheetName val="계약조건"/>
      <sheetName val="----"/>
      <sheetName val="VXXX"/>
      <sheetName val="갑지1"/>
      <sheetName val="갑지2"/>
      <sheetName val="원가"/>
      <sheetName val="집계"/>
      <sheetName val="가로등기초대"/>
      <sheetName val="점멸기기초"/>
      <sheetName val="대관"/>
      <sheetName val="사급"/>
      <sheetName val="관급"/>
      <sheetName val="수량(총괄)"/>
      <sheetName val="수량기초"/>
      <sheetName val="공량"/>
      <sheetName val="부하계산"/>
      <sheetName val="부목"/>
      <sheetName val="간지"/>
      <sheetName val="소총괄"/>
      <sheetName val="내1"/>
      <sheetName val="내2"/>
      <sheetName val="내3"/>
      <sheetName val="내4"/>
      <sheetName val="내5"/>
      <sheetName val="사급자재"/>
      <sheetName val="터파기"/>
      <sheetName val="수1"/>
      <sheetName val="수2"/>
      <sheetName val="수3"/>
      <sheetName val="수4"/>
      <sheetName val="수5"/>
      <sheetName val="공1"/>
      <sheetName val="공2"/>
      <sheetName val="공3"/>
      <sheetName val="공4"/>
      <sheetName val="공5"/>
      <sheetName val="6공구(당초)"/>
      <sheetName val="연결도로"/>
      <sheetName val="연결교량"/>
      <sheetName val="방수제집계"/>
      <sheetName val="진입도로"/>
      <sheetName val="확장(총괄)"/>
      <sheetName val="확장(부대)"/>
      <sheetName val="공사비내역서(1)"/>
      <sheetName val="BOX-1510"/>
      <sheetName val="DHEQSUPT"/>
      <sheetName val="S.중기사용료"/>
      <sheetName val="입력란"/>
      <sheetName val="97노임단가"/>
      <sheetName val="케이슨Type-A(제원)"/>
      <sheetName val="총집계표"/>
      <sheetName val="LRT Style BOQ"/>
      <sheetName val="3.바닥판설계"/>
      <sheetName val="호안블럭단가"/>
      <sheetName val="아울렛박스"/>
      <sheetName val="소산진입"/>
      <sheetName val="사업수지"/>
      <sheetName val="포장공위치조서"/>
      <sheetName val="Macro(전선)"/>
      <sheetName val="노무비계"/>
      <sheetName val="1공구원가계산서"/>
      <sheetName val="제직재"/>
      <sheetName val="설직재-1"/>
      <sheetName val="제-노임"/>
      <sheetName val="마-2.전화"/>
      <sheetName val="구천"/>
      <sheetName val="제당(원도급내역)"/>
      <sheetName val="제당 (13신규)원도급내역"/>
      <sheetName val="제당 (14신규)원도급내역"/>
      <sheetName val="제당(하도급내역)"/>
      <sheetName val="제당 (13신규)하도급내역"/>
      <sheetName val="제당 (14신규)하도급내역 "/>
      <sheetName val="여수토방수로(원도급내역)"/>
      <sheetName val="여수토방수로 (13신규)원도급내역"/>
      <sheetName val="여수토방수로 (14신규)원도급내역"/>
      <sheetName val="여수토방수로(하도급내역)"/>
      <sheetName val="여수토방수로 (13신규)하도급내역 "/>
      <sheetName val="여수토방수로 (14신규)하도급내역 "/>
      <sheetName val="이설도로(원도급내역)"/>
      <sheetName val="이설도로 (14신규)원도급내역 "/>
      <sheetName val="이설도로(하도급내역)"/>
      <sheetName val="이설도로 (14신규)하도급내역"/>
      <sheetName val="2호이설도로(원도급내역)"/>
      <sheetName val="2호이설도로 (14신규)원도급내역"/>
      <sheetName val="2호이설도로(하도급내역) "/>
      <sheetName val="2호이설도로 (14신규)하도급내역"/>
      <sheetName val="사통(원도급내역)"/>
      <sheetName val="사통(하도급내역) "/>
      <sheetName val="제1호용수지선(원도급)"/>
      <sheetName val="제1호용수지선 (하도급)"/>
      <sheetName val="공사총원가계多⾊"/>
      <sheetName val="자료"/>
      <sheetName val="무근깨기"/>
      <sheetName val="골조시행"/>
      <sheetName val="공구원가계산"/>
      <sheetName val="수량산출서 갑지"/>
      <sheetName val="환경기계공정표 (3)"/>
      <sheetName val="깨기"/>
      <sheetName val="내역서적용집계표"/>
      <sheetName val="용역비내역-진짜"/>
      <sheetName val="기계경비"/>
      <sheetName val="96노임기준"/>
      <sheetName val="보온 회사분"/>
      <sheetName val="RING WALL"/>
      <sheetName val="우수공"/>
      <sheetName val="다곡땭⾘"/>
      <sheetName val="DT"/>
      <sheetName val="롤러"/>
      <sheetName val="BH"/>
      <sheetName val="펌프차타설"/>
      <sheetName val="1.레미콘집계"/>
      <sheetName val="2.아스콘집계"/>
      <sheetName val="3.보도집계"/>
      <sheetName val="4.보차도경계석및 도로경계블럭"/>
      <sheetName val="Ⅰ.골재집계 "/>
      <sheetName val="총괄집계표"/>
      <sheetName val="list"/>
      <sheetName val="목표세부명세"/>
      <sheetName val="TARGET"/>
      <sheetName val="건축내역서"/>
      <sheetName val="설비내역서"/>
      <sheetName val="전기내역서"/>
      <sheetName val="인건비"/>
      <sheetName val="DATA-UPS"/>
      <sheetName val="전력"/>
      <sheetName val="woo(mac)"/>
      <sheetName val="I一般比"/>
      <sheetName val="도근좌표"/>
      <sheetName val="DANGA"/>
      <sheetName val="옹벽수량집계"/>
      <sheetName val="토적계산서(전체)"/>
      <sheetName val="종단유용(전체)"/>
      <sheetName val="data2"/>
      <sheetName val="세골재  T2 변경 현황"/>
      <sheetName val="6.7.8.우물통"/>
      <sheetName val="48일위(기존)"/>
      <sheetName val="Requirement(Work Crew)"/>
      <sheetName val="1차네트공정"/>
      <sheetName val="청구서 (별지)(3차분)"/>
      <sheetName val="기성내역서(전체,3차)"/>
      <sheetName val="MODELING"/>
      <sheetName val="9GNG운반"/>
      <sheetName val="Electric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laroux"/>
      <sheetName val="가척-나산"/>
      <sheetName val="젖티변경"/>
      <sheetName val="젖티증"/>
      <sheetName val="자재집계"/>
      <sheetName val="포장집계"/>
      <sheetName val="토공"/>
      <sheetName val="토공수량"/>
      <sheetName val="표토제거"/>
      <sheetName val="토량1"/>
      <sheetName val="토량2"/>
      <sheetName val="토량1-1"/>
      <sheetName val="토량2-1"/>
      <sheetName val="토적집계"/>
      <sheetName val="산출내역"/>
      <sheetName val="일위대가"/>
      <sheetName val="운반거리"/>
      <sheetName val="간지1"/>
      <sheetName val="간지2"/>
      <sheetName val="잔여물량"/>
      <sheetName val="가척수계"/>
      <sheetName val="토량변경"/>
      <sheetName val="Sheet10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화설내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98수문일위"/>
      <sheetName val="98자재단가"/>
      <sheetName val="98년도"/>
      <sheetName val="99년도1월 "/>
      <sheetName val="99년도4월 "/>
      <sheetName val="99년도7월"/>
      <sheetName val="99년도9월"/>
      <sheetName val="해평이토변"/>
      <sheetName val="녹동자동비22560"/>
      <sheetName val="녹동자동비22760"/>
      <sheetName val="광양도이자동비"/>
      <sheetName val="도암천자동비"/>
      <sheetName val="광양신아배수문"/>
      <sheetName val="창포지구"/>
      <sheetName val="도양자동비"/>
      <sheetName val="회문지구"/>
      <sheetName val="토기공"/>
      <sheetName val="옥룡제"/>
      <sheetName val="봉덕보"/>
      <sheetName val="봉덕보 1"/>
      <sheetName val="난간"/>
    </sheetNames>
    <sheetDataSet>
      <sheetData sheetId="0" refreshError="1"/>
      <sheetData sheetId="1" refreshError="1">
        <row r="2">
          <cell r="A2" t="str">
            <v>★ 본 수문용 일위대가표를 수정할때는 아래사항을 유의하기바람</v>
          </cell>
        </row>
        <row r="3">
          <cell r="A3" t="str">
            <v>1. 사용장비 손료는 단가항목이 공란인것은 토목에서 받아 기입하고, 다른것은 시중물가지에서 해당 단가를 찾아  수정할것</v>
          </cell>
        </row>
        <row r="4">
          <cell r="A4" t="str">
            <v xml:space="preserve">2. 도장비 산출 내역중 자재비는 별도 기입할것.          </v>
          </cell>
        </row>
        <row r="11">
          <cell r="G11" t="str">
            <v>'98 년도  노 임  단 가 표</v>
          </cell>
        </row>
        <row r="12">
          <cell r="E12" t="str">
            <v xml:space="preserve"> </v>
          </cell>
        </row>
        <row r="13">
          <cell r="A13" t="str">
            <v>종       별</v>
          </cell>
          <cell r="C13" t="str">
            <v>재 료 또 는</v>
          </cell>
          <cell r="D13" t="str">
            <v>원 수</v>
          </cell>
          <cell r="E13" t="str">
            <v>단위</v>
          </cell>
          <cell r="F13" t="str">
            <v>총   액</v>
          </cell>
          <cell r="G13" t="str">
            <v>노   무   비</v>
          </cell>
          <cell r="I13" t="str">
            <v>재   료   비</v>
          </cell>
          <cell r="K13" t="str">
            <v>경      비</v>
          </cell>
          <cell r="M13" t="str">
            <v>비   고</v>
          </cell>
        </row>
        <row r="14">
          <cell r="C14" t="str">
            <v xml:space="preserve">규       격 </v>
          </cell>
          <cell r="F14" t="str">
            <v>금   액</v>
          </cell>
          <cell r="G14" t="str">
            <v>단  가</v>
          </cell>
          <cell r="H14" t="str">
            <v>금   액</v>
          </cell>
          <cell r="I14" t="str">
            <v>단  가</v>
          </cell>
          <cell r="J14" t="str">
            <v>금   액</v>
          </cell>
          <cell r="K14" t="str">
            <v>단  가</v>
          </cell>
          <cell r="L14" t="str">
            <v>금   액</v>
          </cell>
        </row>
        <row r="15">
          <cell r="A15" t="str">
            <v>형  틀  목  공</v>
          </cell>
          <cell r="C15" t="str">
            <v xml:space="preserve"> </v>
          </cell>
          <cell r="D15">
            <v>1</v>
          </cell>
          <cell r="E15" t="str">
            <v>일</v>
          </cell>
          <cell r="H15">
            <v>75306</v>
          </cell>
        </row>
        <row r="16">
          <cell r="A16" t="str">
            <v>절    단    공</v>
          </cell>
          <cell r="D16">
            <v>1</v>
          </cell>
          <cell r="E16" t="str">
            <v>"</v>
          </cell>
          <cell r="H16">
            <v>65881</v>
          </cell>
        </row>
        <row r="17">
          <cell r="A17" t="str">
            <v>석          공</v>
          </cell>
          <cell r="D17">
            <v>1</v>
          </cell>
          <cell r="E17" t="str">
            <v>"</v>
          </cell>
          <cell r="H17">
            <v>77005</v>
          </cell>
        </row>
        <row r="18">
          <cell r="A18" t="str">
            <v>특 수 비 계 공</v>
          </cell>
          <cell r="D18">
            <v>1</v>
          </cell>
          <cell r="E18" t="str">
            <v>"</v>
          </cell>
          <cell r="H18">
            <v>85884</v>
          </cell>
        </row>
        <row r="19">
          <cell r="A19" t="str">
            <v>비    계    공</v>
          </cell>
          <cell r="D19">
            <v>1</v>
          </cell>
          <cell r="E19" t="str">
            <v>"</v>
          </cell>
          <cell r="H19">
            <v>79467</v>
          </cell>
        </row>
        <row r="20">
          <cell r="A20" t="str">
            <v>도    장    공</v>
          </cell>
          <cell r="D20">
            <v>1</v>
          </cell>
          <cell r="E20" t="str">
            <v>일</v>
          </cell>
          <cell r="H20">
            <v>63038</v>
          </cell>
        </row>
        <row r="21">
          <cell r="A21" t="str">
            <v>플랜트기계설치공</v>
          </cell>
          <cell r="D21">
            <v>1</v>
          </cell>
          <cell r="E21" t="str">
            <v>"</v>
          </cell>
          <cell r="H21">
            <v>80805</v>
          </cell>
        </row>
        <row r="22">
          <cell r="A22" t="str">
            <v>플랜트  용접공</v>
          </cell>
          <cell r="D22">
            <v>1</v>
          </cell>
          <cell r="E22" t="str">
            <v>"</v>
          </cell>
          <cell r="H22">
            <v>95379</v>
          </cell>
        </row>
        <row r="23">
          <cell r="A23" t="str">
            <v>플랜트  제관공</v>
          </cell>
          <cell r="D23">
            <v>1</v>
          </cell>
          <cell r="E23" t="str">
            <v>"</v>
          </cell>
          <cell r="H23">
            <v>81966</v>
          </cell>
        </row>
        <row r="24">
          <cell r="A24" t="str">
            <v>플랜트  배관공</v>
          </cell>
          <cell r="D24">
            <v>1</v>
          </cell>
          <cell r="E24" t="str">
            <v>"</v>
          </cell>
          <cell r="H24">
            <v>97219</v>
          </cell>
        </row>
        <row r="25">
          <cell r="A25" t="str">
            <v>측    량    사</v>
          </cell>
          <cell r="D25">
            <v>1</v>
          </cell>
          <cell r="E25" t="str">
            <v>일</v>
          </cell>
          <cell r="H25">
            <v>58506</v>
          </cell>
        </row>
        <row r="26">
          <cell r="A26" t="str">
            <v>측량사    조수</v>
          </cell>
          <cell r="D26">
            <v>1</v>
          </cell>
          <cell r="E26" t="str">
            <v>"</v>
          </cell>
          <cell r="H26">
            <v>38777</v>
          </cell>
        </row>
        <row r="27">
          <cell r="A27" t="str">
            <v>플랜트    전공</v>
          </cell>
          <cell r="D27">
            <v>1</v>
          </cell>
          <cell r="E27" t="str">
            <v>"</v>
          </cell>
          <cell r="H27">
            <v>64285</v>
          </cell>
        </row>
        <row r="28">
          <cell r="A28" t="str">
            <v>특  별  인  부</v>
          </cell>
          <cell r="D28">
            <v>1</v>
          </cell>
          <cell r="E28" t="str">
            <v>"</v>
          </cell>
          <cell r="H28">
            <v>57379</v>
          </cell>
        </row>
        <row r="29">
          <cell r="A29" t="str">
            <v>보  통  인  부</v>
          </cell>
          <cell r="D29">
            <v>1</v>
          </cell>
          <cell r="E29" t="str">
            <v>"</v>
          </cell>
          <cell r="H29">
            <v>37736</v>
          </cell>
        </row>
        <row r="30">
          <cell r="A30" t="str">
            <v>중기 운전 기사</v>
          </cell>
          <cell r="D30">
            <v>1</v>
          </cell>
          <cell r="E30" t="str">
            <v>일</v>
          </cell>
          <cell r="H30">
            <v>56951</v>
          </cell>
        </row>
        <row r="31">
          <cell r="A31" t="str">
            <v>중  기  조  장</v>
          </cell>
          <cell r="D31">
            <v>1</v>
          </cell>
          <cell r="E31" t="str">
            <v>"</v>
          </cell>
          <cell r="H31">
            <v>55484</v>
          </cell>
        </row>
        <row r="32">
          <cell r="A32" t="str">
            <v>운전수(기  계)</v>
          </cell>
          <cell r="D32">
            <v>1</v>
          </cell>
          <cell r="E32" t="str">
            <v>"</v>
          </cell>
          <cell r="H32">
            <v>54325</v>
          </cell>
        </row>
        <row r="33">
          <cell r="A33" t="str">
            <v>운전사(운반차)</v>
          </cell>
          <cell r="D33">
            <v>1</v>
          </cell>
          <cell r="E33" t="str">
            <v>"</v>
          </cell>
          <cell r="H33">
            <v>51077</v>
          </cell>
        </row>
        <row r="34">
          <cell r="A34" t="str">
            <v>종       별</v>
          </cell>
          <cell r="C34" t="str">
            <v>재 료 또 는</v>
          </cell>
          <cell r="D34" t="str">
            <v xml:space="preserve">원 수 </v>
          </cell>
          <cell r="E34" t="str">
            <v>단 위</v>
          </cell>
          <cell r="F34" t="str">
            <v>총   액</v>
          </cell>
          <cell r="G34" t="str">
            <v>노   무   비</v>
          </cell>
          <cell r="I34" t="str">
            <v>재   료   비</v>
          </cell>
          <cell r="K34" t="str">
            <v>경      비</v>
          </cell>
          <cell r="M34" t="str">
            <v>비   고</v>
          </cell>
        </row>
        <row r="35">
          <cell r="C35" t="str">
            <v xml:space="preserve">규       격 </v>
          </cell>
          <cell r="F35" t="str">
            <v>금   액</v>
          </cell>
          <cell r="G35" t="str">
            <v>단  가</v>
          </cell>
          <cell r="H35" t="str">
            <v>금   액</v>
          </cell>
          <cell r="I35" t="str">
            <v>단  가</v>
          </cell>
          <cell r="J35" t="str">
            <v>금   액</v>
          </cell>
          <cell r="K35" t="str">
            <v>단  가</v>
          </cell>
          <cell r="L35" t="str">
            <v>금   액</v>
          </cell>
        </row>
        <row r="36">
          <cell r="A36" t="str">
            <v>중기 운전 조수</v>
          </cell>
          <cell r="D36">
            <v>1</v>
          </cell>
          <cell r="E36" t="str">
            <v>"</v>
          </cell>
          <cell r="H36">
            <v>42762</v>
          </cell>
        </row>
        <row r="37">
          <cell r="A37" t="str">
            <v>기    계    공</v>
          </cell>
          <cell r="D37">
            <v>1</v>
          </cell>
          <cell r="E37" t="str">
            <v>일</v>
          </cell>
          <cell r="H37">
            <v>58906</v>
          </cell>
        </row>
        <row r="38">
          <cell r="A38" t="str">
            <v>용접공 (일 반)</v>
          </cell>
          <cell r="D38">
            <v>1</v>
          </cell>
          <cell r="E38" t="str">
            <v>"</v>
          </cell>
          <cell r="H38">
            <v>74016</v>
          </cell>
        </row>
        <row r="39">
          <cell r="A39" t="str">
            <v>리    벳    공</v>
          </cell>
          <cell r="D39">
            <v>1</v>
          </cell>
          <cell r="E39" t="str">
            <v>"</v>
          </cell>
          <cell r="H39">
            <v>71579</v>
          </cell>
        </row>
        <row r="40">
          <cell r="A40" t="str">
            <v>계    령    공</v>
          </cell>
          <cell r="D40">
            <v>1</v>
          </cell>
          <cell r="E40" t="str">
            <v>"</v>
          </cell>
          <cell r="H40">
            <v>41937</v>
          </cell>
          <cell r="L40" t="str">
            <v xml:space="preserve"> </v>
          </cell>
        </row>
        <row r="41">
          <cell r="A41" t="str">
            <v>제    도    공</v>
          </cell>
          <cell r="D41">
            <v>1</v>
          </cell>
          <cell r="E41" t="str">
            <v>"</v>
          </cell>
          <cell r="H41">
            <v>32747</v>
          </cell>
        </row>
        <row r="42">
          <cell r="A42" t="str">
            <v>현    도    공</v>
          </cell>
          <cell r="C42" t="str">
            <v xml:space="preserve"> </v>
          </cell>
          <cell r="D42">
            <v>1</v>
          </cell>
          <cell r="E42" t="str">
            <v>일</v>
          </cell>
          <cell r="H42">
            <v>28487</v>
          </cell>
        </row>
        <row r="43">
          <cell r="A43" t="str">
            <v>마    킹    공</v>
          </cell>
          <cell r="D43">
            <v>1</v>
          </cell>
          <cell r="E43" t="str">
            <v>"</v>
          </cell>
          <cell r="H43">
            <v>26924</v>
          </cell>
        </row>
        <row r="44">
          <cell r="A44" t="str">
            <v>산 소 절 단 공</v>
          </cell>
          <cell r="D44">
            <v>1</v>
          </cell>
          <cell r="E44" t="str">
            <v>"</v>
          </cell>
          <cell r="H44">
            <v>31794</v>
          </cell>
        </row>
        <row r="45">
          <cell r="A45" t="str">
            <v>샤    링    공</v>
          </cell>
          <cell r="D45">
            <v>1</v>
          </cell>
          <cell r="E45" t="str">
            <v>"</v>
          </cell>
          <cell r="H45">
            <v>29508</v>
          </cell>
        </row>
        <row r="46">
          <cell r="A46" t="str">
            <v>프  레  스  공</v>
          </cell>
          <cell r="D46">
            <v>1</v>
          </cell>
          <cell r="E46" t="str">
            <v>"</v>
          </cell>
          <cell r="H46">
            <v>26250</v>
          </cell>
        </row>
        <row r="47">
          <cell r="A47" t="str">
            <v>보    링    공</v>
          </cell>
          <cell r="D47">
            <v>1</v>
          </cell>
          <cell r="E47" t="str">
            <v>일</v>
          </cell>
          <cell r="H47">
            <v>28378</v>
          </cell>
        </row>
        <row r="48">
          <cell r="A48" t="str">
            <v>밀    링    공</v>
          </cell>
          <cell r="D48">
            <v>1</v>
          </cell>
          <cell r="E48" t="str">
            <v>"</v>
          </cell>
          <cell r="H48">
            <v>27252</v>
          </cell>
        </row>
        <row r="49">
          <cell r="A49" t="str">
            <v>방 전 절 단 공</v>
          </cell>
          <cell r="D49">
            <v>1</v>
          </cell>
          <cell r="E49" t="str">
            <v>"</v>
          </cell>
          <cell r="H49">
            <v>27047</v>
          </cell>
        </row>
        <row r="50">
          <cell r="A50" t="str">
            <v>드    링    공</v>
          </cell>
          <cell r="D50">
            <v>1</v>
          </cell>
          <cell r="E50" t="str">
            <v>"</v>
          </cell>
          <cell r="H50">
            <v>27215</v>
          </cell>
        </row>
        <row r="51">
          <cell r="A51" t="str">
            <v>수 동 선 반 공</v>
          </cell>
          <cell r="D51">
            <v>1</v>
          </cell>
          <cell r="E51" t="str">
            <v>"</v>
          </cell>
          <cell r="H51">
            <v>27350</v>
          </cell>
        </row>
        <row r="52">
          <cell r="A52" t="str">
            <v>프  레  나  공</v>
          </cell>
          <cell r="D52">
            <v>1</v>
          </cell>
          <cell r="E52" t="str">
            <v>일</v>
          </cell>
          <cell r="H52">
            <v>25035</v>
          </cell>
        </row>
        <row r="53">
          <cell r="A53" t="str">
            <v>3 본  로 라 공</v>
          </cell>
          <cell r="D53">
            <v>1</v>
          </cell>
          <cell r="E53" t="str">
            <v>"</v>
          </cell>
          <cell r="H53">
            <v>34250</v>
          </cell>
        </row>
        <row r="54">
          <cell r="A54" t="str">
            <v>벤 딩 머 쉰 공</v>
          </cell>
          <cell r="D54">
            <v>1</v>
          </cell>
          <cell r="E54" t="str">
            <v>"</v>
          </cell>
          <cell r="H54">
            <v>29076</v>
          </cell>
        </row>
        <row r="55">
          <cell r="A55" t="str">
            <v>열  처  리  공</v>
          </cell>
          <cell r="D55">
            <v>1</v>
          </cell>
          <cell r="E55" t="str">
            <v>"</v>
          </cell>
          <cell r="H55">
            <v>25392</v>
          </cell>
        </row>
        <row r="56">
          <cell r="A56" t="str">
            <v>용    접    공</v>
          </cell>
          <cell r="D56">
            <v>1</v>
          </cell>
          <cell r="E56" t="str">
            <v>"</v>
          </cell>
          <cell r="H56">
            <v>27908</v>
          </cell>
        </row>
        <row r="57">
          <cell r="A57" t="str">
            <v>종       별</v>
          </cell>
          <cell r="C57" t="str">
            <v>재 료 또 는</v>
          </cell>
          <cell r="D57" t="str">
            <v xml:space="preserve">원 수 </v>
          </cell>
          <cell r="E57" t="str">
            <v>단 위</v>
          </cell>
          <cell r="F57" t="str">
            <v>총   액</v>
          </cell>
          <cell r="G57" t="str">
            <v>노   무   비</v>
          </cell>
          <cell r="I57" t="str">
            <v>재   료   비</v>
          </cell>
          <cell r="K57" t="str">
            <v>경      비</v>
          </cell>
          <cell r="M57" t="str">
            <v>비   고</v>
          </cell>
        </row>
        <row r="58">
          <cell r="C58" t="str">
            <v xml:space="preserve">규       격 </v>
          </cell>
          <cell r="F58" t="str">
            <v>금   액</v>
          </cell>
          <cell r="G58" t="str">
            <v>단  가</v>
          </cell>
          <cell r="H58" t="str">
            <v>금   액</v>
          </cell>
          <cell r="I58" t="str">
            <v>단  가</v>
          </cell>
          <cell r="J58" t="str">
            <v>금   액</v>
          </cell>
          <cell r="K58" t="str">
            <v>단  가</v>
          </cell>
          <cell r="L58" t="str">
            <v>금   액</v>
          </cell>
        </row>
        <row r="59">
          <cell r="A59" t="str">
            <v>그 라 인 다 공</v>
          </cell>
          <cell r="D59">
            <v>1</v>
          </cell>
          <cell r="E59" t="str">
            <v>일</v>
          </cell>
          <cell r="H59">
            <v>26032</v>
          </cell>
        </row>
        <row r="60">
          <cell r="A60" t="str">
            <v>비파괴  시험공</v>
          </cell>
          <cell r="D60">
            <v>1</v>
          </cell>
          <cell r="E60" t="str">
            <v>"</v>
          </cell>
          <cell r="H60">
            <v>64472</v>
          </cell>
        </row>
        <row r="61">
          <cell r="A61" t="str">
            <v>기계 기사 1 급</v>
          </cell>
          <cell r="C61" t="str">
            <v>(중급기술자)</v>
          </cell>
          <cell r="D61">
            <v>1</v>
          </cell>
          <cell r="E61" t="str">
            <v>"</v>
          </cell>
          <cell r="H61">
            <v>97488</v>
          </cell>
        </row>
        <row r="62">
          <cell r="A62" t="str">
            <v>기계 기사 2 급</v>
          </cell>
          <cell r="C62" t="str">
            <v>(초급기술자)</v>
          </cell>
          <cell r="D62">
            <v>1</v>
          </cell>
          <cell r="E62" t="str">
            <v>"</v>
          </cell>
          <cell r="H62">
            <v>69405</v>
          </cell>
        </row>
        <row r="63">
          <cell r="A63" t="str">
            <v>철    공</v>
          </cell>
          <cell r="D63">
            <v>1</v>
          </cell>
          <cell r="E63" t="str">
            <v>"</v>
          </cell>
          <cell r="H63">
            <v>72430</v>
          </cell>
        </row>
        <row r="64">
          <cell r="A64" t="str">
            <v>잠 수 부</v>
          </cell>
          <cell r="D64">
            <v>1</v>
          </cell>
          <cell r="E64" t="str">
            <v xml:space="preserve">일 </v>
          </cell>
          <cell r="H64">
            <v>81832</v>
          </cell>
        </row>
        <row r="65">
          <cell r="A65" t="str">
            <v>선    부</v>
          </cell>
          <cell r="D65">
            <v>1</v>
          </cell>
          <cell r="E65" t="str">
            <v xml:space="preserve">일 </v>
          </cell>
          <cell r="H65">
            <v>40088</v>
          </cell>
        </row>
        <row r="66">
          <cell r="A66" t="str">
            <v>조 력 공</v>
          </cell>
          <cell r="D66">
            <v>1</v>
          </cell>
          <cell r="E66" t="str">
            <v xml:space="preserve">일 </v>
          </cell>
          <cell r="H66">
            <v>48912</v>
          </cell>
        </row>
        <row r="67">
          <cell r="A67" t="str">
            <v>품질관리공(시험사1급)</v>
          </cell>
          <cell r="D67">
            <v>1</v>
          </cell>
          <cell r="E67" t="str">
            <v xml:space="preserve">일 </v>
          </cell>
          <cell r="H67">
            <v>47867</v>
          </cell>
          <cell r="L67" t="str">
            <v xml:space="preserve"> </v>
          </cell>
        </row>
        <row r="68">
          <cell r="A68" t="str">
            <v>특급기술자(건설및기타)</v>
          </cell>
          <cell r="D68">
            <v>1</v>
          </cell>
          <cell r="E68" t="str">
            <v xml:space="preserve">일 </v>
          </cell>
          <cell r="H68">
            <v>142203</v>
          </cell>
          <cell r="L68" t="str">
            <v xml:space="preserve"> </v>
          </cell>
        </row>
        <row r="69">
          <cell r="A69" t="str">
            <v>고급기술자(    "     )</v>
          </cell>
          <cell r="D69">
            <v>1</v>
          </cell>
          <cell r="E69" t="str">
            <v xml:space="preserve">일 </v>
          </cell>
          <cell r="H69">
            <v>117410</v>
          </cell>
          <cell r="L69" t="str">
            <v xml:space="preserve"> </v>
          </cell>
        </row>
        <row r="70">
          <cell r="A70" t="str">
            <v>중급기술자(    "     )</v>
          </cell>
          <cell r="D70">
            <v>1</v>
          </cell>
          <cell r="E70" t="str">
            <v xml:space="preserve">일 </v>
          </cell>
          <cell r="H70">
            <v>97488</v>
          </cell>
          <cell r="L70" t="str">
            <v xml:space="preserve"> </v>
          </cell>
        </row>
        <row r="71">
          <cell r="A71" t="str">
            <v>초급기술자(    "     )</v>
          </cell>
          <cell r="D71">
            <v>1</v>
          </cell>
          <cell r="E71" t="str">
            <v xml:space="preserve">일 </v>
          </cell>
          <cell r="H71">
            <v>69405</v>
          </cell>
          <cell r="L71" t="str">
            <v xml:space="preserve"> </v>
          </cell>
        </row>
        <row r="72">
          <cell r="A72" t="str">
            <v>고급기능사(    "     )</v>
          </cell>
          <cell r="D72">
            <v>1</v>
          </cell>
          <cell r="E72" t="str">
            <v xml:space="preserve">일 </v>
          </cell>
          <cell r="H72">
            <v>68094</v>
          </cell>
          <cell r="L72" t="str">
            <v xml:space="preserve"> </v>
          </cell>
        </row>
        <row r="73">
          <cell r="A73" t="str">
            <v>중급기능사(    "     )</v>
          </cell>
          <cell r="D73">
            <v>1</v>
          </cell>
          <cell r="E73" t="str">
            <v xml:space="preserve">일 </v>
          </cell>
          <cell r="H73">
            <v>60249</v>
          </cell>
          <cell r="L73" t="str">
            <v xml:space="preserve"> </v>
          </cell>
        </row>
        <row r="74">
          <cell r="A74" t="str">
            <v>초급기능사(    "     )</v>
          </cell>
          <cell r="D74">
            <v>1</v>
          </cell>
          <cell r="E74" t="str">
            <v xml:space="preserve">일 </v>
          </cell>
          <cell r="H74">
            <v>48652</v>
          </cell>
          <cell r="L74" t="str">
            <v xml:space="preserve"> </v>
          </cell>
        </row>
        <row r="75">
          <cell r="C75" t="str">
            <v xml:space="preserve"> </v>
          </cell>
        </row>
        <row r="76">
          <cell r="C76" t="str">
            <v xml:space="preserve"> 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1">
          <cell r="B81" t="str">
            <v>'98 년도  소 모 자 재  단 가 표</v>
          </cell>
        </row>
        <row r="82">
          <cell r="E82" t="str">
            <v xml:space="preserve"> </v>
          </cell>
        </row>
        <row r="83">
          <cell r="A83" t="str">
            <v>종       별</v>
          </cell>
          <cell r="C83" t="str">
            <v>재 료 또 는</v>
          </cell>
          <cell r="D83" t="str">
            <v xml:space="preserve">원 수 </v>
          </cell>
          <cell r="E83" t="str">
            <v>단 위</v>
          </cell>
          <cell r="F83" t="str">
            <v>총   액</v>
          </cell>
          <cell r="G83" t="str">
            <v>노   무   비</v>
          </cell>
          <cell r="I83" t="str">
            <v>재   료   비</v>
          </cell>
          <cell r="K83" t="str">
            <v>경      비</v>
          </cell>
          <cell r="M83" t="str">
            <v>비   고</v>
          </cell>
        </row>
        <row r="84">
          <cell r="C84" t="str">
            <v xml:space="preserve">규       격 </v>
          </cell>
          <cell r="F84" t="str">
            <v>금   액</v>
          </cell>
          <cell r="G84" t="str">
            <v>단  가</v>
          </cell>
          <cell r="H84" t="str">
            <v>금   액</v>
          </cell>
          <cell r="I84" t="str">
            <v>단  가</v>
          </cell>
          <cell r="J84" t="str">
            <v>금   액</v>
          </cell>
          <cell r="K84" t="str">
            <v>단  가</v>
          </cell>
          <cell r="L84" t="str">
            <v>금   액</v>
          </cell>
        </row>
        <row r="85">
          <cell r="A85" t="str">
            <v>산          소</v>
          </cell>
          <cell r="C85" t="str">
            <v>6,000 L</v>
          </cell>
          <cell r="D85">
            <v>1</v>
          </cell>
          <cell r="E85" t="str">
            <v>병</v>
          </cell>
          <cell r="J85">
            <v>12000</v>
          </cell>
        </row>
        <row r="86">
          <cell r="A86" t="str">
            <v>아  세  치  렌</v>
          </cell>
          <cell r="C86" t="str">
            <v>4,500 L</v>
          </cell>
          <cell r="D86">
            <v>1</v>
          </cell>
          <cell r="E86" t="str">
            <v>"</v>
          </cell>
          <cell r="J86">
            <v>55392</v>
          </cell>
        </row>
        <row r="87">
          <cell r="B87" t="str">
            <v xml:space="preserve">  "</v>
          </cell>
          <cell r="C87" t="str">
            <v>2,100 L</v>
          </cell>
          <cell r="D87">
            <v>1</v>
          </cell>
          <cell r="E87" t="str">
            <v>"</v>
          </cell>
          <cell r="J87">
            <v>25849</v>
          </cell>
        </row>
        <row r="88">
          <cell r="A88" t="str">
            <v>STS 용  접  봉</v>
          </cell>
          <cell r="C88" t="str">
            <v>4Φx350L</v>
          </cell>
          <cell r="D88">
            <v>1</v>
          </cell>
          <cell r="E88" t="str">
            <v>kg</v>
          </cell>
          <cell r="J88">
            <v>5460</v>
          </cell>
        </row>
        <row r="89">
          <cell r="A89" t="str">
            <v>SS400  용 접 봉</v>
          </cell>
          <cell r="C89" t="str">
            <v>"</v>
          </cell>
          <cell r="D89">
            <v>1</v>
          </cell>
          <cell r="E89" t="str">
            <v>"</v>
          </cell>
          <cell r="J89">
            <v>1260</v>
          </cell>
        </row>
        <row r="90">
          <cell r="A90" t="str">
            <v>전  력  요  금</v>
          </cell>
          <cell r="D90">
            <v>1</v>
          </cell>
          <cell r="E90" t="str">
            <v>Kwh</v>
          </cell>
          <cell r="J90">
            <v>61.6</v>
          </cell>
        </row>
        <row r="91">
          <cell r="A91" t="str">
            <v>함          석</v>
          </cell>
          <cell r="C91" t="str">
            <v>#32x3'x6'</v>
          </cell>
          <cell r="D91">
            <v>1</v>
          </cell>
          <cell r="E91" t="str">
            <v>매</v>
          </cell>
          <cell r="J91">
            <v>2597</v>
          </cell>
        </row>
        <row r="92">
          <cell r="B92" t="str">
            <v xml:space="preserve">  "</v>
          </cell>
          <cell r="C92" t="str">
            <v>#31x3'x6'</v>
          </cell>
          <cell r="D92">
            <v>1</v>
          </cell>
          <cell r="E92" t="str">
            <v>"</v>
          </cell>
          <cell r="J92">
            <v>2825</v>
          </cell>
        </row>
        <row r="93">
          <cell r="A93" t="str">
            <v>경          유</v>
          </cell>
          <cell r="D93">
            <v>1</v>
          </cell>
          <cell r="E93" t="str">
            <v>L</v>
          </cell>
          <cell r="J93">
            <v>526.4</v>
          </cell>
        </row>
        <row r="94">
          <cell r="A94" t="str">
            <v>코  크  스</v>
          </cell>
          <cell r="D94">
            <v>1</v>
          </cell>
          <cell r="E94" t="str">
            <v>kg</v>
          </cell>
          <cell r="J94">
            <v>183</v>
          </cell>
        </row>
        <row r="95">
          <cell r="A95" t="str">
            <v>그라인다돌</v>
          </cell>
          <cell r="D95">
            <v>1</v>
          </cell>
          <cell r="E95" t="str">
            <v>개</v>
          </cell>
          <cell r="J95">
            <v>3380</v>
          </cell>
        </row>
        <row r="96">
          <cell r="A96" t="str">
            <v>노   즐</v>
          </cell>
          <cell r="D96">
            <v>1</v>
          </cell>
          <cell r="E96" t="str">
            <v>"</v>
          </cell>
          <cell r="J96">
            <v>32000</v>
          </cell>
        </row>
        <row r="97">
          <cell r="A97" t="str">
            <v>아  세  치  렌</v>
          </cell>
          <cell r="C97" t="str">
            <v>4,500 L</v>
          </cell>
          <cell r="D97">
            <v>1</v>
          </cell>
          <cell r="E97" t="str">
            <v>kg</v>
          </cell>
          <cell r="J97">
            <v>10500</v>
          </cell>
        </row>
        <row r="98">
          <cell r="B98" t="str">
            <v>- 엔진유</v>
          </cell>
          <cell r="E98" t="str">
            <v>L</v>
          </cell>
          <cell r="J98">
            <v>1250</v>
          </cell>
        </row>
        <row r="99">
          <cell r="B99" t="str">
            <v>- 구리이스</v>
          </cell>
          <cell r="E99" t="str">
            <v>KG</v>
          </cell>
          <cell r="J99">
            <v>2323</v>
          </cell>
        </row>
        <row r="100">
          <cell r="B100" t="str">
            <v>- 규사</v>
          </cell>
          <cell r="E100" t="str">
            <v>TON</v>
          </cell>
          <cell r="J100">
            <v>25000</v>
          </cell>
        </row>
        <row r="101">
          <cell r="B101" t="str">
            <v>- SAND</v>
          </cell>
          <cell r="E101" t="str">
            <v>㎥</v>
          </cell>
          <cell r="J101">
            <v>7000</v>
          </cell>
        </row>
        <row r="102">
          <cell r="B102" t="str">
            <v>- POWER BRUSH</v>
          </cell>
          <cell r="E102" t="str">
            <v>KG</v>
          </cell>
          <cell r="J102">
            <v>5000</v>
          </cell>
        </row>
        <row r="103">
          <cell r="A103" t="str">
            <v>종       별</v>
          </cell>
          <cell r="C103" t="str">
            <v>재 료 또 는</v>
          </cell>
          <cell r="D103" t="str">
            <v xml:space="preserve">원 수 </v>
          </cell>
          <cell r="E103" t="str">
            <v>단 위</v>
          </cell>
          <cell r="F103" t="str">
            <v>총   액</v>
          </cell>
          <cell r="G103" t="str">
            <v>노   무   비</v>
          </cell>
          <cell r="I103" t="str">
            <v>재   료   비</v>
          </cell>
          <cell r="K103" t="str">
            <v>경      비</v>
          </cell>
          <cell r="M103" t="str">
            <v>비   고</v>
          </cell>
        </row>
        <row r="104">
          <cell r="C104" t="str">
            <v xml:space="preserve">규       격 </v>
          </cell>
          <cell r="F104" t="str">
            <v>금   액</v>
          </cell>
          <cell r="G104" t="str">
            <v>단  가</v>
          </cell>
          <cell r="H104" t="str">
            <v>금   액</v>
          </cell>
          <cell r="I104" t="str">
            <v>단  가</v>
          </cell>
          <cell r="J104" t="str">
            <v>금   액</v>
          </cell>
          <cell r="K104" t="str">
            <v>단  가</v>
          </cell>
          <cell r="L104" t="str">
            <v>금   액</v>
          </cell>
        </row>
        <row r="105">
          <cell r="B105" t="str">
            <v>- WIRE BRUSH</v>
          </cell>
          <cell r="E105" t="str">
            <v>KG</v>
          </cell>
          <cell r="J105">
            <v>2000</v>
          </cell>
        </row>
        <row r="106">
          <cell r="B106" t="str">
            <v>- 세척제</v>
          </cell>
          <cell r="E106" t="str">
            <v>KG</v>
          </cell>
          <cell r="J106">
            <v>10500</v>
          </cell>
        </row>
        <row r="107">
          <cell r="B107" t="str">
            <v>- 넝마</v>
          </cell>
          <cell r="E107" t="str">
            <v>KG</v>
          </cell>
          <cell r="J107">
            <v>1363</v>
          </cell>
          <cell r="K107" t="str">
            <v>(적산정보 492)</v>
          </cell>
        </row>
        <row r="108">
          <cell r="B108" t="str">
            <v>- 세라믹코팅제</v>
          </cell>
          <cell r="E108" t="str">
            <v>KG</v>
          </cell>
          <cell r="J108">
            <v>168300</v>
          </cell>
        </row>
        <row r="109">
          <cell r="B109" t="str">
            <v>- 희석제</v>
          </cell>
          <cell r="E109" t="str">
            <v>통</v>
          </cell>
          <cell r="J109">
            <v>5120</v>
          </cell>
        </row>
        <row r="110">
          <cell r="B110" t="str">
            <v>ZINC RICH PRIMER</v>
          </cell>
          <cell r="E110" t="str">
            <v>L</v>
          </cell>
          <cell r="J110">
            <v>7945</v>
          </cell>
        </row>
        <row r="111">
          <cell r="B111" t="str">
            <v>신      나</v>
          </cell>
          <cell r="J111">
            <v>2111</v>
          </cell>
        </row>
        <row r="112">
          <cell r="B112" t="str">
            <v>방 오 도 료</v>
          </cell>
          <cell r="J112">
            <v>9231</v>
          </cell>
        </row>
        <row r="113">
          <cell r="B113" t="str">
            <v>신  나(ANTI FAULING)</v>
          </cell>
          <cell r="J113">
            <v>1530</v>
          </cell>
        </row>
        <row r="114">
          <cell r="B114" t="str">
            <v>TAL EPOXY</v>
          </cell>
          <cell r="J114">
            <v>3570</v>
          </cell>
        </row>
        <row r="115">
          <cell r="B115" t="str">
            <v>PURE EPOXY</v>
          </cell>
          <cell r="J115">
            <v>4010</v>
          </cell>
        </row>
        <row r="127">
          <cell r="B127" t="str">
            <v>'98 년도  사 용 장 비 경 비  단 가 표</v>
          </cell>
        </row>
        <row r="128">
          <cell r="E128" t="str">
            <v xml:space="preserve"> </v>
          </cell>
        </row>
        <row r="129">
          <cell r="A129" t="str">
            <v>종       별</v>
          </cell>
          <cell r="C129" t="str">
            <v>재 료 또 는</v>
          </cell>
          <cell r="D129" t="str">
            <v xml:space="preserve">원 수 </v>
          </cell>
          <cell r="E129" t="str">
            <v>단 위</v>
          </cell>
          <cell r="F129" t="str">
            <v>총   액</v>
          </cell>
          <cell r="G129" t="str">
            <v>노   무   비</v>
          </cell>
          <cell r="I129" t="str">
            <v>재   료   비</v>
          </cell>
          <cell r="K129" t="str">
            <v>경      비</v>
          </cell>
          <cell r="M129" t="str">
            <v>비   고</v>
          </cell>
        </row>
        <row r="130">
          <cell r="C130" t="str">
            <v xml:space="preserve">규       격 </v>
          </cell>
          <cell r="F130" t="str">
            <v>금   액</v>
          </cell>
          <cell r="G130" t="str">
            <v>단  가</v>
          </cell>
          <cell r="H130" t="str">
            <v>금   액</v>
          </cell>
          <cell r="I130" t="str">
            <v>단  가</v>
          </cell>
          <cell r="J130" t="str">
            <v>금   액</v>
          </cell>
          <cell r="K130" t="str">
            <v>단  가</v>
          </cell>
          <cell r="L130" t="str">
            <v>금   액</v>
          </cell>
        </row>
        <row r="131">
          <cell r="A131" t="str">
            <v>Lathe</v>
          </cell>
          <cell r="C131" t="str">
            <v>12ftx7.5Hp</v>
          </cell>
          <cell r="D131">
            <v>1</v>
          </cell>
          <cell r="E131" t="str">
            <v>hr</v>
          </cell>
          <cell r="H131">
            <v>3418</v>
          </cell>
          <cell r="L131">
            <v>3775</v>
          </cell>
        </row>
        <row r="132">
          <cell r="A132" t="str">
            <v>Planer</v>
          </cell>
          <cell r="C132" t="str">
            <v>4ftx8ft</v>
          </cell>
          <cell r="D132">
            <v>1</v>
          </cell>
          <cell r="E132" t="str">
            <v>"</v>
          </cell>
          <cell r="H132">
            <v>3129</v>
          </cell>
          <cell r="L132">
            <v>2743</v>
          </cell>
        </row>
        <row r="133">
          <cell r="A133" t="str">
            <v>Boring Machine</v>
          </cell>
          <cell r="C133" t="str">
            <v>horizontal type 3Hp</v>
          </cell>
        </row>
        <row r="134">
          <cell r="D134">
            <v>1</v>
          </cell>
          <cell r="E134" t="str">
            <v>"</v>
          </cell>
          <cell r="H134">
            <v>3547</v>
          </cell>
          <cell r="L134">
            <v>8928</v>
          </cell>
        </row>
        <row r="135">
          <cell r="A135" t="str">
            <v>Union Melt Welder</v>
          </cell>
          <cell r="C135" t="str">
            <v>5.5 KVA</v>
          </cell>
          <cell r="D135">
            <v>1</v>
          </cell>
          <cell r="E135" t="str">
            <v>"</v>
          </cell>
          <cell r="H135">
            <v>3488</v>
          </cell>
          <cell r="L135">
            <v>1797</v>
          </cell>
        </row>
        <row r="136">
          <cell r="A136" t="str">
            <v>Gouging Machine</v>
          </cell>
          <cell r="C136" t="str">
            <v>중형</v>
          </cell>
          <cell r="D136">
            <v>1</v>
          </cell>
          <cell r="E136" t="str">
            <v>"</v>
          </cell>
          <cell r="H136">
            <v>3380</v>
          </cell>
          <cell r="L136">
            <v>670</v>
          </cell>
        </row>
        <row r="137">
          <cell r="A137" t="str">
            <v>Gas Cutting Machine</v>
          </cell>
        </row>
        <row r="138">
          <cell r="C138" t="str">
            <v>auto 중형</v>
          </cell>
          <cell r="D138">
            <v>1</v>
          </cell>
          <cell r="E138" t="str">
            <v>hr</v>
          </cell>
          <cell r="H138">
            <v>11922</v>
          </cell>
          <cell r="L138">
            <v>119</v>
          </cell>
        </row>
        <row r="139">
          <cell r="B139" t="str">
            <v xml:space="preserve">  "</v>
          </cell>
          <cell r="C139" t="str">
            <v>manual 중형</v>
          </cell>
          <cell r="D139">
            <v>1</v>
          </cell>
          <cell r="E139" t="str">
            <v>"</v>
          </cell>
          <cell r="H139">
            <v>3974</v>
          </cell>
          <cell r="L139">
            <v>115</v>
          </cell>
        </row>
        <row r="140">
          <cell r="A140" t="str">
            <v>Gas Heating Touch</v>
          </cell>
          <cell r="C140" t="str">
            <v>중형</v>
          </cell>
          <cell r="D140">
            <v>1</v>
          </cell>
          <cell r="E140" t="str">
            <v>"</v>
          </cell>
          <cell r="H140">
            <v>3174</v>
          </cell>
          <cell r="L140">
            <v>115</v>
          </cell>
        </row>
        <row r="141">
          <cell r="A141" t="str">
            <v>A.C Welder</v>
          </cell>
          <cell r="C141" t="str">
            <v>5.5 KVA</v>
          </cell>
          <cell r="D141">
            <v>1</v>
          </cell>
          <cell r="E141" t="str">
            <v>"</v>
          </cell>
          <cell r="L141">
            <v>107</v>
          </cell>
        </row>
        <row r="142">
          <cell r="B142" t="str">
            <v xml:space="preserve"> "</v>
          </cell>
          <cell r="C142" t="str">
            <v>10 KVA</v>
          </cell>
          <cell r="D142">
            <v>1</v>
          </cell>
          <cell r="E142" t="str">
            <v>"</v>
          </cell>
          <cell r="L142">
            <v>155</v>
          </cell>
        </row>
        <row r="143">
          <cell r="A143" t="str">
            <v>D.C Welder</v>
          </cell>
          <cell r="C143" t="str">
            <v>300A  5.5KW</v>
          </cell>
          <cell r="D143">
            <v>1</v>
          </cell>
          <cell r="E143" t="str">
            <v>hr</v>
          </cell>
          <cell r="L143">
            <v>359</v>
          </cell>
        </row>
        <row r="144">
          <cell r="A144" t="str">
            <v>Gas Welder</v>
          </cell>
          <cell r="C144" t="str">
            <v>대형</v>
          </cell>
          <cell r="D144">
            <v>1</v>
          </cell>
          <cell r="E144" t="str">
            <v>"</v>
          </cell>
          <cell r="L144">
            <v>149.5</v>
          </cell>
        </row>
        <row r="145">
          <cell r="B145" t="str">
            <v xml:space="preserve"> "</v>
          </cell>
          <cell r="C145" t="str">
            <v>중형</v>
          </cell>
          <cell r="D145">
            <v>1</v>
          </cell>
          <cell r="E145" t="str">
            <v>"</v>
          </cell>
          <cell r="L145">
            <v>115</v>
          </cell>
        </row>
        <row r="146">
          <cell r="A146" t="str">
            <v>Hydro Press</v>
          </cell>
          <cell r="C146" t="str">
            <v>300ton</v>
          </cell>
          <cell r="D146">
            <v>1</v>
          </cell>
          <cell r="E146" t="str">
            <v>"</v>
          </cell>
          <cell r="H146">
            <v>3281</v>
          </cell>
          <cell r="L146">
            <v>8463</v>
          </cell>
        </row>
        <row r="147">
          <cell r="B147" t="str">
            <v xml:space="preserve"> "</v>
          </cell>
          <cell r="C147" t="str">
            <v>100ton</v>
          </cell>
          <cell r="D147">
            <v>1</v>
          </cell>
          <cell r="E147" t="str">
            <v>"</v>
          </cell>
          <cell r="H147">
            <v>3281</v>
          </cell>
          <cell r="L147">
            <v>6045</v>
          </cell>
        </row>
        <row r="148">
          <cell r="A148" t="str">
            <v>Bending Roller</v>
          </cell>
          <cell r="C148" t="str">
            <v>23ft</v>
          </cell>
          <cell r="D148">
            <v>1</v>
          </cell>
          <cell r="E148" t="str">
            <v>hr</v>
          </cell>
          <cell r="H148">
            <v>4281</v>
          </cell>
          <cell r="L148">
            <v>6323</v>
          </cell>
        </row>
        <row r="149">
          <cell r="A149" t="str">
            <v>종       별</v>
          </cell>
          <cell r="C149" t="str">
            <v>재 료 또 는</v>
          </cell>
          <cell r="D149" t="str">
            <v xml:space="preserve">원 수 </v>
          </cell>
          <cell r="E149" t="str">
            <v>단 위</v>
          </cell>
          <cell r="F149" t="str">
            <v>총   액</v>
          </cell>
          <cell r="G149" t="str">
            <v>노   무   비</v>
          </cell>
          <cell r="I149" t="str">
            <v>재   료   비</v>
          </cell>
          <cell r="K149" t="str">
            <v>경      비</v>
          </cell>
          <cell r="M149" t="str">
            <v>비   고</v>
          </cell>
        </row>
        <row r="150">
          <cell r="C150" t="str">
            <v xml:space="preserve">규       격 </v>
          </cell>
          <cell r="F150" t="str">
            <v>금   액</v>
          </cell>
          <cell r="G150" t="str">
            <v>단  가</v>
          </cell>
          <cell r="H150" t="str">
            <v>금   액</v>
          </cell>
          <cell r="I150" t="str">
            <v>단  가</v>
          </cell>
          <cell r="J150" t="str">
            <v>금   액</v>
          </cell>
          <cell r="K150" t="str">
            <v>단  가</v>
          </cell>
          <cell r="L150" t="str">
            <v>금   액</v>
          </cell>
        </row>
        <row r="151">
          <cell r="A151" t="str">
            <v>Edge Bending Roller</v>
          </cell>
        </row>
        <row r="152">
          <cell r="C152" t="str">
            <v>23ft</v>
          </cell>
          <cell r="D152">
            <v>1</v>
          </cell>
          <cell r="E152" t="str">
            <v>"</v>
          </cell>
          <cell r="H152">
            <v>4281</v>
          </cell>
          <cell r="L152">
            <v>9484.5</v>
          </cell>
        </row>
        <row r="153">
          <cell r="A153" t="str">
            <v>Shearing Machine</v>
          </cell>
          <cell r="D153">
            <v>1</v>
          </cell>
          <cell r="E153" t="str">
            <v>"</v>
          </cell>
          <cell r="H153">
            <v>3688</v>
          </cell>
          <cell r="L153">
            <v>3209</v>
          </cell>
        </row>
        <row r="154">
          <cell r="A154" t="str">
            <v>Drilling Machine</v>
          </cell>
          <cell r="C154" t="str">
            <v xml:space="preserve"> 3 Hp</v>
          </cell>
          <cell r="D154">
            <v>1</v>
          </cell>
          <cell r="E154" t="str">
            <v>"</v>
          </cell>
          <cell r="H154">
            <v>3401</v>
          </cell>
          <cell r="L154">
            <v>576</v>
          </cell>
        </row>
        <row r="155">
          <cell r="B155" t="str">
            <v xml:space="preserve">  "</v>
          </cell>
          <cell r="C155" t="str">
            <v>radial 5Hp</v>
          </cell>
          <cell r="D155">
            <v>1</v>
          </cell>
          <cell r="E155" t="str">
            <v>"</v>
          </cell>
          <cell r="H155">
            <v>3401</v>
          </cell>
          <cell r="L155">
            <v>1720</v>
          </cell>
        </row>
        <row r="156">
          <cell r="A156" t="str">
            <v>Portable Drill</v>
          </cell>
          <cell r="C156" t="str">
            <v>0.5 Hp</v>
          </cell>
          <cell r="D156">
            <v>1</v>
          </cell>
          <cell r="E156" t="str">
            <v>hr</v>
          </cell>
          <cell r="H156" t="str">
            <v xml:space="preserve"> </v>
          </cell>
          <cell r="L156">
            <v>12</v>
          </cell>
        </row>
        <row r="157">
          <cell r="B157" t="str">
            <v xml:space="preserve">  "</v>
          </cell>
          <cell r="C157" t="str">
            <v>1.5 Hp</v>
          </cell>
          <cell r="D157">
            <v>1</v>
          </cell>
          <cell r="E157" t="str">
            <v>"</v>
          </cell>
          <cell r="H157" t="str">
            <v xml:space="preserve"> </v>
          </cell>
          <cell r="L157">
            <v>14</v>
          </cell>
        </row>
        <row r="158">
          <cell r="A158" t="str">
            <v>Portable Grinder</v>
          </cell>
          <cell r="C158" t="str">
            <v>0.5 Hp</v>
          </cell>
          <cell r="D158">
            <v>1</v>
          </cell>
          <cell r="E158" t="str">
            <v>hr</v>
          </cell>
          <cell r="L158">
            <v>22</v>
          </cell>
        </row>
        <row r="159">
          <cell r="A159" t="str">
            <v>Air Compressor</v>
          </cell>
          <cell r="C159" t="str">
            <v>5.9㎥/min</v>
          </cell>
          <cell r="D159">
            <v>1</v>
          </cell>
          <cell r="E159" t="str">
            <v>"</v>
          </cell>
          <cell r="H159">
            <v>9681</v>
          </cell>
          <cell r="J159">
            <v>6189</v>
          </cell>
          <cell r="L159">
            <v>3137</v>
          </cell>
        </row>
        <row r="160">
          <cell r="B160" t="str">
            <v xml:space="preserve">  "</v>
          </cell>
          <cell r="C160" t="str">
            <v>8.9㎥/min</v>
          </cell>
          <cell r="D160">
            <v>1</v>
          </cell>
          <cell r="E160" t="str">
            <v>"</v>
          </cell>
          <cell r="H160">
            <v>9681</v>
          </cell>
          <cell r="J160">
            <v>8779</v>
          </cell>
          <cell r="L160">
            <v>6250</v>
          </cell>
        </row>
        <row r="161">
          <cell r="A161" t="str">
            <v>Over Head Crane</v>
          </cell>
          <cell r="C161" t="str">
            <v>20ton</v>
          </cell>
          <cell r="D161">
            <v>1</v>
          </cell>
          <cell r="E161" t="str">
            <v>"</v>
          </cell>
          <cell r="H161">
            <v>9681</v>
          </cell>
          <cell r="L161">
            <v>3338</v>
          </cell>
        </row>
        <row r="162">
          <cell r="B162" t="str">
            <v xml:space="preserve">  "</v>
          </cell>
          <cell r="C162" t="str">
            <v>30ton</v>
          </cell>
          <cell r="D162">
            <v>1</v>
          </cell>
          <cell r="E162" t="str">
            <v>hr</v>
          </cell>
          <cell r="H162">
            <v>9681</v>
          </cell>
          <cell r="L162">
            <v>4123</v>
          </cell>
        </row>
        <row r="163">
          <cell r="A163" t="str">
            <v>Truck Crane</v>
          </cell>
          <cell r="C163" t="str">
            <v>10ton</v>
          </cell>
          <cell r="D163">
            <v>1</v>
          </cell>
          <cell r="E163" t="str">
            <v>"</v>
          </cell>
          <cell r="H163">
            <v>18615</v>
          </cell>
          <cell r="J163">
            <v>3486</v>
          </cell>
          <cell r="L163">
            <v>20487</v>
          </cell>
        </row>
        <row r="164">
          <cell r="B164" t="str">
            <v xml:space="preserve">  "</v>
          </cell>
          <cell r="C164" t="str">
            <v>15ton</v>
          </cell>
          <cell r="D164">
            <v>1</v>
          </cell>
          <cell r="E164" t="str">
            <v>"</v>
          </cell>
          <cell r="H164">
            <v>18615</v>
          </cell>
          <cell r="J164">
            <v>4285</v>
          </cell>
          <cell r="L164">
            <v>30731</v>
          </cell>
        </row>
        <row r="165">
          <cell r="B165" t="str">
            <v xml:space="preserve">  "</v>
          </cell>
          <cell r="C165" t="str">
            <v>20ton</v>
          </cell>
          <cell r="D165">
            <v>1</v>
          </cell>
          <cell r="E165" t="str">
            <v>"</v>
          </cell>
          <cell r="H165">
            <v>18615</v>
          </cell>
          <cell r="J165">
            <v>4939</v>
          </cell>
          <cell r="L165">
            <v>40975</v>
          </cell>
        </row>
        <row r="166">
          <cell r="B166" t="str">
            <v xml:space="preserve">  "</v>
          </cell>
          <cell r="C166" t="str">
            <v>30ton</v>
          </cell>
          <cell r="D166">
            <v>1</v>
          </cell>
          <cell r="E166" t="str">
            <v>"</v>
          </cell>
          <cell r="H166">
            <v>18615</v>
          </cell>
          <cell r="J166">
            <v>7046</v>
          </cell>
          <cell r="L166">
            <v>44939</v>
          </cell>
        </row>
        <row r="167">
          <cell r="B167" t="str">
            <v xml:space="preserve">  "</v>
          </cell>
          <cell r="C167" t="str">
            <v>40ton</v>
          </cell>
          <cell r="D167">
            <v>1</v>
          </cell>
          <cell r="E167" t="str">
            <v>"</v>
          </cell>
          <cell r="H167">
            <v>18615</v>
          </cell>
          <cell r="J167">
            <v>8730</v>
          </cell>
          <cell r="L167">
            <v>55621</v>
          </cell>
        </row>
        <row r="168">
          <cell r="A168" t="str">
            <v>Winch</v>
          </cell>
          <cell r="C168" t="str">
            <v>10Hp</v>
          </cell>
          <cell r="D168">
            <v>1</v>
          </cell>
          <cell r="E168" t="str">
            <v>hr</v>
          </cell>
          <cell r="H168">
            <v>9235</v>
          </cell>
          <cell r="L168">
            <v>850</v>
          </cell>
        </row>
        <row r="169">
          <cell r="A169" t="str">
            <v>"</v>
          </cell>
          <cell r="C169" t="str">
            <v>50Hp</v>
          </cell>
          <cell r="D169">
            <v>1</v>
          </cell>
          <cell r="E169" t="str">
            <v>"</v>
          </cell>
          <cell r="H169">
            <v>9235</v>
          </cell>
          <cell r="L169">
            <v>5209</v>
          </cell>
        </row>
        <row r="170">
          <cell r="A170" t="str">
            <v>Truck</v>
          </cell>
          <cell r="C170" t="str">
            <v>6ton</v>
          </cell>
          <cell r="D170">
            <v>1</v>
          </cell>
          <cell r="E170" t="str">
            <v>"</v>
          </cell>
          <cell r="H170">
            <v>8683</v>
          </cell>
          <cell r="J170">
            <v>8110</v>
          </cell>
          <cell r="L170">
            <v>4902</v>
          </cell>
        </row>
        <row r="171">
          <cell r="A171" t="str">
            <v>Trailer</v>
          </cell>
          <cell r="C171" t="str">
            <v>20ton</v>
          </cell>
          <cell r="D171">
            <v>1</v>
          </cell>
          <cell r="E171" t="str">
            <v>"</v>
          </cell>
          <cell r="H171">
            <v>9681</v>
          </cell>
          <cell r="J171">
            <v>15109</v>
          </cell>
          <cell r="L171">
            <v>20345</v>
          </cell>
        </row>
        <row r="172">
          <cell r="A172" t="str">
            <v>종       별</v>
          </cell>
          <cell r="C172" t="str">
            <v>재 료 또 는</v>
          </cell>
          <cell r="D172" t="str">
            <v xml:space="preserve">원 수 </v>
          </cell>
          <cell r="E172" t="str">
            <v>단 위</v>
          </cell>
          <cell r="F172" t="str">
            <v>총   액</v>
          </cell>
          <cell r="G172" t="str">
            <v>노   무   비</v>
          </cell>
          <cell r="I172" t="str">
            <v>재   료   비</v>
          </cell>
          <cell r="K172" t="str">
            <v>경      비</v>
          </cell>
          <cell r="M172" t="str">
            <v>비   고</v>
          </cell>
        </row>
        <row r="173">
          <cell r="C173" t="str">
            <v xml:space="preserve">규       격 </v>
          </cell>
          <cell r="F173" t="str">
            <v>금   액</v>
          </cell>
          <cell r="G173" t="str">
            <v>단  가</v>
          </cell>
          <cell r="H173" t="str">
            <v>금   액</v>
          </cell>
          <cell r="I173" t="str">
            <v>단  가</v>
          </cell>
          <cell r="J173" t="str">
            <v>금   액</v>
          </cell>
          <cell r="K173" t="str">
            <v>단  가</v>
          </cell>
          <cell r="L173" t="str">
            <v>금   액</v>
          </cell>
        </row>
        <row r="174">
          <cell r="A174" t="str">
            <v>Trailer</v>
          </cell>
          <cell r="C174" t="str">
            <v>30ton</v>
          </cell>
          <cell r="D174">
            <v>1</v>
          </cell>
          <cell r="E174" t="str">
            <v>"</v>
          </cell>
          <cell r="H174">
            <v>8683</v>
          </cell>
          <cell r="J174">
            <v>15763</v>
          </cell>
          <cell r="L174">
            <v>27414</v>
          </cell>
        </row>
        <row r="175">
          <cell r="A175" t="str">
            <v>Fork Lift</v>
          </cell>
          <cell r="C175" t="str">
            <v>3.5ton</v>
          </cell>
          <cell r="D175">
            <v>1</v>
          </cell>
          <cell r="E175" t="str">
            <v>hr</v>
          </cell>
          <cell r="H175">
            <v>9681</v>
          </cell>
          <cell r="J175">
            <v>5116</v>
          </cell>
          <cell r="L175">
            <v>3470</v>
          </cell>
        </row>
        <row r="176">
          <cell r="B176" t="str">
            <v xml:space="preserve"> "</v>
          </cell>
          <cell r="C176" t="str">
            <v>5.0ton</v>
          </cell>
          <cell r="D176">
            <v>1</v>
          </cell>
          <cell r="E176" t="str">
            <v>"</v>
          </cell>
          <cell r="H176">
            <v>9681</v>
          </cell>
          <cell r="J176">
            <v>5116.08</v>
          </cell>
          <cell r="L176">
            <v>4863</v>
          </cell>
        </row>
        <row r="177">
          <cell r="B177" t="str">
            <v xml:space="preserve"> "</v>
          </cell>
          <cell r="C177" t="str">
            <v>7.5ton</v>
          </cell>
          <cell r="D177">
            <v>1</v>
          </cell>
          <cell r="E177" t="str">
            <v>"</v>
          </cell>
          <cell r="H177">
            <v>9681</v>
          </cell>
          <cell r="J177">
            <v>5898</v>
          </cell>
          <cell r="L177">
            <v>5845</v>
          </cell>
        </row>
        <row r="178">
          <cell r="A178" t="str">
            <v>발 전 기</v>
          </cell>
          <cell r="C178" t="str">
            <v>50 kw</v>
          </cell>
          <cell r="D178">
            <v>1</v>
          </cell>
          <cell r="E178" t="str">
            <v>"</v>
          </cell>
          <cell r="H178">
            <v>9235</v>
          </cell>
          <cell r="J178">
            <v>8338</v>
          </cell>
          <cell r="L178">
            <v>4912</v>
          </cell>
        </row>
        <row r="179">
          <cell r="A179" t="str">
            <v>AIR HOSE</v>
          </cell>
          <cell r="C179" t="str">
            <v>3/4 "</v>
          </cell>
          <cell r="D179">
            <v>1</v>
          </cell>
          <cell r="E179" t="str">
            <v>"</v>
          </cell>
          <cell r="L179">
            <v>48</v>
          </cell>
        </row>
        <row r="180">
          <cell r="A180" t="str">
            <v>브라스트기</v>
          </cell>
          <cell r="D180">
            <v>1</v>
          </cell>
          <cell r="E180" t="str">
            <v>"</v>
          </cell>
          <cell r="L180">
            <v>659</v>
          </cell>
        </row>
        <row r="181">
          <cell r="A181" t="str">
            <v>건  조  기</v>
          </cell>
          <cell r="D181">
            <v>1</v>
          </cell>
          <cell r="E181" t="str">
            <v>"</v>
          </cell>
          <cell r="L181">
            <v>211</v>
          </cell>
        </row>
        <row r="182">
          <cell r="A182" t="str">
            <v>방  진  복</v>
          </cell>
          <cell r="D182">
            <v>1</v>
          </cell>
          <cell r="E182" t="str">
            <v>"</v>
          </cell>
          <cell r="L182">
            <v>107</v>
          </cell>
        </row>
        <row r="183">
          <cell r="A183" t="str">
            <v>방  진  모</v>
          </cell>
          <cell r="D183">
            <v>1</v>
          </cell>
          <cell r="E183" t="str">
            <v>"</v>
          </cell>
          <cell r="L183">
            <v>21</v>
          </cell>
        </row>
        <row r="196">
          <cell r="B196" t="str">
            <v>'98 년도  사 용 장 비 경 비  산 출 표</v>
          </cell>
        </row>
        <row r="197">
          <cell r="E197" t="str">
            <v xml:space="preserve"> </v>
          </cell>
        </row>
        <row r="198">
          <cell r="A198" t="str">
            <v>종       별</v>
          </cell>
          <cell r="C198" t="str">
            <v>재 료 또 는</v>
          </cell>
          <cell r="D198" t="str">
            <v xml:space="preserve">원 수 </v>
          </cell>
          <cell r="E198" t="str">
            <v>단 위</v>
          </cell>
          <cell r="F198" t="str">
            <v>총   액</v>
          </cell>
          <cell r="G198" t="str">
            <v>노   무   비</v>
          </cell>
          <cell r="I198" t="str">
            <v>재   료   비</v>
          </cell>
          <cell r="K198" t="str">
            <v>경      비</v>
          </cell>
          <cell r="M198" t="str">
            <v>비   고</v>
          </cell>
        </row>
        <row r="199">
          <cell r="C199" t="str">
            <v xml:space="preserve">규       격 </v>
          </cell>
          <cell r="F199" t="str">
            <v>금   액</v>
          </cell>
          <cell r="G199" t="str">
            <v>단  가</v>
          </cell>
          <cell r="H199" t="str">
            <v>금   액</v>
          </cell>
          <cell r="I199" t="str">
            <v>단  가</v>
          </cell>
          <cell r="J199" t="str">
            <v>금   액</v>
          </cell>
          <cell r="K199" t="str">
            <v>단  가</v>
          </cell>
          <cell r="L199" t="str">
            <v>금   액</v>
          </cell>
        </row>
        <row r="200">
          <cell r="A200" t="str">
            <v>Truck</v>
          </cell>
          <cell r="C200" t="str">
            <v>6ton</v>
          </cell>
          <cell r="D200">
            <v>1</v>
          </cell>
          <cell r="E200" t="str">
            <v>hr</v>
          </cell>
          <cell r="H200">
            <v>8683</v>
          </cell>
          <cell r="J200">
            <v>8110</v>
          </cell>
        </row>
        <row r="202">
          <cell r="B202" t="str">
            <v>- 경유</v>
          </cell>
          <cell r="D202">
            <v>10.7</v>
          </cell>
          <cell r="E202" t="str">
            <v>L</v>
          </cell>
          <cell r="I202">
            <v>526.4</v>
          </cell>
          <cell r="J202">
            <v>5632</v>
          </cell>
        </row>
        <row r="203">
          <cell r="B203" t="str">
            <v>- 잡유</v>
          </cell>
          <cell r="C203" t="str">
            <v>주연료*44%</v>
          </cell>
          <cell r="D203">
            <v>1</v>
          </cell>
          <cell r="E203" t="str">
            <v>식</v>
          </cell>
          <cell r="J203">
            <v>2478</v>
          </cell>
        </row>
        <row r="204">
          <cell r="B204" t="str">
            <v>- 조종원</v>
          </cell>
          <cell r="D204">
            <v>0.17</v>
          </cell>
          <cell r="E204" t="str">
            <v>인</v>
          </cell>
          <cell r="G204">
            <v>51077</v>
          </cell>
          <cell r="H204">
            <v>8683</v>
          </cell>
        </row>
        <row r="206">
          <cell r="A206" t="str">
            <v>Truck Crane</v>
          </cell>
          <cell r="C206" t="str">
            <v>15ton</v>
          </cell>
          <cell r="D206">
            <v>1</v>
          </cell>
          <cell r="E206" t="str">
            <v>hr</v>
          </cell>
          <cell r="H206">
            <v>18615</v>
          </cell>
          <cell r="J206">
            <v>4285</v>
          </cell>
        </row>
        <row r="208">
          <cell r="B208" t="str">
            <v>- 경유</v>
          </cell>
          <cell r="D208">
            <v>5.9</v>
          </cell>
          <cell r="E208" t="str">
            <v>L</v>
          </cell>
          <cell r="I208">
            <v>526.4</v>
          </cell>
          <cell r="J208">
            <v>3105.76</v>
          </cell>
        </row>
        <row r="209">
          <cell r="B209" t="str">
            <v>- 잡유</v>
          </cell>
          <cell r="C209" t="str">
            <v>주연료*38%</v>
          </cell>
          <cell r="D209">
            <v>1</v>
          </cell>
          <cell r="E209" t="str">
            <v>식</v>
          </cell>
          <cell r="J209">
            <v>1180.1888000000001</v>
          </cell>
        </row>
        <row r="210">
          <cell r="B210" t="str">
            <v>- 조종원</v>
          </cell>
          <cell r="D210">
            <v>0.17</v>
          </cell>
          <cell r="E210" t="str">
            <v>인</v>
          </cell>
          <cell r="G210">
            <v>56951</v>
          </cell>
          <cell r="H210">
            <v>9681.67</v>
          </cell>
        </row>
        <row r="211">
          <cell r="B211" t="str">
            <v>- 조수</v>
          </cell>
          <cell r="D211">
            <v>0.17</v>
          </cell>
          <cell r="E211" t="str">
            <v>"</v>
          </cell>
          <cell r="G211">
            <v>42762</v>
          </cell>
          <cell r="H211">
            <v>7269.5400000000009</v>
          </cell>
        </row>
        <row r="212">
          <cell r="B212" t="str">
            <v>- 중기조장</v>
          </cell>
          <cell r="D212">
            <v>0.03</v>
          </cell>
          <cell r="E212" t="str">
            <v>"</v>
          </cell>
          <cell r="G212">
            <v>55484</v>
          </cell>
          <cell r="H212">
            <v>1664.52</v>
          </cell>
        </row>
        <row r="214">
          <cell r="A214" t="str">
            <v>Truck Crane</v>
          </cell>
          <cell r="C214" t="str">
            <v>20ton</v>
          </cell>
          <cell r="D214">
            <v>1</v>
          </cell>
          <cell r="E214" t="str">
            <v>hr</v>
          </cell>
          <cell r="H214">
            <v>18615</v>
          </cell>
          <cell r="J214">
            <v>4939</v>
          </cell>
        </row>
        <row r="216">
          <cell r="B216" t="str">
            <v>- 경유</v>
          </cell>
          <cell r="D216">
            <v>6.8</v>
          </cell>
          <cell r="E216" t="str">
            <v>L</v>
          </cell>
          <cell r="I216">
            <v>526.4</v>
          </cell>
          <cell r="J216">
            <v>3579.5199999999995</v>
          </cell>
        </row>
        <row r="217">
          <cell r="B217" t="str">
            <v>- 잡유</v>
          </cell>
          <cell r="C217" t="str">
            <v>주연료*38%</v>
          </cell>
          <cell r="D217">
            <v>1</v>
          </cell>
          <cell r="E217" t="str">
            <v>식</v>
          </cell>
          <cell r="J217">
            <v>1360.2175999999997</v>
          </cell>
        </row>
        <row r="218">
          <cell r="A218" t="str">
            <v>종       별</v>
          </cell>
          <cell r="C218" t="str">
            <v>재 료 또 는</v>
          </cell>
          <cell r="D218" t="str">
            <v xml:space="preserve">원 수 </v>
          </cell>
          <cell r="E218" t="str">
            <v>단 위</v>
          </cell>
          <cell r="F218" t="str">
            <v>총   액</v>
          </cell>
          <cell r="G218" t="str">
            <v>노   무   비</v>
          </cell>
          <cell r="I218" t="str">
            <v>재   료   비</v>
          </cell>
          <cell r="K218" t="str">
            <v>경      비</v>
          </cell>
          <cell r="M218" t="str">
            <v>비   고</v>
          </cell>
        </row>
        <row r="219">
          <cell r="C219" t="str">
            <v xml:space="preserve">규       격 </v>
          </cell>
          <cell r="F219" t="str">
            <v>금   액</v>
          </cell>
          <cell r="G219" t="str">
            <v>단  가</v>
          </cell>
          <cell r="H219" t="str">
            <v>금   액</v>
          </cell>
          <cell r="I219" t="str">
            <v>단  가</v>
          </cell>
          <cell r="J219" t="str">
            <v>금   액</v>
          </cell>
          <cell r="K219" t="str">
            <v>단  가</v>
          </cell>
          <cell r="L219" t="str">
            <v>금   액</v>
          </cell>
        </row>
        <row r="220">
          <cell r="B220" t="str">
            <v>- 조종원</v>
          </cell>
          <cell r="D220">
            <v>0.17</v>
          </cell>
          <cell r="E220" t="str">
            <v>인</v>
          </cell>
          <cell r="G220">
            <v>56951</v>
          </cell>
          <cell r="H220">
            <v>9681.67</v>
          </cell>
        </row>
        <row r="221">
          <cell r="B221" t="str">
            <v>- 조수</v>
          </cell>
          <cell r="D221">
            <v>0.17</v>
          </cell>
          <cell r="E221" t="str">
            <v>"</v>
          </cell>
          <cell r="G221">
            <v>42762</v>
          </cell>
          <cell r="H221">
            <v>7269.5400000000009</v>
          </cell>
        </row>
        <row r="222">
          <cell r="B222" t="str">
            <v>- 중기조장</v>
          </cell>
          <cell r="D222">
            <v>0.03</v>
          </cell>
          <cell r="E222" t="str">
            <v>"</v>
          </cell>
          <cell r="G222">
            <v>55484</v>
          </cell>
          <cell r="H222">
            <v>1664.52</v>
          </cell>
        </row>
        <row r="224">
          <cell r="A224" t="str">
            <v>Truck Crane</v>
          </cell>
          <cell r="C224" t="str">
            <v>30ton</v>
          </cell>
          <cell r="D224">
            <v>1</v>
          </cell>
          <cell r="E224" t="str">
            <v>hr</v>
          </cell>
          <cell r="H224">
            <v>18615</v>
          </cell>
          <cell r="J224">
            <v>7046</v>
          </cell>
        </row>
        <row r="226">
          <cell r="B226" t="str">
            <v>- 경유</v>
          </cell>
          <cell r="D226">
            <v>9.6999999999999993</v>
          </cell>
          <cell r="E226" t="str">
            <v>L</v>
          </cell>
          <cell r="I226">
            <v>526.4</v>
          </cell>
          <cell r="J226">
            <v>5106.079999999999</v>
          </cell>
          <cell r="L226" t="str">
            <v xml:space="preserve"> </v>
          </cell>
        </row>
        <row r="227">
          <cell r="B227" t="str">
            <v>- 잡유</v>
          </cell>
          <cell r="C227" t="str">
            <v>주연료*38%</v>
          </cell>
          <cell r="D227">
            <v>1</v>
          </cell>
          <cell r="E227" t="str">
            <v>식</v>
          </cell>
          <cell r="J227">
            <v>1940.3103999999994</v>
          </cell>
        </row>
        <row r="228">
          <cell r="B228" t="str">
            <v>- 조종원</v>
          </cell>
          <cell r="D228">
            <v>0.17</v>
          </cell>
          <cell r="E228" t="str">
            <v>인</v>
          </cell>
          <cell r="G228">
            <v>56951</v>
          </cell>
          <cell r="H228">
            <v>9681.67</v>
          </cell>
        </row>
        <row r="229">
          <cell r="B229" t="str">
            <v>- 조수</v>
          </cell>
          <cell r="D229">
            <v>0.17</v>
          </cell>
          <cell r="E229" t="str">
            <v>"</v>
          </cell>
          <cell r="G229">
            <v>42762</v>
          </cell>
          <cell r="H229">
            <v>7269.5400000000009</v>
          </cell>
        </row>
        <row r="230">
          <cell r="B230" t="str">
            <v>- 중기조장</v>
          </cell>
          <cell r="D230">
            <v>0.03</v>
          </cell>
          <cell r="E230" t="str">
            <v>"</v>
          </cell>
          <cell r="G230">
            <v>55484</v>
          </cell>
          <cell r="H230">
            <v>1664.52</v>
          </cell>
        </row>
        <row r="232">
          <cell r="A232" t="str">
            <v>Truck Crane</v>
          </cell>
          <cell r="C232" t="str">
            <v>40ton</v>
          </cell>
          <cell r="D232">
            <v>1</v>
          </cell>
          <cell r="E232" t="str">
            <v>hr</v>
          </cell>
          <cell r="H232">
            <v>18615</v>
          </cell>
          <cell r="J232">
            <v>8730</v>
          </cell>
        </row>
        <row r="234">
          <cell r="B234" t="str">
            <v>- 경유</v>
          </cell>
          <cell r="D234">
            <v>10.7</v>
          </cell>
          <cell r="E234" t="str">
            <v>L</v>
          </cell>
          <cell r="I234">
            <v>526.4</v>
          </cell>
          <cell r="J234">
            <v>5632.48</v>
          </cell>
          <cell r="L234" t="str">
            <v xml:space="preserve"> </v>
          </cell>
        </row>
        <row r="235">
          <cell r="B235" t="str">
            <v>- 잡유</v>
          </cell>
          <cell r="C235" t="str">
            <v>주연료*55%</v>
          </cell>
          <cell r="D235">
            <v>1</v>
          </cell>
          <cell r="E235" t="str">
            <v>식</v>
          </cell>
          <cell r="J235">
            <v>3097.8639999999996</v>
          </cell>
        </row>
        <row r="236">
          <cell r="B236" t="str">
            <v>- 조종원</v>
          </cell>
          <cell r="D236">
            <v>0.17</v>
          </cell>
          <cell r="E236" t="str">
            <v>인</v>
          </cell>
          <cell r="G236">
            <v>56951</v>
          </cell>
          <cell r="H236">
            <v>9681.67</v>
          </cell>
        </row>
        <row r="237">
          <cell r="B237" t="str">
            <v>- 조수</v>
          </cell>
          <cell r="D237">
            <v>0.17</v>
          </cell>
          <cell r="E237" t="str">
            <v>"</v>
          </cell>
          <cell r="G237">
            <v>42762</v>
          </cell>
          <cell r="H237">
            <v>7269.5400000000009</v>
          </cell>
        </row>
        <row r="238">
          <cell r="B238" t="str">
            <v>- 중기조장</v>
          </cell>
          <cell r="D238">
            <v>0.03</v>
          </cell>
          <cell r="E238" t="str">
            <v>"</v>
          </cell>
          <cell r="G238">
            <v>55484</v>
          </cell>
          <cell r="H238">
            <v>1664.52</v>
          </cell>
        </row>
        <row r="241">
          <cell r="A241" t="str">
            <v>종       별</v>
          </cell>
          <cell r="C241" t="str">
            <v>재 료 또 는</v>
          </cell>
          <cell r="D241" t="str">
            <v xml:space="preserve">원 수 </v>
          </cell>
          <cell r="E241" t="str">
            <v>단 위</v>
          </cell>
          <cell r="F241" t="str">
            <v>총   액</v>
          </cell>
          <cell r="G241" t="str">
            <v>노   무   비</v>
          </cell>
          <cell r="I241" t="str">
            <v>재   료   비</v>
          </cell>
          <cell r="K241" t="str">
            <v>경      비</v>
          </cell>
          <cell r="M241" t="str">
            <v>비   고</v>
          </cell>
        </row>
        <row r="242">
          <cell r="C242" t="str">
            <v xml:space="preserve">규       격 </v>
          </cell>
          <cell r="F242" t="str">
            <v>금   액</v>
          </cell>
          <cell r="G242" t="str">
            <v>단  가</v>
          </cell>
          <cell r="H242" t="str">
            <v>금   액</v>
          </cell>
          <cell r="I242" t="str">
            <v>단  가</v>
          </cell>
          <cell r="J242" t="str">
            <v>금   액</v>
          </cell>
          <cell r="K242" t="str">
            <v>단  가</v>
          </cell>
          <cell r="L242" t="str">
            <v>금   액</v>
          </cell>
        </row>
        <row r="243">
          <cell r="A243" t="str">
            <v>Tower Crane</v>
          </cell>
          <cell r="C243" t="str">
            <v>5ton</v>
          </cell>
          <cell r="D243">
            <v>1</v>
          </cell>
          <cell r="E243" t="str">
            <v>hr</v>
          </cell>
          <cell r="J243">
            <v>543</v>
          </cell>
        </row>
        <row r="245">
          <cell r="B245" t="str">
            <v xml:space="preserve">- Wire Rope </v>
          </cell>
          <cell r="C245" t="str">
            <v>18m/mΦ</v>
          </cell>
          <cell r="D245">
            <v>0.36</v>
          </cell>
          <cell r="E245" t="str">
            <v>m</v>
          </cell>
          <cell r="I245">
            <v>1509</v>
          </cell>
          <cell r="J245">
            <v>543</v>
          </cell>
        </row>
        <row r="246">
          <cell r="A246" t="str">
            <v>Fork Lift Truck</v>
          </cell>
          <cell r="C246" t="str">
            <v>3.5ton</v>
          </cell>
          <cell r="D246">
            <v>1</v>
          </cell>
          <cell r="E246" t="str">
            <v>hr</v>
          </cell>
          <cell r="H246">
            <v>9681</v>
          </cell>
          <cell r="J246">
            <v>5116</v>
          </cell>
        </row>
        <row r="248">
          <cell r="B248" t="str">
            <v>- 경유</v>
          </cell>
          <cell r="D248">
            <v>7.2</v>
          </cell>
          <cell r="E248" t="str">
            <v>L</v>
          </cell>
          <cell r="I248">
            <v>526.4</v>
          </cell>
          <cell r="J248">
            <v>3790.08</v>
          </cell>
        </row>
        <row r="249">
          <cell r="B249" t="str">
            <v>- 잡유</v>
          </cell>
          <cell r="C249" t="str">
            <v>주연료*35%</v>
          </cell>
          <cell r="D249">
            <v>1</v>
          </cell>
          <cell r="E249" t="str">
            <v>식</v>
          </cell>
          <cell r="J249">
            <v>1326.5279999999998</v>
          </cell>
        </row>
        <row r="250">
          <cell r="B250" t="str">
            <v>- 조종원</v>
          </cell>
          <cell r="D250">
            <v>0.17</v>
          </cell>
          <cell r="E250" t="str">
            <v>인</v>
          </cell>
          <cell r="G250">
            <v>56951</v>
          </cell>
          <cell r="H250">
            <v>9681</v>
          </cell>
        </row>
        <row r="251">
          <cell r="A251" t="str">
            <v>Fork Lift Truck</v>
          </cell>
          <cell r="C251" t="str">
            <v>5.0ton</v>
          </cell>
          <cell r="D251">
            <v>1</v>
          </cell>
          <cell r="E251" t="str">
            <v>hr</v>
          </cell>
          <cell r="H251">
            <v>9681</v>
          </cell>
          <cell r="J251">
            <v>5116.08</v>
          </cell>
        </row>
        <row r="253">
          <cell r="B253" t="str">
            <v>- 경유</v>
          </cell>
          <cell r="D253">
            <v>7.2</v>
          </cell>
          <cell r="E253" t="str">
            <v>L</v>
          </cell>
          <cell r="I253">
            <v>526.4</v>
          </cell>
          <cell r="J253">
            <v>3790.08</v>
          </cell>
        </row>
        <row r="254">
          <cell r="B254" t="str">
            <v>- 잡유</v>
          </cell>
          <cell r="C254" t="str">
            <v>주연료*35%</v>
          </cell>
          <cell r="D254">
            <v>1</v>
          </cell>
          <cell r="E254" t="str">
            <v>식</v>
          </cell>
          <cell r="J254">
            <v>1326</v>
          </cell>
        </row>
        <row r="255">
          <cell r="B255" t="str">
            <v>- 조종원</v>
          </cell>
          <cell r="D255">
            <v>0.17</v>
          </cell>
          <cell r="E255" t="str">
            <v>인</v>
          </cell>
          <cell r="G255">
            <v>56951</v>
          </cell>
          <cell r="H255">
            <v>9681</v>
          </cell>
        </row>
        <row r="257">
          <cell r="A257" t="str">
            <v>Fork Lift Truck</v>
          </cell>
          <cell r="C257" t="str">
            <v>7.5ton</v>
          </cell>
          <cell r="D257">
            <v>1</v>
          </cell>
          <cell r="E257" t="str">
            <v>hr</v>
          </cell>
          <cell r="H257">
            <v>9681</v>
          </cell>
          <cell r="J257">
            <v>5898</v>
          </cell>
        </row>
        <row r="259">
          <cell r="B259" t="str">
            <v>- 경유</v>
          </cell>
          <cell r="D259">
            <v>8.3000000000000007</v>
          </cell>
          <cell r="E259" t="str">
            <v>L</v>
          </cell>
          <cell r="I259">
            <v>526.4</v>
          </cell>
          <cell r="J259">
            <v>4369.12</v>
          </cell>
        </row>
        <row r="260">
          <cell r="B260" t="str">
            <v>- 잡유</v>
          </cell>
          <cell r="C260" t="str">
            <v>주연료*35%</v>
          </cell>
          <cell r="D260">
            <v>1</v>
          </cell>
          <cell r="E260" t="str">
            <v>식</v>
          </cell>
          <cell r="J260">
            <v>1529.1919999999998</v>
          </cell>
        </row>
        <row r="261">
          <cell r="B261" t="str">
            <v>- 조종원</v>
          </cell>
          <cell r="D261">
            <v>0.17</v>
          </cell>
          <cell r="E261" t="str">
            <v>인</v>
          </cell>
          <cell r="G261">
            <v>56951</v>
          </cell>
          <cell r="H261">
            <v>9681</v>
          </cell>
        </row>
        <row r="264">
          <cell r="A264" t="str">
            <v>종       별</v>
          </cell>
          <cell r="C264" t="str">
            <v>재 료 또 는</v>
          </cell>
          <cell r="D264" t="str">
            <v xml:space="preserve">원 수 </v>
          </cell>
          <cell r="E264" t="str">
            <v>단 위</v>
          </cell>
          <cell r="F264" t="str">
            <v>총   액</v>
          </cell>
          <cell r="G264" t="str">
            <v>노   무   비</v>
          </cell>
          <cell r="I264" t="str">
            <v>재   료   비</v>
          </cell>
          <cell r="K264" t="str">
            <v>경      비</v>
          </cell>
          <cell r="M264" t="str">
            <v>비   고</v>
          </cell>
        </row>
        <row r="265">
          <cell r="C265" t="str">
            <v xml:space="preserve">규       격 </v>
          </cell>
          <cell r="F265" t="str">
            <v>금   액</v>
          </cell>
          <cell r="G265" t="str">
            <v>단  가</v>
          </cell>
          <cell r="H265" t="str">
            <v>금   액</v>
          </cell>
          <cell r="I265" t="str">
            <v>단  가</v>
          </cell>
          <cell r="J265" t="str">
            <v>금   액</v>
          </cell>
          <cell r="K265" t="str">
            <v>단  가</v>
          </cell>
          <cell r="L265" t="str">
            <v>금   액</v>
          </cell>
        </row>
        <row r="266">
          <cell r="A266" t="str">
            <v>Trailer</v>
          </cell>
          <cell r="C266" t="str">
            <v>30ton</v>
          </cell>
          <cell r="D266">
            <v>1</v>
          </cell>
          <cell r="E266" t="str">
            <v>hr</v>
          </cell>
          <cell r="H266">
            <v>8683</v>
          </cell>
          <cell r="J266">
            <v>15763</v>
          </cell>
        </row>
        <row r="268">
          <cell r="B268" t="str">
            <v>- 경유</v>
          </cell>
          <cell r="D268">
            <v>21.7</v>
          </cell>
          <cell r="E268" t="str">
            <v>L</v>
          </cell>
          <cell r="I268">
            <v>526.4</v>
          </cell>
          <cell r="J268">
            <v>11422.88</v>
          </cell>
        </row>
        <row r="269">
          <cell r="B269" t="str">
            <v>- 잡유</v>
          </cell>
          <cell r="C269" t="str">
            <v>주연료*38%</v>
          </cell>
          <cell r="D269">
            <v>1</v>
          </cell>
          <cell r="E269" t="str">
            <v>식</v>
          </cell>
          <cell r="J269">
            <v>4340.6943999999994</v>
          </cell>
        </row>
        <row r="270">
          <cell r="B270" t="str">
            <v>- 조종원</v>
          </cell>
          <cell r="D270">
            <v>0.17</v>
          </cell>
          <cell r="E270" t="str">
            <v>인</v>
          </cell>
          <cell r="G270">
            <v>51077</v>
          </cell>
          <cell r="H270">
            <v>8683</v>
          </cell>
        </row>
        <row r="272">
          <cell r="A272" t="str">
            <v>Air Compressor</v>
          </cell>
          <cell r="C272" t="str">
            <v>7.1㎥/min</v>
          </cell>
          <cell r="H272">
            <v>9681</v>
          </cell>
          <cell r="J272">
            <v>6189</v>
          </cell>
        </row>
        <row r="274">
          <cell r="B274" t="str">
            <v>- 경유</v>
          </cell>
          <cell r="D274">
            <v>9.8000000000000007</v>
          </cell>
          <cell r="E274" t="str">
            <v>L</v>
          </cell>
          <cell r="I274">
            <v>526.4</v>
          </cell>
          <cell r="J274">
            <v>5158</v>
          </cell>
        </row>
        <row r="275">
          <cell r="B275" t="str">
            <v>- 잡유</v>
          </cell>
          <cell r="C275" t="str">
            <v>주연료*20%</v>
          </cell>
          <cell r="D275">
            <v>1</v>
          </cell>
          <cell r="E275" t="str">
            <v>식</v>
          </cell>
          <cell r="J275">
            <v>1031</v>
          </cell>
        </row>
        <row r="276">
          <cell r="B276" t="str">
            <v>- 조종원</v>
          </cell>
          <cell r="D276">
            <v>0.17</v>
          </cell>
          <cell r="E276" t="str">
            <v>인</v>
          </cell>
          <cell r="G276">
            <v>56951</v>
          </cell>
          <cell r="H276">
            <v>9681</v>
          </cell>
        </row>
        <row r="278">
          <cell r="A278" t="str">
            <v>Air Compressor</v>
          </cell>
          <cell r="C278" t="str">
            <v>10.3㎥/min</v>
          </cell>
          <cell r="H278">
            <v>9681</v>
          </cell>
          <cell r="J278">
            <v>8779</v>
          </cell>
        </row>
        <row r="280">
          <cell r="B280" t="str">
            <v>- 경유</v>
          </cell>
          <cell r="D280">
            <v>13.9</v>
          </cell>
          <cell r="E280" t="str">
            <v>L</v>
          </cell>
          <cell r="I280">
            <v>526.4</v>
          </cell>
          <cell r="J280">
            <v>7316</v>
          </cell>
        </row>
        <row r="281">
          <cell r="B281" t="str">
            <v>- 잡유</v>
          </cell>
          <cell r="C281" t="str">
            <v>주연료*20%</v>
          </cell>
          <cell r="D281">
            <v>1</v>
          </cell>
          <cell r="E281" t="str">
            <v>식</v>
          </cell>
          <cell r="J281">
            <v>1463</v>
          </cell>
        </row>
        <row r="282">
          <cell r="B282" t="str">
            <v>- 조종원</v>
          </cell>
          <cell r="D282">
            <v>0.17</v>
          </cell>
          <cell r="E282" t="str">
            <v>인</v>
          </cell>
          <cell r="G282">
            <v>56951</v>
          </cell>
          <cell r="H282">
            <v>9681</v>
          </cell>
        </row>
        <row r="284">
          <cell r="A284" t="str">
            <v>Trailer</v>
          </cell>
          <cell r="C284" t="str">
            <v>20ton</v>
          </cell>
          <cell r="D284">
            <v>1</v>
          </cell>
          <cell r="E284" t="str">
            <v>hr</v>
          </cell>
          <cell r="H284">
            <v>9681</v>
          </cell>
          <cell r="J284">
            <v>15109</v>
          </cell>
        </row>
        <row r="286">
          <cell r="B286" t="str">
            <v>- 경유</v>
          </cell>
          <cell r="D286">
            <v>20.8</v>
          </cell>
          <cell r="E286" t="str">
            <v>L</v>
          </cell>
          <cell r="I286">
            <v>526.4</v>
          </cell>
          <cell r="J286">
            <v>10949.12</v>
          </cell>
        </row>
        <row r="287">
          <cell r="A287" t="str">
            <v>종       별</v>
          </cell>
          <cell r="C287" t="str">
            <v>재 료 또 는</v>
          </cell>
          <cell r="D287" t="str">
            <v xml:space="preserve">원 수 </v>
          </cell>
          <cell r="E287" t="str">
            <v>단 위</v>
          </cell>
          <cell r="F287" t="str">
            <v>총   액</v>
          </cell>
          <cell r="G287" t="str">
            <v>노   무   비</v>
          </cell>
          <cell r="I287" t="str">
            <v>재   료   비</v>
          </cell>
          <cell r="K287" t="str">
            <v>경      비</v>
          </cell>
          <cell r="M287" t="str">
            <v>비   고</v>
          </cell>
        </row>
        <row r="288">
          <cell r="C288" t="str">
            <v xml:space="preserve">규       격 </v>
          </cell>
          <cell r="F288" t="str">
            <v>금   액</v>
          </cell>
          <cell r="G288" t="str">
            <v>단  가</v>
          </cell>
          <cell r="H288" t="str">
            <v>금   액</v>
          </cell>
          <cell r="I288" t="str">
            <v>단  가</v>
          </cell>
          <cell r="J288" t="str">
            <v>금   액</v>
          </cell>
          <cell r="K288" t="str">
            <v>단  가</v>
          </cell>
          <cell r="L288" t="str">
            <v>금   액</v>
          </cell>
        </row>
        <row r="289">
          <cell r="B289" t="str">
            <v>- 잡유</v>
          </cell>
          <cell r="C289" t="str">
            <v>주연료*38%</v>
          </cell>
          <cell r="D289">
            <v>1</v>
          </cell>
          <cell r="E289" t="str">
            <v>식</v>
          </cell>
          <cell r="J289">
            <v>4160.6656000000003</v>
          </cell>
        </row>
        <row r="290">
          <cell r="B290" t="str">
            <v>- 조종원</v>
          </cell>
          <cell r="D290">
            <v>0.17</v>
          </cell>
          <cell r="E290" t="str">
            <v>인</v>
          </cell>
          <cell r="G290">
            <v>56951</v>
          </cell>
          <cell r="H290">
            <v>9681</v>
          </cell>
        </row>
        <row r="292">
          <cell r="A292" t="str">
            <v>발 전 기</v>
          </cell>
          <cell r="C292" t="str">
            <v>50 kw</v>
          </cell>
          <cell r="D292">
            <v>1</v>
          </cell>
          <cell r="E292" t="str">
            <v>hr</v>
          </cell>
          <cell r="H292">
            <v>9235</v>
          </cell>
          <cell r="J292">
            <v>8338</v>
          </cell>
        </row>
        <row r="294">
          <cell r="B294" t="str">
            <v>- 경유</v>
          </cell>
          <cell r="D294">
            <v>13.2</v>
          </cell>
          <cell r="E294" t="str">
            <v>L</v>
          </cell>
          <cell r="I294">
            <v>526.4</v>
          </cell>
          <cell r="J294">
            <v>6948.48</v>
          </cell>
        </row>
        <row r="295">
          <cell r="B295" t="str">
            <v>- 잡유</v>
          </cell>
          <cell r="C295" t="str">
            <v>주연료*20%</v>
          </cell>
          <cell r="D295">
            <v>1</v>
          </cell>
          <cell r="E295" t="str">
            <v>식</v>
          </cell>
          <cell r="J295">
            <v>1389.6959999999997</v>
          </cell>
        </row>
        <row r="296">
          <cell r="B296" t="str">
            <v>- 조종원</v>
          </cell>
          <cell r="D296">
            <v>0.17</v>
          </cell>
          <cell r="E296" t="str">
            <v>인</v>
          </cell>
          <cell r="G296">
            <v>54325</v>
          </cell>
          <cell r="H296">
            <v>9235</v>
          </cell>
        </row>
        <row r="297">
          <cell r="A297" t="str">
            <v>Truck Crane</v>
          </cell>
          <cell r="C297" t="str">
            <v>10ton</v>
          </cell>
          <cell r="D297">
            <v>1</v>
          </cell>
          <cell r="E297" t="str">
            <v>hr</v>
          </cell>
          <cell r="H297">
            <v>18615</v>
          </cell>
          <cell r="J297">
            <v>3486</v>
          </cell>
        </row>
        <row r="299">
          <cell r="B299" t="str">
            <v>- 경유</v>
          </cell>
          <cell r="D299">
            <v>4.8</v>
          </cell>
          <cell r="E299" t="str">
            <v>L</v>
          </cell>
          <cell r="I299">
            <v>526.4</v>
          </cell>
          <cell r="J299">
            <v>2526.7199999999998</v>
          </cell>
          <cell r="L299" t="str">
            <v xml:space="preserve"> </v>
          </cell>
        </row>
        <row r="300">
          <cell r="B300" t="str">
            <v>- 잡유</v>
          </cell>
          <cell r="C300" t="str">
            <v>주연료*38%</v>
          </cell>
          <cell r="D300">
            <v>1</v>
          </cell>
          <cell r="E300" t="str">
            <v>식</v>
          </cell>
          <cell r="J300">
            <v>960.15359999999987</v>
          </cell>
        </row>
        <row r="301">
          <cell r="B301" t="str">
            <v>- 조종원</v>
          </cell>
          <cell r="D301">
            <v>0.17</v>
          </cell>
          <cell r="E301" t="str">
            <v>인</v>
          </cell>
          <cell r="G301">
            <v>56951</v>
          </cell>
          <cell r="H301">
            <v>9681.67</v>
          </cell>
        </row>
        <row r="302">
          <cell r="B302" t="str">
            <v>- 조수</v>
          </cell>
          <cell r="D302">
            <v>0.17</v>
          </cell>
          <cell r="E302" t="str">
            <v>"</v>
          </cell>
          <cell r="G302">
            <v>42762</v>
          </cell>
          <cell r="H302">
            <v>7269.54</v>
          </cell>
        </row>
        <row r="303">
          <cell r="B303" t="str">
            <v>- 중기조장</v>
          </cell>
          <cell r="D303">
            <v>0.03</v>
          </cell>
          <cell r="E303" t="str">
            <v>"</v>
          </cell>
          <cell r="G303">
            <v>55484</v>
          </cell>
          <cell r="H303">
            <v>1664.52</v>
          </cell>
        </row>
        <row r="311">
          <cell r="E311" t="str">
            <v xml:space="preserve"> </v>
          </cell>
        </row>
        <row r="312">
          <cell r="B312" t="str">
            <v>'98 년 도  수 문 일 위 대 가 표  총 괄</v>
          </cell>
        </row>
        <row r="314">
          <cell r="A314" t="str">
            <v>종       별</v>
          </cell>
          <cell r="C314" t="str">
            <v>재 료 또 는</v>
          </cell>
          <cell r="D314" t="str">
            <v xml:space="preserve">원 수 </v>
          </cell>
          <cell r="E314" t="str">
            <v>단 위</v>
          </cell>
          <cell r="F314" t="str">
            <v>총   액</v>
          </cell>
          <cell r="G314" t="str">
            <v>노   무   비</v>
          </cell>
          <cell r="I314" t="str">
            <v>재   료   비</v>
          </cell>
          <cell r="K314" t="str">
            <v>경      비</v>
          </cell>
          <cell r="M314" t="str">
            <v>비   고</v>
          </cell>
        </row>
        <row r="315">
          <cell r="C315" t="str">
            <v xml:space="preserve">규       격 </v>
          </cell>
          <cell r="F315" t="str">
            <v>금   액</v>
          </cell>
          <cell r="G315" t="str">
            <v>단  가</v>
          </cell>
          <cell r="H315" t="str">
            <v>금   액</v>
          </cell>
          <cell r="I315" t="str">
            <v>단  가</v>
          </cell>
          <cell r="J315" t="str">
            <v>금   액</v>
          </cell>
          <cell r="K315" t="str">
            <v>단  가</v>
          </cell>
          <cell r="L315" t="str">
            <v>금   액</v>
          </cell>
        </row>
        <row r="316">
          <cell r="A316" t="str">
            <v xml:space="preserve">◈ROLLER GATE </v>
          </cell>
          <cell r="C316" t="str">
            <v xml:space="preserve"> </v>
          </cell>
        </row>
        <row r="317">
          <cell r="A317" t="str">
            <v xml:space="preserve"> </v>
          </cell>
          <cell r="B317" t="str">
            <v>⊙ 제작 가공비</v>
          </cell>
        </row>
        <row r="318">
          <cell r="A318" t="str">
            <v xml:space="preserve"> </v>
          </cell>
          <cell r="B318" t="str">
            <v>▷GATE LEAF</v>
          </cell>
          <cell r="C318" t="str">
            <v>소   계</v>
          </cell>
          <cell r="F318">
            <v>1668518</v>
          </cell>
          <cell r="H318">
            <v>1322330</v>
          </cell>
          <cell r="J318">
            <v>237292</v>
          </cell>
          <cell r="L318">
            <v>108896</v>
          </cell>
        </row>
        <row r="319">
          <cell r="A319" t="str">
            <v xml:space="preserve"> </v>
          </cell>
          <cell r="C319" t="str">
            <v>인 건 비</v>
          </cell>
          <cell r="D319">
            <v>1</v>
          </cell>
          <cell r="E319" t="str">
            <v>TON</v>
          </cell>
          <cell r="F319">
            <v>1195828</v>
          </cell>
          <cell r="H319">
            <v>1195828</v>
          </cell>
        </row>
        <row r="320">
          <cell r="A320" t="str">
            <v xml:space="preserve"> </v>
          </cell>
          <cell r="C320" t="str">
            <v>사용장비경비</v>
          </cell>
          <cell r="D320">
            <v>1</v>
          </cell>
          <cell r="E320" t="str">
            <v>TON</v>
          </cell>
          <cell r="F320">
            <v>247732</v>
          </cell>
          <cell r="H320">
            <v>126502</v>
          </cell>
          <cell r="J320">
            <v>31430</v>
          </cell>
          <cell r="L320">
            <v>89800</v>
          </cell>
        </row>
        <row r="321">
          <cell r="A321" t="str">
            <v xml:space="preserve"> </v>
          </cell>
          <cell r="C321" t="str">
            <v>소모자재비</v>
          </cell>
          <cell r="D321">
            <v>1</v>
          </cell>
          <cell r="E321" t="str">
            <v>TON</v>
          </cell>
          <cell r="F321">
            <v>224958</v>
          </cell>
          <cell r="J321">
            <v>205862</v>
          </cell>
          <cell r="L321">
            <v>19096</v>
          </cell>
        </row>
        <row r="323">
          <cell r="A323" t="str">
            <v xml:space="preserve"> </v>
          </cell>
          <cell r="B323" t="str">
            <v>▷GUIDE FRAME</v>
          </cell>
          <cell r="C323" t="str">
            <v>소   계</v>
          </cell>
          <cell r="F323">
            <v>4324511</v>
          </cell>
          <cell r="H323">
            <v>3911039</v>
          </cell>
          <cell r="J323">
            <v>289792</v>
          </cell>
          <cell r="L323">
            <v>123680</v>
          </cell>
        </row>
        <row r="324">
          <cell r="A324" t="str">
            <v xml:space="preserve"> </v>
          </cell>
          <cell r="C324" t="str">
            <v>인 건 비</v>
          </cell>
          <cell r="D324">
            <v>1</v>
          </cell>
          <cell r="E324" t="str">
            <v>TON</v>
          </cell>
          <cell r="F324">
            <v>3784537</v>
          </cell>
          <cell r="H324">
            <v>3784537</v>
          </cell>
        </row>
        <row r="325">
          <cell r="A325" t="str">
            <v xml:space="preserve"> </v>
          </cell>
          <cell r="C325" t="str">
            <v>사용장비경비</v>
          </cell>
          <cell r="D325">
            <v>1</v>
          </cell>
          <cell r="E325" t="str">
            <v>TON</v>
          </cell>
          <cell r="F325">
            <v>247732</v>
          </cell>
          <cell r="H325">
            <v>126502</v>
          </cell>
          <cell r="J325">
            <v>31430</v>
          </cell>
          <cell r="L325">
            <v>89800</v>
          </cell>
          <cell r="M325" t="str">
            <v>ROLLER GATE
LEAF 적용</v>
          </cell>
        </row>
        <row r="326">
          <cell r="A326" t="str">
            <v xml:space="preserve"> </v>
          </cell>
          <cell r="C326" t="str">
            <v>소모자재비</v>
          </cell>
          <cell r="D326">
            <v>1</v>
          </cell>
          <cell r="E326" t="str">
            <v>TON</v>
          </cell>
          <cell r="F326">
            <v>292242</v>
          </cell>
          <cell r="J326">
            <v>258362</v>
          </cell>
          <cell r="L326">
            <v>33880</v>
          </cell>
        </row>
        <row r="328">
          <cell r="A328" t="str">
            <v xml:space="preserve"> </v>
          </cell>
          <cell r="B328" t="str">
            <v>⊙ 설  치  비</v>
          </cell>
        </row>
        <row r="329">
          <cell r="A329" t="str">
            <v xml:space="preserve"> </v>
          </cell>
          <cell r="B329" t="str">
            <v>▷GATE LEAF</v>
          </cell>
          <cell r="C329" t="str">
            <v>소   계</v>
          </cell>
          <cell r="F329">
            <v>2471576</v>
          </cell>
          <cell r="H329">
            <v>1670029</v>
          </cell>
          <cell r="J329">
            <v>226123</v>
          </cell>
          <cell r="L329">
            <v>575424</v>
          </cell>
        </row>
        <row r="330">
          <cell r="A330" t="str">
            <v>종       별</v>
          </cell>
          <cell r="C330" t="str">
            <v>재 료 또 는</v>
          </cell>
          <cell r="D330" t="str">
            <v xml:space="preserve">원 수 </v>
          </cell>
          <cell r="E330" t="str">
            <v>단 위</v>
          </cell>
          <cell r="F330" t="str">
            <v>총   액</v>
          </cell>
          <cell r="G330" t="str">
            <v>노   무   비</v>
          </cell>
          <cell r="I330" t="str">
            <v>재   료   비</v>
          </cell>
          <cell r="K330" t="str">
            <v>경      비</v>
          </cell>
          <cell r="M330" t="str">
            <v>비   고</v>
          </cell>
        </row>
        <row r="331">
          <cell r="C331" t="str">
            <v xml:space="preserve">규       격 </v>
          </cell>
          <cell r="F331" t="str">
            <v>금   액</v>
          </cell>
          <cell r="G331" t="str">
            <v>단  가</v>
          </cell>
          <cell r="H331" t="str">
            <v>금   액</v>
          </cell>
          <cell r="I331" t="str">
            <v>단  가</v>
          </cell>
          <cell r="J331" t="str">
            <v>금   액</v>
          </cell>
          <cell r="K331" t="str">
            <v>단  가</v>
          </cell>
          <cell r="L331" t="str">
            <v>금   액</v>
          </cell>
        </row>
        <row r="332">
          <cell r="A332" t="str">
            <v xml:space="preserve"> </v>
          </cell>
          <cell r="C332" t="str">
            <v>인 건 비</v>
          </cell>
          <cell r="D332">
            <v>1</v>
          </cell>
          <cell r="E332" t="str">
            <v>TON</v>
          </cell>
          <cell r="F332">
            <v>1091285</v>
          </cell>
          <cell r="H332">
            <v>1091285</v>
          </cell>
        </row>
        <row r="333">
          <cell r="A333" t="str">
            <v xml:space="preserve"> </v>
          </cell>
          <cell r="C333" t="str">
            <v>사용장비경비</v>
          </cell>
          <cell r="D333">
            <v>1</v>
          </cell>
          <cell r="E333" t="str">
            <v>TON</v>
          </cell>
          <cell r="F333">
            <v>1341424</v>
          </cell>
          <cell r="H333">
            <v>578744</v>
          </cell>
          <cell r="J333">
            <v>187256</v>
          </cell>
          <cell r="L333">
            <v>575424</v>
          </cell>
        </row>
        <row r="334">
          <cell r="A334" t="str">
            <v xml:space="preserve"> </v>
          </cell>
          <cell r="C334" t="str">
            <v>소모자재비</v>
          </cell>
          <cell r="D334">
            <v>1</v>
          </cell>
          <cell r="E334" t="str">
            <v>TON</v>
          </cell>
          <cell r="F334">
            <v>38867</v>
          </cell>
          <cell r="J334">
            <v>38867</v>
          </cell>
        </row>
        <row r="336">
          <cell r="A336" t="str">
            <v xml:space="preserve"> </v>
          </cell>
          <cell r="B336" t="str">
            <v>▷GUIDE FRAME</v>
          </cell>
          <cell r="C336" t="str">
            <v>소   계</v>
          </cell>
          <cell r="F336">
            <v>5148432</v>
          </cell>
          <cell r="H336">
            <v>4267975</v>
          </cell>
          <cell r="J336">
            <v>305033</v>
          </cell>
          <cell r="L336">
            <v>575424</v>
          </cell>
        </row>
        <row r="337">
          <cell r="A337" t="str">
            <v xml:space="preserve"> </v>
          </cell>
          <cell r="C337" t="str">
            <v>인 건 비</v>
          </cell>
          <cell r="D337">
            <v>1</v>
          </cell>
          <cell r="E337" t="str">
            <v>TON</v>
          </cell>
          <cell r="F337">
            <v>3689231</v>
          </cell>
          <cell r="H337">
            <v>3689231</v>
          </cell>
        </row>
        <row r="338">
          <cell r="A338" t="str">
            <v xml:space="preserve"> </v>
          </cell>
          <cell r="C338" t="str">
            <v>사용장비경비</v>
          </cell>
          <cell r="D338">
            <v>1</v>
          </cell>
          <cell r="E338" t="str">
            <v>TON</v>
          </cell>
          <cell r="F338">
            <v>1341424</v>
          </cell>
          <cell r="H338">
            <v>578744</v>
          </cell>
          <cell r="J338">
            <v>187256</v>
          </cell>
          <cell r="L338">
            <v>575424</v>
          </cell>
        </row>
        <row r="339">
          <cell r="A339" t="str">
            <v xml:space="preserve"> </v>
          </cell>
          <cell r="C339" t="str">
            <v>소모자재비</v>
          </cell>
          <cell r="D339">
            <v>1</v>
          </cell>
          <cell r="E339" t="str">
            <v>TON</v>
          </cell>
          <cell r="F339">
            <v>117777</v>
          </cell>
          <cell r="J339">
            <v>117777</v>
          </cell>
        </row>
        <row r="341">
          <cell r="A341" t="str">
            <v xml:space="preserve"> </v>
          </cell>
          <cell r="B341" t="str">
            <v>▷ HOIST</v>
          </cell>
          <cell r="C341" t="str">
            <v>소   계</v>
          </cell>
          <cell r="F341">
            <v>2100502</v>
          </cell>
          <cell r="H341">
            <v>1186896</v>
          </cell>
          <cell r="J341">
            <v>275550</v>
          </cell>
          <cell r="L341">
            <v>638056</v>
          </cell>
        </row>
        <row r="342">
          <cell r="A342" t="str">
            <v xml:space="preserve"> </v>
          </cell>
          <cell r="C342" t="str">
            <v>인 건 비</v>
          </cell>
          <cell r="D342">
            <v>1</v>
          </cell>
          <cell r="E342" t="str">
            <v>TON</v>
          </cell>
          <cell r="F342">
            <v>687704</v>
          </cell>
          <cell r="H342">
            <v>687704</v>
          </cell>
        </row>
        <row r="343">
          <cell r="A343" t="str">
            <v xml:space="preserve"> </v>
          </cell>
          <cell r="C343" t="str">
            <v>사용장비경비</v>
          </cell>
          <cell r="D343">
            <v>1</v>
          </cell>
          <cell r="E343" t="str">
            <v>TON</v>
          </cell>
          <cell r="F343">
            <v>1384600</v>
          </cell>
          <cell r="H343">
            <v>499192</v>
          </cell>
          <cell r="J343">
            <v>247352</v>
          </cell>
          <cell r="L343">
            <v>638056</v>
          </cell>
        </row>
        <row r="344">
          <cell r="A344" t="str">
            <v xml:space="preserve"> </v>
          </cell>
          <cell r="C344" t="str">
            <v>소모자재비</v>
          </cell>
          <cell r="D344">
            <v>1</v>
          </cell>
          <cell r="E344" t="str">
            <v>TON</v>
          </cell>
          <cell r="F344">
            <v>28198</v>
          </cell>
          <cell r="J344">
            <v>28198</v>
          </cell>
        </row>
        <row r="345">
          <cell r="A345" t="str">
            <v>◈ STOP LOG</v>
          </cell>
        </row>
        <row r="346">
          <cell r="B346" t="str">
            <v>⊙ 제작 가공비</v>
          </cell>
        </row>
        <row r="347">
          <cell r="B347" t="str">
            <v>▷GATE LEAF</v>
          </cell>
          <cell r="C347" t="str">
            <v>소   계</v>
          </cell>
          <cell r="F347">
            <v>1301484.2280000001</v>
          </cell>
          <cell r="H347">
            <v>1137185</v>
          </cell>
          <cell r="J347">
            <v>65315</v>
          </cell>
          <cell r="L347">
            <v>98984.228000000003</v>
          </cell>
        </row>
        <row r="348">
          <cell r="C348" t="str">
            <v>인 건 비</v>
          </cell>
          <cell r="E348" t="str">
            <v>TON</v>
          </cell>
          <cell r="F348">
            <v>985817</v>
          </cell>
          <cell r="H348">
            <v>985817</v>
          </cell>
        </row>
        <row r="349">
          <cell r="A349" t="str">
            <v>종       별</v>
          </cell>
          <cell r="C349" t="str">
            <v>재 료 또 는</v>
          </cell>
          <cell r="D349" t="str">
            <v xml:space="preserve">원 수 </v>
          </cell>
          <cell r="E349" t="str">
            <v>단 위</v>
          </cell>
          <cell r="F349" t="str">
            <v>총   액</v>
          </cell>
          <cell r="G349" t="str">
            <v>노   무   비</v>
          </cell>
          <cell r="I349" t="str">
            <v>재   료   비</v>
          </cell>
          <cell r="K349" t="str">
            <v>경      비</v>
          </cell>
          <cell r="M349" t="str">
            <v>비   고</v>
          </cell>
        </row>
        <row r="350">
          <cell r="C350" t="str">
            <v xml:space="preserve">규       격 </v>
          </cell>
          <cell r="F350" t="str">
            <v>금   액</v>
          </cell>
          <cell r="G350" t="str">
            <v>단  가</v>
          </cell>
          <cell r="H350" t="str">
            <v>금   액</v>
          </cell>
          <cell r="I350" t="str">
            <v>단  가</v>
          </cell>
          <cell r="J350" t="str">
            <v>금   액</v>
          </cell>
          <cell r="K350" t="str">
            <v>단  가</v>
          </cell>
          <cell r="L350" t="str">
            <v>금   액</v>
          </cell>
        </row>
        <row r="351">
          <cell r="C351" t="str">
            <v>사용장비경비</v>
          </cell>
          <cell r="E351" t="str">
            <v>TON</v>
          </cell>
          <cell r="F351">
            <v>289048.228</v>
          </cell>
          <cell r="H351">
            <v>151368</v>
          </cell>
          <cell r="J351">
            <v>38696</v>
          </cell>
          <cell r="L351">
            <v>98984.228000000003</v>
          </cell>
        </row>
        <row r="352">
          <cell r="A352" t="str">
            <v xml:space="preserve"> </v>
          </cell>
          <cell r="C352" t="str">
            <v>소모자재비</v>
          </cell>
          <cell r="E352" t="str">
            <v>TON</v>
          </cell>
          <cell r="F352">
            <v>26619</v>
          </cell>
          <cell r="J352">
            <v>26619</v>
          </cell>
        </row>
        <row r="354">
          <cell r="A354" t="str">
            <v xml:space="preserve"> </v>
          </cell>
          <cell r="B354" t="str">
            <v>▷GUIDE FRAME</v>
          </cell>
          <cell r="C354" t="str">
            <v>소   계</v>
          </cell>
          <cell r="F354">
            <v>4324511</v>
          </cell>
          <cell r="H354">
            <v>3911039</v>
          </cell>
          <cell r="J354">
            <v>289792</v>
          </cell>
          <cell r="L354">
            <v>123680</v>
          </cell>
          <cell r="M354" t="str">
            <v>ROLLER GATE 
GUIDE FRAME적용</v>
          </cell>
        </row>
        <row r="355">
          <cell r="A355" t="str">
            <v xml:space="preserve"> </v>
          </cell>
          <cell r="C355" t="str">
            <v>인 건 비</v>
          </cell>
          <cell r="E355" t="str">
            <v>TON</v>
          </cell>
          <cell r="F355">
            <v>3784537</v>
          </cell>
          <cell r="H355">
            <v>3784537</v>
          </cell>
          <cell r="M355" t="str">
            <v>"</v>
          </cell>
        </row>
        <row r="356">
          <cell r="A356" t="str">
            <v xml:space="preserve"> </v>
          </cell>
          <cell r="C356" t="str">
            <v>사용장비경비</v>
          </cell>
          <cell r="E356" t="str">
            <v>TON</v>
          </cell>
          <cell r="F356">
            <v>247732</v>
          </cell>
          <cell r="H356">
            <v>126502</v>
          </cell>
          <cell r="J356">
            <v>31430</v>
          </cell>
          <cell r="L356">
            <v>89800</v>
          </cell>
          <cell r="M356" t="str">
            <v>"</v>
          </cell>
        </row>
        <row r="357">
          <cell r="C357" t="str">
            <v>소모자재비</v>
          </cell>
          <cell r="E357" t="str">
            <v>TON</v>
          </cell>
          <cell r="F357">
            <v>292242</v>
          </cell>
          <cell r="J357">
            <v>258362</v>
          </cell>
          <cell r="L357">
            <v>33880</v>
          </cell>
          <cell r="M357" t="str">
            <v>"</v>
          </cell>
        </row>
        <row r="359">
          <cell r="B359" t="str">
            <v>▷LIFTING BEAM</v>
          </cell>
          <cell r="C359" t="str">
            <v>소   계</v>
          </cell>
          <cell r="F359">
            <v>1301484.2280000001</v>
          </cell>
          <cell r="H359">
            <v>1137185</v>
          </cell>
          <cell r="J359">
            <v>65315</v>
          </cell>
          <cell r="L359">
            <v>98984.228000000003</v>
          </cell>
          <cell r="M359" t="str">
            <v>STOP LOG LEAF
적용</v>
          </cell>
        </row>
        <row r="360">
          <cell r="C360" t="str">
            <v>인 건 비</v>
          </cell>
          <cell r="E360" t="str">
            <v>TON</v>
          </cell>
          <cell r="F360">
            <v>985817</v>
          </cell>
          <cell r="H360">
            <v>985817</v>
          </cell>
          <cell r="M360" t="str">
            <v>"</v>
          </cell>
        </row>
        <row r="361">
          <cell r="C361" t="str">
            <v>사용장비경비</v>
          </cell>
          <cell r="E361" t="str">
            <v>TON</v>
          </cell>
          <cell r="F361">
            <v>289048.228</v>
          </cell>
          <cell r="H361">
            <v>151368</v>
          </cell>
          <cell r="J361">
            <v>38696</v>
          </cell>
          <cell r="L361">
            <v>98984.228000000003</v>
          </cell>
          <cell r="M361" t="str">
            <v>"</v>
          </cell>
        </row>
        <row r="362">
          <cell r="C362" t="str">
            <v>소모자재비</v>
          </cell>
          <cell r="E362" t="str">
            <v>TON</v>
          </cell>
          <cell r="F362">
            <v>26619</v>
          </cell>
          <cell r="J362">
            <v>26619</v>
          </cell>
          <cell r="M362" t="str">
            <v>"</v>
          </cell>
        </row>
        <row r="363">
          <cell r="B363" t="str">
            <v>⊙ 설  치  비</v>
          </cell>
        </row>
        <row r="364">
          <cell r="B364" t="str">
            <v>▷GATE LEAF</v>
          </cell>
          <cell r="C364" t="str">
            <v>소   계</v>
          </cell>
          <cell r="F364">
            <v>1483011</v>
          </cell>
          <cell r="H364">
            <v>862692</v>
          </cell>
          <cell r="J364">
            <v>237294</v>
          </cell>
          <cell r="L364">
            <v>383025</v>
          </cell>
        </row>
        <row r="365">
          <cell r="C365" t="str">
            <v>인 건 비</v>
          </cell>
          <cell r="E365" t="str">
            <v>TON</v>
          </cell>
          <cell r="F365">
            <v>562444</v>
          </cell>
          <cell r="H365">
            <v>562444</v>
          </cell>
        </row>
        <row r="366">
          <cell r="C366" t="str">
            <v>사용장비경비</v>
          </cell>
          <cell r="E366" t="str">
            <v>TON</v>
          </cell>
          <cell r="F366">
            <v>744864</v>
          </cell>
          <cell r="H366">
            <v>300248</v>
          </cell>
          <cell r="J366">
            <v>80440</v>
          </cell>
          <cell r="L366">
            <v>364176</v>
          </cell>
        </row>
        <row r="367">
          <cell r="C367" t="str">
            <v>소모자재비</v>
          </cell>
          <cell r="E367" t="str">
            <v>TON</v>
          </cell>
          <cell r="F367">
            <v>175703</v>
          </cell>
          <cell r="J367">
            <v>156854</v>
          </cell>
          <cell r="L367">
            <v>18849</v>
          </cell>
        </row>
        <row r="368">
          <cell r="A368" t="str">
            <v>종       별</v>
          </cell>
          <cell r="C368" t="str">
            <v>재 료 또 는</v>
          </cell>
          <cell r="D368" t="str">
            <v xml:space="preserve">원 수 </v>
          </cell>
          <cell r="E368" t="str">
            <v>단 위</v>
          </cell>
          <cell r="F368" t="str">
            <v>총   액</v>
          </cell>
          <cell r="G368" t="str">
            <v>노   무   비</v>
          </cell>
          <cell r="I368" t="str">
            <v>재   료   비</v>
          </cell>
          <cell r="K368" t="str">
            <v>경      비</v>
          </cell>
          <cell r="M368" t="str">
            <v>비   고</v>
          </cell>
        </row>
        <row r="369">
          <cell r="C369" t="str">
            <v xml:space="preserve">규       격 </v>
          </cell>
          <cell r="F369" t="str">
            <v>금   액</v>
          </cell>
          <cell r="G369" t="str">
            <v>단  가</v>
          </cell>
          <cell r="H369" t="str">
            <v>금   액</v>
          </cell>
          <cell r="I369" t="str">
            <v>단  가</v>
          </cell>
          <cell r="J369" t="str">
            <v>금   액</v>
          </cell>
          <cell r="K369" t="str">
            <v>단  가</v>
          </cell>
          <cell r="L369" t="str">
            <v>금   액</v>
          </cell>
        </row>
        <row r="370">
          <cell r="B370" t="str">
            <v>▷GUIDE FRAME</v>
          </cell>
          <cell r="C370" t="str">
            <v>⇒ ROLLER GATE 적용</v>
          </cell>
        </row>
        <row r="371">
          <cell r="A371" t="str">
            <v xml:space="preserve"> </v>
          </cell>
          <cell r="B371" t="str">
            <v>▷LIFTING BEAM</v>
          </cell>
          <cell r="C371" t="str">
            <v>⇒ STOP LOG LEAF 적용</v>
          </cell>
        </row>
        <row r="373">
          <cell r="A373" t="str">
            <v>◈ RADIAL GATE</v>
          </cell>
        </row>
        <row r="374">
          <cell r="A374" t="str">
            <v xml:space="preserve"> </v>
          </cell>
          <cell r="B374" t="str">
            <v>⊙ 제작 가공비</v>
          </cell>
        </row>
        <row r="376">
          <cell r="A376" t="str">
            <v xml:space="preserve"> </v>
          </cell>
          <cell r="B376" t="str">
            <v>▷GATE LEAF</v>
          </cell>
          <cell r="C376" t="str">
            <v>소   계</v>
          </cell>
          <cell r="F376">
            <v>2124730</v>
          </cell>
          <cell r="H376">
            <v>1660499</v>
          </cell>
          <cell r="J376">
            <v>304929</v>
          </cell>
          <cell r="L376">
            <v>159302</v>
          </cell>
        </row>
        <row r="377">
          <cell r="A377" t="str">
            <v xml:space="preserve"> </v>
          </cell>
          <cell r="C377" t="str">
            <v>인 건 비</v>
          </cell>
          <cell r="E377" t="str">
            <v>TON</v>
          </cell>
          <cell r="F377">
            <v>1502694</v>
          </cell>
          <cell r="H377">
            <v>1502694</v>
          </cell>
        </row>
        <row r="378">
          <cell r="A378" t="str">
            <v xml:space="preserve"> </v>
          </cell>
          <cell r="C378" t="str">
            <v>사용장비경비</v>
          </cell>
          <cell r="E378" t="str">
            <v>TON</v>
          </cell>
          <cell r="F378">
            <v>341716</v>
          </cell>
          <cell r="H378">
            <v>157805</v>
          </cell>
          <cell r="J378">
            <v>47401</v>
          </cell>
          <cell r="L378">
            <v>136510</v>
          </cell>
        </row>
        <row r="379">
          <cell r="A379" t="str">
            <v xml:space="preserve"> </v>
          </cell>
          <cell r="C379" t="str">
            <v>소모자재비</v>
          </cell>
          <cell r="E379" t="str">
            <v>TON</v>
          </cell>
          <cell r="F379">
            <v>280320</v>
          </cell>
          <cell r="J379">
            <v>257528</v>
          </cell>
          <cell r="L379">
            <v>22792</v>
          </cell>
        </row>
        <row r="381">
          <cell r="A381" t="str">
            <v xml:space="preserve"> </v>
          </cell>
          <cell r="B381" t="str">
            <v>▷GUIDE FRAME</v>
          </cell>
          <cell r="C381" t="str">
            <v>소   계</v>
          </cell>
          <cell r="F381">
            <v>4842008</v>
          </cell>
          <cell r="H381">
            <v>4473673</v>
          </cell>
          <cell r="J381">
            <v>195173</v>
          </cell>
          <cell r="L381">
            <v>173162</v>
          </cell>
        </row>
        <row r="382">
          <cell r="A382" t="str">
            <v xml:space="preserve"> </v>
          </cell>
          <cell r="B382" t="str">
            <v xml:space="preserve"> </v>
          </cell>
          <cell r="C382" t="str">
            <v>인 건 비</v>
          </cell>
          <cell r="E382" t="str">
            <v>TON</v>
          </cell>
          <cell r="F382">
            <v>4315868</v>
          </cell>
          <cell r="H382">
            <v>4315868</v>
          </cell>
        </row>
        <row r="383">
          <cell r="A383" t="str">
            <v xml:space="preserve"> </v>
          </cell>
          <cell r="B383" t="str">
            <v xml:space="preserve"> </v>
          </cell>
          <cell r="C383" t="str">
            <v>사용장비경비</v>
          </cell>
          <cell r="E383" t="str">
            <v>TON</v>
          </cell>
          <cell r="F383">
            <v>341716</v>
          </cell>
          <cell r="H383">
            <v>157805</v>
          </cell>
          <cell r="J383">
            <v>47401</v>
          </cell>
          <cell r="L383">
            <v>136510</v>
          </cell>
          <cell r="M383" t="str">
            <v>RADIAL GATE
LEAF 적용</v>
          </cell>
        </row>
        <row r="384">
          <cell r="A384" t="str">
            <v xml:space="preserve"> </v>
          </cell>
          <cell r="C384" t="str">
            <v>소모자재비</v>
          </cell>
          <cell r="E384" t="str">
            <v>TON</v>
          </cell>
          <cell r="F384">
            <v>184424</v>
          </cell>
          <cell r="J384">
            <v>147772</v>
          </cell>
          <cell r="L384">
            <v>36652</v>
          </cell>
        </row>
        <row r="388">
          <cell r="A388" t="str">
            <v>종       별</v>
          </cell>
          <cell r="C388" t="str">
            <v>재 료 또 는</v>
          </cell>
          <cell r="D388" t="str">
            <v xml:space="preserve">원 수 </v>
          </cell>
          <cell r="E388" t="str">
            <v>단 위</v>
          </cell>
          <cell r="F388" t="str">
            <v>총   액</v>
          </cell>
          <cell r="G388" t="str">
            <v>노   무   비</v>
          </cell>
          <cell r="I388" t="str">
            <v>재   료   비</v>
          </cell>
          <cell r="K388" t="str">
            <v>경      비</v>
          </cell>
          <cell r="M388" t="str">
            <v>비   고</v>
          </cell>
        </row>
        <row r="389">
          <cell r="C389" t="str">
            <v xml:space="preserve">규       격 </v>
          </cell>
          <cell r="F389" t="str">
            <v>금   액</v>
          </cell>
          <cell r="G389" t="str">
            <v>단  가</v>
          </cell>
          <cell r="H389" t="str">
            <v>금   액</v>
          </cell>
          <cell r="I389" t="str">
            <v>단  가</v>
          </cell>
          <cell r="J389" t="str">
            <v>금   액</v>
          </cell>
          <cell r="K389" t="str">
            <v>단  가</v>
          </cell>
          <cell r="L389" t="str">
            <v>금   액</v>
          </cell>
        </row>
        <row r="390">
          <cell r="B390" t="str">
            <v>▷ANCHORAGE</v>
          </cell>
          <cell r="C390" t="str">
            <v>소   계</v>
          </cell>
          <cell r="F390">
            <v>3706842</v>
          </cell>
          <cell r="H390">
            <v>3389225</v>
          </cell>
          <cell r="J390">
            <v>155235</v>
          </cell>
          <cell r="L390">
            <v>162382</v>
          </cell>
        </row>
        <row r="391">
          <cell r="C391" t="str">
            <v>인 건 비</v>
          </cell>
          <cell r="E391" t="str">
            <v>TON</v>
          </cell>
          <cell r="F391">
            <v>3231420</v>
          </cell>
          <cell r="H391">
            <v>3231420</v>
          </cell>
        </row>
        <row r="392">
          <cell r="C392" t="str">
            <v>사용장비경비</v>
          </cell>
          <cell r="E392" t="str">
            <v>TON</v>
          </cell>
          <cell r="F392">
            <v>341716</v>
          </cell>
          <cell r="H392">
            <v>157805</v>
          </cell>
          <cell r="J392">
            <v>47401</v>
          </cell>
          <cell r="L392">
            <v>136510</v>
          </cell>
          <cell r="M392" t="str">
            <v>RADIAL GATE
LEAF 적용</v>
          </cell>
        </row>
        <row r="393">
          <cell r="C393" t="str">
            <v>소모자재비</v>
          </cell>
          <cell r="E393" t="str">
            <v>TON</v>
          </cell>
          <cell r="F393">
            <v>133706</v>
          </cell>
          <cell r="J393">
            <v>107834</v>
          </cell>
          <cell r="L393">
            <v>25872</v>
          </cell>
        </row>
        <row r="395">
          <cell r="B395" t="str">
            <v>⊙ 설  치  비</v>
          </cell>
        </row>
        <row r="397">
          <cell r="B397" t="str">
            <v>▷GATE LEAF</v>
          </cell>
          <cell r="C397" t="str">
            <v>소   계</v>
          </cell>
          <cell r="F397">
            <v>3544844.4</v>
          </cell>
          <cell r="H397">
            <v>2061690</v>
          </cell>
          <cell r="J397">
            <v>360170.4</v>
          </cell>
          <cell r="L397">
            <v>1122984</v>
          </cell>
        </row>
        <row r="398">
          <cell r="C398" t="str">
            <v>인 건 비</v>
          </cell>
          <cell r="E398" t="str">
            <v>TON</v>
          </cell>
          <cell r="F398">
            <v>1192994</v>
          </cell>
          <cell r="H398">
            <v>1192994</v>
          </cell>
        </row>
        <row r="399">
          <cell r="A399" t="str">
            <v xml:space="preserve"> </v>
          </cell>
          <cell r="C399" t="str">
            <v>사용장비경비</v>
          </cell>
          <cell r="E399" t="str">
            <v>TON</v>
          </cell>
          <cell r="F399">
            <v>2312752</v>
          </cell>
          <cell r="H399">
            <v>868696</v>
          </cell>
          <cell r="J399">
            <v>321072</v>
          </cell>
          <cell r="K399" t="str">
            <v xml:space="preserve"> </v>
          </cell>
          <cell r="L399">
            <v>1122984</v>
          </cell>
        </row>
        <row r="400">
          <cell r="C400" t="str">
            <v>소모자재비</v>
          </cell>
          <cell r="E400" t="str">
            <v>TON</v>
          </cell>
          <cell r="F400">
            <v>39098.400000000001</v>
          </cell>
          <cell r="J400">
            <v>39098.400000000001</v>
          </cell>
        </row>
        <row r="401">
          <cell r="A401" t="str">
            <v xml:space="preserve"> </v>
          </cell>
        </row>
        <row r="402">
          <cell r="A402" t="str">
            <v xml:space="preserve"> </v>
          </cell>
          <cell r="B402" t="str">
            <v>▷GUIDE FRAME</v>
          </cell>
          <cell r="C402" t="str">
            <v>소   계</v>
          </cell>
          <cell r="F402">
            <v>11345142</v>
          </cell>
          <cell r="H402">
            <v>10426754</v>
          </cell>
          <cell r="J402">
            <v>282044</v>
          </cell>
          <cell r="L402">
            <v>636344</v>
          </cell>
        </row>
        <row r="403">
          <cell r="A403" t="str">
            <v xml:space="preserve"> </v>
          </cell>
          <cell r="C403" t="str">
            <v>인 건 비</v>
          </cell>
          <cell r="E403" t="str">
            <v>TON</v>
          </cell>
          <cell r="F403">
            <v>9780858</v>
          </cell>
          <cell r="H403">
            <v>9780858</v>
          </cell>
        </row>
        <row r="404">
          <cell r="A404" t="str">
            <v xml:space="preserve"> </v>
          </cell>
          <cell r="C404" t="str">
            <v>사용장비경비</v>
          </cell>
          <cell r="E404" t="str">
            <v>TON</v>
          </cell>
          <cell r="F404">
            <v>1533472</v>
          </cell>
          <cell r="H404">
            <v>645896</v>
          </cell>
          <cell r="J404">
            <v>251232</v>
          </cell>
          <cell r="K404" t="str">
            <v xml:space="preserve"> </v>
          </cell>
          <cell r="L404">
            <v>636344</v>
          </cell>
        </row>
        <row r="405">
          <cell r="A405" t="str">
            <v xml:space="preserve"> </v>
          </cell>
          <cell r="C405" t="str">
            <v>소모자재비</v>
          </cell>
          <cell r="E405" t="str">
            <v>TON</v>
          </cell>
          <cell r="F405">
            <v>30812</v>
          </cell>
          <cell r="J405">
            <v>30812</v>
          </cell>
        </row>
        <row r="407">
          <cell r="A407" t="str">
            <v>종       별</v>
          </cell>
          <cell r="C407" t="str">
            <v>재 료 또 는</v>
          </cell>
          <cell r="D407" t="str">
            <v xml:space="preserve">원 수 </v>
          </cell>
          <cell r="E407" t="str">
            <v>단 위</v>
          </cell>
          <cell r="F407" t="str">
            <v>총   액</v>
          </cell>
          <cell r="G407" t="str">
            <v>노   무   비</v>
          </cell>
          <cell r="I407" t="str">
            <v>재   료   비</v>
          </cell>
          <cell r="K407" t="str">
            <v>경      비</v>
          </cell>
          <cell r="M407" t="str">
            <v>비   고</v>
          </cell>
        </row>
        <row r="408">
          <cell r="C408" t="str">
            <v xml:space="preserve">규       격 </v>
          </cell>
          <cell r="F408" t="str">
            <v>금   액</v>
          </cell>
          <cell r="G408" t="str">
            <v>단  가</v>
          </cell>
          <cell r="H408" t="str">
            <v>금   액</v>
          </cell>
          <cell r="I408" t="str">
            <v>단  가</v>
          </cell>
          <cell r="J408" t="str">
            <v>금   액</v>
          </cell>
          <cell r="K408" t="str">
            <v>단  가</v>
          </cell>
          <cell r="L408" t="str">
            <v>금   액</v>
          </cell>
        </row>
        <row r="409">
          <cell r="A409" t="str">
            <v xml:space="preserve"> </v>
          </cell>
          <cell r="B409" t="str">
            <v>▷ANCHORAGE</v>
          </cell>
          <cell r="C409" t="str">
            <v>소   계</v>
          </cell>
          <cell r="F409">
            <v>3544844.4</v>
          </cell>
          <cell r="H409">
            <v>2061690</v>
          </cell>
          <cell r="J409">
            <v>360170.4</v>
          </cell>
          <cell r="L409">
            <v>1122984</v>
          </cell>
        </row>
        <row r="410">
          <cell r="A410" t="str">
            <v xml:space="preserve"> </v>
          </cell>
          <cell r="C410" t="str">
            <v>인 건 비</v>
          </cell>
          <cell r="E410" t="str">
            <v>TON</v>
          </cell>
          <cell r="F410">
            <v>1192994</v>
          </cell>
          <cell r="H410">
            <v>1192994</v>
          </cell>
          <cell r="M410" t="str">
            <v>RADIAL GATE 
LEAF 적용</v>
          </cell>
        </row>
        <row r="411">
          <cell r="A411" t="str">
            <v xml:space="preserve"> </v>
          </cell>
          <cell r="C411" t="str">
            <v>사용장비경비</v>
          </cell>
          <cell r="E411" t="str">
            <v>TON</v>
          </cell>
          <cell r="F411">
            <v>2312752</v>
          </cell>
          <cell r="H411">
            <v>868696</v>
          </cell>
          <cell r="J411">
            <v>321072</v>
          </cell>
          <cell r="L411">
            <v>1122984</v>
          </cell>
          <cell r="M411" t="str">
            <v>"</v>
          </cell>
        </row>
        <row r="412">
          <cell r="A412" t="str">
            <v xml:space="preserve"> </v>
          </cell>
          <cell r="C412" t="str">
            <v>소모자재비</v>
          </cell>
          <cell r="E412" t="str">
            <v>TON</v>
          </cell>
          <cell r="F412">
            <v>39098.400000000001</v>
          </cell>
          <cell r="J412">
            <v>39098.400000000001</v>
          </cell>
          <cell r="M412" t="str">
            <v>"</v>
          </cell>
        </row>
        <row r="414">
          <cell r="B414" t="str">
            <v>▷ HOIST</v>
          </cell>
          <cell r="C414" t="str">
            <v>소   계</v>
          </cell>
          <cell r="F414">
            <v>1509190</v>
          </cell>
          <cell r="H414">
            <v>1047968</v>
          </cell>
          <cell r="J414">
            <v>84566</v>
          </cell>
          <cell r="L414">
            <v>376656</v>
          </cell>
        </row>
        <row r="415">
          <cell r="A415" t="str">
            <v xml:space="preserve"> </v>
          </cell>
          <cell r="C415" t="str">
            <v>인 건 비</v>
          </cell>
          <cell r="E415" t="str">
            <v>TON</v>
          </cell>
          <cell r="F415">
            <v>687704</v>
          </cell>
          <cell r="H415">
            <v>687704</v>
          </cell>
          <cell r="M415" t="str">
            <v>ROLLER HOIST와
동일</v>
          </cell>
        </row>
        <row r="416">
          <cell r="A416" t="str">
            <v xml:space="preserve"> </v>
          </cell>
          <cell r="C416" t="str">
            <v>사용장비경비</v>
          </cell>
          <cell r="E416" t="str">
            <v>TON</v>
          </cell>
          <cell r="F416">
            <v>793288</v>
          </cell>
          <cell r="H416">
            <v>360264</v>
          </cell>
          <cell r="J416">
            <v>56368</v>
          </cell>
          <cell r="L416">
            <v>376656</v>
          </cell>
        </row>
        <row r="417">
          <cell r="A417" t="str">
            <v xml:space="preserve"> </v>
          </cell>
          <cell r="C417" t="str">
            <v>소모자재비</v>
          </cell>
          <cell r="E417" t="str">
            <v>TON</v>
          </cell>
          <cell r="F417">
            <v>28198</v>
          </cell>
          <cell r="J417">
            <v>28198</v>
          </cell>
          <cell r="M417" t="str">
            <v>ROLLER HOIST와
동일</v>
          </cell>
        </row>
        <row r="418">
          <cell r="A418" t="str">
            <v xml:space="preserve"> </v>
          </cell>
        </row>
        <row r="419">
          <cell r="A419" t="str">
            <v>◈ TRASH RACK</v>
          </cell>
        </row>
        <row r="420">
          <cell r="B420" t="str">
            <v>⊙ 제작가공비</v>
          </cell>
          <cell r="C420" t="str">
            <v>소   계</v>
          </cell>
          <cell r="F420">
            <v>8169306</v>
          </cell>
          <cell r="H420">
            <v>7960762</v>
          </cell>
          <cell r="J420">
            <v>118744</v>
          </cell>
          <cell r="L420">
            <v>89800</v>
          </cell>
        </row>
        <row r="421">
          <cell r="C421" t="str">
            <v>인  건  비</v>
          </cell>
          <cell r="E421" t="str">
            <v>TON</v>
          </cell>
          <cell r="F421">
            <v>7834260</v>
          </cell>
          <cell r="H421">
            <v>7834260</v>
          </cell>
        </row>
        <row r="422">
          <cell r="C422" t="str">
            <v>사용장비경비</v>
          </cell>
          <cell r="E422" t="str">
            <v>TON</v>
          </cell>
          <cell r="F422">
            <v>247732</v>
          </cell>
          <cell r="H422">
            <v>126502</v>
          </cell>
          <cell r="J422">
            <v>31430</v>
          </cell>
          <cell r="L422">
            <v>89800</v>
          </cell>
          <cell r="M422" t="str">
            <v>ROLLER GATE
LEAF 적용</v>
          </cell>
        </row>
        <row r="423">
          <cell r="A423" t="str">
            <v xml:space="preserve"> </v>
          </cell>
          <cell r="C423" t="str">
            <v>소모자재비</v>
          </cell>
          <cell r="E423" t="str">
            <v>TON</v>
          </cell>
          <cell r="F423">
            <v>87314</v>
          </cell>
          <cell r="J423">
            <v>87314</v>
          </cell>
        </row>
        <row r="425">
          <cell r="A425" t="str">
            <v xml:space="preserve"> </v>
          </cell>
          <cell r="B425" t="str">
            <v>⊙ 설  치  비</v>
          </cell>
          <cell r="C425" t="str">
            <v>소   계</v>
          </cell>
          <cell r="F425">
            <v>2369875</v>
          </cell>
          <cell r="H425">
            <v>1599040</v>
          </cell>
          <cell r="J425">
            <v>195411</v>
          </cell>
          <cell r="L425">
            <v>575424</v>
          </cell>
        </row>
        <row r="426">
          <cell r="A426" t="str">
            <v>종       별</v>
          </cell>
          <cell r="C426" t="str">
            <v>재 료 또 는</v>
          </cell>
          <cell r="D426" t="str">
            <v xml:space="preserve">원 수 </v>
          </cell>
          <cell r="E426" t="str">
            <v>단 위</v>
          </cell>
          <cell r="F426" t="str">
            <v>총   액</v>
          </cell>
          <cell r="G426" t="str">
            <v>노   무   비</v>
          </cell>
          <cell r="I426" t="str">
            <v>재   료   비</v>
          </cell>
          <cell r="K426" t="str">
            <v>경      비</v>
          </cell>
          <cell r="M426" t="str">
            <v>비   고</v>
          </cell>
        </row>
        <row r="427">
          <cell r="C427" t="str">
            <v xml:space="preserve">규       격 </v>
          </cell>
          <cell r="F427" t="str">
            <v>금   액</v>
          </cell>
          <cell r="G427" t="str">
            <v>단  가</v>
          </cell>
          <cell r="H427" t="str">
            <v>금   액</v>
          </cell>
          <cell r="I427" t="str">
            <v>단  가</v>
          </cell>
          <cell r="J427" t="str">
            <v>금   액</v>
          </cell>
          <cell r="K427" t="str">
            <v>단  가</v>
          </cell>
          <cell r="L427" t="str">
            <v>금   액</v>
          </cell>
        </row>
        <row r="428">
          <cell r="A428" t="str">
            <v xml:space="preserve"> </v>
          </cell>
          <cell r="C428" t="str">
            <v>인  건  비</v>
          </cell>
          <cell r="E428" t="str">
            <v>TON</v>
          </cell>
          <cell r="F428">
            <v>1020296</v>
          </cell>
          <cell r="H428">
            <v>1020296</v>
          </cell>
        </row>
        <row r="429">
          <cell r="A429" t="str">
            <v xml:space="preserve"> </v>
          </cell>
          <cell r="C429" t="str">
            <v>사용장비경비</v>
          </cell>
          <cell r="E429" t="str">
            <v>TON</v>
          </cell>
          <cell r="F429">
            <v>1341424</v>
          </cell>
          <cell r="H429">
            <v>578744</v>
          </cell>
          <cell r="J429">
            <v>187256</v>
          </cell>
          <cell r="L429">
            <v>575424</v>
          </cell>
          <cell r="M429" t="str">
            <v>ROLLER GATE
LEAF 적용</v>
          </cell>
        </row>
        <row r="430">
          <cell r="A430" t="str">
            <v xml:space="preserve"> </v>
          </cell>
          <cell r="C430" t="str">
            <v>소모자재비</v>
          </cell>
          <cell r="E430" t="str">
            <v>TON</v>
          </cell>
          <cell r="F430">
            <v>8155</v>
          </cell>
          <cell r="J430">
            <v>8155</v>
          </cell>
        </row>
        <row r="431">
          <cell r="A431" t="str">
            <v xml:space="preserve"> </v>
          </cell>
        </row>
        <row r="432">
          <cell r="A432" t="str">
            <v>◈ 잡철물 제작,설치 (SCREEN등)</v>
          </cell>
        </row>
        <row r="433">
          <cell r="B433" t="str">
            <v>▷ 간단한 구조</v>
          </cell>
          <cell r="C433" t="str">
            <v>100 %</v>
          </cell>
          <cell r="F433">
            <v>2792160</v>
          </cell>
          <cell r="H433">
            <v>2636784</v>
          </cell>
          <cell r="J433">
            <v>65284</v>
          </cell>
          <cell r="L433">
            <v>90092</v>
          </cell>
        </row>
        <row r="434">
          <cell r="B434" t="str">
            <v>▷ 복잡한 구조</v>
          </cell>
          <cell r="C434" t="str">
            <v>140 %</v>
          </cell>
          <cell r="F434">
            <v>3909022</v>
          </cell>
          <cell r="H434">
            <v>3691497</v>
          </cell>
          <cell r="J434">
            <v>91397</v>
          </cell>
          <cell r="L434">
            <v>126128</v>
          </cell>
        </row>
        <row r="435">
          <cell r="A435" t="str">
            <v xml:space="preserve"> </v>
          </cell>
        </row>
        <row r="436">
          <cell r="A436" t="str">
            <v>◈ 도   장   비 - Ⅰ- (기존 도장 방식)</v>
          </cell>
        </row>
        <row r="437">
          <cell r="A437">
            <v>1</v>
          </cell>
          <cell r="B437" t="str">
            <v>▷ SAND BLASTING</v>
          </cell>
          <cell r="E437" t="str">
            <v>㎡</v>
          </cell>
          <cell r="F437">
            <v>9436</v>
          </cell>
          <cell r="H437">
            <v>4928</v>
          </cell>
          <cell r="J437">
            <v>2852</v>
          </cell>
          <cell r="L437">
            <v>1656</v>
          </cell>
        </row>
        <row r="438">
          <cell r="A438">
            <v>2</v>
          </cell>
          <cell r="B438" t="str">
            <v>▷ PRIMERY COATING (유기질)</v>
          </cell>
          <cell r="D438" t="str">
            <v>(  20μ)</v>
          </cell>
          <cell r="E438" t="str">
            <v>㎡</v>
          </cell>
          <cell r="F438">
            <v>1627</v>
          </cell>
          <cell r="H438">
            <v>945</v>
          </cell>
          <cell r="J438">
            <v>664</v>
          </cell>
          <cell r="L438">
            <v>18</v>
          </cell>
        </row>
        <row r="439">
          <cell r="A439">
            <v>3</v>
          </cell>
          <cell r="B439" t="str">
            <v>▷ COVER COATING(PURE EPOXY)</v>
          </cell>
          <cell r="D439" t="str">
            <v>( 280μ)</v>
          </cell>
          <cell r="E439" t="str">
            <v>㎡</v>
          </cell>
          <cell r="F439">
            <v>8981</v>
          </cell>
          <cell r="H439">
            <v>6808</v>
          </cell>
          <cell r="J439">
            <v>2037</v>
          </cell>
          <cell r="L439">
            <v>136</v>
          </cell>
        </row>
        <row r="440">
          <cell r="A440">
            <v>4</v>
          </cell>
          <cell r="B440" t="str">
            <v>▷ COVER COATING(TAL EPOXY)</v>
          </cell>
          <cell r="D440" t="str">
            <v>( 280μ)</v>
          </cell>
          <cell r="E440" t="str">
            <v>㎡</v>
          </cell>
          <cell r="F440">
            <v>8769</v>
          </cell>
          <cell r="H440">
            <v>6808</v>
          </cell>
          <cell r="J440">
            <v>1825</v>
          </cell>
          <cell r="L440">
            <v>136</v>
          </cell>
        </row>
        <row r="441">
          <cell r="A441">
            <v>5</v>
          </cell>
          <cell r="B441" t="str">
            <v>▷ 방 오 도 료</v>
          </cell>
          <cell r="D441" t="str">
            <v>(  80μ)</v>
          </cell>
          <cell r="E441" t="str">
            <v>㎡</v>
          </cell>
          <cell r="F441">
            <v>20722</v>
          </cell>
          <cell r="H441">
            <v>18911</v>
          </cell>
          <cell r="J441">
            <v>1433</v>
          </cell>
          <cell r="L441">
            <v>378</v>
          </cell>
        </row>
        <row r="442">
          <cell r="A442" t="str">
            <v xml:space="preserve"> </v>
          </cell>
        </row>
        <row r="443">
          <cell r="A443" t="str">
            <v>◈ 도   장   비 - Ⅱ- (신공법 도장방식)  ㎡ 당</v>
          </cell>
        </row>
        <row r="444">
          <cell r="A444">
            <v>1</v>
          </cell>
          <cell r="B444" t="str">
            <v>▷ 전처리 (육상용)(WATER SAND JET 공법)</v>
          </cell>
          <cell r="F444">
            <v>14435</v>
          </cell>
          <cell r="H444">
            <v>8755</v>
          </cell>
          <cell r="J444">
            <v>3405</v>
          </cell>
          <cell r="L444">
            <v>2275</v>
          </cell>
        </row>
        <row r="445">
          <cell r="A445">
            <v>2</v>
          </cell>
          <cell r="B445" t="str">
            <v>▷ 전처리 (수중용)(WATER SAND JET 공법)</v>
          </cell>
          <cell r="F445">
            <v>141391</v>
          </cell>
          <cell r="H445">
            <v>111758</v>
          </cell>
          <cell r="J445">
            <v>4458</v>
          </cell>
          <cell r="L445">
            <v>25175</v>
          </cell>
        </row>
        <row r="446">
          <cell r="A446">
            <v>3</v>
          </cell>
          <cell r="B446" t="str">
            <v>▷ 도장 SYSTEM 1 (상시 물속에 잠기는 구조물)</v>
          </cell>
          <cell r="F446">
            <v>26239</v>
          </cell>
          <cell r="H446">
            <v>10076</v>
          </cell>
          <cell r="J446">
            <v>15962</v>
          </cell>
          <cell r="L446">
            <v>201</v>
          </cell>
        </row>
        <row r="448">
          <cell r="A448" t="str">
            <v>종       별</v>
          </cell>
          <cell r="C448" t="str">
            <v>재 료 또 는</v>
          </cell>
          <cell r="D448" t="str">
            <v xml:space="preserve">원 수 </v>
          </cell>
          <cell r="E448" t="str">
            <v>단 위</v>
          </cell>
          <cell r="F448" t="str">
            <v>총   액</v>
          </cell>
          <cell r="G448" t="str">
            <v>노   무   비</v>
          </cell>
          <cell r="I448" t="str">
            <v>재   료   비</v>
          </cell>
          <cell r="K448" t="str">
            <v>경      비</v>
          </cell>
          <cell r="M448" t="str">
            <v>비   고</v>
          </cell>
        </row>
        <row r="449">
          <cell r="C449" t="str">
            <v xml:space="preserve">규       격 </v>
          </cell>
          <cell r="F449" t="str">
            <v>금   액</v>
          </cell>
          <cell r="G449" t="str">
            <v>단  가</v>
          </cell>
          <cell r="H449" t="str">
            <v>금   액</v>
          </cell>
          <cell r="I449" t="str">
            <v>단  가</v>
          </cell>
          <cell r="J449" t="str">
            <v>금   액</v>
          </cell>
          <cell r="K449" t="str">
            <v>단  가</v>
          </cell>
          <cell r="L449" t="str">
            <v>금   액</v>
          </cell>
        </row>
        <row r="450">
          <cell r="A450">
            <v>4</v>
          </cell>
          <cell r="B450" t="str">
            <v>▷ 도장 SYSTEM 2 (해수 가까이 상시 노출되어있는 구조물)</v>
          </cell>
        </row>
        <row r="451">
          <cell r="F451">
            <v>29188</v>
          </cell>
          <cell r="H451">
            <v>13099</v>
          </cell>
          <cell r="J451">
            <v>15828</v>
          </cell>
          <cell r="L451">
            <v>261</v>
          </cell>
        </row>
        <row r="452">
          <cell r="A452">
            <v>5</v>
          </cell>
          <cell r="B452" t="str">
            <v>▷ 도장 SYSTEM 3 (해중에서 작업해야하는 구조물)</v>
          </cell>
        </row>
        <row r="453">
          <cell r="F453">
            <v>86974</v>
          </cell>
          <cell r="H453">
            <v>40916</v>
          </cell>
          <cell r="J453">
            <v>45240</v>
          </cell>
          <cell r="L453">
            <v>818</v>
          </cell>
        </row>
        <row r="454">
          <cell r="A454">
            <v>6</v>
          </cell>
          <cell r="B454" t="str">
            <v xml:space="preserve">▷ CERAMIC COATING (ATO) 200μ </v>
          </cell>
        </row>
        <row r="455">
          <cell r="B455" t="str">
            <v xml:space="preserve">▷1. 바탕만들기 </v>
          </cell>
          <cell r="F455">
            <v>17788</v>
          </cell>
          <cell r="H455">
            <v>16913</v>
          </cell>
          <cell r="J455">
            <v>537</v>
          </cell>
          <cell r="L455">
            <v>338</v>
          </cell>
        </row>
        <row r="456">
          <cell r="B456" t="str">
            <v>▷2. CERAMIC COATING</v>
          </cell>
          <cell r="F456">
            <v>71178</v>
          </cell>
          <cell r="H456">
            <v>5507</v>
          </cell>
          <cell r="J456">
            <v>63337</v>
          </cell>
          <cell r="L456">
            <v>2334</v>
          </cell>
        </row>
        <row r="458">
          <cell r="A458" t="str">
            <v>◈ 비파괴 검사</v>
          </cell>
        </row>
        <row r="459">
          <cell r="A459" t="str">
            <v>1.초음파 탐상검사(U.T) - 1M당</v>
          </cell>
          <cell r="F459">
            <v>54686</v>
          </cell>
          <cell r="H459">
            <v>21307</v>
          </cell>
          <cell r="J459">
            <v>994</v>
          </cell>
          <cell r="L459">
            <v>32385</v>
          </cell>
        </row>
        <row r="460">
          <cell r="A460" t="str">
            <v>2.방사선 투과검사(R.T) - 1매당</v>
          </cell>
          <cell r="F460">
            <v>55824</v>
          </cell>
          <cell r="H460">
            <v>21230</v>
          </cell>
          <cell r="J460">
            <v>2325</v>
          </cell>
          <cell r="L460">
            <v>32269</v>
          </cell>
        </row>
        <row r="461">
          <cell r="A461" t="str">
            <v>3.자분탐상검사(M.T) - 1M당</v>
          </cell>
          <cell r="F461">
            <v>30165</v>
          </cell>
          <cell r="H461">
            <v>11795</v>
          </cell>
          <cell r="J461">
            <v>443</v>
          </cell>
          <cell r="L461">
            <v>17927</v>
          </cell>
        </row>
        <row r="462">
          <cell r="A462" t="str">
            <v>4.액체침투탐상검사(P.T) - 1M당</v>
          </cell>
          <cell r="F462">
            <v>38002</v>
          </cell>
          <cell r="H462">
            <v>14726</v>
          </cell>
          <cell r="J462">
            <v>894</v>
          </cell>
          <cell r="L462">
            <v>22382</v>
          </cell>
        </row>
        <row r="471">
          <cell r="E471" t="str">
            <v xml:space="preserve"> </v>
          </cell>
        </row>
        <row r="472">
          <cell r="B472" t="str">
            <v>ROLLER GATE 제작 인건비</v>
          </cell>
        </row>
        <row r="473">
          <cell r="A473" t="str">
            <v>종       별</v>
          </cell>
          <cell r="C473" t="str">
            <v>재 료 또 는</v>
          </cell>
          <cell r="D473" t="str">
            <v xml:space="preserve">원 수 </v>
          </cell>
          <cell r="E473" t="str">
            <v>단 위</v>
          </cell>
          <cell r="F473" t="str">
            <v>총   액</v>
          </cell>
          <cell r="G473" t="str">
            <v>노   무   비</v>
          </cell>
          <cell r="I473" t="str">
            <v>재   료   비</v>
          </cell>
          <cell r="K473" t="str">
            <v>경      비</v>
          </cell>
          <cell r="M473" t="str">
            <v>비   고</v>
          </cell>
        </row>
        <row r="474">
          <cell r="C474" t="str">
            <v xml:space="preserve">규       격 </v>
          </cell>
          <cell r="F474" t="str">
            <v>금   액</v>
          </cell>
          <cell r="G474" t="str">
            <v>단  가</v>
          </cell>
          <cell r="H474" t="str">
            <v>금   액</v>
          </cell>
          <cell r="I474" t="str">
            <v>단  가</v>
          </cell>
          <cell r="J474" t="str">
            <v>금   액</v>
          </cell>
          <cell r="K474" t="str">
            <v>단  가</v>
          </cell>
          <cell r="L474" t="str">
            <v>금   액</v>
          </cell>
        </row>
        <row r="475">
          <cell r="A475" t="str">
            <v>기 술 관 리</v>
          </cell>
          <cell r="C475" t="str">
            <v>기계기사1급</v>
          </cell>
          <cell r="D475">
            <v>0.5</v>
          </cell>
          <cell r="E475" t="str">
            <v>인</v>
          </cell>
          <cell r="G475">
            <v>97488</v>
          </cell>
          <cell r="H475">
            <v>48744</v>
          </cell>
        </row>
        <row r="476">
          <cell r="A476" t="str">
            <v>본  뜨  기</v>
          </cell>
          <cell r="C476" t="str">
            <v>프랜트제관공</v>
          </cell>
          <cell r="D476">
            <v>0.437</v>
          </cell>
          <cell r="E476" t="str">
            <v>인</v>
          </cell>
          <cell r="G476">
            <v>81966</v>
          </cell>
          <cell r="H476">
            <v>35819</v>
          </cell>
        </row>
        <row r="477">
          <cell r="A477" t="str">
            <v>금  긋  기</v>
          </cell>
          <cell r="C477" t="str">
            <v>프랜트제관공</v>
          </cell>
          <cell r="D477">
            <v>1.161</v>
          </cell>
          <cell r="E477" t="str">
            <v>인</v>
          </cell>
          <cell r="G477">
            <v>81966</v>
          </cell>
          <cell r="H477">
            <v>95162</v>
          </cell>
        </row>
        <row r="478">
          <cell r="A478" t="str">
            <v>절      단</v>
          </cell>
          <cell r="C478" t="str">
            <v>프랜트제관공</v>
          </cell>
          <cell r="D478">
            <v>0.318</v>
          </cell>
          <cell r="E478" t="str">
            <v>인</v>
          </cell>
          <cell r="G478">
            <v>81966</v>
          </cell>
          <cell r="H478">
            <v>26065</v>
          </cell>
        </row>
        <row r="479">
          <cell r="A479" t="str">
            <v>가      공</v>
          </cell>
          <cell r="C479" t="str">
            <v>프랜트제관공</v>
          </cell>
          <cell r="D479">
            <v>1.359</v>
          </cell>
          <cell r="E479" t="str">
            <v>인</v>
          </cell>
          <cell r="G479">
            <v>81966</v>
          </cell>
          <cell r="H479">
            <v>111391</v>
          </cell>
        </row>
        <row r="481">
          <cell r="A481" t="str">
            <v>구 멍 뚫 기</v>
          </cell>
          <cell r="C481" t="str">
            <v>프랜트제관공</v>
          </cell>
          <cell r="D481">
            <v>0.39700000000000002</v>
          </cell>
          <cell r="E481" t="str">
            <v>인</v>
          </cell>
          <cell r="G481">
            <v>81966</v>
          </cell>
          <cell r="H481">
            <v>32540</v>
          </cell>
        </row>
        <row r="482">
          <cell r="A482" t="str">
            <v>용      접</v>
          </cell>
          <cell r="C482" t="str">
            <v>프랜트용접공</v>
          </cell>
          <cell r="D482">
            <v>2.125</v>
          </cell>
          <cell r="E482" t="str">
            <v>인</v>
          </cell>
          <cell r="G482">
            <v>95379</v>
          </cell>
          <cell r="H482">
            <v>202680</v>
          </cell>
        </row>
        <row r="483">
          <cell r="A483" t="str">
            <v>부 품 조 립</v>
          </cell>
          <cell r="C483" t="str">
            <v>비 계 공</v>
          </cell>
          <cell r="D483">
            <v>1.0900000000000001</v>
          </cell>
          <cell r="E483" t="str">
            <v>인</v>
          </cell>
          <cell r="G483">
            <v>79467</v>
          </cell>
          <cell r="H483">
            <v>86619</v>
          </cell>
        </row>
        <row r="484">
          <cell r="C484" t="str">
            <v>프랜트기계설치공</v>
          </cell>
          <cell r="D484">
            <v>1.0900000000000001</v>
          </cell>
          <cell r="E484" t="str">
            <v>인</v>
          </cell>
          <cell r="G484">
            <v>80805</v>
          </cell>
          <cell r="H484">
            <v>88077</v>
          </cell>
        </row>
        <row r="485">
          <cell r="A485" t="str">
            <v>소운반 조립</v>
          </cell>
          <cell r="C485" t="str">
            <v>산소 절단공</v>
          </cell>
          <cell r="D485">
            <v>0.17</v>
          </cell>
          <cell r="E485" t="str">
            <v>인</v>
          </cell>
          <cell r="G485">
            <v>31794</v>
          </cell>
          <cell r="H485">
            <v>5404</v>
          </cell>
        </row>
        <row r="487">
          <cell r="A487" t="str">
            <v>가   조   립</v>
          </cell>
          <cell r="C487" t="str">
            <v>비   계   공</v>
          </cell>
          <cell r="D487">
            <v>0.86399999999999999</v>
          </cell>
          <cell r="E487" t="str">
            <v>인</v>
          </cell>
          <cell r="G487">
            <v>79467</v>
          </cell>
          <cell r="H487">
            <v>68659</v>
          </cell>
        </row>
        <row r="488">
          <cell r="C488" t="str">
            <v>프랜트 제관공</v>
          </cell>
          <cell r="D488">
            <v>1.766</v>
          </cell>
          <cell r="E488" t="str">
            <v>인</v>
          </cell>
          <cell r="G488">
            <v>81966</v>
          </cell>
          <cell r="H488">
            <v>144751</v>
          </cell>
        </row>
        <row r="489">
          <cell r="C489" t="str">
            <v>프랜트 용접공</v>
          </cell>
          <cell r="D489">
            <v>0.85299999999999998</v>
          </cell>
          <cell r="E489" t="str">
            <v>인</v>
          </cell>
          <cell r="G489">
            <v>95379</v>
          </cell>
          <cell r="H489">
            <v>81358</v>
          </cell>
        </row>
        <row r="490">
          <cell r="C490" t="str">
            <v>측   량   사</v>
          </cell>
          <cell r="D490">
            <v>0.14299999999999999</v>
          </cell>
          <cell r="E490" t="str">
            <v>인</v>
          </cell>
          <cell r="G490">
            <v>58506</v>
          </cell>
          <cell r="H490">
            <v>8366</v>
          </cell>
        </row>
        <row r="491">
          <cell r="C491" t="str">
            <v>프랜트기계설치공</v>
          </cell>
          <cell r="D491">
            <v>0.51800000000000002</v>
          </cell>
          <cell r="E491" t="str">
            <v>인</v>
          </cell>
          <cell r="G491">
            <v>80805</v>
          </cell>
          <cell r="H491">
            <v>41856</v>
          </cell>
        </row>
        <row r="492">
          <cell r="E492" t="str">
            <v xml:space="preserve"> </v>
          </cell>
        </row>
        <row r="493">
          <cell r="C493" t="str">
            <v>특 별 인 부</v>
          </cell>
          <cell r="D493">
            <v>0.245</v>
          </cell>
          <cell r="E493" t="str">
            <v>인</v>
          </cell>
          <cell r="G493">
            <v>57379</v>
          </cell>
          <cell r="H493">
            <v>14057</v>
          </cell>
        </row>
        <row r="494">
          <cell r="A494" t="str">
            <v>검사 및 교정</v>
          </cell>
          <cell r="C494" t="str">
            <v>기술관리 제외한</v>
          </cell>
          <cell r="D494" t="str">
            <v>1</v>
          </cell>
          <cell r="E494" t="str">
            <v>식</v>
          </cell>
          <cell r="H494">
            <v>104280</v>
          </cell>
        </row>
        <row r="495">
          <cell r="C495" t="str">
            <v>10%</v>
          </cell>
        </row>
        <row r="497">
          <cell r="B497" t="str">
            <v>계</v>
          </cell>
          <cell r="F497">
            <v>1195828</v>
          </cell>
          <cell r="H497">
            <v>1195828</v>
          </cell>
        </row>
        <row r="499">
          <cell r="A499" t="str">
            <v>ROLLER GATE 제작 사용장비 경비</v>
          </cell>
        </row>
        <row r="500">
          <cell r="E500" t="str">
            <v xml:space="preserve"> </v>
          </cell>
        </row>
        <row r="501">
          <cell r="A501" t="str">
            <v>종       별</v>
          </cell>
          <cell r="C501" t="str">
            <v>재 료 또 는</v>
          </cell>
          <cell r="D501" t="str">
            <v xml:space="preserve">원 수 </v>
          </cell>
          <cell r="E501" t="str">
            <v>단 위</v>
          </cell>
          <cell r="F501" t="str">
            <v>총   액</v>
          </cell>
          <cell r="G501" t="str">
            <v>노   무   비</v>
          </cell>
          <cell r="I501" t="str">
            <v>재   료   비</v>
          </cell>
          <cell r="K501" t="str">
            <v>경      비</v>
          </cell>
          <cell r="M501" t="str">
            <v>비   고</v>
          </cell>
        </row>
        <row r="502">
          <cell r="C502" t="str">
            <v xml:space="preserve">규       격 </v>
          </cell>
          <cell r="F502" t="str">
            <v>금   액</v>
          </cell>
          <cell r="G502" t="str">
            <v>단  가</v>
          </cell>
          <cell r="H502" t="str">
            <v>금   액</v>
          </cell>
          <cell r="I502" t="str">
            <v>단  가</v>
          </cell>
          <cell r="J502" t="str">
            <v>금   액</v>
          </cell>
          <cell r="K502" t="str">
            <v>단  가</v>
          </cell>
          <cell r="L502" t="str">
            <v>금   액</v>
          </cell>
        </row>
        <row r="503">
          <cell r="A503" t="str">
            <v>LATHE</v>
          </cell>
          <cell r="C503" t="str">
            <v>12FT x 7.5HP</v>
          </cell>
          <cell r="D503">
            <v>0.53600000000000003</v>
          </cell>
          <cell r="E503" t="str">
            <v>Hr</v>
          </cell>
          <cell r="G503">
            <v>3418</v>
          </cell>
          <cell r="H503">
            <v>1832</v>
          </cell>
          <cell r="I503" t="str">
            <v xml:space="preserve"> </v>
          </cell>
          <cell r="J503" t="str">
            <v xml:space="preserve"> </v>
          </cell>
          <cell r="K503">
            <v>3775</v>
          </cell>
          <cell r="L503">
            <v>2023</v>
          </cell>
        </row>
        <row r="504">
          <cell r="A504" t="str">
            <v>PLANER</v>
          </cell>
          <cell r="C504" t="str">
            <v>4FT x 8FT</v>
          </cell>
          <cell r="D504">
            <v>7.5999999999999998E-2</v>
          </cell>
          <cell r="E504" t="str">
            <v>Hr</v>
          </cell>
          <cell r="G504">
            <v>3129</v>
          </cell>
          <cell r="H504">
            <v>237</v>
          </cell>
          <cell r="I504" t="str">
            <v xml:space="preserve"> </v>
          </cell>
          <cell r="J504" t="str">
            <v xml:space="preserve"> </v>
          </cell>
          <cell r="K504">
            <v>2743</v>
          </cell>
          <cell r="L504">
            <v>208</v>
          </cell>
        </row>
        <row r="505">
          <cell r="A505" t="str">
            <v>BORING M/C</v>
          </cell>
          <cell r="C505" t="str">
            <v>Hori.type,3HP</v>
          </cell>
          <cell r="D505">
            <v>1.4359999999999999</v>
          </cell>
          <cell r="E505" t="str">
            <v>Hr</v>
          </cell>
          <cell r="G505">
            <v>3547</v>
          </cell>
          <cell r="H505">
            <v>5093</v>
          </cell>
          <cell r="I505" t="str">
            <v xml:space="preserve"> </v>
          </cell>
          <cell r="J505" t="str">
            <v xml:space="preserve"> </v>
          </cell>
          <cell r="K505">
            <v>8928</v>
          </cell>
          <cell r="L505">
            <v>12820</v>
          </cell>
        </row>
        <row r="506">
          <cell r="A506" t="str">
            <v>UNION MELT WELDER</v>
          </cell>
          <cell r="C506" t="str">
            <v>5.5 KVA</v>
          </cell>
          <cell r="D506">
            <v>2.72</v>
          </cell>
          <cell r="E506" t="str">
            <v>Hr</v>
          </cell>
          <cell r="G506">
            <v>3488</v>
          </cell>
          <cell r="H506">
            <v>9487</v>
          </cell>
          <cell r="I506" t="str">
            <v xml:space="preserve"> </v>
          </cell>
          <cell r="J506" t="str">
            <v xml:space="preserve"> </v>
          </cell>
          <cell r="K506">
            <v>1797</v>
          </cell>
          <cell r="L506">
            <v>4887</v>
          </cell>
        </row>
        <row r="507">
          <cell r="A507" t="str">
            <v>A.C WELDER</v>
          </cell>
          <cell r="C507" t="str">
            <v>10KVA</v>
          </cell>
          <cell r="D507">
            <v>8.16</v>
          </cell>
          <cell r="E507" t="str">
            <v>Hr</v>
          </cell>
          <cell r="I507" t="str">
            <v xml:space="preserve"> </v>
          </cell>
          <cell r="J507" t="str">
            <v xml:space="preserve"> </v>
          </cell>
          <cell r="K507">
            <v>155</v>
          </cell>
          <cell r="L507">
            <v>1264</v>
          </cell>
        </row>
        <row r="508">
          <cell r="E508" t="str">
            <v xml:space="preserve"> </v>
          </cell>
          <cell r="I508" t="str">
            <v xml:space="preserve"> </v>
          </cell>
          <cell r="J508" t="str">
            <v xml:space="preserve"> </v>
          </cell>
        </row>
        <row r="509">
          <cell r="A509" t="str">
            <v>GOUGING M/C</v>
          </cell>
          <cell r="C509" t="str">
            <v>중 형</v>
          </cell>
          <cell r="D509">
            <v>1.7</v>
          </cell>
          <cell r="E509" t="str">
            <v>Hr</v>
          </cell>
          <cell r="G509">
            <v>3380</v>
          </cell>
          <cell r="H509">
            <v>5746</v>
          </cell>
          <cell r="I509" t="str">
            <v xml:space="preserve"> </v>
          </cell>
          <cell r="J509" t="str">
            <v xml:space="preserve"> </v>
          </cell>
          <cell r="K509">
            <v>670</v>
          </cell>
          <cell r="L509">
            <v>1139</v>
          </cell>
        </row>
        <row r="510">
          <cell r="A510" t="str">
            <v>GAS CUTTING M/C</v>
          </cell>
          <cell r="C510" t="str">
            <v>Auto형</v>
          </cell>
          <cell r="D510">
            <v>1.016</v>
          </cell>
          <cell r="E510" t="str">
            <v>Hr</v>
          </cell>
          <cell r="G510">
            <v>11922</v>
          </cell>
          <cell r="H510">
            <v>12112</v>
          </cell>
          <cell r="I510" t="str">
            <v xml:space="preserve"> </v>
          </cell>
          <cell r="J510" t="str">
            <v xml:space="preserve"> </v>
          </cell>
          <cell r="K510">
            <v>119</v>
          </cell>
          <cell r="L510">
            <v>120</v>
          </cell>
        </row>
        <row r="511">
          <cell r="A511" t="str">
            <v>GAS CUTTING M/C</v>
          </cell>
          <cell r="C511" t="str">
            <v>수 동</v>
          </cell>
          <cell r="D511">
            <v>1.016</v>
          </cell>
          <cell r="E511" t="str">
            <v>Hr</v>
          </cell>
          <cell r="G511">
            <v>3974</v>
          </cell>
          <cell r="H511">
            <v>4037</v>
          </cell>
          <cell r="I511" t="str">
            <v xml:space="preserve"> </v>
          </cell>
          <cell r="J511" t="str">
            <v xml:space="preserve"> </v>
          </cell>
          <cell r="K511">
            <v>115</v>
          </cell>
          <cell r="L511">
            <v>116</v>
          </cell>
        </row>
        <row r="512">
          <cell r="A512" t="str">
            <v>GAS HEATING TOUCH</v>
          </cell>
          <cell r="C512" t="str">
            <v>중 형</v>
          </cell>
          <cell r="D512">
            <v>3.3279999999999998</v>
          </cell>
          <cell r="E512" t="str">
            <v>Hr</v>
          </cell>
          <cell r="G512">
            <v>3174</v>
          </cell>
          <cell r="H512">
            <v>10563</v>
          </cell>
          <cell r="I512" t="str">
            <v xml:space="preserve"> </v>
          </cell>
          <cell r="J512" t="str">
            <v xml:space="preserve"> </v>
          </cell>
          <cell r="K512">
            <v>115</v>
          </cell>
          <cell r="L512">
            <v>382</v>
          </cell>
        </row>
        <row r="513">
          <cell r="A513" t="str">
            <v>OVER HEAD CRANE</v>
          </cell>
          <cell r="C513" t="str">
            <v>30 TON</v>
          </cell>
          <cell r="D513">
            <v>1.2689999999999999</v>
          </cell>
          <cell r="E513" t="str">
            <v>Hr</v>
          </cell>
          <cell r="G513">
            <v>9681</v>
          </cell>
          <cell r="H513">
            <v>12285</v>
          </cell>
          <cell r="I513" t="str">
            <v xml:space="preserve"> </v>
          </cell>
          <cell r="J513" t="str">
            <v xml:space="preserve"> </v>
          </cell>
          <cell r="K513">
            <v>4123</v>
          </cell>
          <cell r="L513">
            <v>5232</v>
          </cell>
        </row>
        <row r="514">
          <cell r="E514" t="str">
            <v xml:space="preserve"> </v>
          </cell>
          <cell r="I514" t="str">
            <v xml:space="preserve"> </v>
          </cell>
          <cell r="J514" t="str">
            <v xml:space="preserve"> </v>
          </cell>
        </row>
        <row r="515">
          <cell r="A515" t="str">
            <v>HYDRO PRESS</v>
          </cell>
          <cell r="C515" t="str">
            <v>100 TON</v>
          </cell>
          <cell r="D515">
            <v>1.48</v>
          </cell>
          <cell r="E515" t="str">
            <v>Hr</v>
          </cell>
          <cell r="G515">
            <v>3281</v>
          </cell>
          <cell r="H515">
            <v>4855</v>
          </cell>
          <cell r="I515" t="str">
            <v xml:space="preserve"> </v>
          </cell>
          <cell r="J515" t="str">
            <v xml:space="preserve"> </v>
          </cell>
          <cell r="K515">
            <v>6045</v>
          </cell>
          <cell r="L515">
            <v>8946</v>
          </cell>
        </row>
        <row r="516">
          <cell r="A516" t="str">
            <v>BENDING ROLLER</v>
          </cell>
          <cell r="C516" t="str">
            <v>23 FT</v>
          </cell>
          <cell r="D516">
            <v>1.0880000000000001</v>
          </cell>
          <cell r="E516" t="str">
            <v>Hr</v>
          </cell>
          <cell r="G516">
            <v>4281</v>
          </cell>
          <cell r="H516">
            <v>4657</v>
          </cell>
          <cell r="I516" t="str">
            <v xml:space="preserve"> </v>
          </cell>
          <cell r="J516" t="str">
            <v xml:space="preserve"> </v>
          </cell>
          <cell r="K516">
            <v>6323</v>
          </cell>
          <cell r="L516">
            <v>6879</v>
          </cell>
        </row>
        <row r="517">
          <cell r="A517" t="str">
            <v>SHEARING M/C</v>
          </cell>
          <cell r="D517">
            <v>0.25600000000000001</v>
          </cell>
          <cell r="E517" t="str">
            <v>Hr</v>
          </cell>
          <cell r="G517">
            <v>3688</v>
          </cell>
          <cell r="H517">
            <v>944</v>
          </cell>
          <cell r="I517" t="str">
            <v xml:space="preserve"> </v>
          </cell>
          <cell r="J517" t="str">
            <v xml:space="preserve"> </v>
          </cell>
          <cell r="K517">
            <v>3209</v>
          </cell>
          <cell r="L517">
            <v>821</v>
          </cell>
        </row>
        <row r="518">
          <cell r="A518" t="str">
            <v>DRILLING M/C</v>
          </cell>
          <cell r="C518" t="str">
            <v>3 HP</v>
          </cell>
          <cell r="D518">
            <v>1.6319999999999999</v>
          </cell>
          <cell r="E518" t="str">
            <v>Hr</v>
          </cell>
          <cell r="G518">
            <v>3401</v>
          </cell>
          <cell r="H518">
            <v>5550</v>
          </cell>
          <cell r="I518" t="str">
            <v xml:space="preserve"> </v>
          </cell>
          <cell r="J518" t="str">
            <v xml:space="preserve"> </v>
          </cell>
          <cell r="K518">
            <v>576</v>
          </cell>
          <cell r="L518">
            <v>940</v>
          </cell>
        </row>
        <row r="519">
          <cell r="A519" t="str">
            <v>DRILLING M/C</v>
          </cell>
          <cell r="C519" t="str">
            <v>Radial,5 HP</v>
          </cell>
          <cell r="D519">
            <v>0.81599999999999995</v>
          </cell>
          <cell r="E519" t="str">
            <v>Hr</v>
          </cell>
          <cell r="G519">
            <v>3401</v>
          </cell>
          <cell r="H519">
            <v>2775</v>
          </cell>
          <cell r="I519" t="str">
            <v xml:space="preserve"> </v>
          </cell>
          <cell r="J519" t="str">
            <v xml:space="preserve"> </v>
          </cell>
          <cell r="K519">
            <v>1720</v>
          </cell>
          <cell r="L519">
            <v>1403</v>
          </cell>
        </row>
        <row r="520">
          <cell r="E520" t="str">
            <v xml:space="preserve"> </v>
          </cell>
          <cell r="I520" t="str">
            <v xml:space="preserve"> </v>
          </cell>
          <cell r="J520" t="str">
            <v xml:space="preserve"> </v>
          </cell>
        </row>
        <row r="521">
          <cell r="A521" t="str">
            <v>COMPRESSOR</v>
          </cell>
          <cell r="C521" t="str">
            <v>7.1㎥/min</v>
          </cell>
          <cell r="D521">
            <v>3.17</v>
          </cell>
          <cell r="E521" t="str">
            <v>Hr</v>
          </cell>
          <cell r="G521">
            <v>9681</v>
          </cell>
          <cell r="H521">
            <v>30688</v>
          </cell>
          <cell r="I521">
            <v>6189</v>
          </cell>
          <cell r="J521">
            <v>19619</v>
          </cell>
          <cell r="K521">
            <v>3137</v>
          </cell>
          <cell r="L521">
            <v>9944</v>
          </cell>
        </row>
        <row r="522">
          <cell r="A522" t="str">
            <v>PORTABLE DRILL</v>
          </cell>
          <cell r="C522" t="str">
            <v>0.5 HP</v>
          </cell>
          <cell r="D522">
            <v>1.2210000000000001</v>
          </cell>
          <cell r="E522" t="str">
            <v>Hr</v>
          </cell>
          <cell r="K522">
            <v>12</v>
          </cell>
          <cell r="L522">
            <v>14</v>
          </cell>
        </row>
        <row r="523">
          <cell r="A523" t="str">
            <v>TRUCK CRANE</v>
          </cell>
          <cell r="C523" t="str">
            <v>30 TON</v>
          </cell>
          <cell r="D523">
            <v>0.42299999999999999</v>
          </cell>
          <cell r="E523" t="str">
            <v>Hr</v>
          </cell>
          <cell r="G523">
            <v>18615</v>
          </cell>
          <cell r="H523">
            <v>7874</v>
          </cell>
          <cell r="I523">
            <v>7046</v>
          </cell>
          <cell r="J523">
            <v>2980</v>
          </cell>
          <cell r="K523">
            <v>44939</v>
          </cell>
          <cell r="L523">
            <v>19009</v>
          </cell>
        </row>
        <row r="524">
          <cell r="A524" t="str">
            <v>Fork Lift</v>
          </cell>
          <cell r="C524" t="str">
            <v>5 TON</v>
          </cell>
          <cell r="D524">
            <v>0.42299999999999999</v>
          </cell>
          <cell r="E524" t="str">
            <v>Hr</v>
          </cell>
          <cell r="G524">
            <v>9681</v>
          </cell>
          <cell r="H524">
            <v>4095</v>
          </cell>
          <cell r="I524">
            <v>5116.08</v>
          </cell>
          <cell r="J524">
            <v>2164</v>
          </cell>
          <cell r="K524">
            <v>4863</v>
          </cell>
          <cell r="L524">
            <v>2057</v>
          </cell>
        </row>
        <row r="525">
          <cell r="A525" t="str">
            <v>Trailer</v>
          </cell>
          <cell r="C525" t="str">
            <v>30ton</v>
          </cell>
          <cell r="D525">
            <v>0.42299999999999999</v>
          </cell>
          <cell r="E525" t="str">
            <v>Hr</v>
          </cell>
          <cell r="G525">
            <v>8683</v>
          </cell>
          <cell r="H525">
            <v>3672</v>
          </cell>
          <cell r="I525">
            <v>15763</v>
          </cell>
          <cell r="J525">
            <v>6667</v>
          </cell>
          <cell r="K525">
            <v>27414</v>
          </cell>
          <cell r="L525">
            <v>11596</v>
          </cell>
        </row>
        <row r="527">
          <cell r="B527" t="str">
            <v>계</v>
          </cell>
          <cell r="F527">
            <v>247732</v>
          </cell>
          <cell r="H527">
            <v>126502</v>
          </cell>
          <cell r="J527">
            <v>31430</v>
          </cell>
          <cell r="K527" t="str">
            <v xml:space="preserve"> </v>
          </cell>
          <cell r="L527">
            <v>89800</v>
          </cell>
        </row>
        <row r="528">
          <cell r="A528" t="str">
            <v>ROLLER GATE 제작 소모 자재비</v>
          </cell>
        </row>
        <row r="529">
          <cell r="E529" t="str">
            <v xml:space="preserve"> </v>
          </cell>
        </row>
        <row r="530">
          <cell r="A530" t="str">
            <v>종       별</v>
          </cell>
          <cell r="C530" t="str">
            <v>재 료 또 는</v>
          </cell>
          <cell r="D530" t="str">
            <v xml:space="preserve">원 수 </v>
          </cell>
          <cell r="E530" t="str">
            <v>단 위</v>
          </cell>
          <cell r="F530" t="str">
            <v>총   액</v>
          </cell>
          <cell r="G530" t="str">
            <v>노   무   비</v>
          </cell>
          <cell r="I530" t="str">
            <v>재   료   비</v>
          </cell>
          <cell r="K530" t="str">
            <v>경      비</v>
          </cell>
          <cell r="M530" t="str">
            <v>비   고</v>
          </cell>
        </row>
        <row r="531">
          <cell r="C531" t="str">
            <v xml:space="preserve">규       격 </v>
          </cell>
          <cell r="F531" t="str">
            <v>금   액</v>
          </cell>
          <cell r="G531" t="str">
            <v>단  가</v>
          </cell>
          <cell r="H531" t="str">
            <v>금   액</v>
          </cell>
          <cell r="I531" t="str">
            <v>단  가</v>
          </cell>
          <cell r="J531" t="str">
            <v>금   액</v>
          </cell>
          <cell r="K531" t="str">
            <v>단  가</v>
          </cell>
          <cell r="L531" t="str">
            <v>금   액</v>
          </cell>
        </row>
        <row r="533">
          <cell r="A533" t="str">
            <v>산       소</v>
          </cell>
          <cell r="C533" t="str">
            <v>6,000L용</v>
          </cell>
          <cell r="D533">
            <v>3</v>
          </cell>
          <cell r="E533" t="str">
            <v>병</v>
          </cell>
          <cell r="G533" t="str">
            <v xml:space="preserve"> </v>
          </cell>
          <cell r="I533">
            <v>12000</v>
          </cell>
          <cell r="J533">
            <v>36000</v>
          </cell>
        </row>
        <row r="534">
          <cell r="A534" t="str">
            <v>아 세 치 렌</v>
          </cell>
          <cell r="C534" t="str">
            <v>4,500L용</v>
          </cell>
          <cell r="D534">
            <v>2.58</v>
          </cell>
          <cell r="E534" t="str">
            <v>병</v>
          </cell>
          <cell r="I534">
            <v>55392</v>
          </cell>
          <cell r="J534">
            <v>142911</v>
          </cell>
        </row>
        <row r="535">
          <cell r="A535" t="str">
            <v>함       석</v>
          </cell>
          <cell r="C535" t="str">
            <v>#31 x 3' x 6'</v>
          </cell>
          <cell r="D535">
            <v>0.62</v>
          </cell>
          <cell r="E535" t="str">
            <v>매</v>
          </cell>
          <cell r="I535">
            <v>2825</v>
          </cell>
          <cell r="J535">
            <v>1751</v>
          </cell>
        </row>
        <row r="536">
          <cell r="A536" t="str">
            <v>용   접  봉</v>
          </cell>
          <cell r="C536" t="str">
            <v>SS41, 4M/Mx350L</v>
          </cell>
          <cell r="D536">
            <v>20</v>
          </cell>
          <cell r="E536" t="str">
            <v>KG</v>
          </cell>
          <cell r="I536">
            <v>1260</v>
          </cell>
          <cell r="J536">
            <v>25200</v>
          </cell>
        </row>
        <row r="537">
          <cell r="A537" t="str">
            <v>전       력</v>
          </cell>
          <cell r="D537">
            <v>310</v>
          </cell>
          <cell r="E537" t="str">
            <v>KWH</v>
          </cell>
          <cell r="I537" t="str">
            <v xml:space="preserve"> </v>
          </cell>
          <cell r="K537">
            <v>61.6</v>
          </cell>
          <cell r="L537">
            <v>19096</v>
          </cell>
        </row>
        <row r="538">
          <cell r="E538" t="str">
            <v xml:space="preserve"> </v>
          </cell>
          <cell r="I538" t="str">
            <v xml:space="preserve"> </v>
          </cell>
          <cell r="K538" t="str">
            <v xml:space="preserve"> </v>
          </cell>
        </row>
        <row r="540">
          <cell r="B540" t="str">
            <v>계</v>
          </cell>
          <cell r="F540">
            <v>224958</v>
          </cell>
          <cell r="J540">
            <v>205862</v>
          </cell>
          <cell r="L540">
            <v>19096</v>
          </cell>
        </row>
        <row r="557">
          <cell r="A557" t="str">
            <v>ROLLER GATE GUIDE FRAME 제작 인건비</v>
          </cell>
        </row>
        <row r="558">
          <cell r="E558" t="str">
            <v xml:space="preserve"> </v>
          </cell>
        </row>
        <row r="559">
          <cell r="A559" t="str">
            <v>종       별</v>
          </cell>
          <cell r="C559" t="str">
            <v>재 료 또 는</v>
          </cell>
          <cell r="D559" t="str">
            <v xml:space="preserve">원 수 </v>
          </cell>
          <cell r="E559" t="str">
            <v>단 위</v>
          </cell>
          <cell r="F559" t="str">
            <v>총   액</v>
          </cell>
          <cell r="G559" t="str">
            <v>노   무   비</v>
          </cell>
          <cell r="I559" t="str">
            <v>재   료   비</v>
          </cell>
          <cell r="K559" t="str">
            <v>경      비</v>
          </cell>
          <cell r="M559" t="str">
            <v>비   고</v>
          </cell>
        </row>
        <row r="560">
          <cell r="C560" t="str">
            <v xml:space="preserve">규       격 </v>
          </cell>
          <cell r="F560" t="str">
            <v>금   액</v>
          </cell>
          <cell r="G560" t="str">
            <v>단  가</v>
          </cell>
          <cell r="H560" t="str">
            <v>금   액</v>
          </cell>
          <cell r="I560" t="str">
            <v>단  가</v>
          </cell>
          <cell r="J560" t="str">
            <v>금   액</v>
          </cell>
          <cell r="K560" t="str">
            <v>단  가</v>
          </cell>
          <cell r="L560" t="str">
            <v>금   액</v>
          </cell>
        </row>
        <row r="561">
          <cell r="A561" t="str">
            <v>기 술 관 리</v>
          </cell>
          <cell r="C561" t="str">
            <v>기계기사1급</v>
          </cell>
          <cell r="D561">
            <v>2.5</v>
          </cell>
          <cell r="E561" t="str">
            <v>인</v>
          </cell>
          <cell r="G561">
            <v>97488</v>
          </cell>
          <cell r="H561">
            <v>243720</v>
          </cell>
        </row>
        <row r="562">
          <cell r="A562" t="str">
            <v>사      도</v>
          </cell>
          <cell r="C562" t="str">
            <v>제   도   공</v>
          </cell>
          <cell r="D562">
            <v>1</v>
          </cell>
          <cell r="E562" t="str">
            <v>인</v>
          </cell>
          <cell r="G562">
            <v>32747</v>
          </cell>
          <cell r="H562">
            <v>32747</v>
          </cell>
        </row>
        <row r="563">
          <cell r="A563" t="str">
            <v>재료 절단 현도</v>
          </cell>
          <cell r="C563" t="str">
            <v>현   도   공</v>
          </cell>
          <cell r="D563">
            <v>0.63</v>
          </cell>
          <cell r="E563" t="str">
            <v>인</v>
          </cell>
          <cell r="G563">
            <v>28487</v>
          </cell>
          <cell r="H563">
            <v>17946</v>
          </cell>
        </row>
        <row r="564">
          <cell r="A564" t="str">
            <v xml:space="preserve"> </v>
          </cell>
          <cell r="B564" t="str">
            <v>괘    서</v>
          </cell>
          <cell r="C564" t="str">
            <v>마   킹   공</v>
          </cell>
          <cell r="D564">
            <v>1.26</v>
          </cell>
          <cell r="E564" t="str">
            <v>인</v>
          </cell>
          <cell r="G564">
            <v>26924</v>
          </cell>
          <cell r="H564">
            <v>33924</v>
          </cell>
        </row>
        <row r="565">
          <cell r="A565" t="str">
            <v xml:space="preserve"> </v>
          </cell>
          <cell r="B565" t="str">
            <v>절    단</v>
          </cell>
          <cell r="C565" t="str">
            <v>절   단   공</v>
          </cell>
          <cell r="D565">
            <v>0.33</v>
          </cell>
          <cell r="E565" t="str">
            <v>인</v>
          </cell>
          <cell r="G565">
            <v>65881</v>
          </cell>
          <cell r="H565">
            <v>21740</v>
          </cell>
        </row>
        <row r="567">
          <cell r="B567" t="str">
            <v>교    정</v>
          </cell>
          <cell r="C567" t="str">
            <v>프랜트 제관공</v>
          </cell>
          <cell r="D567">
            <v>0.6</v>
          </cell>
          <cell r="E567" t="str">
            <v>인</v>
          </cell>
          <cell r="G567">
            <v>81966</v>
          </cell>
          <cell r="H567">
            <v>49179</v>
          </cell>
        </row>
        <row r="568">
          <cell r="A568" t="str">
            <v>단재가공 괘서</v>
          </cell>
          <cell r="C568" t="str">
            <v>마   킹   공</v>
          </cell>
          <cell r="D568">
            <v>1.26</v>
          </cell>
          <cell r="E568" t="str">
            <v>인</v>
          </cell>
          <cell r="G568">
            <v>26924</v>
          </cell>
          <cell r="H568">
            <v>33924</v>
          </cell>
        </row>
        <row r="569">
          <cell r="A569" t="str">
            <v xml:space="preserve"> </v>
          </cell>
          <cell r="B569" t="str">
            <v>절    단</v>
          </cell>
          <cell r="C569" t="str">
            <v>절   단   공</v>
          </cell>
          <cell r="D569">
            <v>0.16</v>
          </cell>
          <cell r="E569" t="str">
            <v>인</v>
          </cell>
          <cell r="G569">
            <v>65881</v>
          </cell>
          <cell r="H569">
            <v>10540</v>
          </cell>
        </row>
        <row r="570">
          <cell r="B570" t="str">
            <v>EDGE가공</v>
          </cell>
          <cell r="C570" t="str">
            <v>산소 절단공</v>
          </cell>
          <cell r="D570">
            <v>0.17</v>
          </cell>
          <cell r="E570" t="str">
            <v>인</v>
          </cell>
          <cell r="G570">
            <v>31794</v>
          </cell>
          <cell r="H570">
            <v>5404</v>
          </cell>
        </row>
        <row r="571">
          <cell r="A571" t="str">
            <v xml:space="preserve"> </v>
          </cell>
          <cell r="B571" t="str">
            <v>용    접</v>
          </cell>
          <cell r="C571" t="str">
            <v>프랜트 용접공</v>
          </cell>
          <cell r="D571">
            <v>1.3</v>
          </cell>
          <cell r="E571" t="str">
            <v>인</v>
          </cell>
          <cell r="G571">
            <v>95379</v>
          </cell>
          <cell r="H571">
            <v>123992</v>
          </cell>
        </row>
        <row r="573">
          <cell r="A573" t="str">
            <v xml:space="preserve"> </v>
          </cell>
          <cell r="B573" t="str">
            <v>교    정</v>
          </cell>
          <cell r="C573" t="str">
            <v>프랜트 제관공</v>
          </cell>
          <cell r="D573">
            <v>0.75</v>
          </cell>
          <cell r="E573" t="str">
            <v>인</v>
          </cell>
          <cell r="G573">
            <v>81966</v>
          </cell>
          <cell r="H573">
            <v>61474</v>
          </cell>
        </row>
        <row r="574">
          <cell r="B574" t="str">
            <v>HOLING</v>
          </cell>
          <cell r="C574" t="str">
            <v>프랜트 제관공</v>
          </cell>
          <cell r="D574">
            <v>0.15</v>
          </cell>
          <cell r="E574" t="str">
            <v>인</v>
          </cell>
          <cell r="G574">
            <v>81966</v>
          </cell>
          <cell r="H574">
            <v>12294</v>
          </cell>
        </row>
        <row r="575">
          <cell r="A575" t="str">
            <v>부분조립,취부조정</v>
          </cell>
          <cell r="C575" t="str">
            <v>프랜트기계설치공</v>
          </cell>
          <cell r="D575">
            <v>3.7</v>
          </cell>
          <cell r="E575" t="str">
            <v>인</v>
          </cell>
          <cell r="G575">
            <v>80805</v>
          </cell>
          <cell r="H575">
            <v>298978</v>
          </cell>
        </row>
        <row r="576">
          <cell r="A576" t="str">
            <v>용      접</v>
          </cell>
          <cell r="C576" t="str">
            <v>프랜트 용접공</v>
          </cell>
          <cell r="D576">
            <v>8.4</v>
          </cell>
          <cell r="E576" t="str">
            <v>인</v>
          </cell>
          <cell r="G576">
            <v>95379</v>
          </cell>
          <cell r="H576">
            <v>801183</v>
          </cell>
        </row>
        <row r="577">
          <cell r="A577" t="str">
            <v>절      단</v>
          </cell>
          <cell r="C577" t="str">
            <v>절   단   공</v>
          </cell>
          <cell r="D577">
            <v>0.1</v>
          </cell>
          <cell r="E577" t="str">
            <v>인</v>
          </cell>
          <cell r="G577">
            <v>65881</v>
          </cell>
          <cell r="H577">
            <v>6588</v>
          </cell>
        </row>
        <row r="578">
          <cell r="E578" t="str">
            <v xml:space="preserve"> </v>
          </cell>
        </row>
        <row r="579">
          <cell r="A579" t="str">
            <v>교      정</v>
          </cell>
          <cell r="C579" t="str">
            <v>프랜트 제관공</v>
          </cell>
          <cell r="D579">
            <v>1.75</v>
          </cell>
          <cell r="E579" t="str">
            <v>인</v>
          </cell>
          <cell r="G579">
            <v>81966</v>
          </cell>
          <cell r="H579">
            <v>143440</v>
          </cell>
        </row>
        <row r="580">
          <cell r="A580" t="str">
            <v>기 계 가 공</v>
          </cell>
          <cell r="C580" t="str">
            <v>기   계   공</v>
          </cell>
          <cell r="D580">
            <v>1.26</v>
          </cell>
          <cell r="E580" t="str">
            <v>인</v>
          </cell>
          <cell r="G580">
            <v>58906</v>
          </cell>
          <cell r="H580">
            <v>74221</v>
          </cell>
        </row>
        <row r="581">
          <cell r="C581" t="str">
            <v>기계 연마공</v>
          </cell>
          <cell r="D581">
            <v>0.126</v>
          </cell>
          <cell r="E581" t="str">
            <v>인</v>
          </cell>
          <cell r="G581">
            <v>26032</v>
          </cell>
          <cell r="H581">
            <v>3280</v>
          </cell>
        </row>
        <row r="582">
          <cell r="A582" t="str">
            <v>가 조 립,조 립</v>
          </cell>
          <cell r="C582" t="str">
            <v>프랜트기계설치공</v>
          </cell>
          <cell r="D582">
            <v>2</v>
          </cell>
          <cell r="E582" t="str">
            <v>인</v>
          </cell>
          <cell r="G582">
            <v>80805</v>
          </cell>
          <cell r="H582">
            <v>161610</v>
          </cell>
        </row>
        <row r="583">
          <cell r="A583" t="str">
            <v>가 조 립,해 체</v>
          </cell>
          <cell r="C583" t="str">
            <v>프랜트기계설치공</v>
          </cell>
          <cell r="D583">
            <v>1</v>
          </cell>
          <cell r="E583" t="str">
            <v>인</v>
          </cell>
          <cell r="G583">
            <v>80805</v>
          </cell>
          <cell r="H583">
            <v>80805</v>
          </cell>
        </row>
        <row r="584">
          <cell r="E584" t="str">
            <v xml:space="preserve"> </v>
          </cell>
        </row>
        <row r="585">
          <cell r="A585" t="str">
            <v>운 반 조 작</v>
          </cell>
          <cell r="C585" t="str">
            <v>특수 비계공</v>
          </cell>
          <cell r="D585">
            <v>5</v>
          </cell>
          <cell r="E585" t="str">
            <v>인</v>
          </cell>
          <cell r="G585">
            <v>85884</v>
          </cell>
          <cell r="H585">
            <v>429420</v>
          </cell>
        </row>
        <row r="586">
          <cell r="A586" t="str">
            <v>종       별</v>
          </cell>
          <cell r="C586" t="str">
            <v>재 료 또 는</v>
          </cell>
          <cell r="D586" t="str">
            <v xml:space="preserve">원 수 </v>
          </cell>
          <cell r="E586" t="str">
            <v>단 위</v>
          </cell>
          <cell r="F586" t="str">
            <v>총   액</v>
          </cell>
          <cell r="G586" t="str">
            <v>노   무   비</v>
          </cell>
          <cell r="I586" t="str">
            <v>재   료   비</v>
          </cell>
          <cell r="K586" t="str">
            <v>경      비</v>
          </cell>
          <cell r="M586" t="str">
            <v>비   고</v>
          </cell>
        </row>
        <row r="587">
          <cell r="C587" t="str">
            <v xml:space="preserve">규       격 </v>
          </cell>
          <cell r="F587" t="str">
            <v>금   액</v>
          </cell>
          <cell r="G587" t="str">
            <v>단  가</v>
          </cell>
          <cell r="H587" t="str">
            <v>금   액</v>
          </cell>
          <cell r="I587" t="str">
            <v>단  가</v>
          </cell>
          <cell r="J587" t="str">
            <v>금   액</v>
          </cell>
          <cell r="K587" t="str">
            <v>단  가</v>
          </cell>
          <cell r="L587" t="str">
            <v>금   액</v>
          </cell>
        </row>
        <row r="588">
          <cell r="A588" t="str">
            <v>동 력 조 작</v>
          </cell>
          <cell r="C588" t="str">
            <v>플랜트전공</v>
          </cell>
          <cell r="D588">
            <v>1</v>
          </cell>
          <cell r="E588" t="str">
            <v>인</v>
          </cell>
          <cell r="G588">
            <v>64285</v>
          </cell>
          <cell r="H588">
            <v>64285</v>
          </cell>
        </row>
        <row r="589">
          <cell r="A589" t="str">
            <v>보      조</v>
          </cell>
          <cell r="C589" t="str">
            <v>특 별 인 부</v>
          </cell>
          <cell r="D589">
            <v>14.4</v>
          </cell>
          <cell r="E589" t="str">
            <v>인</v>
          </cell>
          <cell r="G589">
            <v>57379</v>
          </cell>
          <cell r="H589">
            <v>826257</v>
          </cell>
        </row>
        <row r="590">
          <cell r="A590" t="str">
            <v>검      사</v>
          </cell>
          <cell r="C590" t="str">
            <v>인건비 7%</v>
          </cell>
          <cell r="D590" t="str">
            <v>1</v>
          </cell>
          <cell r="E590" t="str">
            <v>식</v>
          </cell>
          <cell r="H590">
            <v>247586</v>
          </cell>
        </row>
        <row r="592">
          <cell r="B592" t="str">
            <v>계</v>
          </cell>
          <cell r="F592">
            <v>3784537</v>
          </cell>
          <cell r="H592">
            <v>3784537</v>
          </cell>
        </row>
        <row r="615">
          <cell r="A615" t="str">
            <v>ROLLER GATE GUIDE FRAME 제작 소모 자재비</v>
          </cell>
        </row>
        <row r="616">
          <cell r="E616" t="str">
            <v xml:space="preserve"> </v>
          </cell>
        </row>
        <row r="617">
          <cell r="A617" t="str">
            <v>종       별</v>
          </cell>
          <cell r="C617" t="str">
            <v>재 료 또 는</v>
          </cell>
          <cell r="D617" t="str">
            <v xml:space="preserve">원 수 </v>
          </cell>
          <cell r="E617" t="str">
            <v>단 위</v>
          </cell>
          <cell r="F617" t="str">
            <v>총   액</v>
          </cell>
          <cell r="G617" t="str">
            <v>노   무   비</v>
          </cell>
          <cell r="I617" t="str">
            <v>재   료   비</v>
          </cell>
          <cell r="K617" t="str">
            <v>경      비</v>
          </cell>
          <cell r="M617" t="str">
            <v>비   고</v>
          </cell>
        </row>
        <row r="618">
          <cell r="C618" t="str">
            <v xml:space="preserve">규       격 </v>
          </cell>
          <cell r="F618" t="str">
            <v>금   액</v>
          </cell>
          <cell r="G618" t="str">
            <v>단  가</v>
          </cell>
          <cell r="H618" t="str">
            <v>금   액</v>
          </cell>
          <cell r="I618" t="str">
            <v>단  가</v>
          </cell>
          <cell r="J618" t="str">
            <v>금   액</v>
          </cell>
          <cell r="K618" t="str">
            <v>단  가</v>
          </cell>
          <cell r="L618" t="str">
            <v>금   액</v>
          </cell>
        </row>
        <row r="619">
          <cell r="A619" t="str">
            <v>산       소</v>
          </cell>
          <cell r="C619" t="str">
            <v>6,000L용</v>
          </cell>
          <cell r="D619">
            <v>2.2999999999999998</v>
          </cell>
          <cell r="E619" t="str">
            <v>병</v>
          </cell>
          <cell r="G619" t="str">
            <v xml:space="preserve"> </v>
          </cell>
          <cell r="I619">
            <v>12000</v>
          </cell>
          <cell r="J619">
            <v>27600</v>
          </cell>
        </row>
        <row r="620">
          <cell r="A620" t="str">
            <v>아 세 치 렌</v>
          </cell>
          <cell r="C620" t="str">
            <v>2,100L용</v>
          </cell>
          <cell r="D620">
            <v>1.6</v>
          </cell>
          <cell r="E620" t="str">
            <v>병</v>
          </cell>
          <cell r="I620">
            <v>25849</v>
          </cell>
          <cell r="J620">
            <v>41358</v>
          </cell>
        </row>
        <row r="621">
          <cell r="A621" t="str">
            <v>함       석</v>
          </cell>
          <cell r="C621" t="str">
            <v>#32 x 3' x 6'</v>
          </cell>
          <cell r="D621">
            <v>1.9</v>
          </cell>
          <cell r="E621" t="str">
            <v>매</v>
          </cell>
          <cell r="I621">
            <v>2597</v>
          </cell>
          <cell r="J621">
            <v>4934</v>
          </cell>
        </row>
        <row r="622">
          <cell r="A622" t="str">
            <v>용   접  봉</v>
          </cell>
          <cell r="C622" t="str">
            <v>SS41+STS304,4M/M</v>
          </cell>
          <cell r="D622">
            <v>54.6</v>
          </cell>
          <cell r="E622" t="str">
            <v>KG</v>
          </cell>
          <cell r="I622">
            <v>3360</v>
          </cell>
          <cell r="J622">
            <v>183456</v>
          </cell>
        </row>
        <row r="623">
          <cell r="A623" t="str">
            <v>전       력</v>
          </cell>
          <cell r="D623">
            <v>550</v>
          </cell>
          <cell r="E623" t="str">
            <v>KWH</v>
          </cell>
          <cell r="K623">
            <v>61.6</v>
          </cell>
          <cell r="L623">
            <v>33880</v>
          </cell>
        </row>
        <row r="624">
          <cell r="A624" t="str">
            <v>그라인다돌</v>
          </cell>
          <cell r="C624" t="str">
            <v>300 M/M</v>
          </cell>
          <cell r="D624">
            <v>0.3</v>
          </cell>
          <cell r="E624" t="str">
            <v>개</v>
          </cell>
          <cell r="I624">
            <v>3380</v>
          </cell>
          <cell r="J624">
            <v>1014</v>
          </cell>
        </row>
        <row r="625">
          <cell r="A625" t="str">
            <v xml:space="preserve"> </v>
          </cell>
        </row>
        <row r="627">
          <cell r="B627" t="str">
            <v>계</v>
          </cell>
          <cell r="F627">
            <v>292242</v>
          </cell>
          <cell r="J627">
            <v>258362</v>
          </cell>
          <cell r="L627">
            <v>33880</v>
          </cell>
        </row>
        <row r="628">
          <cell r="F628" t="str">
            <v xml:space="preserve"> </v>
          </cell>
          <cell r="J628" t="str">
            <v xml:space="preserve"> </v>
          </cell>
          <cell r="L628" t="str">
            <v xml:space="preserve"> </v>
          </cell>
        </row>
        <row r="629">
          <cell r="F629" t="str">
            <v xml:space="preserve"> </v>
          </cell>
          <cell r="J629" t="str">
            <v xml:space="preserve"> </v>
          </cell>
          <cell r="L629" t="str">
            <v xml:space="preserve"> </v>
          </cell>
        </row>
        <row r="630">
          <cell r="F630" t="str">
            <v xml:space="preserve"> </v>
          </cell>
          <cell r="J630" t="str">
            <v xml:space="preserve"> </v>
          </cell>
          <cell r="L630" t="str">
            <v xml:space="preserve"> </v>
          </cell>
        </row>
        <row r="631">
          <cell r="F631" t="str">
            <v xml:space="preserve"> </v>
          </cell>
          <cell r="J631" t="str">
            <v xml:space="preserve"> </v>
          </cell>
          <cell r="L631" t="str">
            <v xml:space="preserve"> </v>
          </cell>
        </row>
        <row r="632">
          <cell r="F632" t="str">
            <v xml:space="preserve"> </v>
          </cell>
          <cell r="J632" t="str">
            <v xml:space="preserve"> </v>
          </cell>
          <cell r="L632" t="str">
            <v xml:space="preserve"> </v>
          </cell>
        </row>
        <row r="633">
          <cell r="F633" t="str">
            <v xml:space="preserve"> </v>
          </cell>
          <cell r="J633" t="str">
            <v xml:space="preserve"> </v>
          </cell>
          <cell r="L633" t="str">
            <v xml:space="preserve"> </v>
          </cell>
        </row>
        <row r="634">
          <cell r="F634" t="str">
            <v xml:space="preserve"> </v>
          </cell>
          <cell r="J634" t="str">
            <v xml:space="preserve"> </v>
          </cell>
          <cell r="L634" t="str">
            <v xml:space="preserve"> </v>
          </cell>
        </row>
        <row r="635">
          <cell r="F635" t="str">
            <v xml:space="preserve"> </v>
          </cell>
          <cell r="J635" t="str">
            <v xml:space="preserve"> </v>
          </cell>
          <cell r="L635" t="str">
            <v xml:space="preserve"> </v>
          </cell>
        </row>
        <row r="636">
          <cell r="F636" t="str">
            <v xml:space="preserve"> </v>
          </cell>
          <cell r="J636" t="str">
            <v xml:space="preserve"> </v>
          </cell>
          <cell r="L636" t="str">
            <v xml:space="preserve"> </v>
          </cell>
        </row>
        <row r="637">
          <cell r="F637" t="str">
            <v xml:space="preserve"> </v>
          </cell>
          <cell r="J637" t="str">
            <v xml:space="preserve"> </v>
          </cell>
          <cell r="L637" t="str">
            <v xml:space="preserve"> </v>
          </cell>
        </row>
        <row r="638">
          <cell r="F638" t="str">
            <v xml:space="preserve"> </v>
          </cell>
          <cell r="J638" t="str">
            <v xml:space="preserve"> </v>
          </cell>
          <cell r="L638" t="str">
            <v xml:space="preserve"> </v>
          </cell>
        </row>
        <row r="639">
          <cell r="F639" t="str">
            <v xml:space="preserve"> </v>
          </cell>
          <cell r="J639" t="str">
            <v xml:space="preserve"> </v>
          </cell>
          <cell r="L639" t="str">
            <v xml:space="preserve"> </v>
          </cell>
        </row>
        <row r="640">
          <cell r="F640" t="str">
            <v xml:space="preserve"> </v>
          </cell>
          <cell r="J640" t="str">
            <v xml:space="preserve"> </v>
          </cell>
          <cell r="L640" t="str">
            <v xml:space="preserve"> </v>
          </cell>
        </row>
        <row r="641">
          <cell r="F641" t="str">
            <v xml:space="preserve"> </v>
          </cell>
          <cell r="J641" t="str">
            <v xml:space="preserve"> </v>
          </cell>
          <cell r="L641" t="str">
            <v xml:space="preserve"> </v>
          </cell>
        </row>
        <row r="642">
          <cell r="F642" t="str">
            <v xml:space="preserve"> </v>
          </cell>
          <cell r="J642" t="str">
            <v xml:space="preserve"> </v>
          </cell>
          <cell r="L642" t="str">
            <v xml:space="preserve"> </v>
          </cell>
        </row>
        <row r="643">
          <cell r="F643" t="str">
            <v xml:space="preserve"> </v>
          </cell>
          <cell r="J643" t="str">
            <v xml:space="preserve"> </v>
          </cell>
          <cell r="L643" t="str">
            <v xml:space="preserve"> </v>
          </cell>
        </row>
        <row r="644">
          <cell r="A644" t="str">
            <v>ROLLER GATE 설치 인건비</v>
          </cell>
        </row>
        <row r="645">
          <cell r="E645" t="str">
            <v xml:space="preserve"> </v>
          </cell>
        </row>
        <row r="646">
          <cell r="A646" t="str">
            <v>종       별</v>
          </cell>
          <cell r="C646" t="str">
            <v>재 료 또 는</v>
          </cell>
          <cell r="D646" t="str">
            <v xml:space="preserve">원 수 </v>
          </cell>
          <cell r="E646" t="str">
            <v>단 위</v>
          </cell>
          <cell r="F646" t="str">
            <v>총   액</v>
          </cell>
          <cell r="G646" t="str">
            <v>노   무   비</v>
          </cell>
          <cell r="I646" t="str">
            <v>재   료   비</v>
          </cell>
          <cell r="K646" t="str">
            <v>경      비</v>
          </cell>
          <cell r="M646" t="str">
            <v>비   고</v>
          </cell>
        </row>
        <row r="647">
          <cell r="C647" t="str">
            <v xml:space="preserve">규       격 </v>
          </cell>
          <cell r="F647" t="str">
            <v>금   액</v>
          </cell>
          <cell r="G647" t="str">
            <v>단  가</v>
          </cell>
          <cell r="H647" t="str">
            <v>금   액</v>
          </cell>
          <cell r="I647" t="str">
            <v>단  가</v>
          </cell>
          <cell r="J647" t="str">
            <v>금   액</v>
          </cell>
          <cell r="K647" t="str">
            <v>단  가</v>
          </cell>
          <cell r="L647" t="str">
            <v>금   액</v>
          </cell>
        </row>
        <row r="648">
          <cell r="A648" t="str">
            <v>기 술 관 리</v>
          </cell>
          <cell r="C648" t="str">
            <v>기계기사1급</v>
          </cell>
          <cell r="D648">
            <v>0.5</v>
          </cell>
          <cell r="E648" t="str">
            <v>인</v>
          </cell>
          <cell r="G648">
            <v>97488</v>
          </cell>
          <cell r="H648">
            <v>48744</v>
          </cell>
        </row>
        <row r="649">
          <cell r="A649" t="str">
            <v>형 장 교 정</v>
          </cell>
          <cell r="C649" t="str">
            <v>프랜트 제관공</v>
          </cell>
          <cell r="D649">
            <v>0.81599999999999995</v>
          </cell>
          <cell r="E649" t="str">
            <v>인</v>
          </cell>
          <cell r="G649">
            <v>81966</v>
          </cell>
          <cell r="H649">
            <v>66884</v>
          </cell>
        </row>
        <row r="650">
          <cell r="A650" t="str">
            <v xml:space="preserve"> </v>
          </cell>
          <cell r="C650" t="str">
            <v>비   계   공</v>
          </cell>
          <cell r="D650">
            <v>0.14599999999999999</v>
          </cell>
          <cell r="E650" t="str">
            <v>인</v>
          </cell>
          <cell r="G650">
            <v>79467</v>
          </cell>
          <cell r="H650">
            <v>11602</v>
          </cell>
        </row>
        <row r="651">
          <cell r="A651" t="str">
            <v>소 운 반 제 작</v>
          </cell>
          <cell r="C651" t="str">
            <v>비   계   공</v>
          </cell>
          <cell r="D651">
            <v>1.992</v>
          </cell>
          <cell r="E651" t="str">
            <v>인</v>
          </cell>
          <cell r="G651">
            <v>79467</v>
          </cell>
          <cell r="H651">
            <v>158298</v>
          </cell>
        </row>
        <row r="652">
          <cell r="A652" t="str">
            <v xml:space="preserve"> </v>
          </cell>
          <cell r="C652" t="str">
            <v>프랜트기계설치공</v>
          </cell>
          <cell r="D652">
            <v>0.79100000000000004</v>
          </cell>
          <cell r="E652" t="str">
            <v>인</v>
          </cell>
          <cell r="G652">
            <v>80805</v>
          </cell>
          <cell r="H652">
            <v>63916</v>
          </cell>
        </row>
        <row r="654">
          <cell r="A654" t="str">
            <v>조 립 조 정</v>
          </cell>
          <cell r="C654" t="str">
            <v>비   계   공</v>
          </cell>
          <cell r="D654">
            <v>2.4300000000000002</v>
          </cell>
          <cell r="E654" t="str">
            <v>인</v>
          </cell>
          <cell r="G654">
            <v>79467</v>
          </cell>
          <cell r="H654">
            <v>193104</v>
          </cell>
        </row>
        <row r="655">
          <cell r="A655" t="str">
            <v xml:space="preserve"> </v>
          </cell>
          <cell r="C655" t="str">
            <v>프랜트 제관공</v>
          </cell>
          <cell r="D655">
            <v>2.0350000000000001</v>
          </cell>
          <cell r="E655" t="str">
            <v>인</v>
          </cell>
          <cell r="G655">
            <v>81966</v>
          </cell>
          <cell r="H655">
            <v>166800</v>
          </cell>
        </row>
        <row r="656">
          <cell r="A656" t="str">
            <v xml:space="preserve"> </v>
          </cell>
          <cell r="C656" t="str">
            <v>측   량   사</v>
          </cell>
          <cell r="D656">
            <v>0.81200000000000006</v>
          </cell>
          <cell r="E656" t="str">
            <v>인</v>
          </cell>
          <cell r="G656">
            <v>58506</v>
          </cell>
          <cell r="H656">
            <v>47506</v>
          </cell>
        </row>
        <row r="657">
          <cell r="A657" t="str">
            <v>리  벳  팅</v>
          </cell>
          <cell r="C657" t="str">
            <v>리 벳 팅 공</v>
          </cell>
          <cell r="D657">
            <v>1.4470000000000001</v>
          </cell>
          <cell r="E657" t="str">
            <v>인</v>
          </cell>
          <cell r="G657">
            <v>71579</v>
          </cell>
          <cell r="H657">
            <v>103574</v>
          </cell>
        </row>
        <row r="658">
          <cell r="A658" t="str">
            <v xml:space="preserve"> </v>
          </cell>
          <cell r="C658" t="str">
            <v>플랜트기계설치공</v>
          </cell>
          <cell r="D658">
            <v>0.52700000000000002</v>
          </cell>
          <cell r="E658" t="str">
            <v>인</v>
          </cell>
          <cell r="G658">
            <v>80805</v>
          </cell>
          <cell r="H658">
            <v>42584</v>
          </cell>
        </row>
        <row r="659">
          <cell r="C659" t="str">
            <v xml:space="preserve"> </v>
          </cell>
        </row>
        <row r="660">
          <cell r="A660" t="str">
            <v>용      접</v>
          </cell>
          <cell r="C660" t="str">
            <v>프랜트 용접공</v>
          </cell>
          <cell r="D660">
            <v>0.70499999999999996</v>
          </cell>
          <cell r="E660" t="str">
            <v>인</v>
          </cell>
          <cell r="G660">
            <v>95379</v>
          </cell>
          <cell r="H660">
            <v>67242</v>
          </cell>
        </row>
        <row r="661">
          <cell r="A661" t="str">
            <v xml:space="preserve"> </v>
          </cell>
          <cell r="C661" t="str">
            <v>프랜트 제관공</v>
          </cell>
          <cell r="D661">
            <v>0.187</v>
          </cell>
          <cell r="E661" t="str">
            <v>인</v>
          </cell>
          <cell r="G661">
            <v>81966</v>
          </cell>
          <cell r="H661">
            <v>15327</v>
          </cell>
        </row>
        <row r="662">
          <cell r="A662" t="str">
            <v>전 원 배 선</v>
          </cell>
          <cell r="C662" t="str">
            <v>플랜트 전공</v>
          </cell>
          <cell r="D662">
            <v>0.187</v>
          </cell>
          <cell r="E662" t="str">
            <v>인</v>
          </cell>
          <cell r="G662">
            <v>64285</v>
          </cell>
          <cell r="H662">
            <v>12021</v>
          </cell>
        </row>
        <row r="664">
          <cell r="A664" t="str">
            <v>검사 및 교정</v>
          </cell>
          <cell r="C664" t="str">
            <v xml:space="preserve">기술관리,전원 </v>
          </cell>
          <cell r="D664" t="str">
            <v>1</v>
          </cell>
          <cell r="E664" t="str">
            <v>식</v>
          </cell>
          <cell r="H664">
            <v>93683</v>
          </cell>
        </row>
        <row r="665">
          <cell r="C665" t="str">
            <v>배선 제외 10%</v>
          </cell>
        </row>
        <row r="669">
          <cell r="B669" t="str">
            <v>계</v>
          </cell>
          <cell r="F669">
            <v>1091285</v>
          </cell>
          <cell r="H669">
            <v>1091285</v>
          </cell>
        </row>
        <row r="673">
          <cell r="A673" t="str">
            <v>ROLLER GATE 설치 사용장비 경비</v>
          </cell>
        </row>
        <row r="674">
          <cell r="E674" t="str">
            <v xml:space="preserve"> </v>
          </cell>
        </row>
        <row r="675">
          <cell r="A675" t="str">
            <v>종       별</v>
          </cell>
          <cell r="C675" t="str">
            <v>재 료 또 는</v>
          </cell>
          <cell r="D675" t="str">
            <v xml:space="preserve">원 수 </v>
          </cell>
          <cell r="E675" t="str">
            <v>단 위</v>
          </cell>
          <cell r="F675" t="str">
            <v>총   액</v>
          </cell>
          <cell r="G675" t="str">
            <v>노   무   비</v>
          </cell>
          <cell r="I675" t="str">
            <v>재   료   비</v>
          </cell>
          <cell r="K675" t="str">
            <v>경      비</v>
          </cell>
          <cell r="M675" t="str">
            <v>비   고</v>
          </cell>
        </row>
        <row r="676">
          <cell r="C676" t="str">
            <v xml:space="preserve">규       격 </v>
          </cell>
          <cell r="F676" t="str">
            <v>금   액</v>
          </cell>
          <cell r="G676" t="str">
            <v>단  가</v>
          </cell>
          <cell r="H676" t="str">
            <v>금   액</v>
          </cell>
          <cell r="I676" t="str">
            <v>단  가</v>
          </cell>
          <cell r="J676" t="str">
            <v>금   액</v>
          </cell>
          <cell r="K676" t="str">
            <v>단  가</v>
          </cell>
          <cell r="L676" t="str">
            <v>금   액</v>
          </cell>
        </row>
        <row r="677">
          <cell r="A677" t="str">
            <v>A.C WELDER</v>
          </cell>
          <cell r="C677" t="str">
            <v>10KVA</v>
          </cell>
          <cell r="D677">
            <v>8</v>
          </cell>
          <cell r="E677" t="str">
            <v>Hr</v>
          </cell>
          <cell r="K677">
            <v>155</v>
          </cell>
          <cell r="L677">
            <v>1240</v>
          </cell>
        </row>
        <row r="678">
          <cell r="A678" t="str">
            <v>D.C WELDER</v>
          </cell>
          <cell r="C678" t="str">
            <v>5.5KW</v>
          </cell>
          <cell r="D678">
            <v>32</v>
          </cell>
          <cell r="E678" t="str">
            <v>Hr</v>
          </cell>
          <cell r="K678">
            <v>359</v>
          </cell>
          <cell r="L678">
            <v>11488</v>
          </cell>
        </row>
        <row r="679">
          <cell r="A679" t="str">
            <v>GAS CUTTING M/C</v>
          </cell>
          <cell r="C679" t="str">
            <v>중 형</v>
          </cell>
          <cell r="D679">
            <v>32</v>
          </cell>
          <cell r="E679" t="str">
            <v>Hr</v>
          </cell>
          <cell r="G679">
            <v>3974</v>
          </cell>
          <cell r="H679">
            <v>127168</v>
          </cell>
          <cell r="K679">
            <v>115</v>
          </cell>
          <cell r="L679">
            <v>3680</v>
          </cell>
        </row>
        <row r="680">
          <cell r="A680" t="str">
            <v>GAS WELDER</v>
          </cell>
          <cell r="C680" t="str">
            <v>중 형</v>
          </cell>
          <cell r="D680">
            <v>24</v>
          </cell>
          <cell r="E680" t="str">
            <v>Hr</v>
          </cell>
          <cell r="K680">
            <v>115</v>
          </cell>
          <cell r="L680">
            <v>2760</v>
          </cell>
        </row>
        <row r="681">
          <cell r="A681" t="str">
            <v>PORTABLE DRILL</v>
          </cell>
          <cell r="C681" t="str">
            <v>1.5 HP</v>
          </cell>
          <cell r="D681">
            <v>16</v>
          </cell>
          <cell r="E681" t="str">
            <v>Hr</v>
          </cell>
          <cell r="K681">
            <v>14</v>
          </cell>
          <cell r="L681">
            <v>224</v>
          </cell>
        </row>
        <row r="683">
          <cell r="A683" t="str">
            <v>PORTABLE GRINDER</v>
          </cell>
          <cell r="C683" t="str">
            <v>0.5 HP</v>
          </cell>
          <cell r="D683">
            <v>32</v>
          </cell>
          <cell r="E683" t="str">
            <v>Hr</v>
          </cell>
          <cell r="K683">
            <v>22</v>
          </cell>
          <cell r="L683">
            <v>704</v>
          </cell>
        </row>
        <row r="684">
          <cell r="A684" t="str">
            <v>COMPRESSOR</v>
          </cell>
          <cell r="C684" t="str">
            <v>8.9㎥/min</v>
          </cell>
          <cell r="D684">
            <v>8</v>
          </cell>
          <cell r="E684" t="str">
            <v>Hr</v>
          </cell>
          <cell r="G684">
            <v>9681</v>
          </cell>
          <cell r="H684">
            <v>77448</v>
          </cell>
          <cell r="I684">
            <v>8779</v>
          </cell>
          <cell r="J684">
            <v>70232</v>
          </cell>
          <cell r="K684">
            <v>6250</v>
          </cell>
          <cell r="L684">
            <v>50000</v>
          </cell>
        </row>
        <row r="685">
          <cell r="A685" t="str">
            <v>WINCH</v>
          </cell>
          <cell r="C685" t="str">
            <v>10 HP</v>
          </cell>
          <cell r="D685">
            <v>16</v>
          </cell>
          <cell r="E685" t="str">
            <v>Hr</v>
          </cell>
          <cell r="G685">
            <v>9235</v>
          </cell>
          <cell r="H685">
            <v>147760</v>
          </cell>
          <cell r="K685">
            <v>850</v>
          </cell>
          <cell r="L685">
            <v>13600</v>
          </cell>
        </row>
        <row r="686">
          <cell r="A686" t="str">
            <v>리프트 트럭</v>
          </cell>
          <cell r="C686" t="str">
            <v>7 TON</v>
          </cell>
          <cell r="D686">
            <v>8</v>
          </cell>
          <cell r="E686" t="str">
            <v>Hr</v>
          </cell>
          <cell r="G686">
            <v>9681</v>
          </cell>
          <cell r="H686">
            <v>77448</v>
          </cell>
          <cell r="I686">
            <v>5898</v>
          </cell>
          <cell r="J686">
            <v>47184</v>
          </cell>
          <cell r="K686">
            <v>5845</v>
          </cell>
          <cell r="L686">
            <v>46760</v>
          </cell>
        </row>
        <row r="687">
          <cell r="A687" t="str">
            <v>TRUCK CRANE</v>
          </cell>
          <cell r="C687" t="str">
            <v>40 TON</v>
          </cell>
          <cell r="D687">
            <v>8</v>
          </cell>
          <cell r="E687" t="str">
            <v>Hr</v>
          </cell>
          <cell r="G687">
            <v>18615</v>
          </cell>
          <cell r="H687">
            <v>148920</v>
          </cell>
          <cell r="I687">
            <v>8730</v>
          </cell>
          <cell r="J687">
            <v>69840</v>
          </cell>
          <cell r="K687">
            <v>55621</v>
          </cell>
          <cell r="L687">
            <v>444968</v>
          </cell>
        </row>
        <row r="691">
          <cell r="B691" t="str">
            <v xml:space="preserve"> 계</v>
          </cell>
          <cell r="F691">
            <v>1341424</v>
          </cell>
          <cell r="H691">
            <v>578744</v>
          </cell>
          <cell r="J691">
            <v>187256</v>
          </cell>
          <cell r="L691">
            <v>575424</v>
          </cell>
        </row>
        <row r="699">
          <cell r="J699" t="str">
            <v xml:space="preserve"> </v>
          </cell>
        </row>
        <row r="700">
          <cell r="J700" t="str">
            <v xml:space="preserve"> </v>
          </cell>
        </row>
        <row r="701">
          <cell r="J701" t="str">
            <v xml:space="preserve"> </v>
          </cell>
        </row>
        <row r="702">
          <cell r="A702" t="str">
            <v>ROLLER GATE LEAF 설치 소모 자재비</v>
          </cell>
        </row>
        <row r="703">
          <cell r="E703" t="str">
            <v xml:space="preserve"> </v>
          </cell>
        </row>
        <row r="704">
          <cell r="A704" t="str">
            <v>종       별</v>
          </cell>
          <cell r="C704" t="str">
            <v>재 료 또 는</v>
          </cell>
          <cell r="D704" t="str">
            <v xml:space="preserve">원 수 </v>
          </cell>
          <cell r="E704" t="str">
            <v>단 위</v>
          </cell>
          <cell r="F704" t="str">
            <v>총   액</v>
          </cell>
          <cell r="G704" t="str">
            <v>노   무   비</v>
          </cell>
          <cell r="I704" t="str">
            <v>재   료   비</v>
          </cell>
          <cell r="K704" t="str">
            <v>경      비</v>
          </cell>
          <cell r="M704" t="str">
            <v>비   고</v>
          </cell>
        </row>
        <row r="705">
          <cell r="C705" t="str">
            <v xml:space="preserve">규       격 </v>
          </cell>
          <cell r="F705" t="str">
            <v>금   액</v>
          </cell>
          <cell r="G705" t="str">
            <v>단  가</v>
          </cell>
          <cell r="H705" t="str">
            <v>금   액</v>
          </cell>
          <cell r="I705" t="str">
            <v>단  가</v>
          </cell>
          <cell r="J705" t="str">
            <v>금   액</v>
          </cell>
          <cell r="K705" t="str">
            <v>단  가</v>
          </cell>
          <cell r="L705" t="str">
            <v>금   액</v>
          </cell>
        </row>
        <row r="706">
          <cell r="A706" t="str">
            <v>산       소</v>
          </cell>
          <cell r="C706" t="str">
            <v>6,000L용</v>
          </cell>
          <cell r="D706">
            <v>0.46</v>
          </cell>
          <cell r="E706" t="str">
            <v>병</v>
          </cell>
          <cell r="G706" t="str">
            <v xml:space="preserve"> </v>
          </cell>
          <cell r="I706">
            <v>12000</v>
          </cell>
          <cell r="J706">
            <v>5520</v>
          </cell>
        </row>
        <row r="707">
          <cell r="A707" t="str">
            <v>아 세 치 렌</v>
          </cell>
          <cell r="C707" t="str">
            <v>4,500L용</v>
          </cell>
          <cell r="D707">
            <v>0.39</v>
          </cell>
          <cell r="E707" t="str">
            <v>병</v>
          </cell>
          <cell r="I707">
            <v>55392</v>
          </cell>
          <cell r="J707">
            <v>21602</v>
          </cell>
        </row>
        <row r="708">
          <cell r="A708" t="str">
            <v>용   접  봉</v>
          </cell>
          <cell r="C708" t="str">
            <v>SS400 , 4M/M</v>
          </cell>
          <cell r="D708">
            <v>5.4</v>
          </cell>
          <cell r="E708" t="str">
            <v>KG</v>
          </cell>
          <cell r="I708">
            <v>1260</v>
          </cell>
          <cell r="J708">
            <v>6804</v>
          </cell>
        </row>
        <row r="709">
          <cell r="A709" t="str">
            <v>코  크  스</v>
          </cell>
          <cell r="D709">
            <v>27</v>
          </cell>
          <cell r="E709" t="str">
            <v>KG</v>
          </cell>
          <cell r="I709">
            <v>183</v>
          </cell>
          <cell r="J709">
            <v>4941</v>
          </cell>
        </row>
        <row r="712">
          <cell r="A712" t="str">
            <v xml:space="preserve"> </v>
          </cell>
        </row>
        <row r="713">
          <cell r="L713" t="str">
            <v xml:space="preserve"> </v>
          </cell>
        </row>
        <row r="714">
          <cell r="B714" t="str">
            <v>계</v>
          </cell>
          <cell r="F714">
            <v>38867</v>
          </cell>
          <cell r="J714">
            <v>38867</v>
          </cell>
        </row>
        <row r="715">
          <cell r="A715" t="str">
            <v xml:space="preserve"> </v>
          </cell>
        </row>
        <row r="716">
          <cell r="A716" t="str">
            <v xml:space="preserve"> </v>
          </cell>
        </row>
        <row r="717">
          <cell r="A717" t="str">
            <v xml:space="preserve"> </v>
          </cell>
        </row>
        <row r="718">
          <cell r="A718" t="str">
            <v xml:space="preserve"> </v>
          </cell>
        </row>
        <row r="719">
          <cell r="A719" t="str">
            <v xml:space="preserve"> </v>
          </cell>
        </row>
        <row r="720">
          <cell r="A720" t="str">
            <v xml:space="preserve"> </v>
          </cell>
        </row>
        <row r="721">
          <cell r="A721" t="str">
            <v xml:space="preserve"> </v>
          </cell>
        </row>
        <row r="722">
          <cell r="A722" t="str">
            <v xml:space="preserve"> </v>
          </cell>
        </row>
        <row r="723">
          <cell r="A723" t="str">
            <v xml:space="preserve"> </v>
          </cell>
        </row>
        <row r="724">
          <cell r="A724" t="str">
            <v xml:space="preserve"> </v>
          </cell>
        </row>
        <row r="725">
          <cell r="A725" t="str">
            <v xml:space="preserve"> </v>
          </cell>
        </row>
        <row r="726">
          <cell r="A726" t="str">
            <v xml:space="preserve"> </v>
          </cell>
        </row>
        <row r="727">
          <cell r="A727" t="str">
            <v xml:space="preserve"> </v>
          </cell>
        </row>
        <row r="728">
          <cell r="A728" t="str">
            <v xml:space="preserve"> </v>
          </cell>
        </row>
        <row r="729">
          <cell r="A729" t="str">
            <v xml:space="preserve"> </v>
          </cell>
        </row>
        <row r="730">
          <cell r="A730" t="str">
            <v xml:space="preserve"> </v>
          </cell>
        </row>
        <row r="731">
          <cell r="A731" t="str">
            <v>ROLLER GATE GUIDE FRAME 설치 인건비</v>
          </cell>
        </row>
        <row r="732">
          <cell r="E732" t="str">
            <v xml:space="preserve"> </v>
          </cell>
        </row>
        <row r="733">
          <cell r="A733" t="str">
            <v>종       별</v>
          </cell>
          <cell r="C733" t="str">
            <v>재 료 또 는</v>
          </cell>
          <cell r="D733" t="str">
            <v xml:space="preserve">원 수 </v>
          </cell>
          <cell r="E733" t="str">
            <v>단 위</v>
          </cell>
          <cell r="F733" t="str">
            <v>총   액</v>
          </cell>
          <cell r="G733" t="str">
            <v>노   무   비</v>
          </cell>
          <cell r="I733" t="str">
            <v>재   료   비</v>
          </cell>
          <cell r="K733" t="str">
            <v>경      비</v>
          </cell>
          <cell r="M733" t="str">
            <v>비   고</v>
          </cell>
        </row>
        <row r="734">
          <cell r="C734" t="str">
            <v xml:space="preserve">규       격 </v>
          </cell>
          <cell r="F734" t="str">
            <v>금   액</v>
          </cell>
          <cell r="G734" t="str">
            <v>단  가</v>
          </cell>
          <cell r="H734" t="str">
            <v>금   액</v>
          </cell>
          <cell r="I734" t="str">
            <v>단  가</v>
          </cell>
          <cell r="J734" t="str">
            <v>금   액</v>
          </cell>
          <cell r="K734" t="str">
            <v>단  가</v>
          </cell>
          <cell r="L734" t="str">
            <v>금   액</v>
          </cell>
        </row>
        <row r="735">
          <cell r="A735" t="str">
            <v>기 술 지 도</v>
          </cell>
          <cell r="C735" t="str">
            <v>기계기사1급</v>
          </cell>
          <cell r="D735">
            <v>5.33</v>
          </cell>
          <cell r="E735" t="str">
            <v>인</v>
          </cell>
          <cell r="G735">
            <v>97488</v>
          </cell>
          <cell r="H735">
            <v>519611</v>
          </cell>
        </row>
        <row r="736">
          <cell r="A736" t="str">
            <v>박 스 해 체</v>
          </cell>
          <cell r="C736" t="str">
            <v>목       공</v>
          </cell>
          <cell r="D736">
            <v>0.34</v>
          </cell>
          <cell r="E736" t="str">
            <v>인</v>
          </cell>
          <cell r="G736">
            <v>75306</v>
          </cell>
          <cell r="H736">
            <v>25604</v>
          </cell>
        </row>
        <row r="737">
          <cell r="C737" t="str">
            <v>특 별 인 부</v>
          </cell>
          <cell r="D737">
            <v>0.34</v>
          </cell>
          <cell r="E737" t="str">
            <v>인</v>
          </cell>
          <cell r="G737">
            <v>57379</v>
          </cell>
          <cell r="H737">
            <v>19508</v>
          </cell>
        </row>
        <row r="738">
          <cell r="A738" t="str">
            <v>검       측</v>
          </cell>
          <cell r="C738" t="str">
            <v>플랜트기계설치공</v>
          </cell>
          <cell r="D738">
            <v>0.17</v>
          </cell>
          <cell r="E738" t="str">
            <v>인</v>
          </cell>
          <cell r="G738">
            <v>80805</v>
          </cell>
          <cell r="H738">
            <v>13736</v>
          </cell>
        </row>
        <row r="739">
          <cell r="C739" t="str">
            <v>특 별 인 부</v>
          </cell>
          <cell r="D739">
            <v>0.17</v>
          </cell>
          <cell r="E739" t="str">
            <v>인</v>
          </cell>
          <cell r="G739">
            <v>57379</v>
          </cell>
          <cell r="H739">
            <v>9754</v>
          </cell>
        </row>
        <row r="741">
          <cell r="A741" t="str">
            <v xml:space="preserve">수정 및 교정 </v>
          </cell>
          <cell r="C741" t="str">
            <v>프랜트기계설치공</v>
          </cell>
          <cell r="D741">
            <v>0.34</v>
          </cell>
          <cell r="E741" t="str">
            <v>인</v>
          </cell>
          <cell r="G741">
            <v>80805</v>
          </cell>
          <cell r="H741">
            <v>27473</v>
          </cell>
        </row>
        <row r="742">
          <cell r="C742" t="str">
            <v>특 별 인 부</v>
          </cell>
          <cell r="D742">
            <v>0.17</v>
          </cell>
          <cell r="E742" t="str">
            <v>인</v>
          </cell>
          <cell r="G742">
            <v>57379</v>
          </cell>
          <cell r="H742">
            <v>9754</v>
          </cell>
        </row>
        <row r="743">
          <cell r="A743" t="str">
            <v>설치준비,CHIPPING</v>
          </cell>
          <cell r="C743" t="str">
            <v>석      공</v>
          </cell>
          <cell r="D743">
            <v>1.1499999999999999</v>
          </cell>
          <cell r="E743" t="str">
            <v>인</v>
          </cell>
          <cell r="G743">
            <v>77005</v>
          </cell>
          <cell r="H743">
            <v>88555</v>
          </cell>
        </row>
        <row r="744">
          <cell r="C744" t="str">
            <v>특 별 인 부</v>
          </cell>
          <cell r="D744">
            <v>0.86</v>
          </cell>
          <cell r="E744" t="str">
            <v>인</v>
          </cell>
          <cell r="G744">
            <v>57379</v>
          </cell>
          <cell r="H744">
            <v>49345</v>
          </cell>
        </row>
        <row r="745">
          <cell r="A745" t="str">
            <v>가설 장비 설치</v>
          </cell>
          <cell r="C745" t="str">
            <v>프랜트기계설치공</v>
          </cell>
          <cell r="D745">
            <v>0.19</v>
          </cell>
          <cell r="E745" t="str">
            <v>인</v>
          </cell>
          <cell r="G745">
            <v>80805</v>
          </cell>
          <cell r="H745">
            <v>15352</v>
          </cell>
        </row>
        <row r="747">
          <cell r="C747" t="str">
            <v>프랜트 배관공</v>
          </cell>
          <cell r="D747">
            <v>0.19</v>
          </cell>
          <cell r="E747" t="str">
            <v>인</v>
          </cell>
          <cell r="G747">
            <v>97219</v>
          </cell>
          <cell r="H747">
            <v>18471</v>
          </cell>
        </row>
        <row r="748">
          <cell r="C748" t="str">
            <v>산소 절단공</v>
          </cell>
          <cell r="D748">
            <v>0.12</v>
          </cell>
          <cell r="E748" t="str">
            <v>인</v>
          </cell>
          <cell r="G748">
            <v>31794</v>
          </cell>
          <cell r="H748">
            <v>3815</v>
          </cell>
        </row>
        <row r="749">
          <cell r="C749" t="str">
            <v>프랜트 용접공</v>
          </cell>
          <cell r="D749">
            <v>0.12</v>
          </cell>
          <cell r="E749" t="str">
            <v>인</v>
          </cell>
          <cell r="G749">
            <v>95379</v>
          </cell>
          <cell r="H749">
            <v>11445</v>
          </cell>
        </row>
        <row r="750">
          <cell r="C750" t="str">
            <v>특 별 인 부</v>
          </cell>
          <cell r="D750">
            <v>0.51</v>
          </cell>
          <cell r="E750" t="str">
            <v>인</v>
          </cell>
          <cell r="G750">
            <v>57379</v>
          </cell>
          <cell r="H750">
            <v>29263</v>
          </cell>
        </row>
        <row r="751">
          <cell r="A751" t="str">
            <v>앙카바 정리 작업</v>
          </cell>
          <cell r="C751" t="str">
            <v>산소 절단공</v>
          </cell>
          <cell r="D751">
            <v>0.56000000000000005</v>
          </cell>
          <cell r="E751" t="str">
            <v>인</v>
          </cell>
          <cell r="G751">
            <v>31794</v>
          </cell>
          <cell r="H751">
            <v>17804</v>
          </cell>
        </row>
        <row r="753">
          <cell r="A753" t="str">
            <v xml:space="preserve"> </v>
          </cell>
          <cell r="C753" t="str">
            <v>프랜트기계설치공</v>
          </cell>
          <cell r="D753">
            <v>0.56000000000000005</v>
          </cell>
          <cell r="E753" t="str">
            <v>인</v>
          </cell>
          <cell r="G753">
            <v>80805</v>
          </cell>
          <cell r="H753">
            <v>45250</v>
          </cell>
        </row>
        <row r="754">
          <cell r="A754" t="str">
            <v xml:space="preserve"> </v>
          </cell>
          <cell r="C754" t="str">
            <v>특 별 인 부</v>
          </cell>
          <cell r="D754">
            <v>1.1200000000000001</v>
          </cell>
          <cell r="E754" t="str">
            <v>인</v>
          </cell>
          <cell r="G754">
            <v>57379</v>
          </cell>
          <cell r="H754">
            <v>64264</v>
          </cell>
        </row>
        <row r="755">
          <cell r="A755" t="str">
            <v>조       립</v>
          </cell>
          <cell r="C755" t="str">
            <v>특수 비계공</v>
          </cell>
          <cell r="D755">
            <v>0.79</v>
          </cell>
          <cell r="E755" t="str">
            <v>인</v>
          </cell>
          <cell r="G755">
            <v>85884</v>
          </cell>
          <cell r="H755">
            <v>67848</v>
          </cell>
        </row>
        <row r="756">
          <cell r="A756" t="str">
            <v xml:space="preserve"> </v>
          </cell>
          <cell r="C756" t="str">
            <v>프랜트기계설치공</v>
          </cell>
          <cell r="D756">
            <v>0.59</v>
          </cell>
          <cell r="E756" t="str">
            <v>인</v>
          </cell>
          <cell r="G756">
            <v>80805</v>
          </cell>
          <cell r="H756">
            <v>47674</v>
          </cell>
        </row>
        <row r="757">
          <cell r="C757" t="str">
            <v>산소 절단공</v>
          </cell>
          <cell r="D757">
            <v>0.28999999999999998</v>
          </cell>
          <cell r="E757" t="str">
            <v>인</v>
          </cell>
          <cell r="G757">
            <v>31794</v>
          </cell>
          <cell r="H757">
            <v>9220</v>
          </cell>
        </row>
        <row r="758">
          <cell r="C758" t="str">
            <v>플랜트기계설치공</v>
          </cell>
          <cell r="D758">
            <v>0.28999999999999998</v>
          </cell>
          <cell r="E758" t="str">
            <v>인</v>
          </cell>
          <cell r="G758">
            <v>80805</v>
          </cell>
          <cell r="H758">
            <v>23433</v>
          </cell>
        </row>
        <row r="759">
          <cell r="C759" t="str">
            <v>프랜트 용접공</v>
          </cell>
          <cell r="D759">
            <v>1.6</v>
          </cell>
          <cell r="E759" t="str">
            <v>인</v>
          </cell>
          <cell r="G759">
            <v>95379</v>
          </cell>
          <cell r="H759">
            <v>152606</v>
          </cell>
        </row>
        <row r="760">
          <cell r="A760" t="str">
            <v>종       별</v>
          </cell>
          <cell r="C760" t="str">
            <v>재 료 또 는</v>
          </cell>
          <cell r="D760" t="str">
            <v xml:space="preserve">원 수 </v>
          </cell>
          <cell r="E760" t="str">
            <v>단 위</v>
          </cell>
          <cell r="F760" t="str">
            <v>총   액</v>
          </cell>
          <cell r="G760" t="str">
            <v>노   무   비</v>
          </cell>
          <cell r="I760" t="str">
            <v>재   료   비</v>
          </cell>
          <cell r="K760" t="str">
            <v>경      비</v>
          </cell>
          <cell r="M760" t="str">
            <v>비   고</v>
          </cell>
        </row>
        <row r="761">
          <cell r="C761" t="str">
            <v xml:space="preserve">규       격 </v>
          </cell>
          <cell r="F761" t="str">
            <v>금   액</v>
          </cell>
          <cell r="G761" t="str">
            <v>단  가</v>
          </cell>
          <cell r="H761" t="str">
            <v>금   액</v>
          </cell>
          <cell r="I761" t="str">
            <v>단  가</v>
          </cell>
          <cell r="J761" t="str">
            <v>금   액</v>
          </cell>
          <cell r="K761" t="str">
            <v>단  가</v>
          </cell>
          <cell r="L761" t="str">
            <v>금   액</v>
          </cell>
        </row>
        <row r="762">
          <cell r="C762" t="str">
            <v>특 별 인 부</v>
          </cell>
          <cell r="D762">
            <v>2.77</v>
          </cell>
          <cell r="E762" t="str">
            <v>인</v>
          </cell>
          <cell r="G762">
            <v>57379</v>
          </cell>
          <cell r="H762">
            <v>158939</v>
          </cell>
        </row>
        <row r="763">
          <cell r="A763" t="str">
            <v>쎈   터   링</v>
          </cell>
          <cell r="C763" t="str">
            <v>특수 비계공</v>
          </cell>
          <cell r="D763">
            <v>0.79</v>
          </cell>
          <cell r="E763" t="str">
            <v>인</v>
          </cell>
          <cell r="G763">
            <v>85884</v>
          </cell>
          <cell r="H763">
            <v>67848</v>
          </cell>
        </row>
        <row r="764">
          <cell r="C764" t="str">
            <v>프랜트 용접공</v>
          </cell>
          <cell r="D764">
            <v>4.9000000000000004</v>
          </cell>
          <cell r="E764" t="str">
            <v>인</v>
          </cell>
          <cell r="G764">
            <v>95379</v>
          </cell>
          <cell r="H764">
            <v>467357</v>
          </cell>
        </row>
        <row r="765">
          <cell r="A765" t="str">
            <v xml:space="preserve"> </v>
          </cell>
          <cell r="C765" t="str">
            <v>측   량   사</v>
          </cell>
          <cell r="D765">
            <v>0.59</v>
          </cell>
          <cell r="E765" t="str">
            <v>인</v>
          </cell>
          <cell r="G765">
            <v>58506</v>
          </cell>
          <cell r="H765">
            <v>34518</v>
          </cell>
          <cell r="I765" t="str">
            <v xml:space="preserve"> </v>
          </cell>
        </row>
        <row r="766">
          <cell r="C766" t="str">
            <v>측 량 조 수</v>
          </cell>
          <cell r="D766">
            <v>0.59</v>
          </cell>
          <cell r="E766" t="str">
            <v>인</v>
          </cell>
          <cell r="G766">
            <v>38777</v>
          </cell>
          <cell r="H766">
            <v>22878</v>
          </cell>
        </row>
        <row r="767">
          <cell r="A767" t="str">
            <v xml:space="preserve"> </v>
          </cell>
          <cell r="C767" t="str">
            <v>산소 절단공</v>
          </cell>
          <cell r="D767">
            <v>0.59</v>
          </cell>
          <cell r="E767" t="str">
            <v>인</v>
          </cell>
          <cell r="G767">
            <v>31794</v>
          </cell>
          <cell r="H767">
            <v>18758</v>
          </cell>
        </row>
        <row r="768">
          <cell r="C768" t="str">
            <v>프랜트기계설치공</v>
          </cell>
          <cell r="D768">
            <v>1.48</v>
          </cell>
          <cell r="E768" t="str">
            <v>인</v>
          </cell>
          <cell r="G768">
            <v>80805</v>
          </cell>
          <cell r="H768">
            <v>119591</v>
          </cell>
        </row>
        <row r="769">
          <cell r="A769" t="str">
            <v xml:space="preserve"> </v>
          </cell>
          <cell r="C769" t="str">
            <v>특 별 인 부</v>
          </cell>
          <cell r="D769">
            <v>7.76</v>
          </cell>
          <cell r="E769" t="str">
            <v>인</v>
          </cell>
          <cell r="G769">
            <v>57379</v>
          </cell>
          <cell r="H769">
            <v>445261</v>
          </cell>
        </row>
        <row r="771">
          <cell r="A771" t="str">
            <v>거프집용 앙카설치</v>
          </cell>
          <cell r="C771" t="str">
            <v>산소 절단공</v>
          </cell>
          <cell r="D771">
            <v>0.21</v>
          </cell>
          <cell r="E771" t="str">
            <v>인</v>
          </cell>
          <cell r="G771">
            <v>31794</v>
          </cell>
          <cell r="H771">
            <v>6676</v>
          </cell>
        </row>
        <row r="772">
          <cell r="A772" t="str">
            <v xml:space="preserve"> </v>
          </cell>
          <cell r="C772" t="str">
            <v>프랜트 용접공</v>
          </cell>
          <cell r="D772">
            <v>1.6</v>
          </cell>
          <cell r="E772" t="str">
            <v>인</v>
          </cell>
          <cell r="G772">
            <v>95379</v>
          </cell>
          <cell r="H772">
            <v>152606</v>
          </cell>
        </row>
        <row r="773">
          <cell r="C773" t="str">
            <v>특 별 인 부</v>
          </cell>
          <cell r="D773">
            <v>1.81</v>
          </cell>
          <cell r="E773" t="str">
            <v>인</v>
          </cell>
          <cell r="G773">
            <v>57379</v>
          </cell>
          <cell r="H773">
            <v>103855</v>
          </cell>
        </row>
        <row r="774">
          <cell r="A774" t="str">
            <v>검 사 기 록</v>
          </cell>
          <cell r="C774" t="str">
            <v>측   량   사</v>
          </cell>
          <cell r="D774">
            <v>0.28999999999999998</v>
          </cell>
          <cell r="E774" t="str">
            <v>인</v>
          </cell>
          <cell r="G774">
            <v>58506</v>
          </cell>
          <cell r="H774">
            <v>16966</v>
          </cell>
        </row>
        <row r="775">
          <cell r="C775" t="str">
            <v>측 량 조 수</v>
          </cell>
          <cell r="D775">
            <v>0.28999999999999998</v>
          </cell>
          <cell r="E775" t="str">
            <v>인</v>
          </cell>
          <cell r="G775">
            <v>38777</v>
          </cell>
          <cell r="H775">
            <v>11245</v>
          </cell>
        </row>
        <row r="777">
          <cell r="C777" t="str">
            <v>프랜트기계설치공</v>
          </cell>
          <cell r="D777">
            <v>0.73</v>
          </cell>
          <cell r="E777" t="str">
            <v>인</v>
          </cell>
          <cell r="G777">
            <v>80805</v>
          </cell>
          <cell r="H777">
            <v>58987</v>
          </cell>
        </row>
        <row r="778">
          <cell r="C778" t="str">
            <v>특 별 인 부</v>
          </cell>
          <cell r="D778">
            <v>2.29</v>
          </cell>
          <cell r="E778" t="str">
            <v>인</v>
          </cell>
          <cell r="G778">
            <v>57379</v>
          </cell>
          <cell r="H778">
            <v>131397</v>
          </cell>
        </row>
        <row r="779">
          <cell r="A779" t="str">
            <v>뒷   정   리</v>
          </cell>
          <cell r="C779" t="str">
            <v>특수 비계공</v>
          </cell>
          <cell r="D779">
            <v>0.22</v>
          </cell>
          <cell r="E779" t="str">
            <v>인</v>
          </cell>
          <cell r="G779">
            <v>85884</v>
          </cell>
          <cell r="H779">
            <v>18894</v>
          </cell>
        </row>
        <row r="780">
          <cell r="C780" t="str">
            <v>프랜트기계설치공</v>
          </cell>
          <cell r="D780">
            <v>0.34</v>
          </cell>
          <cell r="E780" t="str">
            <v>인</v>
          </cell>
          <cell r="G780">
            <v>80805</v>
          </cell>
          <cell r="H780">
            <v>27473</v>
          </cell>
        </row>
        <row r="781">
          <cell r="C781" t="str">
            <v>산소 절단공</v>
          </cell>
          <cell r="D781">
            <v>0.22</v>
          </cell>
          <cell r="E781" t="str">
            <v>인</v>
          </cell>
          <cell r="G781">
            <v>31794</v>
          </cell>
          <cell r="H781">
            <v>6994</v>
          </cell>
        </row>
        <row r="783">
          <cell r="C783" t="str">
            <v>특 별 인 부</v>
          </cell>
          <cell r="D783">
            <v>0.56000000000000005</v>
          </cell>
          <cell r="E783" t="str">
            <v>인</v>
          </cell>
          <cell r="G783">
            <v>57379</v>
          </cell>
          <cell r="H783">
            <v>32132</v>
          </cell>
        </row>
        <row r="784">
          <cell r="A784" t="str">
            <v>전기설비,설치유지비</v>
          </cell>
          <cell r="C784" t="str">
            <v>플랜트전공</v>
          </cell>
          <cell r="D784">
            <v>4.25</v>
          </cell>
          <cell r="E784" t="str">
            <v>인</v>
          </cell>
          <cell r="G784">
            <v>64285</v>
          </cell>
          <cell r="H784">
            <v>273211</v>
          </cell>
        </row>
        <row r="785">
          <cell r="A785" t="str">
            <v>철     거</v>
          </cell>
          <cell r="C785" t="str">
            <v>특 별 인 부</v>
          </cell>
          <cell r="D785">
            <v>4.25</v>
          </cell>
          <cell r="E785" t="str">
            <v>인</v>
          </cell>
          <cell r="G785">
            <v>57379</v>
          </cell>
          <cell r="H785">
            <v>243860</v>
          </cell>
        </row>
        <row r="787">
          <cell r="B787" t="str">
            <v>계</v>
          </cell>
          <cell r="F787">
            <v>3689231</v>
          </cell>
          <cell r="H787">
            <v>3689231</v>
          </cell>
        </row>
        <row r="789">
          <cell r="A789" t="str">
            <v>ROLLER GATE GUIDE FRAME 설치 사용장비 경비</v>
          </cell>
        </row>
        <row r="790">
          <cell r="E790" t="str">
            <v xml:space="preserve"> </v>
          </cell>
        </row>
        <row r="791">
          <cell r="A791" t="str">
            <v>종       별</v>
          </cell>
          <cell r="C791" t="str">
            <v>재 료 또 는</v>
          </cell>
          <cell r="D791" t="str">
            <v xml:space="preserve">원 수 </v>
          </cell>
          <cell r="E791" t="str">
            <v>단 위</v>
          </cell>
          <cell r="F791" t="str">
            <v>총   액</v>
          </cell>
          <cell r="G791" t="str">
            <v>노   무   비</v>
          </cell>
          <cell r="I791" t="str">
            <v>재   료   비</v>
          </cell>
          <cell r="K791" t="str">
            <v>경      비</v>
          </cell>
          <cell r="M791" t="str">
            <v>비   고</v>
          </cell>
        </row>
        <row r="792">
          <cell r="C792" t="str">
            <v xml:space="preserve">규       격 </v>
          </cell>
          <cell r="F792" t="str">
            <v>금   액</v>
          </cell>
          <cell r="G792" t="str">
            <v>단  가</v>
          </cell>
          <cell r="H792" t="str">
            <v>금   액</v>
          </cell>
          <cell r="I792" t="str">
            <v>단  가</v>
          </cell>
          <cell r="J792" t="str">
            <v>금   액</v>
          </cell>
          <cell r="K792" t="str">
            <v>단  가</v>
          </cell>
          <cell r="L792" t="str">
            <v>금   액</v>
          </cell>
        </row>
        <row r="793">
          <cell r="A793" t="str">
            <v>A.C WELDER</v>
          </cell>
          <cell r="C793" t="str">
            <v>10KVA</v>
          </cell>
          <cell r="D793">
            <v>8</v>
          </cell>
          <cell r="E793" t="str">
            <v>Hr</v>
          </cell>
          <cell r="K793">
            <v>155</v>
          </cell>
          <cell r="L793">
            <v>1240</v>
          </cell>
        </row>
        <row r="794">
          <cell r="A794" t="str">
            <v>D.C WELDER</v>
          </cell>
          <cell r="C794" t="str">
            <v>5.5KW</v>
          </cell>
          <cell r="D794">
            <v>32</v>
          </cell>
          <cell r="E794" t="str">
            <v>Hr</v>
          </cell>
          <cell r="K794">
            <v>359</v>
          </cell>
          <cell r="L794">
            <v>11488</v>
          </cell>
        </row>
        <row r="795">
          <cell r="A795" t="str">
            <v>GAS CUTTING M/C</v>
          </cell>
          <cell r="C795" t="str">
            <v>중 형</v>
          </cell>
          <cell r="D795">
            <v>32</v>
          </cell>
          <cell r="E795" t="str">
            <v>Hr</v>
          </cell>
          <cell r="G795">
            <v>3974</v>
          </cell>
          <cell r="H795">
            <v>127168</v>
          </cell>
          <cell r="K795">
            <v>115</v>
          </cell>
          <cell r="L795">
            <v>3680</v>
          </cell>
        </row>
        <row r="796">
          <cell r="A796" t="str">
            <v>GAS WELDER</v>
          </cell>
          <cell r="C796" t="str">
            <v>중 형</v>
          </cell>
          <cell r="D796">
            <v>24</v>
          </cell>
          <cell r="E796" t="str">
            <v>Hr</v>
          </cell>
          <cell r="K796">
            <v>115</v>
          </cell>
          <cell r="L796">
            <v>2760</v>
          </cell>
        </row>
        <row r="797">
          <cell r="A797" t="str">
            <v>PORTABLE DRILL</v>
          </cell>
          <cell r="C797" t="str">
            <v>1.5 HP</v>
          </cell>
          <cell r="D797">
            <v>16</v>
          </cell>
          <cell r="E797" t="str">
            <v>Hr</v>
          </cell>
          <cell r="K797">
            <v>14</v>
          </cell>
          <cell r="L797">
            <v>224</v>
          </cell>
        </row>
        <row r="799">
          <cell r="A799" t="str">
            <v>PORTABLE GRINDER</v>
          </cell>
          <cell r="C799" t="str">
            <v>0.5 HP</v>
          </cell>
          <cell r="D799">
            <v>32</v>
          </cell>
          <cell r="E799" t="str">
            <v>Hr</v>
          </cell>
          <cell r="K799">
            <v>22</v>
          </cell>
          <cell r="L799">
            <v>704</v>
          </cell>
        </row>
        <row r="800">
          <cell r="A800" t="str">
            <v>COMPRESSOR</v>
          </cell>
          <cell r="C800" t="str">
            <v>8.9㎥/min</v>
          </cell>
          <cell r="D800">
            <v>8</v>
          </cell>
          <cell r="E800" t="str">
            <v>Hr</v>
          </cell>
          <cell r="G800">
            <v>9681</v>
          </cell>
          <cell r="H800">
            <v>77448</v>
          </cell>
          <cell r="I800">
            <v>8779</v>
          </cell>
          <cell r="J800">
            <v>70232</v>
          </cell>
          <cell r="K800">
            <v>6250</v>
          </cell>
          <cell r="L800">
            <v>50000</v>
          </cell>
        </row>
        <row r="801">
          <cell r="A801" t="str">
            <v>WINCH</v>
          </cell>
          <cell r="C801" t="str">
            <v>10 HP</v>
          </cell>
          <cell r="D801">
            <v>16</v>
          </cell>
          <cell r="E801" t="str">
            <v>Hr</v>
          </cell>
          <cell r="G801">
            <v>9235</v>
          </cell>
          <cell r="H801">
            <v>147760</v>
          </cell>
          <cell r="K801">
            <v>850</v>
          </cell>
          <cell r="L801">
            <v>13600</v>
          </cell>
        </row>
        <row r="802">
          <cell r="A802" t="str">
            <v>리프트 트럭</v>
          </cell>
          <cell r="C802" t="str">
            <v>7 TON</v>
          </cell>
          <cell r="D802">
            <v>8</v>
          </cell>
          <cell r="E802" t="str">
            <v>Hr</v>
          </cell>
          <cell r="G802">
            <v>9681</v>
          </cell>
          <cell r="H802">
            <v>77448</v>
          </cell>
          <cell r="I802">
            <v>5898</v>
          </cell>
          <cell r="J802">
            <v>47184</v>
          </cell>
          <cell r="K802">
            <v>5845</v>
          </cell>
          <cell r="L802">
            <v>46760</v>
          </cell>
        </row>
        <row r="803">
          <cell r="A803" t="str">
            <v>TRUCK CRANE</v>
          </cell>
          <cell r="C803" t="str">
            <v>40 TON</v>
          </cell>
          <cell r="D803">
            <v>8</v>
          </cell>
          <cell r="E803" t="str">
            <v>Hr</v>
          </cell>
          <cell r="G803">
            <v>18615</v>
          </cell>
          <cell r="H803">
            <v>148920</v>
          </cell>
          <cell r="I803">
            <v>8730</v>
          </cell>
          <cell r="J803">
            <v>69840</v>
          </cell>
          <cell r="K803">
            <v>55621</v>
          </cell>
          <cell r="L803">
            <v>444968</v>
          </cell>
        </row>
        <row r="807">
          <cell r="B807" t="str">
            <v xml:space="preserve"> 계</v>
          </cell>
          <cell r="F807">
            <v>1341424</v>
          </cell>
          <cell r="H807">
            <v>578744</v>
          </cell>
          <cell r="J807">
            <v>187256</v>
          </cell>
          <cell r="L807">
            <v>575424</v>
          </cell>
        </row>
        <row r="815">
          <cell r="J815" t="str">
            <v xml:space="preserve"> </v>
          </cell>
        </row>
        <row r="816">
          <cell r="J816" t="str">
            <v xml:space="preserve"> </v>
          </cell>
        </row>
        <row r="817">
          <cell r="J817" t="str">
            <v xml:space="preserve"> </v>
          </cell>
        </row>
        <row r="818">
          <cell r="A818" t="str">
            <v>ROLLER GATE GUIDE FRAME 설치 소모 자재비</v>
          </cell>
        </row>
        <row r="819">
          <cell r="E819" t="str">
            <v xml:space="preserve"> </v>
          </cell>
        </row>
        <row r="820">
          <cell r="A820" t="str">
            <v>종       별</v>
          </cell>
          <cell r="C820" t="str">
            <v>재 료 또 는</v>
          </cell>
          <cell r="D820" t="str">
            <v xml:space="preserve">원 수 </v>
          </cell>
          <cell r="E820" t="str">
            <v>단 위</v>
          </cell>
          <cell r="F820" t="str">
            <v>총   액</v>
          </cell>
          <cell r="G820" t="str">
            <v>노   무   비</v>
          </cell>
          <cell r="I820" t="str">
            <v>재   료   비</v>
          </cell>
          <cell r="K820" t="str">
            <v>경      비</v>
          </cell>
          <cell r="M820" t="str">
            <v>비   고</v>
          </cell>
        </row>
        <row r="821">
          <cell r="C821" t="str">
            <v xml:space="preserve">규       격 </v>
          </cell>
          <cell r="F821" t="str">
            <v>금   액</v>
          </cell>
          <cell r="G821" t="str">
            <v>단  가</v>
          </cell>
          <cell r="H821" t="str">
            <v>금   액</v>
          </cell>
          <cell r="I821" t="str">
            <v>단  가</v>
          </cell>
          <cell r="J821" t="str">
            <v>금   액</v>
          </cell>
          <cell r="K821" t="str">
            <v>단  가</v>
          </cell>
          <cell r="L821" t="str">
            <v>금   액</v>
          </cell>
        </row>
        <row r="822">
          <cell r="A822" t="str">
            <v>산       소</v>
          </cell>
          <cell r="C822" t="str">
            <v>6,000L용</v>
          </cell>
          <cell r="D822">
            <v>0.69</v>
          </cell>
          <cell r="E822" t="str">
            <v>병</v>
          </cell>
          <cell r="G822" t="str">
            <v xml:space="preserve"> </v>
          </cell>
          <cell r="I822">
            <v>12000</v>
          </cell>
          <cell r="J822">
            <v>8280</v>
          </cell>
        </row>
        <row r="823">
          <cell r="A823" t="str">
            <v>아 세 치 렌</v>
          </cell>
          <cell r="C823" t="str">
            <v>2,100L용</v>
          </cell>
          <cell r="D823">
            <v>0.2</v>
          </cell>
          <cell r="E823" t="str">
            <v>병</v>
          </cell>
          <cell r="I823">
            <v>25849</v>
          </cell>
          <cell r="J823">
            <v>5169</v>
          </cell>
        </row>
        <row r="824">
          <cell r="A824" t="str">
            <v>용   접  봉</v>
          </cell>
          <cell r="C824" t="str">
            <v>SS41+STS304,4M/M</v>
          </cell>
          <cell r="D824">
            <v>31.05</v>
          </cell>
          <cell r="E824" t="str">
            <v>KG</v>
          </cell>
          <cell r="I824">
            <v>3360</v>
          </cell>
          <cell r="J824">
            <v>104328</v>
          </cell>
        </row>
        <row r="825">
          <cell r="A825" t="str">
            <v xml:space="preserve"> </v>
          </cell>
          <cell r="D825" t="str">
            <v xml:space="preserve"> </v>
          </cell>
          <cell r="E825" t="str">
            <v xml:space="preserve"> </v>
          </cell>
        </row>
        <row r="828">
          <cell r="A828" t="str">
            <v xml:space="preserve"> </v>
          </cell>
        </row>
        <row r="829">
          <cell r="L829" t="str">
            <v xml:space="preserve"> </v>
          </cell>
        </row>
        <row r="830">
          <cell r="B830" t="str">
            <v>계</v>
          </cell>
          <cell r="F830">
            <v>117777</v>
          </cell>
          <cell r="J830">
            <v>117777</v>
          </cell>
          <cell r="L830" t="str">
            <v xml:space="preserve"> </v>
          </cell>
        </row>
        <row r="831">
          <cell r="F831" t="str">
            <v xml:space="preserve"> </v>
          </cell>
          <cell r="L831" t="str">
            <v xml:space="preserve"> </v>
          </cell>
        </row>
        <row r="832">
          <cell r="F832" t="str">
            <v xml:space="preserve"> </v>
          </cell>
          <cell r="J832" t="str">
            <v xml:space="preserve"> </v>
          </cell>
          <cell r="L832" t="str">
            <v xml:space="preserve"> </v>
          </cell>
        </row>
        <row r="833">
          <cell r="F833" t="str">
            <v xml:space="preserve"> </v>
          </cell>
          <cell r="J833" t="str">
            <v xml:space="preserve"> </v>
          </cell>
          <cell r="L833" t="str">
            <v xml:space="preserve"> </v>
          </cell>
        </row>
        <row r="834">
          <cell r="F834" t="str">
            <v xml:space="preserve"> </v>
          </cell>
          <cell r="J834" t="str">
            <v xml:space="preserve"> </v>
          </cell>
          <cell r="L834" t="str">
            <v xml:space="preserve"> </v>
          </cell>
        </row>
        <row r="835">
          <cell r="F835" t="str">
            <v xml:space="preserve"> </v>
          </cell>
          <cell r="J835" t="str">
            <v xml:space="preserve"> </v>
          </cell>
          <cell r="L835" t="str">
            <v xml:space="preserve"> </v>
          </cell>
        </row>
        <row r="836">
          <cell r="F836" t="str">
            <v xml:space="preserve"> </v>
          </cell>
          <cell r="J836" t="str">
            <v xml:space="preserve"> </v>
          </cell>
          <cell r="L836" t="str">
            <v xml:space="preserve"> </v>
          </cell>
        </row>
        <row r="837">
          <cell r="F837" t="str">
            <v xml:space="preserve"> </v>
          </cell>
          <cell r="J837" t="str">
            <v xml:space="preserve"> </v>
          </cell>
          <cell r="L837" t="str">
            <v xml:space="preserve"> </v>
          </cell>
        </row>
        <row r="838">
          <cell r="F838" t="str">
            <v xml:space="preserve"> </v>
          </cell>
          <cell r="J838" t="str">
            <v xml:space="preserve"> </v>
          </cell>
          <cell r="L838" t="str">
            <v xml:space="preserve"> </v>
          </cell>
        </row>
        <row r="839">
          <cell r="F839" t="str">
            <v xml:space="preserve"> </v>
          </cell>
          <cell r="J839" t="str">
            <v xml:space="preserve"> </v>
          </cell>
          <cell r="L839" t="str">
            <v xml:space="preserve"> </v>
          </cell>
        </row>
        <row r="840">
          <cell r="F840" t="str">
            <v xml:space="preserve"> </v>
          </cell>
          <cell r="J840" t="str">
            <v xml:space="preserve"> </v>
          </cell>
          <cell r="L840" t="str">
            <v xml:space="preserve"> </v>
          </cell>
        </row>
        <row r="841">
          <cell r="F841" t="str">
            <v xml:space="preserve"> </v>
          </cell>
          <cell r="J841" t="str">
            <v xml:space="preserve"> </v>
          </cell>
          <cell r="L841" t="str">
            <v xml:space="preserve"> </v>
          </cell>
        </row>
        <row r="842">
          <cell r="F842" t="str">
            <v xml:space="preserve"> </v>
          </cell>
          <cell r="J842" t="str">
            <v xml:space="preserve"> </v>
          </cell>
          <cell r="L842" t="str">
            <v xml:space="preserve"> </v>
          </cell>
        </row>
        <row r="843">
          <cell r="F843" t="str">
            <v xml:space="preserve"> </v>
          </cell>
          <cell r="J843" t="str">
            <v xml:space="preserve"> </v>
          </cell>
          <cell r="L843" t="str">
            <v xml:space="preserve"> </v>
          </cell>
        </row>
        <row r="844">
          <cell r="F844" t="str">
            <v xml:space="preserve"> </v>
          </cell>
          <cell r="J844" t="str">
            <v xml:space="preserve"> </v>
          </cell>
          <cell r="L844" t="str">
            <v xml:space="preserve"> </v>
          </cell>
        </row>
        <row r="845">
          <cell r="F845" t="str">
            <v xml:space="preserve"> </v>
          </cell>
          <cell r="J845" t="str">
            <v xml:space="preserve"> </v>
          </cell>
          <cell r="L845" t="str">
            <v xml:space="preserve"> </v>
          </cell>
        </row>
        <row r="846">
          <cell r="F846" t="str">
            <v xml:space="preserve"> </v>
          </cell>
          <cell r="J846" t="str">
            <v xml:space="preserve"> </v>
          </cell>
          <cell r="L846" t="str">
            <v xml:space="preserve"> </v>
          </cell>
        </row>
        <row r="847">
          <cell r="A847" t="str">
            <v>HOIST 설치 인건비</v>
          </cell>
        </row>
        <row r="848">
          <cell r="E848" t="str">
            <v xml:space="preserve"> </v>
          </cell>
        </row>
        <row r="849">
          <cell r="A849" t="str">
            <v>종       별</v>
          </cell>
          <cell r="C849" t="str">
            <v>재 료 또 는</v>
          </cell>
          <cell r="D849" t="str">
            <v xml:space="preserve">원 수 </v>
          </cell>
          <cell r="E849" t="str">
            <v>단 위</v>
          </cell>
          <cell r="F849" t="str">
            <v>총   액</v>
          </cell>
          <cell r="G849" t="str">
            <v>노   무   비</v>
          </cell>
          <cell r="I849" t="str">
            <v>재   료   비</v>
          </cell>
          <cell r="K849" t="str">
            <v>경      비</v>
          </cell>
          <cell r="M849" t="str">
            <v>비   고</v>
          </cell>
        </row>
        <row r="850">
          <cell r="C850" t="str">
            <v xml:space="preserve">규       격 </v>
          </cell>
          <cell r="F850" t="str">
            <v>금   액</v>
          </cell>
          <cell r="G850" t="str">
            <v>단  가</v>
          </cell>
          <cell r="H850" t="str">
            <v>금   액</v>
          </cell>
          <cell r="I850" t="str">
            <v>단  가</v>
          </cell>
          <cell r="J850" t="str">
            <v>금   액</v>
          </cell>
          <cell r="K850" t="str">
            <v>단  가</v>
          </cell>
          <cell r="L850" t="str">
            <v>금   액</v>
          </cell>
        </row>
        <row r="851">
          <cell r="A851" t="str">
            <v>기 술 관 리</v>
          </cell>
          <cell r="C851" t="str">
            <v>기계기사2급</v>
          </cell>
          <cell r="D851">
            <v>0.5</v>
          </cell>
          <cell r="E851" t="str">
            <v>인</v>
          </cell>
          <cell r="G851">
            <v>69405</v>
          </cell>
          <cell r="H851">
            <v>34702</v>
          </cell>
        </row>
        <row r="852">
          <cell r="A852" t="str">
            <v>소운반 조작</v>
          </cell>
          <cell r="C852" t="str">
            <v>비   계   공</v>
          </cell>
          <cell r="D852">
            <v>1.105</v>
          </cell>
          <cell r="E852" t="str">
            <v>인</v>
          </cell>
          <cell r="G852">
            <v>79467</v>
          </cell>
          <cell r="H852">
            <v>87811</v>
          </cell>
        </row>
        <row r="853">
          <cell r="A853" t="str">
            <v>조립 및 조정</v>
          </cell>
          <cell r="C853" t="str">
            <v>비   계   공</v>
          </cell>
          <cell r="D853">
            <v>1.9279999999999999</v>
          </cell>
          <cell r="E853" t="str">
            <v>인</v>
          </cell>
          <cell r="G853">
            <v>79467</v>
          </cell>
          <cell r="H853">
            <v>153212</v>
          </cell>
        </row>
        <row r="854">
          <cell r="A854" t="str">
            <v xml:space="preserve"> </v>
          </cell>
          <cell r="C854" t="str">
            <v>측   량   사</v>
          </cell>
          <cell r="D854">
            <v>0.26800000000000002</v>
          </cell>
          <cell r="E854" t="str">
            <v>인</v>
          </cell>
          <cell r="G854">
            <v>58506</v>
          </cell>
          <cell r="H854">
            <v>15679</v>
          </cell>
        </row>
        <row r="855">
          <cell r="A855" t="str">
            <v xml:space="preserve"> </v>
          </cell>
          <cell r="C855" t="str">
            <v>프랜트기계설치공</v>
          </cell>
          <cell r="D855">
            <v>2.1150000000000002</v>
          </cell>
          <cell r="E855" t="str">
            <v>인</v>
          </cell>
          <cell r="G855">
            <v>80805</v>
          </cell>
          <cell r="H855">
            <v>170902</v>
          </cell>
        </row>
        <row r="857">
          <cell r="A857" t="str">
            <v>용       접</v>
          </cell>
          <cell r="C857" t="str">
            <v>프랜트 용접공</v>
          </cell>
          <cell r="D857">
            <v>1.03</v>
          </cell>
          <cell r="E857" t="str">
            <v>인</v>
          </cell>
          <cell r="G857">
            <v>95379</v>
          </cell>
          <cell r="H857">
            <v>98240</v>
          </cell>
        </row>
        <row r="858">
          <cell r="A858" t="str">
            <v>시운전 및 조작</v>
          </cell>
          <cell r="C858" t="str">
            <v>프랜트기계설치공</v>
          </cell>
          <cell r="D858">
            <v>0.36</v>
          </cell>
          <cell r="E858" t="str">
            <v>인</v>
          </cell>
          <cell r="G858">
            <v>80805</v>
          </cell>
          <cell r="H858">
            <v>29089</v>
          </cell>
        </row>
        <row r="859">
          <cell r="A859" t="str">
            <v xml:space="preserve"> </v>
          </cell>
          <cell r="B859" t="str">
            <v xml:space="preserve"> </v>
          </cell>
          <cell r="C859" t="str">
            <v>프랜트 전공</v>
          </cell>
          <cell r="D859">
            <v>0.41299999999999998</v>
          </cell>
          <cell r="E859" t="str">
            <v>인</v>
          </cell>
          <cell r="G859">
            <v>64285</v>
          </cell>
          <cell r="H859">
            <v>26549</v>
          </cell>
        </row>
        <row r="860">
          <cell r="C860" t="str">
            <v>비   계   공</v>
          </cell>
          <cell r="D860">
            <v>0.9</v>
          </cell>
          <cell r="E860" t="str">
            <v>인</v>
          </cell>
          <cell r="G860">
            <v>79467</v>
          </cell>
          <cell r="H860">
            <v>71520</v>
          </cell>
        </row>
        <row r="861">
          <cell r="A861" t="str">
            <v>검사 및 교정</v>
          </cell>
          <cell r="C861" t="str">
            <v>기술관리,시운</v>
          </cell>
          <cell r="D861" t="str">
            <v>1</v>
          </cell>
          <cell r="E861" t="str">
            <v>식</v>
          </cell>
        </row>
        <row r="862">
          <cell r="C862" t="str">
            <v>전및조작제외</v>
          </cell>
          <cell r="E862" t="str">
            <v xml:space="preserve"> </v>
          </cell>
        </row>
        <row r="863">
          <cell r="A863" t="str">
            <v xml:space="preserve"> </v>
          </cell>
          <cell r="C863" t="str">
            <v>10 %</v>
          </cell>
        </row>
        <row r="865">
          <cell r="B865" t="str">
            <v>계</v>
          </cell>
          <cell r="F865">
            <v>687704</v>
          </cell>
          <cell r="H865">
            <v>687704</v>
          </cell>
        </row>
        <row r="876">
          <cell r="A876" t="str">
            <v>ROLLER GATE HOIST 설치 사용장비 경비</v>
          </cell>
        </row>
        <row r="877">
          <cell r="E877" t="str">
            <v xml:space="preserve"> </v>
          </cell>
        </row>
        <row r="878">
          <cell r="A878" t="str">
            <v>종       별</v>
          </cell>
          <cell r="C878" t="str">
            <v>재 료 또 는</v>
          </cell>
          <cell r="D878" t="str">
            <v xml:space="preserve">원 수 </v>
          </cell>
          <cell r="E878" t="str">
            <v>단 위</v>
          </cell>
          <cell r="F878" t="str">
            <v>총   액</v>
          </cell>
          <cell r="G878" t="str">
            <v>노   무   비</v>
          </cell>
          <cell r="I878" t="str">
            <v>재   료   비</v>
          </cell>
          <cell r="K878" t="str">
            <v>경      비</v>
          </cell>
          <cell r="M878" t="str">
            <v>비   고</v>
          </cell>
        </row>
        <row r="879">
          <cell r="C879" t="str">
            <v xml:space="preserve">규       격 </v>
          </cell>
          <cell r="F879" t="str">
            <v>금   액</v>
          </cell>
          <cell r="G879" t="str">
            <v>단  가</v>
          </cell>
          <cell r="H879" t="str">
            <v>금   액</v>
          </cell>
          <cell r="I879" t="str">
            <v>단  가</v>
          </cell>
          <cell r="J879" t="str">
            <v>금   액</v>
          </cell>
          <cell r="K879" t="str">
            <v>단  가</v>
          </cell>
          <cell r="L879" t="str">
            <v>금   액</v>
          </cell>
        </row>
        <row r="880">
          <cell r="A880" t="str">
            <v>A.C WELDER</v>
          </cell>
          <cell r="C880" t="str">
            <v>10KVA</v>
          </cell>
          <cell r="D880">
            <v>8</v>
          </cell>
          <cell r="E880" t="str">
            <v>Hr</v>
          </cell>
          <cell r="K880">
            <v>155</v>
          </cell>
          <cell r="L880">
            <v>1240</v>
          </cell>
        </row>
        <row r="881">
          <cell r="A881" t="str">
            <v>D.C WELDER</v>
          </cell>
          <cell r="C881" t="str">
            <v>300A,5.5KW</v>
          </cell>
          <cell r="D881">
            <v>8</v>
          </cell>
          <cell r="E881" t="str">
            <v>Hr</v>
          </cell>
          <cell r="K881">
            <v>359</v>
          </cell>
          <cell r="L881">
            <v>2872</v>
          </cell>
        </row>
        <row r="882">
          <cell r="A882" t="str">
            <v>GAS CUTTING M/C</v>
          </cell>
          <cell r="C882" t="str">
            <v>중 형</v>
          </cell>
          <cell r="D882">
            <v>16</v>
          </cell>
          <cell r="E882" t="str">
            <v>Hr</v>
          </cell>
          <cell r="G882">
            <v>3974</v>
          </cell>
          <cell r="H882">
            <v>63584</v>
          </cell>
          <cell r="K882">
            <v>115</v>
          </cell>
          <cell r="L882">
            <v>1840</v>
          </cell>
        </row>
        <row r="883">
          <cell r="A883" t="str">
            <v>PORTABLE DRILL</v>
          </cell>
          <cell r="C883" t="str">
            <v>1.5 HP</v>
          </cell>
          <cell r="D883">
            <v>8</v>
          </cell>
          <cell r="E883" t="str">
            <v>Hr</v>
          </cell>
          <cell r="K883">
            <v>14</v>
          </cell>
          <cell r="L883">
            <v>112</v>
          </cell>
        </row>
        <row r="884">
          <cell r="A884" t="str">
            <v>PORTABLE GRINDER</v>
          </cell>
          <cell r="C884" t="str">
            <v>0.5 HP</v>
          </cell>
          <cell r="D884">
            <v>16</v>
          </cell>
          <cell r="E884" t="str">
            <v>Hr</v>
          </cell>
          <cell r="K884">
            <v>22</v>
          </cell>
          <cell r="L884">
            <v>352</v>
          </cell>
        </row>
        <row r="886">
          <cell r="A886" t="str">
            <v>TRUCK CRANE</v>
          </cell>
          <cell r="C886" t="str">
            <v>30 TON</v>
          </cell>
          <cell r="D886">
            <v>8</v>
          </cell>
          <cell r="E886" t="str">
            <v>Hr</v>
          </cell>
          <cell r="G886">
            <v>18615</v>
          </cell>
          <cell r="H886">
            <v>148920</v>
          </cell>
          <cell r="I886">
            <v>7046</v>
          </cell>
          <cell r="J886">
            <v>56368</v>
          </cell>
          <cell r="K886">
            <v>44939</v>
          </cell>
          <cell r="L886">
            <v>359512</v>
          </cell>
        </row>
        <row r="887">
          <cell r="A887" t="str">
            <v>WINCH</v>
          </cell>
          <cell r="C887" t="str">
            <v>10 HP</v>
          </cell>
          <cell r="D887">
            <v>16</v>
          </cell>
          <cell r="E887" t="str">
            <v>Hr</v>
          </cell>
          <cell r="G887">
            <v>9235</v>
          </cell>
          <cell r="H887">
            <v>147760</v>
          </cell>
          <cell r="K887">
            <v>850</v>
          </cell>
          <cell r="L887">
            <v>13600</v>
          </cell>
        </row>
        <row r="888">
          <cell r="A888" t="str">
            <v>TRAILER</v>
          </cell>
          <cell r="C888" t="str">
            <v>30 TON</v>
          </cell>
          <cell r="D888">
            <v>8</v>
          </cell>
          <cell r="E888" t="str">
            <v>Hr</v>
          </cell>
          <cell r="G888">
            <v>8683</v>
          </cell>
          <cell r="H888">
            <v>69464</v>
          </cell>
          <cell r="I888">
            <v>15763</v>
          </cell>
          <cell r="J888">
            <v>126104</v>
          </cell>
          <cell r="K888">
            <v>27414</v>
          </cell>
          <cell r="L888">
            <v>219312</v>
          </cell>
        </row>
        <row r="889">
          <cell r="A889" t="str">
            <v>TRUCK</v>
          </cell>
          <cell r="C889" t="str">
            <v>6TON</v>
          </cell>
          <cell r="D889">
            <v>8</v>
          </cell>
          <cell r="E889" t="str">
            <v>Hr</v>
          </cell>
          <cell r="G889">
            <v>8683</v>
          </cell>
          <cell r="H889">
            <v>69464</v>
          </cell>
          <cell r="I889">
            <v>8110</v>
          </cell>
          <cell r="J889">
            <v>64880</v>
          </cell>
          <cell r="K889">
            <v>4902</v>
          </cell>
          <cell r="L889">
            <v>39216</v>
          </cell>
        </row>
        <row r="892">
          <cell r="B892" t="str">
            <v xml:space="preserve"> 계</v>
          </cell>
          <cell r="F892">
            <v>1384600</v>
          </cell>
          <cell r="H892">
            <v>499192</v>
          </cell>
          <cell r="J892">
            <v>247352</v>
          </cell>
          <cell r="L892">
            <v>638056</v>
          </cell>
        </row>
        <row r="905">
          <cell r="A905" t="str">
            <v>HOIST 설치 소모 자재비</v>
          </cell>
        </row>
        <row r="906">
          <cell r="E906" t="str">
            <v xml:space="preserve"> </v>
          </cell>
        </row>
        <row r="907">
          <cell r="A907" t="str">
            <v>종       별</v>
          </cell>
          <cell r="C907" t="str">
            <v>재 료 또 는</v>
          </cell>
          <cell r="D907" t="str">
            <v xml:space="preserve">원 수 </v>
          </cell>
          <cell r="E907" t="str">
            <v>단 위</v>
          </cell>
          <cell r="F907" t="str">
            <v>총   액</v>
          </cell>
          <cell r="G907" t="str">
            <v>노   무   비</v>
          </cell>
          <cell r="I907" t="str">
            <v>재   료   비</v>
          </cell>
          <cell r="K907" t="str">
            <v>경      비</v>
          </cell>
          <cell r="M907" t="str">
            <v>비   고</v>
          </cell>
        </row>
        <row r="908">
          <cell r="C908" t="str">
            <v xml:space="preserve">규       격 </v>
          </cell>
          <cell r="F908" t="str">
            <v>금   액</v>
          </cell>
          <cell r="G908" t="str">
            <v>단  가</v>
          </cell>
          <cell r="H908" t="str">
            <v>금   액</v>
          </cell>
          <cell r="I908" t="str">
            <v>단  가</v>
          </cell>
          <cell r="J908" t="str">
            <v>금   액</v>
          </cell>
          <cell r="K908" t="str">
            <v>단  가</v>
          </cell>
          <cell r="L908" t="str">
            <v>금   액</v>
          </cell>
        </row>
        <row r="909">
          <cell r="A909" t="str">
            <v>산       소</v>
          </cell>
          <cell r="C909" t="str">
            <v>6,000L용</v>
          </cell>
          <cell r="D909">
            <v>0.38</v>
          </cell>
          <cell r="E909" t="str">
            <v>병</v>
          </cell>
          <cell r="G909" t="str">
            <v xml:space="preserve"> </v>
          </cell>
          <cell r="I909">
            <v>12000</v>
          </cell>
          <cell r="J909">
            <v>4560</v>
          </cell>
        </row>
        <row r="910">
          <cell r="A910" t="str">
            <v>아 세 치 렌</v>
          </cell>
          <cell r="C910" t="str">
            <v>4,500L용</v>
          </cell>
          <cell r="D910">
            <v>0.33</v>
          </cell>
          <cell r="E910" t="str">
            <v>병</v>
          </cell>
          <cell r="I910">
            <v>55392</v>
          </cell>
          <cell r="J910">
            <v>18279</v>
          </cell>
        </row>
        <row r="911">
          <cell r="A911" t="str">
            <v>용   접  봉</v>
          </cell>
          <cell r="C911" t="str">
            <v>SS400 , 4M/M</v>
          </cell>
          <cell r="D911">
            <v>3</v>
          </cell>
          <cell r="E911" t="str">
            <v>KG</v>
          </cell>
          <cell r="I911">
            <v>1260</v>
          </cell>
          <cell r="J911">
            <v>3780</v>
          </cell>
        </row>
        <row r="912">
          <cell r="A912" t="str">
            <v>세    유(경유)</v>
          </cell>
          <cell r="D912">
            <v>3</v>
          </cell>
          <cell r="E912" t="str">
            <v>L</v>
          </cell>
          <cell r="I912">
            <v>526.4</v>
          </cell>
          <cell r="J912">
            <v>1579</v>
          </cell>
        </row>
        <row r="915">
          <cell r="A915" t="str">
            <v xml:space="preserve"> </v>
          </cell>
        </row>
        <row r="916">
          <cell r="L916" t="str">
            <v xml:space="preserve"> </v>
          </cell>
        </row>
        <row r="917">
          <cell r="B917" t="str">
            <v>계</v>
          </cell>
          <cell r="F917">
            <v>28198</v>
          </cell>
          <cell r="J917">
            <v>28198</v>
          </cell>
          <cell r="L917" t="str">
            <v xml:space="preserve"> </v>
          </cell>
        </row>
        <row r="918">
          <cell r="A918" t="str">
            <v xml:space="preserve"> </v>
          </cell>
        </row>
        <row r="919">
          <cell r="A919" t="str">
            <v xml:space="preserve"> </v>
          </cell>
        </row>
        <row r="920">
          <cell r="A920" t="str">
            <v xml:space="preserve"> </v>
          </cell>
        </row>
        <row r="921">
          <cell r="A921" t="str">
            <v xml:space="preserve"> </v>
          </cell>
        </row>
        <row r="922">
          <cell r="A922" t="str">
            <v xml:space="preserve"> </v>
          </cell>
        </row>
        <row r="923">
          <cell r="A923" t="str">
            <v xml:space="preserve"> </v>
          </cell>
        </row>
        <row r="924">
          <cell r="A924" t="str">
            <v xml:space="preserve"> </v>
          </cell>
        </row>
        <row r="925">
          <cell r="A925" t="str">
            <v xml:space="preserve"> </v>
          </cell>
        </row>
        <row r="926">
          <cell r="A926" t="str">
            <v xml:space="preserve"> </v>
          </cell>
        </row>
        <row r="927">
          <cell r="A927" t="str">
            <v xml:space="preserve"> </v>
          </cell>
        </row>
        <row r="928">
          <cell r="A928" t="str">
            <v xml:space="preserve"> </v>
          </cell>
        </row>
        <row r="929">
          <cell r="A929" t="str">
            <v xml:space="preserve"> </v>
          </cell>
        </row>
        <row r="930">
          <cell r="A930" t="str">
            <v xml:space="preserve"> </v>
          </cell>
        </row>
        <row r="931">
          <cell r="A931" t="str">
            <v xml:space="preserve"> </v>
          </cell>
        </row>
        <row r="932">
          <cell r="A932" t="str">
            <v xml:space="preserve"> </v>
          </cell>
        </row>
        <row r="933">
          <cell r="A933" t="str">
            <v xml:space="preserve"> </v>
          </cell>
        </row>
        <row r="934">
          <cell r="A934" t="str">
            <v>STOP LOG LEAF 제작 인건비</v>
          </cell>
        </row>
        <row r="935">
          <cell r="E935" t="str">
            <v xml:space="preserve"> </v>
          </cell>
        </row>
        <row r="936">
          <cell r="A936" t="str">
            <v>종       별</v>
          </cell>
          <cell r="C936" t="str">
            <v>재 료 또 는</v>
          </cell>
          <cell r="D936" t="str">
            <v xml:space="preserve">원 수 </v>
          </cell>
          <cell r="E936" t="str">
            <v>단 위</v>
          </cell>
          <cell r="F936" t="str">
            <v>총   액</v>
          </cell>
          <cell r="G936" t="str">
            <v>노   무   비</v>
          </cell>
          <cell r="I936" t="str">
            <v>재   료   비</v>
          </cell>
          <cell r="K936" t="str">
            <v>경      비</v>
          </cell>
          <cell r="M936" t="str">
            <v>비   고</v>
          </cell>
        </row>
        <row r="937">
          <cell r="C937" t="str">
            <v xml:space="preserve">규       격 </v>
          </cell>
          <cell r="F937" t="str">
            <v>금   액</v>
          </cell>
          <cell r="G937" t="str">
            <v>단  가</v>
          </cell>
          <cell r="H937" t="str">
            <v>금   액</v>
          </cell>
          <cell r="I937" t="str">
            <v>단  가</v>
          </cell>
          <cell r="J937" t="str">
            <v>금   액</v>
          </cell>
          <cell r="K937" t="str">
            <v>단  가</v>
          </cell>
          <cell r="L937" t="str">
            <v>금   액</v>
          </cell>
        </row>
        <row r="938">
          <cell r="A938" t="str">
            <v>기 술 관 리</v>
          </cell>
          <cell r="C938" t="str">
            <v>기계기사2급</v>
          </cell>
          <cell r="D938">
            <v>0.5</v>
          </cell>
          <cell r="E938" t="str">
            <v>인</v>
          </cell>
          <cell r="G938">
            <v>69405</v>
          </cell>
          <cell r="H938">
            <v>34702</v>
          </cell>
        </row>
        <row r="939">
          <cell r="A939" t="str">
            <v>본  뜨  기</v>
          </cell>
          <cell r="C939" t="str">
            <v>프랜트 제관공</v>
          </cell>
          <cell r="D939">
            <v>0.52300000000000002</v>
          </cell>
          <cell r="E939" t="str">
            <v>인</v>
          </cell>
          <cell r="G939">
            <v>81966</v>
          </cell>
          <cell r="H939">
            <v>42868</v>
          </cell>
        </row>
        <row r="940">
          <cell r="A940" t="str">
            <v>금  긋  기</v>
          </cell>
          <cell r="C940" t="str">
            <v>프랜트 제관공</v>
          </cell>
          <cell r="D940">
            <v>1.514</v>
          </cell>
          <cell r="E940" t="str">
            <v>인</v>
          </cell>
          <cell r="G940">
            <v>81966</v>
          </cell>
          <cell r="H940">
            <v>124096</v>
          </cell>
        </row>
        <row r="941">
          <cell r="A941" t="str">
            <v>절      단</v>
          </cell>
          <cell r="C941" t="str">
            <v>프랜트 제관공</v>
          </cell>
          <cell r="D941">
            <v>0.41399999999999998</v>
          </cell>
          <cell r="E941" t="str">
            <v>인</v>
          </cell>
          <cell r="G941">
            <v>81966</v>
          </cell>
          <cell r="H941">
            <v>33933</v>
          </cell>
        </row>
        <row r="942">
          <cell r="A942" t="str">
            <v>가      공</v>
          </cell>
          <cell r="C942" t="str">
            <v>프랜트 제관공</v>
          </cell>
          <cell r="D942">
            <v>0.5</v>
          </cell>
          <cell r="E942" t="str">
            <v>인</v>
          </cell>
          <cell r="G942">
            <v>81966</v>
          </cell>
          <cell r="H942">
            <v>40983</v>
          </cell>
        </row>
        <row r="944">
          <cell r="A944" t="str">
            <v>구 멍 뚫 기</v>
          </cell>
          <cell r="C944" t="str">
            <v>프랜트 제관공</v>
          </cell>
          <cell r="D944">
            <v>0.61299999999999999</v>
          </cell>
          <cell r="E944" t="str">
            <v>인</v>
          </cell>
          <cell r="G944">
            <v>81966</v>
          </cell>
          <cell r="H944">
            <v>50245</v>
          </cell>
        </row>
        <row r="945">
          <cell r="A945" t="str">
            <v>용      접</v>
          </cell>
          <cell r="C945" t="str">
            <v>프랜트 용접공</v>
          </cell>
          <cell r="D945">
            <v>2.968</v>
          </cell>
          <cell r="E945" t="str">
            <v>인</v>
          </cell>
          <cell r="G945">
            <v>95379</v>
          </cell>
          <cell r="H945">
            <v>283084</v>
          </cell>
        </row>
        <row r="946">
          <cell r="A946" t="str">
            <v>부 품 조 립</v>
          </cell>
          <cell r="C946" t="str">
            <v>비   계   공</v>
          </cell>
          <cell r="D946">
            <v>1.325</v>
          </cell>
          <cell r="E946" t="str">
            <v>인</v>
          </cell>
          <cell r="G946">
            <v>79467</v>
          </cell>
          <cell r="H946">
            <v>105293</v>
          </cell>
        </row>
        <row r="947">
          <cell r="C947" t="str">
            <v>프랜트기계설치공</v>
          </cell>
          <cell r="D947">
            <v>1.325</v>
          </cell>
          <cell r="E947" t="str">
            <v>인</v>
          </cell>
          <cell r="G947">
            <v>80805</v>
          </cell>
          <cell r="H947">
            <v>107066</v>
          </cell>
        </row>
        <row r="948">
          <cell r="A948" t="str">
            <v>소운반 조작</v>
          </cell>
          <cell r="C948" t="str">
            <v>비   계   공</v>
          </cell>
          <cell r="D948">
            <v>0.97</v>
          </cell>
          <cell r="E948" t="str">
            <v>인</v>
          </cell>
          <cell r="G948">
            <v>79467</v>
          </cell>
          <cell r="H948">
            <v>77082</v>
          </cell>
        </row>
        <row r="949">
          <cell r="A949" t="str">
            <v>검사 및 교정</v>
          </cell>
          <cell r="C949" t="str">
            <v>기술관리 제외한</v>
          </cell>
          <cell r="D949" t="str">
            <v>1</v>
          </cell>
          <cell r="E949" t="str">
            <v>식</v>
          </cell>
          <cell r="H949">
            <v>86465</v>
          </cell>
        </row>
        <row r="950">
          <cell r="C950" t="str">
            <v>10%</v>
          </cell>
        </row>
        <row r="953">
          <cell r="B953" t="str">
            <v>계</v>
          </cell>
          <cell r="F953">
            <v>985817</v>
          </cell>
          <cell r="H953">
            <v>985817</v>
          </cell>
        </row>
        <row r="963">
          <cell r="A963" t="str">
            <v>STOP LOG LEAF 제작 사용장비 경비</v>
          </cell>
        </row>
        <row r="964">
          <cell r="E964" t="str">
            <v xml:space="preserve"> </v>
          </cell>
        </row>
        <row r="965">
          <cell r="A965" t="str">
            <v>종       별</v>
          </cell>
          <cell r="C965" t="str">
            <v>재 료 또 는</v>
          </cell>
          <cell r="D965" t="str">
            <v xml:space="preserve">원 수 </v>
          </cell>
          <cell r="E965" t="str">
            <v>단 위</v>
          </cell>
          <cell r="F965" t="str">
            <v>총   액</v>
          </cell>
          <cell r="G965" t="str">
            <v>노   무   비</v>
          </cell>
          <cell r="I965" t="str">
            <v>재   료   비</v>
          </cell>
          <cell r="K965" t="str">
            <v>경      비</v>
          </cell>
          <cell r="M965" t="str">
            <v>비   고</v>
          </cell>
        </row>
        <row r="966">
          <cell r="C966" t="str">
            <v xml:space="preserve">규       격 </v>
          </cell>
          <cell r="F966" t="str">
            <v>금   액</v>
          </cell>
          <cell r="G966" t="str">
            <v>단  가</v>
          </cell>
          <cell r="H966" t="str">
            <v>금   액</v>
          </cell>
          <cell r="I966" t="str">
            <v>단  가</v>
          </cell>
          <cell r="J966" t="str">
            <v>금   액</v>
          </cell>
          <cell r="K966" t="str">
            <v>단  가</v>
          </cell>
          <cell r="L966" t="str">
            <v>금   액</v>
          </cell>
        </row>
        <row r="967">
          <cell r="A967" t="str">
            <v>LATHE</v>
          </cell>
          <cell r="C967" t="str">
            <v>12FT x 7.5HP</v>
          </cell>
          <cell r="D967">
            <v>0.41599999999999998</v>
          </cell>
          <cell r="E967" t="str">
            <v>Hr</v>
          </cell>
          <cell r="G967">
            <v>3418</v>
          </cell>
          <cell r="H967">
            <v>1421</v>
          </cell>
          <cell r="K967">
            <v>3775</v>
          </cell>
          <cell r="L967">
            <v>1570.3999999999999</v>
          </cell>
        </row>
        <row r="968">
          <cell r="A968" t="str">
            <v>PLANER</v>
          </cell>
          <cell r="C968" t="str">
            <v>4FT x 8FT</v>
          </cell>
          <cell r="D968">
            <v>7.5999999999999998E-2</v>
          </cell>
          <cell r="E968" t="str">
            <v>Hr</v>
          </cell>
          <cell r="G968">
            <v>3129</v>
          </cell>
          <cell r="H968">
            <v>237</v>
          </cell>
          <cell r="K968">
            <v>2743</v>
          </cell>
          <cell r="L968">
            <v>208.46799999999999</v>
          </cell>
        </row>
        <row r="969">
          <cell r="A969" t="str">
            <v>BORING M/C</v>
          </cell>
          <cell r="C969" t="str">
            <v>Hori.type,3HP</v>
          </cell>
          <cell r="D969">
            <v>0.248</v>
          </cell>
          <cell r="E969" t="str">
            <v>Hr</v>
          </cell>
          <cell r="G969">
            <v>3547</v>
          </cell>
          <cell r="H969">
            <v>879</v>
          </cell>
          <cell r="K969">
            <v>8928</v>
          </cell>
          <cell r="L969">
            <v>2214.1439999999998</v>
          </cell>
        </row>
        <row r="970">
          <cell r="A970" t="str">
            <v>UNION MELT WELDER</v>
          </cell>
          <cell r="C970" t="str">
            <v>5.5 KVA</v>
          </cell>
          <cell r="D970">
            <v>3.2240000000000002</v>
          </cell>
          <cell r="E970" t="str">
            <v>Hr</v>
          </cell>
          <cell r="G970">
            <v>3488</v>
          </cell>
          <cell r="H970">
            <v>11245</v>
          </cell>
          <cell r="K970">
            <v>1797</v>
          </cell>
          <cell r="L970">
            <v>5793.5280000000002</v>
          </cell>
        </row>
        <row r="971">
          <cell r="A971" t="str">
            <v>A.C WELDER</v>
          </cell>
          <cell r="C971" t="str">
            <v>10KVA</v>
          </cell>
          <cell r="D971">
            <v>9.9760000000000009</v>
          </cell>
          <cell r="E971" t="str">
            <v>Hr</v>
          </cell>
          <cell r="K971">
            <v>155</v>
          </cell>
          <cell r="L971">
            <v>1546.2800000000002</v>
          </cell>
        </row>
        <row r="972">
          <cell r="E972" t="str">
            <v xml:space="preserve"> </v>
          </cell>
        </row>
        <row r="973">
          <cell r="A973" t="str">
            <v>GOUGING M/C</v>
          </cell>
          <cell r="C973" t="str">
            <v>중 형</v>
          </cell>
          <cell r="D973">
            <v>3.56</v>
          </cell>
          <cell r="E973" t="str">
            <v>Hr</v>
          </cell>
          <cell r="G973">
            <v>3380</v>
          </cell>
          <cell r="H973">
            <v>12032</v>
          </cell>
          <cell r="K973">
            <v>670</v>
          </cell>
          <cell r="L973">
            <v>2385.1999999999998</v>
          </cell>
        </row>
        <row r="974">
          <cell r="A974" t="str">
            <v>GAS CUTTING M/C</v>
          </cell>
          <cell r="C974" t="str">
            <v>Auto형</v>
          </cell>
          <cell r="D974">
            <v>1.3280000000000001</v>
          </cell>
          <cell r="E974" t="str">
            <v>Hr</v>
          </cell>
          <cell r="G974">
            <v>11922</v>
          </cell>
          <cell r="H974">
            <v>15832</v>
          </cell>
          <cell r="K974">
            <v>119</v>
          </cell>
          <cell r="L974">
            <v>158.03200000000001</v>
          </cell>
        </row>
        <row r="975">
          <cell r="A975" t="str">
            <v>GAS CUTTING M/C</v>
          </cell>
          <cell r="C975" t="str">
            <v>수 동</v>
          </cell>
          <cell r="D975">
            <v>1.984</v>
          </cell>
          <cell r="E975" t="str">
            <v>Hr</v>
          </cell>
          <cell r="G975">
            <v>3974</v>
          </cell>
          <cell r="H975">
            <v>7884</v>
          </cell>
          <cell r="K975">
            <v>115</v>
          </cell>
          <cell r="L975">
            <v>228.16</v>
          </cell>
        </row>
        <row r="976">
          <cell r="A976" t="str">
            <v>GAS HEATING TOUCH</v>
          </cell>
          <cell r="C976" t="str">
            <v>중 형</v>
          </cell>
          <cell r="D976">
            <v>3.8719999999999999</v>
          </cell>
          <cell r="E976" t="str">
            <v>Hr</v>
          </cell>
          <cell r="G976">
            <v>3174</v>
          </cell>
          <cell r="H976">
            <v>12289</v>
          </cell>
          <cell r="K976">
            <v>115</v>
          </cell>
          <cell r="L976">
            <v>445.28</v>
          </cell>
        </row>
        <row r="977">
          <cell r="A977" t="str">
            <v>OVER HEAD CRANE</v>
          </cell>
          <cell r="C977" t="str">
            <v>30 TON</v>
          </cell>
          <cell r="D977">
            <v>0.88</v>
          </cell>
          <cell r="E977" t="str">
            <v>Hr</v>
          </cell>
          <cell r="G977">
            <v>9681</v>
          </cell>
          <cell r="H977">
            <v>8519</v>
          </cell>
          <cell r="K977">
            <v>3338</v>
          </cell>
          <cell r="L977">
            <v>2937.44</v>
          </cell>
        </row>
        <row r="978">
          <cell r="E978" t="str">
            <v xml:space="preserve"> </v>
          </cell>
        </row>
        <row r="979">
          <cell r="A979" t="str">
            <v>OVER HEAD CRANE</v>
          </cell>
          <cell r="C979" t="str">
            <v>20 TON</v>
          </cell>
          <cell r="D979">
            <v>0.88</v>
          </cell>
          <cell r="E979" t="str">
            <v>Hr</v>
          </cell>
          <cell r="G979">
            <v>9681</v>
          </cell>
          <cell r="H979">
            <v>8519</v>
          </cell>
          <cell r="K979">
            <v>3338</v>
          </cell>
          <cell r="L979">
            <v>2937.44</v>
          </cell>
        </row>
        <row r="980">
          <cell r="A980" t="str">
            <v>HYDRO PRESS</v>
          </cell>
          <cell r="C980" t="str">
            <v>100 TON</v>
          </cell>
          <cell r="D980">
            <v>1.72</v>
          </cell>
          <cell r="E980" t="str">
            <v>Hr</v>
          </cell>
          <cell r="G980">
            <v>3281</v>
          </cell>
          <cell r="H980">
            <v>5643</v>
          </cell>
          <cell r="K980">
            <v>6045</v>
          </cell>
          <cell r="L980">
            <v>10397.4</v>
          </cell>
        </row>
        <row r="981">
          <cell r="A981" t="str">
            <v>SHEARING M/C</v>
          </cell>
          <cell r="D981">
            <v>2</v>
          </cell>
          <cell r="E981" t="str">
            <v>Hr</v>
          </cell>
          <cell r="G981">
            <v>3688</v>
          </cell>
          <cell r="H981">
            <v>7376</v>
          </cell>
          <cell r="K981">
            <v>3209</v>
          </cell>
          <cell r="L981">
            <v>6418</v>
          </cell>
        </row>
        <row r="982">
          <cell r="A982" t="str">
            <v>DRILLING M/C</v>
          </cell>
          <cell r="C982" t="str">
            <v>3 HP</v>
          </cell>
          <cell r="D982">
            <v>0.48799999999999999</v>
          </cell>
          <cell r="E982" t="str">
            <v>Hr</v>
          </cell>
          <cell r="G982">
            <v>3401</v>
          </cell>
          <cell r="H982">
            <v>1659</v>
          </cell>
          <cell r="K982">
            <v>576</v>
          </cell>
          <cell r="L982">
            <v>281.08799999999997</v>
          </cell>
        </row>
        <row r="983">
          <cell r="A983" t="str">
            <v>DRILLING M/C</v>
          </cell>
          <cell r="C983" t="str">
            <v>Radial,5 HP</v>
          </cell>
          <cell r="D983">
            <v>0.48799999999999999</v>
          </cell>
          <cell r="E983" t="str">
            <v>Hr</v>
          </cell>
          <cell r="G983">
            <v>3401</v>
          </cell>
          <cell r="H983">
            <v>1659</v>
          </cell>
          <cell r="K983">
            <v>1720</v>
          </cell>
          <cell r="L983">
            <v>839.36</v>
          </cell>
        </row>
        <row r="984">
          <cell r="E984" t="str">
            <v xml:space="preserve"> </v>
          </cell>
        </row>
        <row r="985">
          <cell r="A985" t="str">
            <v>PORTABLE DRILL</v>
          </cell>
          <cell r="C985" t="str">
            <v>0.5 HP</v>
          </cell>
          <cell r="D985">
            <v>1.5640000000000001</v>
          </cell>
          <cell r="E985" t="str">
            <v>Hr</v>
          </cell>
          <cell r="K985">
            <v>12</v>
          </cell>
          <cell r="L985">
            <v>18.768000000000001</v>
          </cell>
        </row>
        <row r="986">
          <cell r="A986" t="str">
            <v>TRUCK CRANE</v>
          </cell>
          <cell r="C986" t="str">
            <v>30 TON</v>
          </cell>
          <cell r="D986">
            <v>0.65</v>
          </cell>
          <cell r="E986" t="str">
            <v>Hr</v>
          </cell>
          <cell r="G986">
            <v>18615</v>
          </cell>
          <cell r="H986">
            <v>12099</v>
          </cell>
          <cell r="I986">
            <v>7046</v>
          </cell>
          <cell r="J986">
            <v>4579</v>
          </cell>
          <cell r="K986">
            <v>44939</v>
          </cell>
          <cell r="L986">
            <v>29210.350000000002</v>
          </cell>
        </row>
        <row r="987">
          <cell r="A987" t="str">
            <v>리프트 트럭</v>
          </cell>
          <cell r="C987" t="str">
            <v>5 TON</v>
          </cell>
          <cell r="D987">
            <v>0.65</v>
          </cell>
          <cell r="E987" t="str">
            <v>Hr</v>
          </cell>
          <cell r="G987">
            <v>9681</v>
          </cell>
          <cell r="H987">
            <v>6292</v>
          </cell>
          <cell r="I987">
            <v>5116.08</v>
          </cell>
          <cell r="J987">
            <v>3325</v>
          </cell>
          <cell r="K987">
            <v>4863</v>
          </cell>
          <cell r="L987">
            <v>3160.9500000000003</v>
          </cell>
        </row>
        <row r="988">
          <cell r="A988" t="str">
            <v>COMPRESSOR</v>
          </cell>
          <cell r="C988" t="str">
            <v>7.1㎥/min</v>
          </cell>
          <cell r="D988">
            <v>3.32</v>
          </cell>
          <cell r="E988" t="str">
            <v>Hr</v>
          </cell>
          <cell r="G988">
            <v>9681</v>
          </cell>
          <cell r="H988">
            <v>32140</v>
          </cell>
          <cell r="I988">
            <v>6189</v>
          </cell>
          <cell r="J988">
            <v>20547</v>
          </cell>
          <cell r="K988">
            <v>3137</v>
          </cell>
          <cell r="L988">
            <v>10414.84</v>
          </cell>
        </row>
        <row r="989">
          <cell r="A989" t="str">
            <v>TRAILER</v>
          </cell>
          <cell r="C989" t="str">
            <v>30 TON</v>
          </cell>
          <cell r="D989">
            <v>0.65</v>
          </cell>
          <cell r="E989" t="str">
            <v>Hr</v>
          </cell>
          <cell r="G989">
            <v>8683</v>
          </cell>
          <cell r="H989">
            <v>5643</v>
          </cell>
          <cell r="I989">
            <v>15763</v>
          </cell>
          <cell r="J989">
            <v>10245</v>
          </cell>
          <cell r="K989">
            <v>27414</v>
          </cell>
          <cell r="L989">
            <v>17819.100000000002</v>
          </cell>
        </row>
        <row r="991">
          <cell r="B991" t="str">
            <v>계</v>
          </cell>
          <cell r="F991">
            <v>289048.228</v>
          </cell>
          <cell r="H991">
            <v>151368</v>
          </cell>
          <cell r="J991">
            <v>38696</v>
          </cell>
          <cell r="K991" t="str">
            <v xml:space="preserve"> </v>
          </cell>
          <cell r="L991">
            <v>98984.228000000003</v>
          </cell>
        </row>
        <row r="992">
          <cell r="A992" t="str">
            <v>STOP LOG LEAF 제작 소모 자재비</v>
          </cell>
        </row>
        <row r="993">
          <cell r="E993" t="str">
            <v xml:space="preserve"> </v>
          </cell>
        </row>
        <row r="994">
          <cell r="A994" t="str">
            <v>종       별</v>
          </cell>
          <cell r="C994" t="str">
            <v>재 료 또 는</v>
          </cell>
          <cell r="D994" t="str">
            <v xml:space="preserve">원 수 </v>
          </cell>
          <cell r="E994" t="str">
            <v>단 위</v>
          </cell>
          <cell r="F994" t="str">
            <v>총   액</v>
          </cell>
          <cell r="G994" t="str">
            <v>노   무   비</v>
          </cell>
          <cell r="I994" t="str">
            <v>재   료   비</v>
          </cell>
          <cell r="K994" t="str">
            <v>경      비</v>
          </cell>
          <cell r="M994" t="str">
            <v>비   고</v>
          </cell>
        </row>
        <row r="995">
          <cell r="C995" t="str">
            <v xml:space="preserve">규       격 </v>
          </cell>
          <cell r="F995" t="str">
            <v>금   액</v>
          </cell>
          <cell r="G995" t="str">
            <v>단  가</v>
          </cell>
          <cell r="H995" t="str">
            <v>금   액</v>
          </cell>
          <cell r="I995" t="str">
            <v>단  가</v>
          </cell>
          <cell r="J995" t="str">
            <v>금   액</v>
          </cell>
          <cell r="K995" t="str">
            <v>단  가</v>
          </cell>
          <cell r="L995" t="str">
            <v>금   액</v>
          </cell>
        </row>
        <row r="996">
          <cell r="A996" t="str">
            <v>산       소</v>
          </cell>
          <cell r="C996" t="str">
            <v>6,000L용</v>
          </cell>
          <cell r="D996">
            <v>0.38</v>
          </cell>
          <cell r="E996" t="str">
            <v>병</v>
          </cell>
          <cell r="G996" t="str">
            <v xml:space="preserve"> </v>
          </cell>
          <cell r="I996">
            <v>12000</v>
          </cell>
          <cell r="J996">
            <v>4560</v>
          </cell>
        </row>
        <row r="997">
          <cell r="A997" t="str">
            <v>아 세 치 렌</v>
          </cell>
          <cell r="C997" t="str">
            <v>4,500L용</v>
          </cell>
          <cell r="D997">
            <v>0.33</v>
          </cell>
          <cell r="E997" t="str">
            <v>병</v>
          </cell>
          <cell r="I997">
            <v>55392</v>
          </cell>
          <cell r="J997">
            <v>18279</v>
          </cell>
        </row>
        <row r="998">
          <cell r="A998" t="str">
            <v>용   접  봉</v>
          </cell>
          <cell r="C998" t="str">
            <v>SS41, 4M/Mx350L</v>
          </cell>
          <cell r="D998">
            <v>3</v>
          </cell>
          <cell r="E998" t="str">
            <v>KG</v>
          </cell>
          <cell r="I998">
            <v>1260</v>
          </cell>
          <cell r="J998">
            <v>3780</v>
          </cell>
        </row>
        <row r="1000">
          <cell r="A1000" t="str">
            <v xml:space="preserve"> </v>
          </cell>
          <cell r="D1000" t="str">
            <v xml:space="preserve"> </v>
          </cell>
          <cell r="E1000" t="str">
            <v xml:space="preserve"> </v>
          </cell>
        </row>
        <row r="1001">
          <cell r="E1001" t="str">
            <v xml:space="preserve"> </v>
          </cell>
        </row>
        <row r="1003">
          <cell r="B1003" t="str">
            <v>계</v>
          </cell>
          <cell r="F1003">
            <v>26619</v>
          </cell>
          <cell r="J1003">
            <v>26619</v>
          </cell>
        </row>
        <row r="1021">
          <cell r="A1021" t="str">
            <v>STOP LOG LEAF 설치 인건비</v>
          </cell>
        </row>
        <row r="1022">
          <cell r="E1022" t="str">
            <v xml:space="preserve"> </v>
          </cell>
        </row>
        <row r="1023">
          <cell r="A1023" t="str">
            <v>종       별</v>
          </cell>
          <cell r="C1023" t="str">
            <v>재 료 또 는</v>
          </cell>
          <cell r="D1023" t="str">
            <v xml:space="preserve">원 수 </v>
          </cell>
          <cell r="E1023" t="str">
            <v>단 위</v>
          </cell>
          <cell r="F1023" t="str">
            <v>총   액</v>
          </cell>
          <cell r="G1023" t="str">
            <v>노   무   비</v>
          </cell>
          <cell r="I1023" t="str">
            <v>재   료   비</v>
          </cell>
          <cell r="K1023" t="str">
            <v>경      비</v>
          </cell>
          <cell r="M1023" t="str">
            <v>비   고</v>
          </cell>
        </row>
        <row r="1024">
          <cell r="C1024" t="str">
            <v xml:space="preserve">규       격 </v>
          </cell>
          <cell r="F1024" t="str">
            <v>금   액</v>
          </cell>
          <cell r="G1024" t="str">
            <v>단  가</v>
          </cell>
          <cell r="H1024" t="str">
            <v>금   액</v>
          </cell>
          <cell r="I1024" t="str">
            <v>단  가</v>
          </cell>
          <cell r="J1024" t="str">
            <v>금   액</v>
          </cell>
          <cell r="K1024" t="str">
            <v>단  가</v>
          </cell>
          <cell r="L1024" t="str">
            <v>금   액</v>
          </cell>
        </row>
        <row r="1025">
          <cell r="A1025" t="str">
            <v>기 술 관 리</v>
          </cell>
          <cell r="C1025" t="str">
            <v>기계기사2급</v>
          </cell>
          <cell r="D1025">
            <v>0.5</v>
          </cell>
          <cell r="E1025" t="str">
            <v>인</v>
          </cell>
          <cell r="G1025">
            <v>69405</v>
          </cell>
          <cell r="H1025">
            <v>34702</v>
          </cell>
        </row>
        <row r="1026">
          <cell r="A1026" t="str">
            <v>운 반 조 작</v>
          </cell>
          <cell r="C1026" t="str">
            <v>비   계   공</v>
          </cell>
          <cell r="D1026">
            <v>0.97</v>
          </cell>
          <cell r="E1026" t="str">
            <v>인</v>
          </cell>
          <cell r="G1026">
            <v>79467</v>
          </cell>
          <cell r="H1026">
            <v>77082</v>
          </cell>
        </row>
        <row r="1027">
          <cell r="A1027" t="str">
            <v>조 립 조 정</v>
          </cell>
          <cell r="C1027" t="str">
            <v>비   계   공</v>
          </cell>
          <cell r="D1027">
            <v>2.02</v>
          </cell>
          <cell r="E1027" t="str">
            <v>인</v>
          </cell>
          <cell r="G1027">
            <v>79467</v>
          </cell>
          <cell r="H1027">
            <v>160523</v>
          </cell>
        </row>
        <row r="1028">
          <cell r="A1028" t="str">
            <v xml:space="preserve"> </v>
          </cell>
          <cell r="C1028" t="str">
            <v>프랜트 제관공</v>
          </cell>
          <cell r="D1028">
            <v>1.19</v>
          </cell>
          <cell r="E1028" t="str">
            <v>인</v>
          </cell>
          <cell r="G1028">
            <v>81966</v>
          </cell>
          <cell r="H1028">
            <v>97539</v>
          </cell>
        </row>
        <row r="1029">
          <cell r="A1029" t="str">
            <v xml:space="preserve"> </v>
          </cell>
          <cell r="C1029" t="str">
            <v>측   량   사</v>
          </cell>
          <cell r="D1029">
            <v>0.122</v>
          </cell>
          <cell r="E1029" t="str">
            <v>인</v>
          </cell>
          <cell r="G1029">
            <v>58506</v>
          </cell>
          <cell r="H1029">
            <v>7137</v>
          </cell>
        </row>
        <row r="1031">
          <cell r="C1031" t="str">
            <v>프랜트기계설치공</v>
          </cell>
          <cell r="D1031">
            <v>1.17</v>
          </cell>
          <cell r="E1031" t="str">
            <v>인</v>
          </cell>
          <cell r="G1031">
            <v>80805</v>
          </cell>
          <cell r="H1031">
            <v>94541</v>
          </cell>
        </row>
        <row r="1032">
          <cell r="A1032" t="str">
            <v>설      치</v>
          </cell>
          <cell r="C1032" t="str">
            <v>비   계   공</v>
          </cell>
          <cell r="D1032">
            <v>0.36</v>
          </cell>
          <cell r="E1032" t="str">
            <v>인</v>
          </cell>
          <cell r="G1032">
            <v>79467</v>
          </cell>
          <cell r="H1032">
            <v>28608</v>
          </cell>
        </row>
        <row r="1033">
          <cell r="C1033" t="str">
            <v>프랜트기계설치공</v>
          </cell>
          <cell r="D1033">
            <v>0.13</v>
          </cell>
          <cell r="E1033" t="str">
            <v>인</v>
          </cell>
          <cell r="G1033">
            <v>81966</v>
          </cell>
          <cell r="H1033">
            <v>10655</v>
          </cell>
        </row>
        <row r="1034">
          <cell r="A1034" t="str">
            <v>전 원 배 선</v>
          </cell>
          <cell r="C1034" t="str">
            <v>플랜트전공</v>
          </cell>
          <cell r="D1034">
            <v>6.3E-2</v>
          </cell>
          <cell r="E1034" t="str">
            <v>인</v>
          </cell>
          <cell r="G1034">
            <v>64285</v>
          </cell>
          <cell r="H1034">
            <v>4049</v>
          </cell>
          <cell r="I1034" t="str">
            <v xml:space="preserve"> </v>
          </cell>
          <cell r="J1034" t="str">
            <v xml:space="preserve"> </v>
          </cell>
        </row>
        <row r="1035">
          <cell r="A1035" t="str">
            <v xml:space="preserve"> </v>
          </cell>
          <cell r="C1035" t="str">
            <v xml:space="preserve"> </v>
          </cell>
          <cell r="D1035" t="str">
            <v xml:space="preserve"> </v>
          </cell>
          <cell r="E1035" t="str">
            <v xml:space="preserve"> </v>
          </cell>
          <cell r="G1035" t="str">
            <v xml:space="preserve"> </v>
          </cell>
        </row>
        <row r="1036">
          <cell r="A1036" t="str">
            <v>검사 및 교정</v>
          </cell>
          <cell r="C1036" t="str">
            <v>기술관리,전원</v>
          </cell>
          <cell r="D1036" t="str">
            <v>1</v>
          </cell>
          <cell r="E1036" t="str">
            <v>식</v>
          </cell>
          <cell r="H1036">
            <v>47608</v>
          </cell>
        </row>
        <row r="1037">
          <cell r="C1037" t="str">
            <v>배선제외10%</v>
          </cell>
        </row>
        <row r="1040">
          <cell r="B1040" t="str">
            <v>계</v>
          </cell>
          <cell r="F1040">
            <v>562444</v>
          </cell>
          <cell r="H1040">
            <v>562444</v>
          </cell>
        </row>
        <row r="1050">
          <cell r="E1050" t="str">
            <v xml:space="preserve"> </v>
          </cell>
          <cell r="F1050" t="str">
            <v>STOP LOG LEAF 설치 사용장비 경비</v>
          </cell>
        </row>
        <row r="1051">
          <cell r="E1051" t="str">
            <v xml:space="preserve"> </v>
          </cell>
        </row>
        <row r="1052">
          <cell r="A1052" t="str">
            <v>종       별</v>
          </cell>
          <cell r="C1052" t="str">
            <v>재 료 또 는</v>
          </cell>
          <cell r="D1052" t="str">
            <v xml:space="preserve">원 수 </v>
          </cell>
          <cell r="E1052" t="str">
            <v>단 위</v>
          </cell>
          <cell r="F1052" t="str">
            <v>총   액</v>
          </cell>
          <cell r="G1052" t="str">
            <v>노   무   비</v>
          </cell>
          <cell r="I1052" t="str">
            <v>재   료   비</v>
          </cell>
          <cell r="K1052" t="str">
            <v>경      비</v>
          </cell>
          <cell r="M1052" t="str">
            <v>비   고</v>
          </cell>
        </row>
        <row r="1053">
          <cell r="C1053" t="str">
            <v xml:space="preserve">규       격 </v>
          </cell>
          <cell r="F1053" t="str">
            <v>금   액</v>
          </cell>
          <cell r="G1053" t="str">
            <v>단  가</v>
          </cell>
          <cell r="H1053" t="str">
            <v>금   액</v>
          </cell>
          <cell r="I1053" t="str">
            <v>단  가</v>
          </cell>
          <cell r="J1053" t="str">
            <v>금   액</v>
          </cell>
          <cell r="K1053" t="str">
            <v>단  가</v>
          </cell>
          <cell r="L1053" t="str">
            <v>금   액</v>
          </cell>
        </row>
        <row r="1054">
          <cell r="A1054" t="str">
            <v>A.C WELDER</v>
          </cell>
          <cell r="C1054" t="str">
            <v>10KVA</v>
          </cell>
          <cell r="D1054">
            <v>8</v>
          </cell>
          <cell r="E1054" t="str">
            <v>Hr</v>
          </cell>
          <cell r="K1054">
            <v>155</v>
          </cell>
          <cell r="L1054">
            <v>1240</v>
          </cell>
        </row>
        <row r="1055">
          <cell r="A1055" t="str">
            <v>PORTABLE DRILL</v>
          </cell>
          <cell r="C1055" t="str">
            <v>1.5 Hp</v>
          </cell>
          <cell r="D1055">
            <v>16</v>
          </cell>
          <cell r="E1055" t="str">
            <v>Hr</v>
          </cell>
          <cell r="K1055">
            <v>14</v>
          </cell>
          <cell r="L1055">
            <v>224</v>
          </cell>
        </row>
        <row r="1056">
          <cell r="A1056" t="str">
            <v>PORTABLE GRINDER</v>
          </cell>
          <cell r="C1056" t="str">
            <v>0.5 Hp</v>
          </cell>
          <cell r="D1056">
            <v>16</v>
          </cell>
          <cell r="E1056" t="str">
            <v>Hr</v>
          </cell>
          <cell r="K1056">
            <v>22</v>
          </cell>
          <cell r="L1056">
            <v>352</v>
          </cell>
        </row>
        <row r="1057">
          <cell r="A1057" t="str">
            <v>WINCH</v>
          </cell>
          <cell r="C1057" t="str">
            <v>10Hp</v>
          </cell>
          <cell r="D1057">
            <v>8</v>
          </cell>
          <cell r="E1057" t="str">
            <v>Hr</v>
          </cell>
          <cell r="G1057">
            <v>9235</v>
          </cell>
          <cell r="H1057">
            <v>73880</v>
          </cell>
          <cell r="K1057">
            <v>850</v>
          </cell>
          <cell r="L1057">
            <v>6800</v>
          </cell>
        </row>
        <row r="1058">
          <cell r="A1058" t="str">
            <v>FORK LIFT</v>
          </cell>
          <cell r="C1058" t="str">
            <v>3.5TON</v>
          </cell>
          <cell r="D1058">
            <v>8</v>
          </cell>
          <cell r="E1058" t="str">
            <v>Hr</v>
          </cell>
          <cell r="G1058">
            <v>9681</v>
          </cell>
          <cell r="H1058">
            <v>77448</v>
          </cell>
          <cell r="I1058">
            <v>5116</v>
          </cell>
          <cell r="J1058">
            <v>40928</v>
          </cell>
          <cell r="K1058">
            <v>3470</v>
          </cell>
          <cell r="L1058">
            <v>27760</v>
          </cell>
        </row>
        <row r="1060">
          <cell r="A1060" t="str">
            <v>TRUCK CRANE</v>
          </cell>
          <cell r="C1060" t="str">
            <v>20TON</v>
          </cell>
          <cell r="D1060">
            <v>8</v>
          </cell>
          <cell r="E1060" t="str">
            <v>Hr</v>
          </cell>
          <cell r="G1060">
            <v>18615</v>
          </cell>
          <cell r="H1060">
            <v>148920</v>
          </cell>
          <cell r="I1060">
            <v>4939</v>
          </cell>
          <cell r="J1060">
            <v>39512</v>
          </cell>
          <cell r="K1060">
            <v>40975</v>
          </cell>
          <cell r="L1060">
            <v>327800</v>
          </cell>
        </row>
        <row r="1063">
          <cell r="A1063" t="str">
            <v xml:space="preserve">      계</v>
          </cell>
          <cell r="F1063">
            <v>744864</v>
          </cell>
          <cell r="H1063">
            <v>300248</v>
          </cell>
          <cell r="J1063">
            <v>80440</v>
          </cell>
          <cell r="L1063">
            <v>364176</v>
          </cell>
        </row>
        <row r="1079">
          <cell r="E1079" t="str">
            <v xml:space="preserve"> </v>
          </cell>
          <cell r="F1079" t="str">
            <v>STOP LOG LEAF 설치 소모 자재비</v>
          </cell>
        </row>
        <row r="1080">
          <cell r="E1080" t="str">
            <v xml:space="preserve"> </v>
          </cell>
        </row>
        <row r="1081">
          <cell r="A1081" t="str">
            <v>종       별</v>
          </cell>
          <cell r="C1081" t="str">
            <v>재 료 또 는</v>
          </cell>
          <cell r="D1081" t="str">
            <v xml:space="preserve">원 수 </v>
          </cell>
          <cell r="E1081" t="str">
            <v>단 위</v>
          </cell>
          <cell r="F1081" t="str">
            <v>총   액</v>
          </cell>
          <cell r="G1081" t="str">
            <v>노   무   비</v>
          </cell>
          <cell r="I1081" t="str">
            <v>재   료   비</v>
          </cell>
          <cell r="K1081" t="str">
            <v>경      비</v>
          </cell>
          <cell r="M1081" t="str">
            <v>비   고</v>
          </cell>
        </row>
        <row r="1082">
          <cell r="C1082" t="str">
            <v xml:space="preserve">규       격 </v>
          </cell>
          <cell r="F1082" t="str">
            <v>금   액</v>
          </cell>
          <cell r="G1082" t="str">
            <v>단  가</v>
          </cell>
          <cell r="H1082" t="str">
            <v>금   액</v>
          </cell>
          <cell r="I1082" t="str">
            <v>단  가</v>
          </cell>
          <cell r="J1082" t="str">
            <v>금   액</v>
          </cell>
          <cell r="K1082" t="str">
            <v>단  가</v>
          </cell>
          <cell r="L1082" t="str">
            <v>금   액</v>
          </cell>
        </row>
        <row r="1083">
          <cell r="A1083" t="str">
            <v>산       소</v>
          </cell>
          <cell r="C1083" t="str">
            <v>6,000L용</v>
          </cell>
          <cell r="D1083">
            <v>2.2999999999999998</v>
          </cell>
          <cell r="E1083" t="str">
            <v>병</v>
          </cell>
          <cell r="G1083" t="str">
            <v xml:space="preserve"> </v>
          </cell>
          <cell r="I1083">
            <v>12000</v>
          </cell>
          <cell r="J1083">
            <v>27600</v>
          </cell>
        </row>
        <row r="1084">
          <cell r="A1084" t="str">
            <v>아 세 치 렌</v>
          </cell>
          <cell r="C1084" t="str">
            <v>4,500L용</v>
          </cell>
          <cell r="D1084">
            <v>1.98</v>
          </cell>
          <cell r="E1084" t="str">
            <v>병</v>
          </cell>
          <cell r="I1084">
            <v>55392</v>
          </cell>
          <cell r="J1084">
            <v>109676</v>
          </cell>
        </row>
        <row r="1085">
          <cell r="A1085" t="str">
            <v>용   접  봉</v>
          </cell>
          <cell r="C1085" t="str">
            <v>SS41 , 4M/M</v>
          </cell>
          <cell r="D1085">
            <v>14.35</v>
          </cell>
          <cell r="E1085" t="str">
            <v>KG</v>
          </cell>
          <cell r="I1085">
            <v>1260</v>
          </cell>
          <cell r="J1085">
            <v>18081</v>
          </cell>
        </row>
        <row r="1086">
          <cell r="A1086" t="str">
            <v>함       석</v>
          </cell>
          <cell r="C1086" t="str">
            <v>#31x3'x6'</v>
          </cell>
          <cell r="D1086">
            <v>0.53</v>
          </cell>
          <cell r="E1086" t="str">
            <v>매</v>
          </cell>
          <cell r="I1086">
            <v>2825</v>
          </cell>
          <cell r="J1086">
            <v>1497</v>
          </cell>
        </row>
        <row r="1087">
          <cell r="A1087" t="str">
            <v>전       력</v>
          </cell>
          <cell r="D1087">
            <v>306</v>
          </cell>
          <cell r="E1087" t="str">
            <v>KWH</v>
          </cell>
          <cell r="K1087">
            <v>61.6</v>
          </cell>
          <cell r="L1087">
            <v>18849</v>
          </cell>
        </row>
        <row r="1089">
          <cell r="A1089" t="str">
            <v xml:space="preserve"> </v>
          </cell>
        </row>
        <row r="1091">
          <cell r="B1091" t="str">
            <v>계</v>
          </cell>
          <cell r="F1091">
            <v>175703</v>
          </cell>
          <cell r="J1091">
            <v>156854</v>
          </cell>
          <cell r="L1091">
            <v>18849</v>
          </cell>
        </row>
        <row r="1092">
          <cell r="A1092" t="str">
            <v xml:space="preserve"> </v>
          </cell>
        </row>
        <row r="1093">
          <cell r="A1093" t="str">
            <v xml:space="preserve"> </v>
          </cell>
        </row>
        <row r="1094">
          <cell r="A1094" t="str">
            <v xml:space="preserve"> </v>
          </cell>
        </row>
        <row r="1095">
          <cell r="A1095" t="str">
            <v xml:space="preserve"> </v>
          </cell>
        </row>
        <row r="1096">
          <cell r="A1096" t="str">
            <v xml:space="preserve"> </v>
          </cell>
        </row>
        <row r="1097">
          <cell r="A1097" t="str">
            <v xml:space="preserve"> </v>
          </cell>
        </row>
        <row r="1098">
          <cell r="A1098" t="str">
            <v xml:space="preserve"> </v>
          </cell>
        </row>
        <row r="1099">
          <cell r="A1099" t="str">
            <v xml:space="preserve"> </v>
          </cell>
        </row>
        <row r="1100">
          <cell r="A1100" t="str">
            <v xml:space="preserve"> </v>
          </cell>
        </row>
        <row r="1101">
          <cell r="A1101" t="str">
            <v xml:space="preserve"> </v>
          </cell>
        </row>
        <row r="1102">
          <cell r="A1102" t="str">
            <v xml:space="preserve"> </v>
          </cell>
        </row>
        <row r="1103">
          <cell r="A1103" t="str">
            <v xml:space="preserve"> </v>
          </cell>
        </row>
        <row r="1105">
          <cell r="A1105" t="str">
            <v xml:space="preserve"> </v>
          </cell>
        </row>
        <row r="1106">
          <cell r="A1106" t="str">
            <v xml:space="preserve"> </v>
          </cell>
        </row>
        <row r="1107">
          <cell r="A1107" t="str">
            <v xml:space="preserve"> </v>
          </cell>
        </row>
        <row r="1108">
          <cell r="E1108" t="str">
            <v xml:space="preserve"> </v>
          </cell>
          <cell r="F1108" t="str">
            <v>RADIAL GATE LEAF 제작 인건비</v>
          </cell>
        </row>
        <row r="1109">
          <cell r="E1109" t="str">
            <v xml:space="preserve"> </v>
          </cell>
        </row>
        <row r="1110">
          <cell r="A1110" t="str">
            <v>종       별</v>
          </cell>
          <cell r="C1110" t="str">
            <v>재 료 또 는</v>
          </cell>
          <cell r="F1110" t="str">
            <v>총   액</v>
          </cell>
          <cell r="G1110" t="str">
            <v xml:space="preserve">    노   무   비</v>
          </cell>
          <cell r="I1110" t="str">
            <v xml:space="preserve">    재   료   비</v>
          </cell>
          <cell r="K1110" t="str">
            <v xml:space="preserve">    경      비</v>
          </cell>
        </row>
        <row r="1111">
          <cell r="C1111" t="str">
            <v xml:space="preserve">규       격 </v>
          </cell>
          <cell r="E1111" t="str">
            <v xml:space="preserve"> </v>
          </cell>
          <cell r="F1111" t="str">
            <v>금   액</v>
          </cell>
          <cell r="G1111" t="str">
            <v>단  가</v>
          </cell>
          <cell r="H1111" t="str">
            <v>금   액</v>
          </cell>
          <cell r="I1111" t="str">
            <v>단  가</v>
          </cell>
          <cell r="J1111" t="str">
            <v>금   액</v>
          </cell>
          <cell r="K1111" t="str">
            <v>단  가</v>
          </cell>
          <cell r="L1111" t="str">
            <v>금   액</v>
          </cell>
        </row>
        <row r="1112">
          <cell r="A1112" t="str">
            <v>기술관리</v>
          </cell>
          <cell r="C1112" t="str">
            <v>기계기사1급</v>
          </cell>
          <cell r="D1112">
            <v>0.5</v>
          </cell>
          <cell r="E1112" t="str">
            <v>인</v>
          </cell>
          <cell r="G1112">
            <v>97488</v>
          </cell>
          <cell r="H1112">
            <v>48744</v>
          </cell>
        </row>
        <row r="1113">
          <cell r="A1113" t="str">
            <v>본  뜨  기</v>
          </cell>
          <cell r="C1113" t="str">
            <v>프랜트 제관공</v>
          </cell>
          <cell r="D1113">
            <v>0.52300000000000002</v>
          </cell>
          <cell r="E1113" t="str">
            <v>인</v>
          </cell>
          <cell r="G1113">
            <v>81966</v>
          </cell>
          <cell r="H1113">
            <v>42868</v>
          </cell>
        </row>
        <row r="1114">
          <cell r="A1114" t="str">
            <v>금  긋  기</v>
          </cell>
          <cell r="C1114" t="str">
            <v>프랜트 제관공</v>
          </cell>
          <cell r="D1114">
            <v>1.39</v>
          </cell>
          <cell r="E1114" t="str">
            <v>인</v>
          </cell>
          <cell r="G1114">
            <v>81966</v>
          </cell>
          <cell r="H1114">
            <v>113932</v>
          </cell>
        </row>
        <row r="1115">
          <cell r="A1115" t="str">
            <v>절      단</v>
          </cell>
          <cell r="C1115" t="str">
            <v>프랜트 제관공</v>
          </cell>
          <cell r="D1115">
            <v>0.38</v>
          </cell>
          <cell r="E1115" t="str">
            <v>인</v>
          </cell>
          <cell r="G1115">
            <v>81966</v>
          </cell>
          <cell r="H1115">
            <v>31147</v>
          </cell>
        </row>
        <row r="1116">
          <cell r="A1116" t="str">
            <v>가      공</v>
          </cell>
          <cell r="C1116" t="str">
            <v>프랜트 제관공</v>
          </cell>
          <cell r="D1116">
            <v>1.59</v>
          </cell>
          <cell r="E1116" t="str">
            <v>인</v>
          </cell>
          <cell r="G1116">
            <v>81966</v>
          </cell>
          <cell r="H1116">
            <v>130325</v>
          </cell>
        </row>
        <row r="1118">
          <cell r="A1118" t="str">
            <v>구 멍 뚫 기</v>
          </cell>
          <cell r="C1118" t="str">
            <v>프랜트 제관공</v>
          </cell>
          <cell r="D1118">
            <v>0.47499999999999998</v>
          </cell>
          <cell r="E1118" t="str">
            <v>인</v>
          </cell>
          <cell r="G1118">
            <v>81966</v>
          </cell>
          <cell r="H1118">
            <v>38933</v>
          </cell>
        </row>
        <row r="1119">
          <cell r="A1119" t="str">
            <v>용      접</v>
          </cell>
          <cell r="C1119" t="str">
            <v>프랜트 용접공</v>
          </cell>
          <cell r="D1119">
            <v>2.5499999999999998</v>
          </cell>
          <cell r="E1119" t="str">
            <v>인</v>
          </cell>
          <cell r="G1119">
            <v>95379</v>
          </cell>
          <cell r="H1119">
            <v>243216</v>
          </cell>
        </row>
        <row r="1120">
          <cell r="A1120" t="str">
            <v>부 품 조 립</v>
          </cell>
          <cell r="C1120" t="str">
            <v>비   계   공</v>
          </cell>
          <cell r="D1120">
            <v>1.3049999999999999</v>
          </cell>
          <cell r="E1120" t="str">
            <v>인</v>
          </cell>
          <cell r="G1120">
            <v>79467</v>
          </cell>
          <cell r="H1120">
            <v>103704</v>
          </cell>
        </row>
        <row r="1121">
          <cell r="C1121" t="str">
            <v>프랜트기계설치공</v>
          </cell>
          <cell r="D1121">
            <v>1.3049999999999999</v>
          </cell>
          <cell r="E1121" t="str">
            <v>인</v>
          </cell>
          <cell r="G1121">
            <v>80805</v>
          </cell>
          <cell r="H1121">
            <v>105450</v>
          </cell>
        </row>
        <row r="1122">
          <cell r="A1122" t="str">
            <v>소운반 조작</v>
          </cell>
          <cell r="C1122" t="str">
            <v>비   계   공</v>
          </cell>
          <cell r="D1122">
            <v>0.98</v>
          </cell>
          <cell r="E1122" t="str">
            <v>인</v>
          </cell>
          <cell r="G1122">
            <v>79467</v>
          </cell>
          <cell r="H1122">
            <v>77877</v>
          </cell>
        </row>
        <row r="1124">
          <cell r="A1124" t="str">
            <v>가   조   립</v>
          </cell>
          <cell r="C1124" t="str">
            <v>비   계   공</v>
          </cell>
          <cell r="D1124">
            <v>1.0329999999999999</v>
          </cell>
          <cell r="E1124" t="str">
            <v>인</v>
          </cell>
          <cell r="G1124">
            <v>79467</v>
          </cell>
          <cell r="H1124">
            <v>82089</v>
          </cell>
        </row>
        <row r="1125">
          <cell r="C1125" t="str">
            <v>프랜트 제관공</v>
          </cell>
          <cell r="D1125">
            <v>2.1160000000000001</v>
          </cell>
          <cell r="E1125" t="str">
            <v>인</v>
          </cell>
          <cell r="G1125">
            <v>81966</v>
          </cell>
          <cell r="H1125">
            <v>173440</v>
          </cell>
        </row>
        <row r="1126">
          <cell r="C1126" t="str">
            <v>프랜트 용접공</v>
          </cell>
          <cell r="D1126">
            <v>1.02</v>
          </cell>
          <cell r="E1126" t="str">
            <v>인</v>
          </cell>
          <cell r="G1126">
            <v>95379</v>
          </cell>
          <cell r="H1126">
            <v>97286</v>
          </cell>
        </row>
        <row r="1127">
          <cell r="C1127" t="str">
            <v>측   량   사</v>
          </cell>
          <cell r="D1127">
            <v>0.17199999999999999</v>
          </cell>
          <cell r="E1127" t="str">
            <v>인</v>
          </cell>
          <cell r="G1127">
            <v>58506</v>
          </cell>
          <cell r="H1127">
            <v>10063</v>
          </cell>
        </row>
        <row r="1128">
          <cell r="C1128" t="str">
            <v>프랜트기계설치공</v>
          </cell>
          <cell r="D1128">
            <v>0.62</v>
          </cell>
          <cell r="E1128" t="str">
            <v>인</v>
          </cell>
          <cell r="G1128">
            <v>80805</v>
          </cell>
          <cell r="H1128">
            <v>50099</v>
          </cell>
        </row>
        <row r="1129">
          <cell r="E1129" t="str">
            <v xml:space="preserve"> </v>
          </cell>
        </row>
        <row r="1130">
          <cell r="C1130" t="str">
            <v>특 별 인 부</v>
          </cell>
          <cell r="D1130">
            <v>0.372</v>
          </cell>
          <cell r="E1130" t="str">
            <v>인</v>
          </cell>
          <cell r="G1130">
            <v>57379</v>
          </cell>
          <cell r="H1130">
            <v>21344</v>
          </cell>
        </row>
        <row r="1131">
          <cell r="A1131" t="str">
            <v>검사 및 교정</v>
          </cell>
          <cell r="C1131" t="str">
            <v>기술관리 제외한</v>
          </cell>
          <cell r="D1131" t="str">
            <v>1</v>
          </cell>
          <cell r="E1131" t="str">
            <v>식</v>
          </cell>
          <cell r="H1131">
            <v>132177</v>
          </cell>
        </row>
        <row r="1132">
          <cell r="C1132" t="str">
            <v>10%</v>
          </cell>
        </row>
        <row r="1134">
          <cell r="B1134" t="str">
            <v>계</v>
          </cell>
          <cell r="F1134">
            <v>1502694</v>
          </cell>
          <cell r="H1134">
            <v>1502694</v>
          </cell>
        </row>
        <row r="1137">
          <cell r="E1137" t="str">
            <v xml:space="preserve"> </v>
          </cell>
          <cell r="F1137" t="str">
            <v>RADIAL GATE LEAF 제작 사용장비 경비</v>
          </cell>
        </row>
        <row r="1138">
          <cell r="E1138" t="str">
            <v xml:space="preserve"> </v>
          </cell>
        </row>
        <row r="1139">
          <cell r="A1139" t="str">
            <v>종       별</v>
          </cell>
          <cell r="C1139" t="str">
            <v>재 료 또 는</v>
          </cell>
          <cell r="D1139" t="str">
            <v xml:space="preserve">원 수 </v>
          </cell>
          <cell r="E1139" t="str">
            <v>단 위</v>
          </cell>
          <cell r="F1139" t="str">
            <v>총   액</v>
          </cell>
          <cell r="G1139" t="str">
            <v>노   무   비</v>
          </cell>
          <cell r="I1139" t="str">
            <v>재   료   비</v>
          </cell>
          <cell r="K1139" t="str">
            <v>경      비</v>
          </cell>
          <cell r="M1139" t="str">
            <v>비   고</v>
          </cell>
        </row>
        <row r="1140">
          <cell r="C1140" t="str">
            <v xml:space="preserve">규       격 </v>
          </cell>
          <cell r="F1140" t="str">
            <v>금   액</v>
          </cell>
          <cell r="G1140" t="str">
            <v>단  가</v>
          </cell>
          <cell r="H1140" t="str">
            <v>금   액</v>
          </cell>
          <cell r="I1140" t="str">
            <v>단  가</v>
          </cell>
          <cell r="J1140" t="str">
            <v>금   액</v>
          </cell>
          <cell r="K1140" t="str">
            <v>단  가</v>
          </cell>
          <cell r="L1140" t="str">
            <v>금   액</v>
          </cell>
        </row>
        <row r="1141">
          <cell r="A1141" t="str">
            <v>LATHE</v>
          </cell>
          <cell r="C1141" t="str">
            <v>12FT x 7.5HP</v>
          </cell>
          <cell r="D1141">
            <v>0.64</v>
          </cell>
          <cell r="E1141" t="str">
            <v>Hr</v>
          </cell>
          <cell r="G1141">
            <v>3418</v>
          </cell>
          <cell r="H1141">
            <v>2187</v>
          </cell>
          <cell r="K1141">
            <v>3775</v>
          </cell>
          <cell r="L1141">
            <v>2416</v>
          </cell>
        </row>
        <row r="1142">
          <cell r="A1142" t="str">
            <v>PLANER</v>
          </cell>
          <cell r="C1142" t="str">
            <v>4FT x 8FT</v>
          </cell>
          <cell r="D1142">
            <v>0.72</v>
          </cell>
          <cell r="E1142" t="str">
            <v>Hr</v>
          </cell>
          <cell r="G1142">
            <v>3129</v>
          </cell>
          <cell r="H1142">
            <v>2252</v>
          </cell>
          <cell r="K1142">
            <v>2743</v>
          </cell>
          <cell r="L1142">
            <v>1974</v>
          </cell>
        </row>
        <row r="1143">
          <cell r="A1143" t="str">
            <v>BORING M/C</v>
          </cell>
          <cell r="C1143" t="str">
            <v>Hori.type,3HP</v>
          </cell>
          <cell r="D1143">
            <v>1.72</v>
          </cell>
          <cell r="E1143" t="str">
            <v>Hr</v>
          </cell>
          <cell r="G1143">
            <v>3547</v>
          </cell>
          <cell r="H1143">
            <v>6100</v>
          </cell>
          <cell r="K1143">
            <v>8928</v>
          </cell>
          <cell r="L1143">
            <v>15356</v>
          </cell>
        </row>
        <row r="1144">
          <cell r="A1144" t="str">
            <v>UNION MELT WELDER</v>
          </cell>
          <cell r="C1144" t="str">
            <v>5.5 KVA</v>
          </cell>
          <cell r="D1144">
            <v>2.8559999999999999</v>
          </cell>
          <cell r="E1144" t="str">
            <v>Hr</v>
          </cell>
          <cell r="G1144">
            <v>3488</v>
          </cell>
          <cell r="H1144">
            <v>9961</v>
          </cell>
          <cell r="K1144">
            <v>1797</v>
          </cell>
          <cell r="L1144">
            <v>5132</v>
          </cell>
        </row>
        <row r="1145">
          <cell r="A1145" t="str">
            <v>A.C WELDER</v>
          </cell>
          <cell r="C1145" t="str">
            <v>10KVA</v>
          </cell>
          <cell r="D1145">
            <v>8.5679999999999996</v>
          </cell>
          <cell r="E1145" t="str">
            <v>Hr</v>
          </cell>
          <cell r="K1145">
            <v>107</v>
          </cell>
          <cell r="L1145">
            <v>916</v>
          </cell>
        </row>
        <row r="1146">
          <cell r="E1146" t="str">
            <v xml:space="preserve"> </v>
          </cell>
        </row>
        <row r="1147">
          <cell r="A1147" t="str">
            <v>GOUGING M/C</v>
          </cell>
          <cell r="C1147" t="str">
            <v>중 형</v>
          </cell>
          <cell r="D1147">
            <v>3.06</v>
          </cell>
          <cell r="E1147" t="str">
            <v>Hr</v>
          </cell>
          <cell r="G1147">
            <v>3380</v>
          </cell>
          <cell r="H1147">
            <v>10342</v>
          </cell>
          <cell r="K1147">
            <v>670</v>
          </cell>
          <cell r="L1147">
            <v>2050</v>
          </cell>
        </row>
        <row r="1148">
          <cell r="A1148" t="str">
            <v>GAS CUTTING M/C</v>
          </cell>
          <cell r="C1148" t="str">
            <v>Auto형</v>
          </cell>
          <cell r="D1148">
            <v>1.24</v>
          </cell>
          <cell r="E1148" t="str">
            <v>Hr</v>
          </cell>
          <cell r="G1148">
            <v>11922</v>
          </cell>
          <cell r="H1148">
            <v>14783</v>
          </cell>
          <cell r="K1148">
            <v>119</v>
          </cell>
          <cell r="L1148">
            <v>147</v>
          </cell>
        </row>
        <row r="1149">
          <cell r="A1149" t="str">
            <v>GAS CUTTING M/C</v>
          </cell>
          <cell r="C1149" t="str">
            <v>수 동</v>
          </cell>
          <cell r="D1149">
            <v>1.8</v>
          </cell>
          <cell r="E1149" t="str">
            <v>Hr</v>
          </cell>
          <cell r="G1149">
            <v>3974</v>
          </cell>
          <cell r="H1149">
            <v>7153</v>
          </cell>
          <cell r="K1149">
            <v>115</v>
          </cell>
          <cell r="L1149">
            <v>207</v>
          </cell>
        </row>
        <row r="1150">
          <cell r="A1150" t="str">
            <v>GAS HEATING TOUCH</v>
          </cell>
          <cell r="C1150" t="str">
            <v>중 형</v>
          </cell>
          <cell r="D1150">
            <v>3.984</v>
          </cell>
          <cell r="E1150" t="str">
            <v>Hr</v>
          </cell>
          <cell r="G1150">
            <v>3174</v>
          </cell>
          <cell r="H1150">
            <v>12645</v>
          </cell>
          <cell r="K1150">
            <v>115</v>
          </cell>
          <cell r="L1150">
            <v>458</v>
          </cell>
        </row>
        <row r="1152">
          <cell r="A1152" t="str">
            <v>OVER HEAD CRANE</v>
          </cell>
          <cell r="C1152" t="str">
            <v>30 TON</v>
          </cell>
          <cell r="D1152">
            <v>0.75900000000000001</v>
          </cell>
          <cell r="E1152" t="str">
            <v>Hr</v>
          </cell>
          <cell r="G1152">
            <v>9681</v>
          </cell>
          <cell r="H1152">
            <v>7347</v>
          </cell>
          <cell r="K1152">
            <v>3338</v>
          </cell>
          <cell r="L1152">
            <v>2533</v>
          </cell>
        </row>
        <row r="1153">
          <cell r="A1153" t="str">
            <v>OVER HEAD CRANE</v>
          </cell>
          <cell r="C1153" t="str">
            <v>20 TON</v>
          </cell>
          <cell r="D1153">
            <v>0.75900000000000001</v>
          </cell>
          <cell r="E1153" t="str">
            <v>Hr</v>
          </cell>
          <cell r="G1153">
            <v>9681</v>
          </cell>
          <cell r="H1153">
            <v>7347</v>
          </cell>
          <cell r="K1153">
            <v>3338</v>
          </cell>
          <cell r="L1153">
            <v>2533</v>
          </cell>
        </row>
        <row r="1154">
          <cell r="A1154" t="str">
            <v>HYDRO PRESS</v>
          </cell>
          <cell r="C1154" t="str">
            <v>300 TON</v>
          </cell>
          <cell r="D1154">
            <v>1.7709999999999999</v>
          </cell>
          <cell r="E1154" t="str">
            <v>Hr</v>
          </cell>
          <cell r="G1154">
            <v>3281</v>
          </cell>
          <cell r="H1154">
            <v>5810</v>
          </cell>
          <cell r="K1154">
            <v>8463</v>
          </cell>
          <cell r="L1154">
            <v>14987</v>
          </cell>
        </row>
        <row r="1155">
          <cell r="A1155" t="str">
            <v>BENDING ROLLER</v>
          </cell>
          <cell r="C1155" t="str">
            <v>23 FT</v>
          </cell>
          <cell r="D1155">
            <v>1.48</v>
          </cell>
          <cell r="E1155" t="str">
            <v>Hr</v>
          </cell>
          <cell r="G1155">
            <v>4281</v>
          </cell>
          <cell r="H1155">
            <v>6335</v>
          </cell>
          <cell r="K1155">
            <v>6323</v>
          </cell>
          <cell r="L1155">
            <v>9358</v>
          </cell>
        </row>
        <row r="1156">
          <cell r="A1156" t="str">
            <v>EDGE BENDING ROLLER</v>
          </cell>
          <cell r="C1156" t="str">
            <v>23 FT</v>
          </cell>
          <cell r="D1156">
            <v>1.38</v>
          </cell>
          <cell r="E1156" t="str">
            <v>Hr</v>
          </cell>
          <cell r="G1156">
            <v>4281</v>
          </cell>
          <cell r="H1156">
            <v>5907</v>
          </cell>
          <cell r="K1156">
            <v>9484.5</v>
          </cell>
          <cell r="L1156">
            <v>13088</v>
          </cell>
        </row>
        <row r="1158">
          <cell r="A1158" t="str">
            <v>SHEARING M/C</v>
          </cell>
          <cell r="D1158">
            <v>0.64</v>
          </cell>
          <cell r="E1158" t="str">
            <v>Hr</v>
          </cell>
          <cell r="G1158">
            <v>3688</v>
          </cell>
          <cell r="H1158">
            <v>2360</v>
          </cell>
          <cell r="K1158">
            <v>3209</v>
          </cell>
          <cell r="L1158">
            <v>2053</v>
          </cell>
        </row>
        <row r="1159">
          <cell r="A1159" t="str">
            <v>DRILLING M/C</v>
          </cell>
          <cell r="C1159" t="str">
            <v>3 HP</v>
          </cell>
          <cell r="D1159">
            <v>0.36799999999999999</v>
          </cell>
          <cell r="E1159" t="str">
            <v>Hr</v>
          </cell>
          <cell r="G1159">
            <v>3401</v>
          </cell>
          <cell r="H1159">
            <v>1251</v>
          </cell>
          <cell r="K1159">
            <v>576</v>
          </cell>
          <cell r="L1159">
            <v>211</v>
          </cell>
        </row>
        <row r="1160">
          <cell r="A1160" t="str">
            <v>DRILLING M/C</v>
          </cell>
          <cell r="C1160" t="str">
            <v>Radial,5 HP</v>
          </cell>
          <cell r="D1160">
            <v>0.184</v>
          </cell>
          <cell r="E1160" t="str">
            <v>Hr</v>
          </cell>
          <cell r="G1160">
            <v>3401</v>
          </cell>
          <cell r="H1160">
            <v>625</v>
          </cell>
          <cell r="K1160">
            <v>1720</v>
          </cell>
          <cell r="L1160">
            <v>316</v>
          </cell>
        </row>
        <row r="1161">
          <cell r="A1161" t="str">
            <v>PORTABLE DRILL</v>
          </cell>
          <cell r="C1161" t="str">
            <v>0.5 HP</v>
          </cell>
          <cell r="D1161">
            <v>1.532</v>
          </cell>
          <cell r="E1161" t="str">
            <v>Hr</v>
          </cell>
          <cell r="K1161">
            <v>12</v>
          </cell>
          <cell r="L1161">
            <v>18</v>
          </cell>
        </row>
        <row r="1162">
          <cell r="A1162" t="str">
            <v>TRUCK CRANE</v>
          </cell>
          <cell r="C1162" t="str">
            <v>30 TON</v>
          </cell>
          <cell r="D1162">
            <v>0.50600000000000001</v>
          </cell>
          <cell r="E1162" t="str">
            <v>Hr</v>
          </cell>
          <cell r="G1162">
            <v>18615</v>
          </cell>
          <cell r="H1162">
            <v>9419</v>
          </cell>
          <cell r="I1162">
            <v>7046</v>
          </cell>
          <cell r="J1162">
            <v>3565</v>
          </cell>
          <cell r="K1162">
            <v>44939</v>
          </cell>
          <cell r="L1162">
            <v>22739</v>
          </cell>
        </row>
        <row r="1164">
          <cell r="A1164" t="str">
            <v>리프트 트럭</v>
          </cell>
          <cell r="C1164" t="str">
            <v xml:space="preserve"> 5 TON</v>
          </cell>
          <cell r="D1164">
            <v>0.50600000000000001</v>
          </cell>
          <cell r="E1164" t="str">
            <v>Hr</v>
          </cell>
          <cell r="G1164">
            <v>9681</v>
          </cell>
          <cell r="H1164">
            <v>4898</v>
          </cell>
          <cell r="I1164">
            <v>5116.08</v>
          </cell>
          <cell r="J1164">
            <v>2588</v>
          </cell>
          <cell r="K1164">
            <v>4863</v>
          </cell>
          <cell r="L1164">
            <v>2460</v>
          </cell>
        </row>
        <row r="1165">
          <cell r="A1165" t="str">
            <v>TRAILER</v>
          </cell>
          <cell r="C1165" t="str">
            <v>30 TON</v>
          </cell>
          <cell r="D1165">
            <v>0.50600000000000001</v>
          </cell>
          <cell r="E1165" t="str">
            <v>Hr</v>
          </cell>
          <cell r="G1165">
            <v>8683</v>
          </cell>
          <cell r="H1165">
            <v>4393</v>
          </cell>
          <cell r="I1165">
            <v>15763</v>
          </cell>
          <cell r="J1165">
            <v>7976</v>
          </cell>
          <cell r="K1165">
            <v>27414</v>
          </cell>
          <cell r="L1165">
            <v>13871</v>
          </cell>
        </row>
        <row r="1166">
          <cell r="A1166" t="str">
            <v>종       별</v>
          </cell>
          <cell r="C1166" t="str">
            <v>재 료 또 는</v>
          </cell>
          <cell r="D1166" t="str">
            <v xml:space="preserve">원 수 </v>
          </cell>
          <cell r="E1166" t="str">
            <v>단 위</v>
          </cell>
          <cell r="F1166" t="str">
            <v>총   액</v>
          </cell>
          <cell r="G1166" t="str">
            <v>노   무   비</v>
          </cell>
          <cell r="I1166" t="str">
            <v>재   료   비</v>
          </cell>
          <cell r="K1166" t="str">
            <v>경      비</v>
          </cell>
          <cell r="M1166" t="str">
            <v>비   고</v>
          </cell>
        </row>
        <row r="1167">
          <cell r="C1167" t="str">
            <v xml:space="preserve">규       격 </v>
          </cell>
          <cell r="F1167" t="str">
            <v>금   액</v>
          </cell>
          <cell r="G1167" t="str">
            <v>단  가</v>
          </cell>
          <cell r="H1167" t="str">
            <v>금   액</v>
          </cell>
          <cell r="I1167" t="str">
            <v>단  가</v>
          </cell>
          <cell r="J1167" t="str">
            <v>금   액</v>
          </cell>
          <cell r="K1167" t="str">
            <v>단  가</v>
          </cell>
          <cell r="L1167" t="str">
            <v>금   액</v>
          </cell>
        </row>
        <row r="1168">
          <cell r="A1168" t="str">
            <v>COMPRESSOR</v>
          </cell>
          <cell r="C1168" t="str">
            <v>7.1㎥/min</v>
          </cell>
          <cell r="D1168">
            <v>3.79</v>
          </cell>
          <cell r="E1168" t="str">
            <v>Hr</v>
          </cell>
          <cell r="G1168">
            <v>9681</v>
          </cell>
          <cell r="H1168">
            <v>36690</v>
          </cell>
          <cell r="I1168">
            <v>8779</v>
          </cell>
          <cell r="J1168">
            <v>33272</v>
          </cell>
          <cell r="K1168">
            <v>6250</v>
          </cell>
          <cell r="L1168">
            <v>23687</v>
          </cell>
        </row>
        <row r="1170">
          <cell r="B1170" t="str">
            <v>계</v>
          </cell>
          <cell r="F1170">
            <v>341716</v>
          </cell>
          <cell r="H1170">
            <v>157805</v>
          </cell>
          <cell r="J1170">
            <v>47401</v>
          </cell>
          <cell r="K1170" t="str">
            <v xml:space="preserve"> </v>
          </cell>
          <cell r="L1170">
            <v>136510</v>
          </cell>
        </row>
        <row r="1195">
          <cell r="E1195" t="str">
            <v xml:space="preserve"> </v>
          </cell>
          <cell r="F1195" t="str">
            <v>RADIAL GATE LEAF 제작 소모 자재비</v>
          </cell>
        </row>
        <row r="1196">
          <cell r="E1196" t="str">
            <v xml:space="preserve"> </v>
          </cell>
        </row>
        <row r="1197">
          <cell r="A1197" t="str">
            <v>종       별</v>
          </cell>
          <cell r="C1197" t="str">
            <v>재 료 또 는</v>
          </cell>
          <cell r="D1197" t="str">
            <v xml:space="preserve">원 수 </v>
          </cell>
          <cell r="E1197" t="str">
            <v>단 위</v>
          </cell>
          <cell r="F1197" t="str">
            <v>총   액</v>
          </cell>
          <cell r="G1197" t="str">
            <v>노   무   비</v>
          </cell>
          <cell r="I1197" t="str">
            <v>재   료   비</v>
          </cell>
          <cell r="K1197" t="str">
            <v>경      비</v>
          </cell>
          <cell r="M1197" t="str">
            <v>비   고</v>
          </cell>
        </row>
        <row r="1198">
          <cell r="C1198" t="str">
            <v xml:space="preserve">규       격 </v>
          </cell>
          <cell r="F1198" t="str">
            <v>금   액</v>
          </cell>
          <cell r="G1198" t="str">
            <v>단  가</v>
          </cell>
          <cell r="H1198" t="str">
            <v>금   액</v>
          </cell>
          <cell r="I1198" t="str">
            <v>단  가</v>
          </cell>
          <cell r="J1198" t="str">
            <v>금   액</v>
          </cell>
          <cell r="K1198" t="str">
            <v>단  가</v>
          </cell>
          <cell r="L1198" t="str">
            <v>금   액</v>
          </cell>
        </row>
        <row r="1199">
          <cell r="A1199" t="str">
            <v>산       소</v>
          </cell>
          <cell r="C1199" t="str">
            <v>6,000L용</v>
          </cell>
          <cell r="D1199">
            <v>3.76</v>
          </cell>
          <cell r="E1199" t="str">
            <v>병</v>
          </cell>
          <cell r="G1199" t="str">
            <v xml:space="preserve"> </v>
          </cell>
          <cell r="I1199">
            <v>12000</v>
          </cell>
          <cell r="J1199">
            <v>45120</v>
          </cell>
        </row>
        <row r="1200">
          <cell r="A1200" t="str">
            <v>아 세 치 렌</v>
          </cell>
          <cell r="C1200" t="str">
            <v>4,500L용</v>
          </cell>
          <cell r="D1200">
            <v>3.23</v>
          </cell>
          <cell r="E1200" t="str">
            <v>병</v>
          </cell>
          <cell r="I1200">
            <v>55392</v>
          </cell>
          <cell r="J1200">
            <v>178916</v>
          </cell>
        </row>
        <row r="1201">
          <cell r="A1201" t="str">
            <v>함       석</v>
          </cell>
          <cell r="C1201" t="str">
            <v>#31 x 3' x 6'</v>
          </cell>
          <cell r="D1201">
            <v>0.71</v>
          </cell>
          <cell r="E1201" t="str">
            <v>매</v>
          </cell>
          <cell r="I1201">
            <v>2825</v>
          </cell>
          <cell r="J1201">
            <v>2005</v>
          </cell>
        </row>
        <row r="1202">
          <cell r="A1202" t="str">
            <v>용   접  봉</v>
          </cell>
          <cell r="C1202" t="str">
            <v>SS400, 4M/Mx350L</v>
          </cell>
          <cell r="D1202">
            <v>24.99</v>
          </cell>
          <cell r="E1202" t="str">
            <v>KG</v>
          </cell>
          <cell r="I1202">
            <v>1260</v>
          </cell>
          <cell r="J1202">
            <v>31487</v>
          </cell>
        </row>
        <row r="1203">
          <cell r="A1203" t="str">
            <v>전       력</v>
          </cell>
          <cell r="D1203">
            <v>370</v>
          </cell>
          <cell r="E1203" t="str">
            <v>KWH</v>
          </cell>
          <cell r="K1203">
            <v>61.6</v>
          </cell>
          <cell r="L1203">
            <v>22792</v>
          </cell>
        </row>
        <row r="1204">
          <cell r="E1204" t="str">
            <v xml:space="preserve"> </v>
          </cell>
          <cell r="K1204" t="str">
            <v xml:space="preserve"> </v>
          </cell>
        </row>
        <row r="1206">
          <cell r="B1206" t="str">
            <v>계</v>
          </cell>
          <cell r="F1206">
            <v>280320</v>
          </cell>
          <cell r="J1206">
            <v>257528</v>
          </cell>
          <cell r="L1206">
            <v>22792</v>
          </cell>
        </row>
        <row r="1224">
          <cell r="E1224" t="str">
            <v xml:space="preserve"> </v>
          </cell>
          <cell r="F1224" t="str">
            <v>RADIAL GATE GUIDE FRAME 제작 인건비</v>
          </cell>
        </row>
        <row r="1225">
          <cell r="E1225" t="str">
            <v xml:space="preserve"> </v>
          </cell>
        </row>
        <row r="1226">
          <cell r="A1226" t="str">
            <v>종       별</v>
          </cell>
          <cell r="C1226" t="str">
            <v>재 료 또 는</v>
          </cell>
          <cell r="D1226" t="str">
            <v xml:space="preserve">원 수 </v>
          </cell>
          <cell r="E1226" t="str">
            <v>단 위</v>
          </cell>
          <cell r="F1226" t="str">
            <v>총   액</v>
          </cell>
          <cell r="G1226" t="str">
            <v>노   무   비</v>
          </cell>
          <cell r="I1226" t="str">
            <v>재   료   비</v>
          </cell>
          <cell r="K1226" t="str">
            <v>경      비</v>
          </cell>
          <cell r="M1226" t="str">
            <v>비   고</v>
          </cell>
        </row>
        <row r="1227">
          <cell r="C1227" t="str">
            <v xml:space="preserve">규       격 </v>
          </cell>
          <cell r="F1227" t="str">
            <v>금   액</v>
          </cell>
          <cell r="G1227" t="str">
            <v>단  가</v>
          </cell>
          <cell r="H1227" t="str">
            <v>금   액</v>
          </cell>
          <cell r="I1227" t="str">
            <v>단  가</v>
          </cell>
          <cell r="J1227" t="str">
            <v>금   액</v>
          </cell>
          <cell r="K1227" t="str">
            <v>단  가</v>
          </cell>
          <cell r="L1227" t="str">
            <v>금   액</v>
          </cell>
        </row>
        <row r="1228">
          <cell r="A1228" t="str">
            <v>기 술 관 리</v>
          </cell>
          <cell r="C1228" t="str">
            <v>기계기사1급</v>
          </cell>
          <cell r="D1228">
            <v>8</v>
          </cell>
          <cell r="E1228" t="str">
            <v>인</v>
          </cell>
          <cell r="G1228">
            <v>97488</v>
          </cell>
          <cell r="H1228">
            <v>779904</v>
          </cell>
        </row>
        <row r="1229">
          <cell r="A1229" t="str">
            <v>재료 절단 사도</v>
          </cell>
          <cell r="C1229" t="str">
            <v>제   도   공</v>
          </cell>
          <cell r="D1229">
            <v>2</v>
          </cell>
          <cell r="E1229" t="str">
            <v>인</v>
          </cell>
          <cell r="G1229">
            <v>32747</v>
          </cell>
          <cell r="H1229">
            <v>65494</v>
          </cell>
        </row>
        <row r="1230">
          <cell r="A1230" t="str">
            <v xml:space="preserve"> </v>
          </cell>
          <cell r="B1230" t="str">
            <v>현    도</v>
          </cell>
          <cell r="C1230" t="str">
            <v>현   도   공</v>
          </cell>
          <cell r="D1230">
            <v>1.4</v>
          </cell>
          <cell r="E1230" t="str">
            <v>인</v>
          </cell>
          <cell r="G1230">
            <v>28487</v>
          </cell>
          <cell r="H1230">
            <v>39881</v>
          </cell>
        </row>
        <row r="1231">
          <cell r="A1231" t="str">
            <v xml:space="preserve"> </v>
          </cell>
          <cell r="B1231" t="str">
            <v>괘    서</v>
          </cell>
          <cell r="C1231" t="str">
            <v>마   킹   공</v>
          </cell>
          <cell r="D1231">
            <v>2.8</v>
          </cell>
          <cell r="E1231" t="str">
            <v>인</v>
          </cell>
          <cell r="G1231">
            <v>26924</v>
          </cell>
          <cell r="H1231">
            <v>75387</v>
          </cell>
        </row>
        <row r="1232">
          <cell r="A1232" t="str">
            <v xml:space="preserve"> </v>
          </cell>
          <cell r="B1232" t="str">
            <v>절    단</v>
          </cell>
          <cell r="C1232" t="str">
            <v>절   단   공</v>
          </cell>
          <cell r="D1232">
            <v>0.52</v>
          </cell>
          <cell r="E1232" t="str">
            <v>인</v>
          </cell>
          <cell r="G1232">
            <v>65881</v>
          </cell>
          <cell r="H1232">
            <v>34258</v>
          </cell>
        </row>
        <row r="1234">
          <cell r="A1234" t="str">
            <v>단재가공 괘서</v>
          </cell>
          <cell r="C1234" t="str">
            <v>마   킹   공</v>
          </cell>
          <cell r="D1234">
            <v>2.8</v>
          </cell>
          <cell r="E1234" t="str">
            <v>인</v>
          </cell>
          <cell r="G1234">
            <v>26250</v>
          </cell>
          <cell r="H1234">
            <v>73500</v>
          </cell>
        </row>
        <row r="1235">
          <cell r="A1235" t="str">
            <v xml:space="preserve"> </v>
          </cell>
          <cell r="B1235" t="str">
            <v>절    단</v>
          </cell>
          <cell r="C1235" t="str">
            <v>산소 절단공</v>
          </cell>
          <cell r="D1235">
            <v>0.26</v>
          </cell>
          <cell r="E1235" t="str">
            <v>인</v>
          </cell>
          <cell r="G1235">
            <v>31794</v>
          </cell>
          <cell r="H1235">
            <v>8266</v>
          </cell>
        </row>
        <row r="1236">
          <cell r="C1236" t="str">
            <v>프랜트기계설치공</v>
          </cell>
          <cell r="D1236">
            <v>2.2999999999999998</v>
          </cell>
          <cell r="E1236" t="str">
            <v>인</v>
          </cell>
          <cell r="G1236">
            <v>80805</v>
          </cell>
          <cell r="H1236">
            <v>185851</v>
          </cell>
        </row>
        <row r="1237">
          <cell r="B1237" t="str">
            <v>EDGE가공</v>
          </cell>
          <cell r="C1237" t="str">
            <v>산소 절단공</v>
          </cell>
          <cell r="D1237">
            <v>1.1000000000000001</v>
          </cell>
          <cell r="E1237" t="str">
            <v>인</v>
          </cell>
          <cell r="G1237">
            <v>31794</v>
          </cell>
          <cell r="H1237">
            <v>34973</v>
          </cell>
        </row>
        <row r="1238">
          <cell r="A1238" t="str">
            <v xml:space="preserve"> </v>
          </cell>
          <cell r="B1238" t="str">
            <v>용    접</v>
          </cell>
          <cell r="C1238" t="str">
            <v>프랜트 용접공</v>
          </cell>
          <cell r="D1238">
            <v>0.78</v>
          </cell>
          <cell r="E1238" t="str">
            <v>인</v>
          </cell>
          <cell r="G1238">
            <v>95379</v>
          </cell>
          <cell r="H1238">
            <v>74395</v>
          </cell>
        </row>
        <row r="1240">
          <cell r="A1240" t="str">
            <v xml:space="preserve"> </v>
          </cell>
          <cell r="B1240" t="str">
            <v>교    정</v>
          </cell>
          <cell r="C1240" t="str">
            <v>프랜트 제관공</v>
          </cell>
          <cell r="D1240">
            <v>0.75</v>
          </cell>
          <cell r="E1240" t="str">
            <v>인</v>
          </cell>
          <cell r="G1240">
            <v>81966</v>
          </cell>
          <cell r="H1240">
            <v>61474</v>
          </cell>
        </row>
        <row r="1241">
          <cell r="B1241" t="str">
            <v>HOLING</v>
          </cell>
          <cell r="C1241" t="str">
            <v>프랜트 제관공</v>
          </cell>
          <cell r="D1241">
            <v>0.62</v>
          </cell>
          <cell r="E1241" t="str">
            <v>인</v>
          </cell>
          <cell r="G1241">
            <v>81966</v>
          </cell>
          <cell r="H1241">
            <v>50818</v>
          </cell>
        </row>
        <row r="1242">
          <cell r="A1242" t="str">
            <v>부분조립,취부조정</v>
          </cell>
          <cell r="C1242" t="str">
            <v>프랜트기계설치공</v>
          </cell>
          <cell r="D1242">
            <v>6.2</v>
          </cell>
          <cell r="E1242" t="str">
            <v>인</v>
          </cell>
          <cell r="G1242">
            <v>80805</v>
          </cell>
          <cell r="H1242">
            <v>500991</v>
          </cell>
        </row>
        <row r="1243">
          <cell r="A1243" t="str">
            <v xml:space="preserve"> </v>
          </cell>
          <cell r="B1243" t="str">
            <v>용    접</v>
          </cell>
          <cell r="C1243" t="str">
            <v>프랜트 용접공</v>
          </cell>
          <cell r="D1243">
            <v>3.9</v>
          </cell>
          <cell r="E1243" t="str">
            <v>인</v>
          </cell>
          <cell r="G1243">
            <v>95379</v>
          </cell>
          <cell r="H1243">
            <v>371978</v>
          </cell>
        </row>
        <row r="1244">
          <cell r="A1244" t="str">
            <v xml:space="preserve"> </v>
          </cell>
          <cell r="B1244" t="str">
            <v>교    정</v>
          </cell>
          <cell r="C1244" t="str">
            <v>프랜트 제관공</v>
          </cell>
          <cell r="D1244">
            <v>1.75</v>
          </cell>
          <cell r="E1244" t="str">
            <v>인</v>
          </cell>
          <cell r="G1244">
            <v>81966</v>
          </cell>
          <cell r="H1244">
            <v>143440</v>
          </cell>
        </row>
        <row r="1246">
          <cell r="A1246" t="str">
            <v>기 계 가 공</v>
          </cell>
          <cell r="C1246" t="str">
            <v>기   계   공</v>
          </cell>
          <cell r="D1246">
            <v>10</v>
          </cell>
          <cell r="E1246" t="str">
            <v>인</v>
          </cell>
          <cell r="G1246">
            <v>58906</v>
          </cell>
          <cell r="H1246">
            <v>589060</v>
          </cell>
        </row>
        <row r="1247">
          <cell r="A1247" t="str">
            <v>가 조 립,조 립</v>
          </cell>
          <cell r="C1247" t="str">
            <v>프랜트기계설치공</v>
          </cell>
          <cell r="D1247">
            <v>2</v>
          </cell>
          <cell r="E1247" t="str">
            <v>인</v>
          </cell>
          <cell r="G1247">
            <v>80805</v>
          </cell>
          <cell r="H1247">
            <v>161610</v>
          </cell>
        </row>
        <row r="1248">
          <cell r="A1248" t="str">
            <v xml:space="preserve"> </v>
          </cell>
          <cell r="B1248" t="str">
            <v>해    체</v>
          </cell>
          <cell r="C1248" t="str">
            <v>프랜트기계설치공</v>
          </cell>
          <cell r="D1248">
            <v>1</v>
          </cell>
          <cell r="E1248" t="str">
            <v>인</v>
          </cell>
          <cell r="G1248">
            <v>80805</v>
          </cell>
          <cell r="H1248">
            <v>80805</v>
          </cell>
        </row>
        <row r="1249">
          <cell r="A1249" t="str">
            <v>운 반 조 작</v>
          </cell>
          <cell r="C1249" t="str">
            <v>특수 비계공</v>
          </cell>
          <cell r="D1249">
            <v>5</v>
          </cell>
          <cell r="E1249" t="str">
            <v>인</v>
          </cell>
          <cell r="G1249">
            <v>85884</v>
          </cell>
          <cell r="H1249">
            <v>429420</v>
          </cell>
        </row>
        <row r="1250">
          <cell r="A1250" t="str">
            <v>동 력 조 작</v>
          </cell>
          <cell r="C1250" t="str">
            <v>프랜트 전공</v>
          </cell>
          <cell r="D1250">
            <v>2</v>
          </cell>
          <cell r="E1250" t="str">
            <v>인</v>
          </cell>
          <cell r="G1250">
            <v>64285</v>
          </cell>
          <cell r="H1250">
            <v>128570</v>
          </cell>
        </row>
        <row r="1252">
          <cell r="A1252" t="str">
            <v xml:space="preserve">      보 조</v>
          </cell>
          <cell r="C1252" t="str">
            <v>특 별 인 부</v>
          </cell>
          <cell r="D1252">
            <v>2.5</v>
          </cell>
          <cell r="E1252" t="str">
            <v>인</v>
          </cell>
          <cell r="G1252">
            <v>57379</v>
          </cell>
          <cell r="H1252">
            <v>143447</v>
          </cell>
        </row>
        <row r="1253">
          <cell r="A1253" t="str">
            <v>종       별</v>
          </cell>
          <cell r="C1253" t="str">
            <v>재 료 또 는</v>
          </cell>
          <cell r="D1253" t="str">
            <v xml:space="preserve">원 수 </v>
          </cell>
          <cell r="E1253" t="str">
            <v>단 위</v>
          </cell>
          <cell r="F1253" t="str">
            <v>총   액</v>
          </cell>
          <cell r="G1253" t="str">
            <v>노   무   비</v>
          </cell>
          <cell r="I1253" t="str">
            <v>재   료   비</v>
          </cell>
          <cell r="K1253" t="str">
            <v>경      비</v>
          </cell>
          <cell r="M1253" t="str">
            <v>비   고</v>
          </cell>
        </row>
        <row r="1254">
          <cell r="C1254" t="str">
            <v xml:space="preserve">규       격 </v>
          </cell>
          <cell r="F1254" t="str">
            <v>금   액</v>
          </cell>
          <cell r="G1254" t="str">
            <v>단  가</v>
          </cell>
          <cell r="H1254" t="str">
            <v>금   액</v>
          </cell>
          <cell r="I1254" t="str">
            <v>단  가</v>
          </cell>
          <cell r="J1254" t="str">
            <v>금   액</v>
          </cell>
          <cell r="K1254" t="str">
            <v>단  가</v>
          </cell>
          <cell r="L1254" t="str">
            <v>금   액</v>
          </cell>
        </row>
        <row r="1255">
          <cell r="A1255" t="str">
            <v>검      사</v>
          </cell>
          <cell r="C1255" t="str">
            <v>노무비의 7%</v>
          </cell>
          <cell r="D1255" t="str">
            <v>1</v>
          </cell>
          <cell r="E1255" t="str">
            <v>식</v>
          </cell>
          <cell r="H1255">
            <v>282346</v>
          </cell>
        </row>
        <row r="1256">
          <cell r="E1256" t="str">
            <v xml:space="preserve"> </v>
          </cell>
          <cell r="F1256" t="str">
            <v xml:space="preserve"> </v>
          </cell>
          <cell r="H1256" t="str">
            <v xml:space="preserve"> </v>
          </cell>
        </row>
        <row r="1257">
          <cell r="A1257" t="str">
            <v xml:space="preserve">       계</v>
          </cell>
          <cell r="F1257">
            <v>4315868</v>
          </cell>
          <cell r="H1257">
            <v>4315868</v>
          </cell>
        </row>
        <row r="1282">
          <cell r="E1282" t="str">
            <v xml:space="preserve"> </v>
          </cell>
          <cell r="F1282" t="str">
            <v>RADIAL GATE GUIDE FRAME 제작 소모 자재비</v>
          </cell>
        </row>
        <row r="1283">
          <cell r="E1283" t="str">
            <v xml:space="preserve"> </v>
          </cell>
        </row>
        <row r="1284">
          <cell r="A1284" t="str">
            <v>종       별</v>
          </cell>
          <cell r="C1284" t="str">
            <v>재 료 또 는</v>
          </cell>
          <cell r="D1284" t="str">
            <v xml:space="preserve">원 수 </v>
          </cell>
          <cell r="E1284" t="str">
            <v>단 위</v>
          </cell>
          <cell r="F1284" t="str">
            <v>총   액</v>
          </cell>
          <cell r="G1284" t="str">
            <v>노   무   비</v>
          </cell>
          <cell r="I1284" t="str">
            <v>재   료   비</v>
          </cell>
          <cell r="K1284" t="str">
            <v>경      비</v>
          </cell>
          <cell r="M1284" t="str">
            <v>비   고</v>
          </cell>
        </row>
        <row r="1285">
          <cell r="C1285" t="str">
            <v xml:space="preserve">규       격 </v>
          </cell>
          <cell r="F1285" t="str">
            <v>금   액</v>
          </cell>
          <cell r="G1285" t="str">
            <v>단  가</v>
          </cell>
          <cell r="H1285" t="str">
            <v>금   액</v>
          </cell>
          <cell r="I1285" t="str">
            <v>단  가</v>
          </cell>
          <cell r="J1285" t="str">
            <v>금   액</v>
          </cell>
          <cell r="K1285" t="str">
            <v>단  가</v>
          </cell>
          <cell r="L1285" t="str">
            <v>금   액</v>
          </cell>
        </row>
        <row r="1286">
          <cell r="A1286" t="str">
            <v>산       소</v>
          </cell>
          <cell r="C1286" t="str">
            <v>6,000L용</v>
          </cell>
          <cell r="D1286">
            <v>2.2000000000000002</v>
          </cell>
          <cell r="E1286" t="str">
            <v>병</v>
          </cell>
          <cell r="G1286" t="str">
            <v xml:space="preserve"> </v>
          </cell>
          <cell r="I1286">
            <v>12000</v>
          </cell>
          <cell r="J1286">
            <v>26400</v>
          </cell>
        </row>
        <row r="1287">
          <cell r="A1287" t="str">
            <v>아 세 치 렌</v>
          </cell>
          <cell r="C1287" t="str">
            <v>2,100L용</v>
          </cell>
          <cell r="D1287">
            <v>1.6</v>
          </cell>
          <cell r="E1287" t="str">
            <v>병</v>
          </cell>
          <cell r="I1287">
            <v>25849</v>
          </cell>
          <cell r="J1287">
            <v>41358</v>
          </cell>
        </row>
        <row r="1288">
          <cell r="A1288" t="str">
            <v>함       석</v>
          </cell>
          <cell r="C1288" t="str">
            <v>#32 x 3' x 6'</v>
          </cell>
          <cell r="D1288">
            <v>1.7</v>
          </cell>
          <cell r="E1288" t="str">
            <v>매</v>
          </cell>
          <cell r="I1288">
            <v>2597</v>
          </cell>
          <cell r="J1288">
            <v>4414</v>
          </cell>
        </row>
        <row r="1289">
          <cell r="A1289" t="str">
            <v>용   접  봉</v>
          </cell>
          <cell r="C1289" t="str">
            <v>SS41+STS304,4M/M</v>
          </cell>
          <cell r="D1289">
            <v>22.5</v>
          </cell>
          <cell r="E1289" t="str">
            <v>KG</v>
          </cell>
          <cell r="I1289">
            <v>3360</v>
          </cell>
          <cell r="J1289">
            <v>75600</v>
          </cell>
        </row>
        <row r="1290">
          <cell r="A1290" t="str">
            <v>전       력</v>
          </cell>
          <cell r="D1290">
            <v>595</v>
          </cell>
          <cell r="E1290" t="str">
            <v>KWH</v>
          </cell>
          <cell r="I1290" t="str">
            <v xml:space="preserve"> </v>
          </cell>
          <cell r="K1290">
            <v>61.6</v>
          </cell>
          <cell r="L1290">
            <v>36652</v>
          </cell>
        </row>
        <row r="1291">
          <cell r="A1291" t="str">
            <v xml:space="preserve"> </v>
          </cell>
          <cell r="C1291" t="str">
            <v xml:space="preserve"> </v>
          </cell>
          <cell r="D1291" t="str">
            <v xml:space="preserve"> </v>
          </cell>
          <cell r="E1291" t="str">
            <v xml:space="preserve"> </v>
          </cell>
          <cell r="I1291" t="str">
            <v xml:space="preserve">  </v>
          </cell>
          <cell r="K1291" t="str">
            <v xml:space="preserve"> </v>
          </cell>
        </row>
        <row r="1293">
          <cell r="L1293" t="str">
            <v xml:space="preserve"> </v>
          </cell>
        </row>
        <row r="1294">
          <cell r="B1294" t="str">
            <v>계</v>
          </cell>
          <cell r="F1294">
            <v>184424</v>
          </cell>
          <cell r="J1294">
            <v>147772</v>
          </cell>
          <cell r="L1294">
            <v>36652</v>
          </cell>
        </row>
        <row r="1295">
          <cell r="F1295" t="str">
            <v xml:space="preserve"> </v>
          </cell>
          <cell r="J1295" t="str">
            <v xml:space="preserve"> </v>
          </cell>
          <cell r="L1295" t="str">
            <v xml:space="preserve"> </v>
          </cell>
        </row>
        <row r="1296">
          <cell r="F1296" t="str">
            <v xml:space="preserve"> </v>
          </cell>
          <cell r="J1296" t="str">
            <v xml:space="preserve"> </v>
          </cell>
          <cell r="L1296" t="str">
            <v xml:space="preserve"> </v>
          </cell>
        </row>
        <row r="1297">
          <cell r="F1297" t="str">
            <v xml:space="preserve"> </v>
          </cell>
          <cell r="J1297" t="str">
            <v xml:space="preserve"> </v>
          </cell>
          <cell r="L1297" t="str">
            <v xml:space="preserve"> </v>
          </cell>
        </row>
        <row r="1298">
          <cell r="F1298" t="str">
            <v xml:space="preserve"> </v>
          </cell>
          <cell r="J1298" t="str">
            <v xml:space="preserve"> </v>
          </cell>
          <cell r="L1298" t="str">
            <v xml:space="preserve"> </v>
          </cell>
        </row>
        <row r="1299">
          <cell r="F1299" t="str">
            <v xml:space="preserve"> </v>
          </cell>
          <cell r="J1299" t="str">
            <v xml:space="preserve"> </v>
          </cell>
          <cell r="L1299" t="str">
            <v xml:space="preserve"> </v>
          </cell>
        </row>
        <row r="1300">
          <cell r="F1300" t="str">
            <v xml:space="preserve"> </v>
          </cell>
          <cell r="J1300" t="str">
            <v xml:space="preserve"> </v>
          </cell>
          <cell r="L1300" t="str">
            <v xml:space="preserve"> </v>
          </cell>
        </row>
        <row r="1301">
          <cell r="F1301" t="str">
            <v xml:space="preserve"> </v>
          </cell>
          <cell r="J1301" t="str">
            <v xml:space="preserve"> </v>
          </cell>
          <cell r="L1301" t="str">
            <v xml:space="preserve"> </v>
          </cell>
        </row>
        <row r="1302">
          <cell r="F1302" t="str">
            <v xml:space="preserve"> </v>
          </cell>
          <cell r="J1302" t="str">
            <v xml:space="preserve"> </v>
          </cell>
          <cell r="L1302" t="str">
            <v xml:space="preserve"> </v>
          </cell>
        </row>
        <row r="1303">
          <cell r="F1303" t="str">
            <v xml:space="preserve"> </v>
          </cell>
          <cell r="J1303" t="str">
            <v xml:space="preserve"> </v>
          </cell>
          <cell r="L1303" t="str">
            <v xml:space="preserve"> </v>
          </cell>
        </row>
        <row r="1304">
          <cell r="F1304" t="str">
            <v xml:space="preserve"> </v>
          </cell>
          <cell r="J1304" t="str">
            <v xml:space="preserve"> </v>
          </cell>
          <cell r="L1304" t="str">
            <v xml:space="preserve"> </v>
          </cell>
        </row>
        <row r="1305">
          <cell r="F1305" t="str">
            <v xml:space="preserve"> </v>
          </cell>
          <cell r="J1305" t="str">
            <v xml:space="preserve"> </v>
          </cell>
          <cell r="L1305" t="str">
            <v xml:space="preserve"> </v>
          </cell>
        </row>
        <row r="1306">
          <cell r="F1306" t="str">
            <v xml:space="preserve"> </v>
          </cell>
          <cell r="J1306" t="str">
            <v xml:space="preserve"> </v>
          </cell>
          <cell r="L1306" t="str">
            <v xml:space="preserve"> </v>
          </cell>
        </row>
        <row r="1307">
          <cell r="F1307" t="str">
            <v xml:space="preserve"> </v>
          </cell>
          <cell r="J1307" t="str">
            <v xml:space="preserve"> </v>
          </cell>
          <cell r="L1307" t="str">
            <v xml:space="preserve"> </v>
          </cell>
        </row>
        <row r="1308">
          <cell r="F1308" t="str">
            <v xml:space="preserve"> </v>
          </cell>
          <cell r="J1308" t="str">
            <v xml:space="preserve"> </v>
          </cell>
          <cell r="L1308" t="str">
            <v xml:space="preserve"> </v>
          </cell>
        </row>
        <row r="1309">
          <cell r="F1309" t="str">
            <v xml:space="preserve"> </v>
          </cell>
          <cell r="J1309" t="str">
            <v xml:space="preserve"> </v>
          </cell>
          <cell r="L1309" t="str">
            <v xml:space="preserve"> </v>
          </cell>
        </row>
        <row r="1310">
          <cell r="F1310" t="str">
            <v xml:space="preserve"> </v>
          </cell>
          <cell r="J1310" t="str">
            <v xml:space="preserve"> </v>
          </cell>
          <cell r="L1310" t="str">
            <v xml:space="preserve"> </v>
          </cell>
        </row>
        <row r="1311">
          <cell r="E1311" t="str">
            <v xml:space="preserve"> </v>
          </cell>
          <cell r="F1311" t="str">
            <v>RADIAL GATE ANCHORAGE 제작 인건비</v>
          </cell>
        </row>
        <row r="1312">
          <cell r="E1312" t="str">
            <v xml:space="preserve"> </v>
          </cell>
        </row>
        <row r="1313">
          <cell r="A1313" t="str">
            <v>종       별</v>
          </cell>
          <cell r="C1313" t="str">
            <v>재 료 또 는</v>
          </cell>
          <cell r="D1313" t="str">
            <v xml:space="preserve">원 수 </v>
          </cell>
          <cell r="E1313" t="str">
            <v>단 위</v>
          </cell>
          <cell r="F1313" t="str">
            <v>총   액</v>
          </cell>
          <cell r="G1313" t="str">
            <v>노   무   비</v>
          </cell>
          <cell r="I1313" t="str">
            <v>재   료   비</v>
          </cell>
          <cell r="K1313" t="str">
            <v>경      비</v>
          </cell>
          <cell r="M1313" t="str">
            <v>비   고</v>
          </cell>
        </row>
        <row r="1314">
          <cell r="C1314" t="str">
            <v xml:space="preserve">규       격 </v>
          </cell>
          <cell r="F1314" t="str">
            <v>금   액</v>
          </cell>
          <cell r="G1314" t="str">
            <v>단  가</v>
          </cell>
          <cell r="H1314" t="str">
            <v>금   액</v>
          </cell>
          <cell r="I1314" t="str">
            <v>단  가</v>
          </cell>
          <cell r="J1314" t="str">
            <v>금   액</v>
          </cell>
          <cell r="K1314" t="str">
            <v>단  가</v>
          </cell>
          <cell r="L1314" t="str">
            <v>금   액</v>
          </cell>
        </row>
        <row r="1315">
          <cell r="A1315" t="str">
            <v>기 술 관 리</v>
          </cell>
          <cell r="C1315" t="str">
            <v>기계기사1급</v>
          </cell>
          <cell r="D1315">
            <v>1.6</v>
          </cell>
          <cell r="E1315" t="str">
            <v>인</v>
          </cell>
          <cell r="G1315">
            <v>97488</v>
          </cell>
          <cell r="H1315">
            <v>155980</v>
          </cell>
        </row>
        <row r="1316">
          <cell r="A1316" t="str">
            <v>재료 절단 사도</v>
          </cell>
          <cell r="C1316" t="str">
            <v>제   도   공</v>
          </cell>
          <cell r="D1316">
            <v>0.5</v>
          </cell>
          <cell r="E1316" t="str">
            <v>인</v>
          </cell>
          <cell r="G1316">
            <v>32747</v>
          </cell>
          <cell r="H1316">
            <v>16373</v>
          </cell>
        </row>
        <row r="1317">
          <cell r="A1317" t="str">
            <v xml:space="preserve"> </v>
          </cell>
          <cell r="B1317" t="str">
            <v>현    도</v>
          </cell>
          <cell r="C1317" t="str">
            <v>현   도   공</v>
          </cell>
          <cell r="D1317">
            <v>0.2</v>
          </cell>
          <cell r="E1317" t="str">
            <v>인</v>
          </cell>
          <cell r="G1317">
            <v>28487</v>
          </cell>
          <cell r="H1317">
            <v>5697</v>
          </cell>
        </row>
        <row r="1318">
          <cell r="A1318" t="str">
            <v xml:space="preserve"> </v>
          </cell>
          <cell r="B1318" t="str">
            <v>괘    서</v>
          </cell>
          <cell r="C1318" t="str">
            <v>마   킹   공</v>
          </cell>
          <cell r="D1318">
            <v>1.3</v>
          </cell>
          <cell r="E1318" t="str">
            <v>인</v>
          </cell>
          <cell r="G1318">
            <v>26924</v>
          </cell>
          <cell r="H1318">
            <v>35001</v>
          </cell>
        </row>
        <row r="1319">
          <cell r="B1319" t="str">
            <v>절    단</v>
          </cell>
          <cell r="C1319" t="str">
            <v>절   단   공</v>
          </cell>
          <cell r="D1319">
            <v>0.28000000000000003</v>
          </cell>
          <cell r="E1319" t="str">
            <v>인</v>
          </cell>
          <cell r="G1319">
            <v>65881</v>
          </cell>
          <cell r="H1319">
            <v>18446</v>
          </cell>
        </row>
        <row r="1321">
          <cell r="A1321" t="str">
            <v xml:space="preserve"> </v>
          </cell>
          <cell r="B1321" t="str">
            <v>교    정</v>
          </cell>
          <cell r="C1321" t="str">
            <v>프랜트 제관공</v>
          </cell>
          <cell r="D1321">
            <v>0.5</v>
          </cell>
          <cell r="E1321" t="str">
            <v>인</v>
          </cell>
          <cell r="G1321">
            <v>81966</v>
          </cell>
          <cell r="H1321">
            <v>40983</v>
          </cell>
        </row>
        <row r="1322">
          <cell r="A1322" t="str">
            <v>단재가공 괘서</v>
          </cell>
          <cell r="C1322" t="str">
            <v>마   킹   공</v>
          </cell>
          <cell r="D1322">
            <v>1.3</v>
          </cell>
          <cell r="E1322" t="str">
            <v>인</v>
          </cell>
          <cell r="G1322">
            <v>26924</v>
          </cell>
          <cell r="H1322">
            <v>35001</v>
          </cell>
        </row>
        <row r="1323">
          <cell r="A1323" t="str">
            <v xml:space="preserve"> </v>
          </cell>
          <cell r="B1323" t="str">
            <v>절    단</v>
          </cell>
          <cell r="C1323" t="str">
            <v>절   단   공</v>
          </cell>
          <cell r="D1323">
            <v>0.14000000000000001</v>
          </cell>
          <cell r="E1323" t="str">
            <v>인</v>
          </cell>
          <cell r="G1323">
            <v>65881</v>
          </cell>
          <cell r="H1323">
            <v>9223</v>
          </cell>
        </row>
        <row r="1324">
          <cell r="A1324" t="str">
            <v>EDGE     가공</v>
          </cell>
          <cell r="C1324" t="str">
            <v>산 소 절 단 공</v>
          </cell>
          <cell r="D1324">
            <v>0.14000000000000001</v>
          </cell>
          <cell r="E1324" t="str">
            <v>인</v>
          </cell>
          <cell r="G1324">
            <v>31794</v>
          </cell>
          <cell r="H1324">
            <v>4451</v>
          </cell>
        </row>
        <row r="1325">
          <cell r="A1325" t="str">
            <v xml:space="preserve"> </v>
          </cell>
          <cell r="B1325" t="str">
            <v>용    접</v>
          </cell>
          <cell r="C1325" t="str">
            <v>프랜트 용접공</v>
          </cell>
          <cell r="D1325">
            <v>1</v>
          </cell>
          <cell r="E1325" t="str">
            <v>인</v>
          </cell>
          <cell r="G1325">
            <v>95379</v>
          </cell>
          <cell r="H1325">
            <v>95379</v>
          </cell>
        </row>
        <row r="1327">
          <cell r="B1327" t="str">
            <v>교    정</v>
          </cell>
          <cell r="C1327" t="str">
            <v>프랜트 제관공</v>
          </cell>
          <cell r="D1327">
            <v>0.75</v>
          </cell>
          <cell r="E1327" t="str">
            <v>인</v>
          </cell>
          <cell r="G1327">
            <v>81966</v>
          </cell>
          <cell r="H1327">
            <v>61474</v>
          </cell>
          <cell r="M1327" t="str">
            <v xml:space="preserve"> </v>
          </cell>
        </row>
        <row r="1328">
          <cell r="A1328" t="str">
            <v>HOLING</v>
          </cell>
          <cell r="C1328" t="str">
            <v>프랜트 제관공</v>
          </cell>
          <cell r="D1328">
            <v>0.37</v>
          </cell>
          <cell r="E1328" t="str">
            <v>인</v>
          </cell>
          <cell r="G1328">
            <v>81966</v>
          </cell>
          <cell r="H1328">
            <v>30327</v>
          </cell>
        </row>
        <row r="1329">
          <cell r="A1329" t="str">
            <v>부분조립취부조정</v>
          </cell>
          <cell r="C1329" t="str">
            <v>프랜트기계설치공</v>
          </cell>
          <cell r="D1329">
            <v>2.5</v>
          </cell>
          <cell r="E1329" t="str">
            <v>인</v>
          </cell>
          <cell r="G1329">
            <v>80805</v>
          </cell>
          <cell r="H1329">
            <v>202012</v>
          </cell>
        </row>
        <row r="1330">
          <cell r="B1330" t="str">
            <v>용    접</v>
          </cell>
          <cell r="C1330" t="str">
            <v>프랜트 용접공</v>
          </cell>
          <cell r="D1330">
            <v>6.8</v>
          </cell>
          <cell r="E1330" t="str">
            <v>인</v>
          </cell>
          <cell r="G1330">
            <v>95379</v>
          </cell>
          <cell r="H1330">
            <v>648577</v>
          </cell>
        </row>
        <row r="1331">
          <cell r="B1331" t="str">
            <v>절    단</v>
          </cell>
          <cell r="C1331" t="str">
            <v>산 소 절 단 공</v>
          </cell>
          <cell r="D1331">
            <v>0.08</v>
          </cell>
          <cell r="E1331" t="str">
            <v>인</v>
          </cell>
          <cell r="G1331">
            <v>31794</v>
          </cell>
          <cell r="H1331">
            <v>2543</v>
          </cell>
        </row>
        <row r="1332">
          <cell r="E1332" t="str">
            <v xml:space="preserve"> </v>
          </cell>
        </row>
        <row r="1333">
          <cell r="A1333" t="str">
            <v>부분조립 수정</v>
          </cell>
          <cell r="C1333" t="str">
            <v>프랜트 제관공</v>
          </cell>
          <cell r="D1333">
            <v>1.75</v>
          </cell>
          <cell r="E1333" t="str">
            <v>인</v>
          </cell>
          <cell r="G1333">
            <v>81966</v>
          </cell>
          <cell r="H1333">
            <v>143440</v>
          </cell>
        </row>
        <row r="1334">
          <cell r="A1334" t="str">
            <v>GRINDING</v>
          </cell>
          <cell r="C1334" t="str">
            <v>프랜트 제관공</v>
          </cell>
          <cell r="D1334">
            <v>1.5</v>
          </cell>
          <cell r="E1334" t="str">
            <v>인</v>
          </cell>
          <cell r="G1334">
            <v>81966</v>
          </cell>
          <cell r="H1334">
            <v>122949</v>
          </cell>
        </row>
        <row r="1335">
          <cell r="C1335" t="str">
            <v>연 마 공 (기계)</v>
          </cell>
          <cell r="D1335">
            <v>0.13</v>
          </cell>
          <cell r="E1335" t="str">
            <v>인</v>
          </cell>
          <cell r="G1335">
            <v>26032</v>
          </cell>
          <cell r="H1335">
            <v>3384</v>
          </cell>
        </row>
        <row r="1336">
          <cell r="A1336" t="str">
            <v>가 조 립 조립</v>
          </cell>
          <cell r="C1336" t="str">
            <v>프랜트기계설치공</v>
          </cell>
          <cell r="D1336">
            <v>2</v>
          </cell>
          <cell r="E1336" t="str">
            <v>인</v>
          </cell>
          <cell r="G1336">
            <v>80805</v>
          </cell>
          <cell r="H1336">
            <v>161610</v>
          </cell>
        </row>
        <row r="1337">
          <cell r="B1337" t="str">
            <v>해    체</v>
          </cell>
          <cell r="C1337" t="str">
            <v>프랜트기계설치공</v>
          </cell>
          <cell r="D1337">
            <v>1</v>
          </cell>
          <cell r="E1337" t="str">
            <v>인</v>
          </cell>
          <cell r="G1337">
            <v>80805</v>
          </cell>
          <cell r="H1337">
            <v>80805</v>
          </cell>
        </row>
        <row r="1338">
          <cell r="E1338" t="str">
            <v xml:space="preserve"> </v>
          </cell>
        </row>
        <row r="1339">
          <cell r="A1339" t="str">
            <v>운 반 조 작</v>
          </cell>
          <cell r="C1339" t="str">
            <v>특 수 비 계 공</v>
          </cell>
          <cell r="D1339">
            <v>3.3</v>
          </cell>
          <cell r="E1339" t="str">
            <v>인</v>
          </cell>
          <cell r="G1339">
            <v>85884</v>
          </cell>
          <cell r="H1339">
            <v>283417</v>
          </cell>
        </row>
        <row r="1340">
          <cell r="A1340" t="str">
            <v>종       별</v>
          </cell>
          <cell r="C1340" t="str">
            <v>재 료 또 는</v>
          </cell>
          <cell r="D1340" t="str">
            <v xml:space="preserve">원 수 </v>
          </cell>
          <cell r="E1340" t="str">
            <v>단 위</v>
          </cell>
          <cell r="F1340" t="str">
            <v>총   액</v>
          </cell>
          <cell r="G1340" t="str">
            <v>노   무   비</v>
          </cell>
          <cell r="I1340" t="str">
            <v>재   료   비</v>
          </cell>
          <cell r="K1340" t="str">
            <v>경      비</v>
          </cell>
          <cell r="M1340" t="str">
            <v>비   고</v>
          </cell>
        </row>
        <row r="1341">
          <cell r="C1341" t="str">
            <v xml:space="preserve">규       격 </v>
          </cell>
          <cell r="F1341" t="str">
            <v>금   액</v>
          </cell>
          <cell r="G1341" t="str">
            <v>단  가</v>
          </cell>
          <cell r="H1341" t="str">
            <v>금   액</v>
          </cell>
          <cell r="I1341" t="str">
            <v>단  가</v>
          </cell>
          <cell r="J1341" t="str">
            <v>금   액</v>
          </cell>
          <cell r="K1341" t="str">
            <v>단  가</v>
          </cell>
          <cell r="L1341" t="str">
            <v>금   액</v>
          </cell>
        </row>
        <row r="1342">
          <cell r="A1342" t="str">
            <v>동 력 조 작</v>
          </cell>
          <cell r="C1342" t="str">
            <v>프 랜 트 전 공</v>
          </cell>
          <cell r="D1342">
            <v>0.66</v>
          </cell>
          <cell r="E1342" t="str">
            <v>인</v>
          </cell>
          <cell r="G1342">
            <v>64285</v>
          </cell>
          <cell r="H1342">
            <v>42428</v>
          </cell>
        </row>
        <row r="1343">
          <cell r="B1343" t="str">
            <v xml:space="preserve">보    조  </v>
          </cell>
          <cell r="C1343" t="str">
            <v>특 별 인 부</v>
          </cell>
          <cell r="D1343">
            <v>14.3</v>
          </cell>
          <cell r="E1343" t="str">
            <v>인</v>
          </cell>
          <cell r="G1343">
            <v>57379</v>
          </cell>
          <cell r="H1343">
            <v>820519</v>
          </cell>
        </row>
        <row r="1344">
          <cell r="B1344" t="str">
            <v xml:space="preserve">검    사  </v>
          </cell>
          <cell r="C1344" t="str">
            <v>7 %</v>
          </cell>
          <cell r="D1344">
            <v>1</v>
          </cell>
          <cell r="E1344" t="str">
            <v>식</v>
          </cell>
          <cell r="H1344">
            <v>211401</v>
          </cell>
        </row>
        <row r="1346">
          <cell r="B1346" t="str">
            <v>계</v>
          </cell>
          <cell r="F1346">
            <v>3231420</v>
          </cell>
          <cell r="H1346">
            <v>3231420</v>
          </cell>
        </row>
        <row r="1369">
          <cell r="E1369" t="str">
            <v xml:space="preserve"> </v>
          </cell>
          <cell r="F1369" t="str">
            <v>RADIAL GATE ANCHORAGE 제작 소모 자재비</v>
          </cell>
        </row>
        <row r="1370">
          <cell r="E1370" t="str">
            <v xml:space="preserve"> </v>
          </cell>
        </row>
        <row r="1371">
          <cell r="A1371" t="str">
            <v>종       별</v>
          </cell>
          <cell r="C1371" t="str">
            <v>재 료 또 는</v>
          </cell>
          <cell r="D1371" t="str">
            <v xml:space="preserve">원 수 </v>
          </cell>
          <cell r="E1371" t="str">
            <v>단 위</v>
          </cell>
          <cell r="F1371" t="str">
            <v>총   액</v>
          </cell>
          <cell r="G1371" t="str">
            <v>노   무   비</v>
          </cell>
          <cell r="I1371" t="str">
            <v>재   료   비</v>
          </cell>
          <cell r="K1371" t="str">
            <v>경      비</v>
          </cell>
          <cell r="M1371" t="str">
            <v>비   고</v>
          </cell>
        </row>
        <row r="1372">
          <cell r="C1372" t="str">
            <v xml:space="preserve">규       격 </v>
          </cell>
          <cell r="F1372" t="str">
            <v>금   액</v>
          </cell>
          <cell r="G1372" t="str">
            <v>단  가</v>
          </cell>
          <cell r="H1372" t="str">
            <v>금   액</v>
          </cell>
          <cell r="I1372" t="str">
            <v>단  가</v>
          </cell>
          <cell r="J1372" t="str">
            <v>금   액</v>
          </cell>
          <cell r="K1372" t="str">
            <v>단  가</v>
          </cell>
          <cell r="L1372" t="str">
            <v>금   액</v>
          </cell>
        </row>
        <row r="1373">
          <cell r="A1373" t="str">
            <v>산       소</v>
          </cell>
          <cell r="C1373" t="str">
            <v>6,000L용</v>
          </cell>
          <cell r="D1373">
            <v>2.2000000000000002</v>
          </cell>
          <cell r="E1373" t="str">
            <v>병</v>
          </cell>
          <cell r="G1373" t="str">
            <v xml:space="preserve"> </v>
          </cell>
          <cell r="I1373">
            <v>12000</v>
          </cell>
          <cell r="J1373">
            <v>26400</v>
          </cell>
        </row>
        <row r="1374">
          <cell r="A1374" t="str">
            <v>아 세 치 렌</v>
          </cell>
          <cell r="C1374" t="str">
            <v>2,100L용</v>
          </cell>
          <cell r="D1374">
            <v>1.5</v>
          </cell>
          <cell r="E1374" t="str">
            <v>병</v>
          </cell>
          <cell r="I1374">
            <v>25849</v>
          </cell>
          <cell r="J1374">
            <v>38773</v>
          </cell>
        </row>
        <row r="1375">
          <cell r="A1375" t="str">
            <v>함       석</v>
          </cell>
          <cell r="C1375" t="str">
            <v>#32 x 3' x 6'</v>
          </cell>
          <cell r="D1375">
            <v>1.2</v>
          </cell>
          <cell r="E1375" t="str">
            <v>매</v>
          </cell>
          <cell r="I1375">
            <v>2597</v>
          </cell>
          <cell r="J1375">
            <v>3116</v>
          </cell>
        </row>
        <row r="1376">
          <cell r="A1376" t="str">
            <v>용   접  봉</v>
          </cell>
          <cell r="C1376" t="str">
            <v>SS400, 4M/Mx350L</v>
          </cell>
          <cell r="D1376">
            <v>30.5</v>
          </cell>
          <cell r="E1376" t="str">
            <v>KG</v>
          </cell>
          <cell r="I1376">
            <v>1260</v>
          </cell>
          <cell r="J1376">
            <v>38430</v>
          </cell>
        </row>
        <row r="1377">
          <cell r="A1377" t="str">
            <v>전       력</v>
          </cell>
          <cell r="D1377">
            <v>420</v>
          </cell>
          <cell r="E1377" t="str">
            <v>KWH</v>
          </cell>
          <cell r="K1377">
            <v>61.6</v>
          </cell>
          <cell r="L1377">
            <v>25872</v>
          </cell>
        </row>
        <row r="1378">
          <cell r="A1378" t="str">
            <v>그라인다돌</v>
          </cell>
          <cell r="C1378" t="str">
            <v>300m/mΦ</v>
          </cell>
          <cell r="D1378">
            <v>0.33</v>
          </cell>
          <cell r="E1378" t="str">
            <v>개</v>
          </cell>
          <cell r="I1378">
            <v>3380</v>
          </cell>
          <cell r="J1378">
            <v>1115</v>
          </cell>
          <cell r="K1378" t="str">
            <v xml:space="preserve"> </v>
          </cell>
        </row>
        <row r="1380">
          <cell r="B1380" t="str">
            <v>계</v>
          </cell>
          <cell r="F1380">
            <v>133706</v>
          </cell>
          <cell r="J1380">
            <v>107834</v>
          </cell>
          <cell r="L1380">
            <v>25872</v>
          </cell>
        </row>
        <row r="1398">
          <cell r="E1398" t="str">
            <v xml:space="preserve"> </v>
          </cell>
          <cell r="F1398" t="str">
            <v>RADIAL GATE LEAF 설치 인건비</v>
          </cell>
        </row>
        <row r="1399">
          <cell r="E1399" t="str">
            <v xml:space="preserve"> </v>
          </cell>
        </row>
        <row r="1400">
          <cell r="A1400" t="str">
            <v>종       별</v>
          </cell>
          <cell r="C1400" t="str">
            <v>재 료 또 는</v>
          </cell>
          <cell r="D1400" t="str">
            <v xml:space="preserve">원 수 </v>
          </cell>
          <cell r="E1400" t="str">
            <v>단 위</v>
          </cell>
          <cell r="F1400" t="str">
            <v>총   액</v>
          </cell>
          <cell r="G1400" t="str">
            <v>노   무   비</v>
          </cell>
          <cell r="I1400" t="str">
            <v>재   료   비</v>
          </cell>
          <cell r="K1400" t="str">
            <v>경      비</v>
          </cell>
          <cell r="M1400" t="str">
            <v>비   고</v>
          </cell>
        </row>
        <row r="1401">
          <cell r="C1401" t="str">
            <v xml:space="preserve">규       격 </v>
          </cell>
          <cell r="F1401" t="str">
            <v>금   액</v>
          </cell>
          <cell r="G1401" t="str">
            <v>단  가</v>
          </cell>
          <cell r="H1401" t="str">
            <v>금   액</v>
          </cell>
          <cell r="I1401" t="str">
            <v>단  가</v>
          </cell>
          <cell r="J1401" t="str">
            <v>금   액</v>
          </cell>
          <cell r="K1401" t="str">
            <v>단  가</v>
          </cell>
          <cell r="L1401" t="str">
            <v>금   액</v>
          </cell>
        </row>
        <row r="1402">
          <cell r="A1402" t="str">
            <v>기술관리</v>
          </cell>
          <cell r="C1402" t="str">
            <v>기계기사1급</v>
          </cell>
          <cell r="D1402">
            <v>0.5</v>
          </cell>
          <cell r="E1402" t="str">
            <v>인</v>
          </cell>
          <cell r="G1402">
            <v>97488</v>
          </cell>
          <cell r="H1402">
            <v>48744</v>
          </cell>
        </row>
        <row r="1403">
          <cell r="A1403" t="str">
            <v>현 장 교 정</v>
          </cell>
          <cell r="C1403" t="str">
            <v>프랜트 제관공</v>
          </cell>
          <cell r="D1403">
            <v>1.034</v>
          </cell>
          <cell r="E1403" t="str">
            <v>인</v>
          </cell>
          <cell r="G1403">
            <v>81966</v>
          </cell>
          <cell r="H1403">
            <v>84752</v>
          </cell>
        </row>
        <row r="1404">
          <cell r="A1404" t="str">
            <v xml:space="preserve"> </v>
          </cell>
          <cell r="C1404" t="str">
            <v>비   계   공</v>
          </cell>
          <cell r="D1404">
            <v>0.51700000000000002</v>
          </cell>
          <cell r="E1404" t="str">
            <v>인</v>
          </cell>
          <cell r="G1404">
            <v>79467</v>
          </cell>
          <cell r="H1404">
            <v>41084</v>
          </cell>
        </row>
        <row r="1405">
          <cell r="A1405" t="str">
            <v>소운반 조작</v>
          </cell>
          <cell r="C1405" t="str">
            <v>비   계   공</v>
          </cell>
          <cell r="D1405">
            <v>2.2999999999999998</v>
          </cell>
          <cell r="E1405" t="str">
            <v>인</v>
          </cell>
          <cell r="G1405">
            <v>79467</v>
          </cell>
          <cell r="H1405">
            <v>182774</v>
          </cell>
        </row>
        <row r="1406">
          <cell r="A1406" t="str">
            <v xml:space="preserve"> </v>
          </cell>
          <cell r="C1406" t="str">
            <v>프랜트기계설치공</v>
          </cell>
          <cell r="D1406">
            <v>0.91</v>
          </cell>
          <cell r="E1406" t="str">
            <v>인</v>
          </cell>
          <cell r="G1406">
            <v>80805</v>
          </cell>
          <cell r="H1406">
            <v>73532</v>
          </cell>
        </row>
        <row r="1408">
          <cell r="A1408" t="str">
            <v>조 립 조 정</v>
          </cell>
          <cell r="C1408" t="str">
            <v>비   계   공</v>
          </cell>
          <cell r="D1408">
            <v>1.46</v>
          </cell>
          <cell r="E1408" t="str">
            <v>인</v>
          </cell>
          <cell r="G1408">
            <v>79467</v>
          </cell>
          <cell r="H1408">
            <v>116021</v>
          </cell>
        </row>
        <row r="1409">
          <cell r="C1409" t="str">
            <v>프랜트 제관공</v>
          </cell>
          <cell r="D1409">
            <v>4.92</v>
          </cell>
          <cell r="E1409" t="str">
            <v>인</v>
          </cell>
          <cell r="G1409">
            <v>81966</v>
          </cell>
          <cell r="H1409">
            <v>403272</v>
          </cell>
        </row>
        <row r="1410">
          <cell r="C1410" t="str">
            <v>측   량   사</v>
          </cell>
          <cell r="D1410">
            <v>0.41</v>
          </cell>
          <cell r="E1410" t="str">
            <v>인</v>
          </cell>
          <cell r="G1410">
            <v>58506</v>
          </cell>
          <cell r="H1410">
            <v>23987</v>
          </cell>
        </row>
        <row r="1411">
          <cell r="A1411" t="str">
            <v>용      접</v>
          </cell>
          <cell r="C1411" t="str">
            <v>프랜트 용접공</v>
          </cell>
          <cell r="D1411">
            <v>0.81</v>
          </cell>
          <cell r="E1411" t="str">
            <v>인</v>
          </cell>
          <cell r="G1411">
            <v>95379</v>
          </cell>
          <cell r="H1411">
            <v>77256</v>
          </cell>
        </row>
        <row r="1412">
          <cell r="C1412" t="str">
            <v>프랜트 제관공</v>
          </cell>
          <cell r="D1412">
            <v>0.215</v>
          </cell>
          <cell r="E1412" t="str">
            <v>인</v>
          </cell>
          <cell r="G1412">
            <v>81966</v>
          </cell>
          <cell r="H1412">
            <v>17622</v>
          </cell>
        </row>
        <row r="1414">
          <cell r="A1414" t="str">
            <v>전 원 배 선</v>
          </cell>
          <cell r="C1414" t="str">
            <v>프랜트 전공</v>
          </cell>
          <cell r="D1414">
            <v>0.31</v>
          </cell>
          <cell r="E1414" t="str">
            <v>인</v>
          </cell>
          <cell r="G1414">
            <v>64285</v>
          </cell>
          <cell r="H1414">
            <v>19928</v>
          </cell>
        </row>
        <row r="1415">
          <cell r="A1415" t="str">
            <v>검사 및 교정</v>
          </cell>
          <cell r="C1415" t="str">
            <v>기술관리</v>
          </cell>
          <cell r="D1415" t="str">
            <v>1</v>
          </cell>
          <cell r="E1415" t="str">
            <v>식</v>
          </cell>
          <cell r="H1415">
            <v>104022</v>
          </cell>
        </row>
        <row r="1416">
          <cell r="C1416" t="str">
            <v>를 제외한 10%</v>
          </cell>
        </row>
        <row r="1419">
          <cell r="A1419" t="str">
            <v xml:space="preserve">      계  </v>
          </cell>
          <cell r="F1419">
            <v>1192994</v>
          </cell>
          <cell r="H1419">
            <v>1192994</v>
          </cell>
        </row>
        <row r="1427">
          <cell r="E1427" t="str">
            <v xml:space="preserve"> </v>
          </cell>
          <cell r="F1427" t="str">
            <v>RADIAL GATE 설치 사용장비 경비</v>
          </cell>
        </row>
        <row r="1428">
          <cell r="E1428" t="str">
            <v xml:space="preserve"> </v>
          </cell>
        </row>
        <row r="1429">
          <cell r="A1429" t="str">
            <v>종       별</v>
          </cell>
          <cell r="C1429" t="str">
            <v>재 료 또 는</v>
          </cell>
          <cell r="D1429" t="str">
            <v xml:space="preserve">원 수 </v>
          </cell>
          <cell r="E1429" t="str">
            <v>단 위</v>
          </cell>
          <cell r="F1429" t="str">
            <v>총   액</v>
          </cell>
          <cell r="G1429" t="str">
            <v>노   무   비</v>
          </cell>
          <cell r="I1429" t="str">
            <v>재   료   비</v>
          </cell>
          <cell r="K1429" t="str">
            <v>경      비</v>
          </cell>
          <cell r="M1429" t="str">
            <v>비   고</v>
          </cell>
        </row>
        <row r="1430">
          <cell r="C1430" t="str">
            <v xml:space="preserve">규       격 </v>
          </cell>
          <cell r="F1430" t="str">
            <v>금   액</v>
          </cell>
          <cell r="G1430" t="str">
            <v>단  가</v>
          </cell>
          <cell r="H1430" t="str">
            <v>금   액</v>
          </cell>
          <cell r="I1430" t="str">
            <v>단  가</v>
          </cell>
          <cell r="J1430" t="str">
            <v>금   액</v>
          </cell>
          <cell r="K1430" t="str">
            <v>단  가</v>
          </cell>
          <cell r="L1430" t="str">
            <v>금   액</v>
          </cell>
        </row>
        <row r="1432">
          <cell r="A1432" t="str">
            <v>A.C WELDER</v>
          </cell>
          <cell r="C1432" t="str">
            <v>10KVA</v>
          </cell>
          <cell r="D1432">
            <v>8</v>
          </cell>
          <cell r="E1432" t="str">
            <v>Hr</v>
          </cell>
          <cell r="K1432">
            <v>155</v>
          </cell>
          <cell r="L1432">
            <v>1240</v>
          </cell>
        </row>
        <row r="1433">
          <cell r="A1433" t="str">
            <v>GAS CUTTING M/C</v>
          </cell>
          <cell r="C1433" t="str">
            <v>중 형</v>
          </cell>
          <cell r="D1433">
            <v>48</v>
          </cell>
          <cell r="E1433" t="str">
            <v>Hr</v>
          </cell>
          <cell r="G1433">
            <v>3974</v>
          </cell>
          <cell r="H1433">
            <v>190752</v>
          </cell>
          <cell r="K1433">
            <v>115</v>
          </cell>
          <cell r="L1433">
            <v>5520</v>
          </cell>
        </row>
        <row r="1434">
          <cell r="A1434" t="str">
            <v>GAS WELDER</v>
          </cell>
          <cell r="C1434" t="str">
            <v>중 형</v>
          </cell>
          <cell r="D1434">
            <v>24</v>
          </cell>
          <cell r="E1434" t="str">
            <v>Hr</v>
          </cell>
          <cell r="K1434">
            <v>115</v>
          </cell>
          <cell r="L1434">
            <v>2760</v>
          </cell>
        </row>
        <row r="1435">
          <cell r="A1435" t="str">
            <v>PORTABLE DRILL</v>
          </cell>
          <cell r="C1435" t="str">
            <v>1.5 HP</v>
          </cell>
          <cell r="D1435">
            <v>16</v>
          </cell>
          <cell r="E1435" t="str">
            <v>Hr</v>
          </cell>
          <cell r="K1435">
            <v>14</v>
          </cell>
          <cell r="L1435">
            <v>224</v>
          </cell>
        </row>
        <row r="1436">
          <cell r="A1436" t="str">
            <v>PORTABLE GRINDER</v>
          </cell>
          <cell r="C1436" t="str">
            <v>0.5 HP</v>
          </cell>
          <cell r="D1436">
            <v>48</v>
          </cell>
          <cell r="E1436" t="str">
            <v>Hr</v>
          </cell>
          <cell r="K1436">
            <v>22</v>
          </cell>
          <cell r="L1436">
            <v>1056</v>
          </cell>
        </row>
        <row r="1438">
          <cell r="A1438" t="str">
            <v>COMPRESSOR</v>
          </cell>
          <cell r="C1438" t="str">
            <v>7.1㎥/min</v>
          </cell>
          <cell r="D1438">
            <v>16</v>
          </cell>
          <cell r="E1438" t="str">
            <v>Hr</v>
          </cell>
          <cell r="G1438">
            <v>9681</v>
          </cell>
          <cell r="H1438">
            <v>154896</v>
          </cell>
          <cell r="I1438">
            <v>8779</v>
          </cell>
          <cell r="J1438">
            <v>140464</v>
          </cell>
          <cell r="K1438">
            <v>6250</v>
          </cell>
          <cell r="L1438">
            <v>100000</v>
          </cell>
        </row>
        <row r="1439">
          <cell r="A1439" t="str">
            <v>리프트 트럭</v>
          </cell>
          <cell r="C1439" t="str">
            <v>5 TON</v>
          </cell>
          <cell r="D1439">
            <v>8</v>
          </cell>
          <cell r="E1439" t="str">
            <v>Hr</v>
          </cell>
          <cell r="G1439">
            <v>9681</v>
          </cell>
          <cell r="H1439">
            <v>77448</v>
          </cell>
          <cell r="I1439">
            <v>5116.08</v>
          </cell>
          <cell r="J1439">
            <v>40928</v>
          </cell>
          <cell r="K1439">
            <v>4863</v>
          </cell>
          <cell r="L1439">
            <v>38904</v>
          </cell>
        </row>
        <row r="1440">
          <cell r="A1440" t="str">
            <v>TRUCK CRANE</v>
          </cell>
          <cell r="C1440" t="str">
            <v>40 TON</v>
          </cell>
          <cell r="D1440">
            <v>16</v>
          </cell>
          <cell r="E1440" t="str">
            <v>Hr</v>
          </cell>
          <cell r="G1440">
            <v>18615</v>
          </cell>
          <cell r="H1440">
            <v>297840</v>
          </cell>
          <cell r="I1440">
            <v>8730</v>
          </cell>
          <cell r="J1440">
            <v>139680</v>
          </cell>
          <cell r="K1440">
            <v>55621</v>
          </cell>
          <cell r="L1440">
            <v>889936</v>
          </cell>
        </row>
        <row r="1441">
          <cell r="A1441" t="str">
            <v>WINCH</v>
          </cell>
          <cell r="C1441" t="str">
            <v>50 HP</v>
          </cell>
          <cell r="D1441">
            <v>16</v>
          </cell>
          <cell r="E1441" t="str">
            <v>Hr</v>
          </cell>
          <cell r="G1441">
            <v>9235</v>
          </cell>
          <cell r="H1441">
            <v>147760</v>
          </cell>
          <cell r="K1441">
            <v>5209</v>
          </cell>
          <cell r="L1441">
            <v>83344</v>
          </cell>
        </row>
        <row r="1445">
          <cell r="B1445" t="str">
            <v xml:space="preserve"> 계</v>
          </cell>
          <cell r="F1445">
            <v>2312752</v>
          </cell>
          <cell r="H1445">
            <v>868696</v>
          </cell>
          <cell r="J1445">
            <v>321072</v>
          </cell>
          <cell r="L1445">
            <v>1122984</v>
          </cell>
        </row>
        <row r="1456">
          <cell r="E1456" t="str">
            <v xml:space="preserve"> </v>
          </cell>
          <cell r="F1456" t="str">
            <v>RADIAL GATE LEAF 설치 소모 자재비</v>
          </cell>
        </row>
        <row r="1457">
          <cell r="E1457" t="str">
            <v xml:space="preserve"> </v>
          </cell>
        </row>
        <row r="1458">
          <cell r="A1458" t="str">
            <v>종       별</v>
          </cell>
          <cell r="C1458" t="str">
            <v>재 료 또 는</v>
          </cell>
          <cell r="D1458" t="str">
            <v xml:space="preserve">원 수 </v>
          </cell>
          <cell r="E1458" t="str">
            <v>단 위</v>
          </cell>
          <cell r="F1458" t="str">
            <v>총   액</v>
          </cell>
          <cell r="G1458" t="str">
            <v>노   무   비</v>
          </cell>
          <cell r="I1458" t="str">
            <v>재   료   비</v>
          </cell>
          <cell r="K1458" t="str">
            <v>경      비</v>
          </cell>
          <cell r="M1458" t="str">
            <v>비   고</v>
          </cell>
        </row>
        <row r="1459">
          <cell r="C1459" t="str">
            <v xml:space="preserve">규       격 </v>
          </cell>
          <cell r="F1459" t="str">
            <v>금   액</v>
          </cell>
          <cell r="G1459" t="str">
            <v>단  가</v>
          </cell>
          <cell r="H1459" t="str">
            <v>금   액</v>
          </cell>
          <cell r="I1459" t="str">
            <v>단  가</v>
          </cell>
          <cell r="J1459" t="str">
            <v>금   액</v>
          </cell>
          <cell r="K1459" t="str">
            <v>단  가</v>
          </cell>
          <cell r="L1459" t="str">
            <v>금   액</v>
          </cell>
        </row>
        <row r="1460">
          <cell r="A1460" t="str">
            <v>산       소</v>
          </cell>
          <cell r="C1460" t="str">
            <v>6,000L용</v>
          </cell>
          <cell r="D1460">
            <v>0.53</v>
          </cell>
          <cell r="E1460" t="str">
            <v>병</v>
          </cell>
          <cell r="G1460" t="str">
            <v xml:space="preserve"> </v>
          </cell>
          <cell r="I1460">
            <v>12000</v>
          </cell>
          <cell r="J1460">
            <v>6360</v>
          </cell>
        </row>
        <row r="1461">
          <cell r="A1461" t="str">
            <v>아 세 치 렌</v>
          </cell>
          <cell r="C1461" t="str">
            <v>4,500L용</v>
          </cell>
          <cell r="D1461">
            <v>0.45</v>
          </cell>
          <cell r="E1461" t="str">
            <v>병</v>
          </cell>
          <cell r="I1461">
            <v>55392</v>
          </cell>
          <cell r="J1461">
            <v>24926.400000000001</v>
          </cell>
        </row>
        <row r="1462">
          <cell r="A1462" t="str">
            <v>용   접  봉</v>
          </cell>
          <cell r="C1462" t="str">
            <v>SS400 , 4M/M</v>
          </cell>
          <cell r="D1462">
            <v>6.2</v>
          </cell>
          <cell r="E1462" t="str">
            <v>KG</v>
          </cell>
          <cell r="I1462">
            <v>1260</v>
          </cell>
          <cell r="J1462">
            <v>7812</v>
          </cell>
        </row>
        <row r="1463">
          <cell r="A1463" t="str">
            <v xml:space="preserve"> </v>
          </cell>
          <cell r="D1463" t="str">
            <v xml:space="preserve"> </v>
          </cell>
          <cell r="E1463" t="str">
            <v xml:space="preserve"> </v>
          </cell>
        </row>
        <row r="1466">
          <cell r="B1466" t="str">
            <v>계</v>
          </cell>
          <cell r="F1466">
            <v>39098.400000000001</v>
          </cell>
          <cell r="J1466">
            <v>39098.400000000001</v>
          </cell>
        </row>
        <row r="1485">
          <cell r="E1485" t="str">
            <v xml:space="preserve"> </v>
          </cell>
          <cell r="F1485" t="str">
            <v>RADIAL GATE GUIDE FRAME 설치 인건비</v>
          </cell>
        </row>
        <row r="1486">
          <cell r="E1486" t="str">
            <v xml:space="preserve"> </v>
          </cell>
        </row>
        <row r="1487">
          <cell r="A1487" t="str">
            <v>종       별</v>
          </cell>
          <cell r="C1487" t="str">
            <v>재 료 또 는</v>
          </cell>
          <cell r="D1487" t="str">
            <v xml:space="preserve">원 수 </v>
          </cell>
          <cell r="E1487" t="str">
            <v>단 위</v>
          </cell>
          <cell r="F1487" t="str">
            <v>총   액</v>
          </cell>
          <cell r="G1487" t="str">
            <v>노   무   비</v>
          </cell>
          <cell r="I1487" t="str">
            <v>재   료   비</v>
          </cell>
          <cell r="K1487" t="str">
            <v>경      비</v>
          </cell>
          <cell r="M1487" t="str">
            <v>비   고</v>
          </cell>
        </row>
        <row r="1488">
          <cell r="C1488" t="str">
            <v xml:space="preserve">규       격 </v>
          </cell>
          <cell r="F1488" t="str">
            <v>금   액</v>
          </cell>
          <cell r="G1488" t="str">
            <v>단  가</v>
          </cell>
          <cell r="H1488" t="str">
            <v>금   액</v>
          </cell>
          <cell r="I1488" t="str">
            <v>단  가</v>
          </cell>
          <cell r="J1488" t="str">
            <v>금   액</v>
          </cell>
          <cell r="K1488" t="str">
            <v>단  가</v>
          </cell>
          <cell r="L1488" t="str">
            <v>금   액</v>
          </cell>
        </row>
        <row r="1489">
          <cell r="A1489" t="str">
            <v>기 술 관 리</v>
          </cell>
          <cell r="C1489" t="str">
            <v>기계기사1급</v>
          </cell>
          <cell r="D1489">
            <v>12.882</v>
          </cell>
          <cell r="E1489" t="str">
            <v>인</v>
          </cell>
          <cell r="G1489">
            <v>97488</v>
          </cell>
          <cell r="H1489">
            <v>1255840</v>
          </cell>
        </row>
        <row r="1490">
          <cell r="A1490" t="str">
            <v>BOX 해 체 검 수</v>
          </cell>
          <cell r="C1490" t="str">
            <v>(해체) 목  공</v>
          </cell>
          <cell r="D1490">
            <v>4.7060000000000004</v>
          </cell>
          <cell r="E1490" t="str">
            <v>인</v>
          </cell>
          <cell r="G1490">
            <v>75306</v>
          </cell>
          <cell r="H1490">
            <v>354390</v>
          </cell>
        </row>
        <row r="1491">
          <cell r="B1491" t="str">
            <v xml:space="preserve">      검 수</v>
          </cell>
          <cell r="C1491" t="str">
            <v>프랜트기계설치공</v>
          </cell>
          <cell r="D1491">
            <v>4.7060000000000004</v>
          </cell>
          <cell r="E1491" t="str">
            <v>인</v>
          </cell>
          <cell r="G1491">
            <v>80805</v>
          </cell>
          <cell r="H1491">
            <v>380268</v>
          </cell>
        </row>
        <row r="1492">
          <cell r="B1492" t="str">
            <v xml:space="preserve">      보 조</v>
          </cell>
          <cell r="C1492" t="str">
            <v>특 별 인 부</v>
          </cell>
          <cell r="D1492">
            <v>4.7060000000000004</v>
          </cell>
          <cell r="E1492" t="str">
            <v>인</v>
          </cell>
          <cell r="G1492">
            <v>57379</v>
          </cell>
          <cell r="H1492">
            <v>270025</v>
          </cell>
        </row>
        <row r="1493">
          <cell r="A1493" t="str">
            <v>설치준비,CHIPPING</v>
          </cell>
          <cell r="C1493" t="str">
            <v>석      공</v>
          </cell>
          <cell r="D1493">
            <v>3.294</v>
          </cell>
          <cell r="E1493" t="str">
            <v>인</v>
          </cell>
          <cell r="G1493">
            <v>77005</v>
          </cell>
          <cell r="H1493">
            <v>253654</v>
          </cell>
        </row>
        <row r="1495">
          <cell r="A1495" t="str">
            <v xml:space="preserve"> </v>
          </cell>
          <cell r="C1495" t="str">
            <v>특 별 인 부</v>
          </cell>
          <cell r="D1495">
            <v>2.4700000000000002</v>
          </cell>
          <cell r="E1495" t="str">
            <v>인</v>
          </cell>
          <cell r="G1495">
            <v>57379</v>
          </cell>
          <cell r="H1495">
            <v>141726</v>
          </cell>
        </row>
        <row r="1496">
          <cell r="A1496" t="str">
            <v>가설비 Jig 및</v>
          </cell>
        </row>
        <row r="1497">
          <cell r="A1497" t="str">
            <v>Support  설  치</v>
          </cell>
          <cell r="C1497" t="str">
            <v>프랜트기계설치공</v>
          </cell>
          <cell r="D1497">
            <v>1.1759999999999999</v>
          </cell>
          <cell r="E1497" t="str">
            <v>인</v>
          </cell>
          <cell r="G1497">
            <v>80805</v>
          </cell>
          <cell r="H1497">
            <v>95026</v>
          </cell>
        </row>
        <row r="1498">
          <cell r="B1498" t="str">
            <v xml:space="preserve">     배  관</v>
          </cell>
          <cell r="C1498" t="str">
            <v>프랜트 배관공</v>
          </cell>
          <cell r="D1498">
            <v>1.1759999999999999</v>
          </cell>
          <cell r="E1498" t="str">
            <v>인</v>
          </cell>
          <cell r="G1498">
            <v>97219</v>
          </cell>
          <cell r="H1498">
            <v>114329</v>
          </cell>
        </row>
        <row r="1499">
          <cell r="B1499" t="str">
            <v xml:space="preserve">     절  단</v>
          </cell>
          <cell r="C1499" t="str">
            <v>산 소 절 단 공</v>
          </cell>
          <cell r="D1499">
            <v>0.94099999999999995</v>
          </cell>
          <cell r="E1499" t="str">
            <v>인</v>
          </cell>
          <cell r="G1499">
            <v>31794</v>
          </cell>
          <cell r="H1499">
            <v>29918</v>
          </cell>
        </row>
        <row r="1501">
          <cell r="B1501" t="str">
            <v xml:space="preserve">     용  접</v>
          </cell>
          <cell r="C1501" t="str">
            <v>프랜트 용접공</v>
          </cell>
          <cell r="D1501">
            <v>0.58799999999999997</v>
          </cell>
          <cell r="E1501" t="str">
            <v>인</v>
          </cell>
          <cell r="G1501">
            <v>95379</v>
          </cell>
          <cell r="H1501">
            <v>56082</v>
          </cell>
        </row>
        <row r="1502">
          <cell r="B1502" t="str">
            <v xml:space="preserve">     보  조</v>
          </cell>
          <cell r="C1502" t="str">
            <v>특 별 인 부</v>
          </cell>
          <cell r="D1502">
            <v>4.7060000000000004</v>
          </cell>
          <cell r="E1502" t="str">
            <v>인</v>
          </cell>
          <cell r="G1502">
            <v>57379</v>
          </cell>
          <cell r="H1502">
            <v>270025</v>
          </cell>
        </row>
        <row r="1503">
          <cell r="A1503" t="str">
            <v>조 립 및 조 작</v>
          </cell>
          <cell r="C1503" t="str">
            <v>특수 비계공</v>
          </cell>
          <cell r="D1503">
            <v>4.7060000000000004</v>
          </cell>
          <cell r="E1503" t="str">
            <v>인</v>
          </cell>
          <cell r="G1503">
            <v>85884</v>
          </cell>
          <cell r="H1503">
            <v>404170</v>
          </cell>
        </row>
        <row r="1504">
          <cell r="B1504" t="str">
            <v xml:space="preserve">     조  립</v>
          </cell>
          <cell r="C1504" t="str">
            <v>프랜트기계설치공</v>
          </cell>
          <cell r="D1504">
            <v>4.7060000000000004</v>
          </cell>
          <cell r="E1504" t="str">
            <v>인</v>
          </cell>
          <cell r="G1504">
            <v>80805</v>
          </cell>
          <cell r="H1504">
            <v>380268</v>
          </cell>
        </row>
        <row r="1505">
          <cell r="B1505" t="str">
            <v xml:space="preserve">     교  정</v>
          </cell>
          <cell r="C1505" t="str">
            <v>프랜트 제관공</v>
          </cell>
          <cell r="D1505">
            <v>2.3530000000000002</v>
          </cell>
          <cell r="E1505" t="str">
            <v>인</v>
          </cell>
          <cell r="G1505">
            <v>81966</v>
          </cell>
          <cell r="H1505">
            <v>192865</v>
          </cell>
        </row>
        <row r="1507">
          <cell r="B1507" t="str">
            <v xml:space="preserve">     측  량</v>
          </cell>
          <cell r="C1507" t="str">
            <v>시공측량기사</v>
          </cell>
          <cell r="D1507">
            <v>9.4120000000000008</v>
          </cell>
          <cell r="E1507" t="str">
            <v>인</v>
          </cell>
          <cell r="G1507">
            <v>58506</v>
          </cell>
          <cell r="H1507">
            <v>550658</v>
          </cell>
        </row>
        <row r="1508">
          <cell r="B1508" t="str">
            <v xml:space="preserve">   측량조수</v>
          </cell>
          <cell r="C1508" t="str">
            <v>시공측량조수</v>
          </cell>
          <cell r="D1508">
            <v>9.4120000000000008</v>
          </cell>
          <cell r="E1508" t="str">
            <v>인</v>
          </cell>
          <cell r="G1508">
            <v>38777</v>
          </cell>
          <cell r="H1508">
            <v>364969</v>
          </cell>
        </row>
        <row r="1509">
          <cell r="B1509" t="str">
            <v xml:space="preserve">     조  정</v>
          </cell>
          <cell r="C1509" t="str">
            <v>프랜트기계설치공</v>
          </cell>
          <cell r="D1509">
            <v>9.4120000000000008</v>
          </cell>
          <cell r="E1509" t="str">
            <v>인</v>
          </cell>
          <cell r="G1509">
            <v>80805</v>
          </cell>
          <cell r="H1509">
            <v>760536</v>
          </cell>
        </row>
        <row r="1510">
          <cell r="A1510" t="str">
            <v xml:space="preserve"> </v>
          </cell>
          <cell r="B1510" t="str">
            <v xml:space="preserve">     검  측</v>
          </cell>
          <cell r="C1510" t="str">
            <v>프랜트기계설치공</v>
          </cell>
          <cell r="D1510">
            <v>9.4120000000000008</v>
          </cell>
          <cell r="E1510" t="str">
            <v>인</v>
          </cell>
          <cell r="G1510">
            <v>80805</v>
          </cell>
          <cell r="H1510">
            <v>760536</v>
          </cell>
        </row>
        <row r="1511">
          <cell r="B1511" t="str">
            <v xml:space="preserve">     기  록</v>
          </cell>
          <cell r="C1511" t="str">
            <v>프랜트기계설치공</v>
          </cell>
          <cell r="D1511">
            <v>4.7060000000000004</v>
          </cell>
          <cell r="E1511" t="str">
            <v>인</v>
          </cell>
          <cell r="G1511">
            <v>80805</v>
          </cell>
          <cell r="H1511">
            <v>380268</v>
          </cell>
        </row>
        <row r="1513">
          <cell r="B1513" t="str">
            <v xml:space="preserve">     용  접</v>
          </cell>
          <cell r="C1513" t="str">
            <v>프랜트 용접공</v>
          </cell>
          <cell r="D1513">
            <v>4.7060000000000004</v>
          </cell>
          <cell r="E1513" t="str">
            <v>인</v>
          </cell>
          <cell r="G1513">
            <v>95379</v>
          </cell>
          <cell r="H1513">
            <v>448853</v>
          </cell>
          <cell r="I1513" t="str">
            <v xml:space="preserve"> </v>
          </cell>
        </row>
        <row r="1514">
          <cell r="A1514" t="str">
            <v>종       별</v>
          </cell>
          <cell r="C1514" t="str">
            <v>재 료 또 는</v>
          </cell>
          <cell r="D1514" t="str">
            <v xml:space="preserve">원 수 </v>
          </cell>
          <cell r="E1514" t="str">
            <v>단 위</v>
          </cell>
          <cell r="F1514" t="str">
            <v>총   액</v>
          </cell>
          <cell r="G1514" t="str">
            <v>노   무   비</v>
          </cell>
          <cell r="I1514" t="str">
            <v>재   료   비</v>
          </cell>
          <cell r="K1514" t="str">
            <v>경      비</v>
          </cell>
          <cell r="M1514" t="str">
            <v>비   고</v>
          </cell>
        </row>
        <row r="1515">
          <cell r="C1515" t="str">
            <v xml:space="preserve">규       격 </v>
          </cell>
          <cell r="F1515" t="str">
            <v>금   액</v>
          </cell>
          <cell r="G1515" t="str">
            <v>단  가</v>
          </cell>
          <cell r="H1515" t="str">
            <v>금   액</v>
          </cell>
          <cell r="I1515" t="str">
            <v>단  가</v>
          </cell>
          <cell r="J1515" t="str">
            <v>금   액</v>
          </cell>
          <cell r="K1515" t="str">
            <v>단  가</v>
          </cell>
          <cell r="L1515" t="str">
            <v>금   액</v>
          </cell>
        </row>
        <row r="1516">
          <cell r="B1516" t="str">
            <v xml:space="preserve">     보  조</v>
          </cell>
          <cell r="C1516" t="str">
            <v>특 별 인 부</v>
          </cell>
          <cell r="D1516">
            <v>14.118</v>
          </cell>
          <cell r="E1516" t="str">
            <v>인</v>
          </cell>
          <cell r="G1516">
            <v>57379</v>
          </cell>
          <cell r="H1516">
            <v>810076</v>
          </cell>
        </row>
        <row r="1517">
          <cell r="A1517" t="str">
            <v>검 사 및 기 록</v>
          </cell>
        </row>
        <row r="1518">
          <cell r="B1518" t="str">
            <v xml:space="preserve">     측  량</v>
          </cell>
          <cell r="C1518" t="str">
            <v>시공측량기사</v>
          </cell>
          <cell r="D1518">
            <v>2.3530000000000002</v>
          </cell>
          <cell r="E1518" t="str">
            <v>인</v>
          </cell>
          <cell r="G1518">
            <v>58506</v>
          </cell>
          <cell r="H1518">
            <v>137664</v>
          </cell>
        </row>
        <row r="1519">
          <cell r="B1519" t="str">
            <v xml:space="preserve">     측량조수</v>
          </cell>
          <cell r="C1519" t="str">
            <v>시공측량조수</v>
          </cell>
          <cell r="D1519">
            <v>2.3530000000000002</v>
          </cell>
          <cell r="E1519" t="str">
            <v>인</v>
          </cell>
          <cell r="G1519">
            <v>38777</v>
          </cell>
          <cell r="H1519">
            <v>91242</v>
          </cell>
        </row>
        <row r="1520">
          <cell r="B1520" t="str">
            <v xml:space="preserve">     검  측</v>
          </cell>
          <cell r="C1520" t="str">
            <v>프랜트기계설치공</v>
          </cell>
          <cell r="D1520">
            <v>2.3530000000000002</v>
          </cell>
          <cell r="E1520" t="str">
            <v>인</v>
          </cell>
          <cell r="G1520">
            <v>80805</v>
          </cell>
          <cell r="H1520">
            <v>190134</v>
          </cell>
        </row>
        <row r="1521">
          <cell r="A1521" t="str">
            <v>도면대조 및 기록</v>
          </cell>
          <cell r="C1521" t="str">
            <v>프랜트기계설치공</v>
          </cell>
          <cell r="D1521">
            <v>2.3530000000000002</v>
          </cell>
          <cell r="E1521" t="str">
            <v>인</v>
          </cell>
          <cell r="G1521">
            <v>80805</v>
          </cell>
          <cell r="H1521">
            <v>190134</v>
          </cell>
        </row>
        <row r="1522">
          <cell r="B1522" t="str">
            <v xml:space="preserve">     보  조</v>
          </cell>
          <cell r="C1522" t="str">
            <v>특 별 인 부</v>
          </cell>
          <cell r="D1522">
            <v>2.3530000000000002</v>
          </cell>
          <cell r="E1522" t="str">
            <v>인</v>
          </cell>
          <cell r="G1522">
            <v>57379</v>
          </cell>
          <cell r="H1522">
            <v>135012</v>
          </cell>
        </row>
        <row r="1523">
          <cell r="A1523" t="str">
            <v>뒷 정 리,조  작</v>
          </cell>
          <cell r="C1523" t="str">
            <v>특수 비계공</v>
          </cell>
          <cell r="D1523">
            <v>0.624</v>
          </cell>
          <cell r="E1523" t="str">
            <v>인</v>
          </cell>
          <cell r="G1523">
            <v>85884</v>
          </cell>
          <cell r="H1523">
            <v>53591</v>
          </cell>
        </row>
        <row r="1524">
          <cell r="B1524" t="str">
            <v xml:space="preserve">     철  거</v>
          </cell>
          <cell r="C1524" t="str">
            <v>프랜트기계설치공</v>
          </cell>
          <cell r="D1524">
            <v>1.4119999999999999</v>
          </cell>
          <cell r="E1524" t="str">
            <v>인</v>
          </cell>
          <cell r="G1524">
            <v>80805</v>
          </cell>
          <cell r="H1524">
            <v>114096</v>
          </cell>
        </row>
        <row r="1526">
          <cell r="B1526" t="str">
            <v xml:space="preserve">     절  단</v>
          </cell>
          <cell r="C1526" t="str">
            <v>산 소 절 단 공</v>
          </cell>
          <cell r="D1526">
            <v>0.94799999999999995</v>
          </cell>
          <cell r="E1526" t="str">
            <v>인</v>
          </cell>
          <cell r="G1526">
            <v>31794</v>
          </cell>
          <cell r="H1526">
            <v>30140</v>
          </cell>
        </row>
        <row r="1527">
          <cell r="B1527" t="str">
            <v xml:space="preserve">     보  조</v>
          </cell>
          <cell r="C1527" t="str">
            <v>특 별 인 부</v>
          </cell>
          <cell r="D1527">
            <v>2.3530000000000002</v>
          </cell>
          <cell r="E1527" t="str">
            <v>인</v>
          </cell>
          <cell r="G1527">
            <v>57379</v>
          </cell>
          <cell r="H1527">
            <v>135012</v>
          </cell>
        </row>
        <row r="1528">
          <cell r="A1528" t="str">
            <v>전기설비설치유지</v>
          </cell>
        </row>
        <row r="1529">
          <cell r="B1529" t="str">
            <v xml:space="preserve">     철  거</v>
          </cell>
          <cell r="C1529" t="str">
            <v>프 랜 트 전 공</v>
          </cell>
          <cell r="D1529">
            <v>3.5289999999999999</v>
          </cell>
          <cell r="E1529" t="str">
            <v>인</v>
          </cell>
          <cell r="G1529">
            <v>64285</v>
          </cell>
          <cell r="H1529">
            <v>226861</v>
          </cell>
        </row>
        <row r="1530">
          <cell r="B1530" t="str">
            <v xml:space="preserve">     보  조</v>
          </cell>
          <cell r="C1530" t="str">
            <v>특 별 인 부</v>
          </cell>
          <cell r="D1530">
            <v>3.5289999999999999</v>
          </cell>
          <cell r="E1530" t="str">
            <v>인</v>
          </cell>
          <cell r="G1530">
            <v>57379</v>
          </cell>
          <cell r="H1530">
            <v>202490</v>
          </cell>
        </row>
        <row r="1535">
          <cell r="A1535" t="str">
            <v xml:space="preserve">        계</v>
          </cell>
          <cell r="F1535">
            <v>9780858</v>
          </cell>
          <cell r="H1535">
            <v>9780858</v>
          </cell>
        </row>
        <row r="1543">
          <cell r="E1543" t="str">
            <v xml:space="preserve"> </v>
          </cell>
          <cell r="F1543" t="str">
            <v>RADIAL GATE GUIDE FRAME 설치 사용장비 경비</v>
          </cell>
        </row>
        <row r="1544">
          <cell r="E1544" t="str">
            <v xml:space="preserve"> </v>
          </cell>
        </row>
        <row r="1545">
          <cell r="A1545" t="str">
            <v>종       별</v>
          </cell>
          <cell r="C1545" t="str">
            <v>재 료 또 는</v>
          </cell>
          <cell r="D1545" t="str">
            <v xml:space="preserve">원 수 </v>
          </cell>
          <cell r="E1545" t="str">
            <v>단 위</v>
          </cell>
          <cell r="F1545" t="str">
            <v>총   액</v>
          </cell>
          <cell r="G1545" t="str">
            <v>노   무   비</v>
          </cell>
          <cell r="I1545" t="str">
            <v>재   료   비</v>
          </cell>
          <cell r="K1545" t="str">
            <v>경      비</v>
          </cell>
          <cell r="M1545" t="str">
            <v>비   고</v>
          </cell>
        </row>
        <row r="1546">
          <cell r="C1546" t="str">
            <v xml:space="preserve">규       격 </v>
          </cell>
          <cell r="F1546" t="str">
            <v>금   액</v>
          </cell>
          <cell r="G1546" t="str">
            <v>단  가</v>
          </cell>
          <cell r="H1546" t="str">
            <v>금   액</v>
          </cell>
          <cell r="I1546" t="str">
            <v>단  가</v>
          </cell>
          <cell r="J1546" t="str">
            <v>금   액</v>
          </cell>
          <cell r="K1546" t="str">
            <v>단  가</v>
          </cell>
          <cell r="L1546" t="str">
            <v>금   액</v>
          </cell>
        </row>
        <row r="1548">
          <cell r="A1548" t="str">
            <v>A.C WELDER</v>
          </cell>
          <cell r="C1548" t="str">
            <v>10KVA</v>
          </cell>
          <cell r="D1548">
            <v>8</v>
          </cell>
          <cell r="E1548" t="str">
            <v>Hr</v>
          </cell>
          <cell r="K1548">
            <v>155</v>
          </cell>
          <cell r="L1548">
            <v>1240</v>
          </cell>
        </row>
        <row r="1549">
          <cell r="A1549" t="str">
            <v>GAS CUTTING M/C</v>
          </cell>
          <cell r="C1549" t="str">
            <v>중 형</v>
          </cell>
          <cell r="D1549">
            <v>48</v>
          </cell>
          <cell r="E1549" t="str">
            <v>Hr</v>
          </cell>
          <cell r="G1549">
            <v>3974</v>
          </cell>
          <cell r="H1549">
            <v>190752</v>
          </cell>
          <cell r="K1549">
            <v>115</v>
          </cell>
          <cell r="L1549">
            <v>5520</v>
          </cell>
        </row>
        <row r="1550">
          <cell r="A1550" t="str">
            <v>GAS WELDER</v>
          </cell>
          <cell r="C1550" t="str">
            <v>중 형</v>
          </cell>
          <cell r="D1550">
            <v>24</v>
          </cell>
          <cell r="E1550" t="str">
            <v>Hr</v>
          </cell>
          <cell r="K1550">
            <v>115</v>
          </cell>
          <cell r="L1550">
            <v>2760</v>
          </cell>
        </row>
        <row r="1551">
          <cell r="A1551" t="str">
            <v>PORTABLE DRILL</v>
          </cell>
          <cell r="C1551" t="str">
            <v>1.5 HP</v>
          </cell>
          <cell r="D1551">
            <v>16</v>
          </cell>
          <cell r="E1551" t="str">
            <v>Hr</v>
          </cell>
          <cell r="K1551">
            <v>14</v>
          </cell>
          <cell r="L1551">
            <v>224</v>
          </cell>
        </row>
        <row r="1552">
          <cell r="A1552" t="str">
            <v>PORTABLE GRINDER</v>
          </cell>
          <cell r="C1552" t="str">
            <v>0.5 HP</v>
          </cell>
          <cell r="D1552">
            <v>48</v>
          </cell>
          <cell r="E1552" t="str">
            <v>Hr</v>
          </cell>
          <cell r="K1552">
            <v>22</v>
          </cell>
          <cell r="L1552">
            <v>1056</v>
          </cell>
        </row>
        <row r="1554">
          <cell r="A1554" t="str">
            <v>COMPRESSOR</v>
          </cell>
          <cell r="C1554" t="str">
            <v>7.1㎥/min</v>
          </cell>
          <cell r="D1554">
            <v>16</v>
          </cell>
          <cell r="E1554" t="str">
            <v>Hr</v>
          </cell>
          <cell r="G1554">
            <v>9681</v>
          </cell>
          <cell r="H1554">
            <v>154896</v>
          </cell>
          <cell r="I1554">
            <v>8779</v>
          </cell>
          <cell r="J1554">
            <v>140464</v>
          </cell>
          <cell r="K1554">
            <v>6250</v>
          </cell>
          <cell r="L1554">
            <v>100000</v>
          </cell>
        </row>
        <row r="1555">
          <cell r="A1555" t="str">
            <v>리프트 트럭</v>
          </cell>
          <cell r="C1555" t="str">
            <v>5 TON</v>
          </cell>
          <cell r="D1555">
            <v>8</v>
          </cell>
          <cell r="E1555" t="str">
            <v>Hr</v>
          </cell>
          <cell r="G1555">
            <v>9681</v>
          </cell>
          <cell r="H1555">
            <v>77448</v>
          </cell>
          <cell r="I1555">
            <v>5116.08</v>
          </cell>
          <cell r="J1555">
            <v>40928</v>
          </cell>
          <cell r="K1555">
            <v>4863</v>
          </cell>
          <cell r="L1555">
            <v>38904</v>
          </cell>
        </row>
        <row r="1556">
          <cell r="A1556" t="str">
            <v>TRUCK CRANE</v>
          </cell>
          <cell r="C1556" t="str">
            <v>40 TON</v>
          </cell>
          <cell r="D1556">
            <v>8</v>
          </cell>
          <cell r="E1556" t="str">
            <v>Hr</v>
          </cell>
          <cell r="G1556">
            <v>18615</v>
          </cell>
          <cell r="H1556">
            <v>148920</v>
          </cell>
          <cell r="I1556">
            <v>8730</v>
          </cell>
          <cell r="J1556">
            <v>69840</v>
          </cell>
          <cell r="K1556">
            <v>55621</v>
          </cell>
          <cell r="L1556">
            <v>444968</v>
          </cell>
        </row>
        <row r="1557">
          <cell r="A1557" t="str">
            <v>WINCH</v>
          </cell>
          <cell r="C1557" t="str">
            <v>50 HP</v>
          </cell>
          <cell r="D1557">
            <v>8</v>
          </cell>
          <cell r="E1557" t="str">
            <v>Hr</v>
          </cell>
          <cell r="G1557">
            <v>9235</v>
          </cell>
          <cell r="H1557">
            <v>73880</v>
          </cell>
          <cell r="K1557">
            <v>5209</v>
          </cell>
          <cell r="L1557">
            <v>41672</v>
          </cell>
        </row>
        <row r="1560">
          <cell r="B1560" t="str">
            <v xml:space="preserve"> 계</v>
          </cell>
          <cell r="F1560">
            <v>1533472</v>
          </cell>
          <cell r="H1560">
            <v>645896</v>
          </cell>
          <cell r="J1560">
            <v>251232</v>
          </cell>
          <cell r="L1560">
            <v>636344</v>
          </cell>
        </row>
        <row r="1572">
          <cell r="E1572" t="str">
            <v xml:space="preserve"> </v>
          </cell>
          <cell r="F1572" t="str">
            <v>RADIAL GATE GUIDE FRAME 설치 소모 자재비</v>
          </cell>
        </row>
        <row r="1573">
          <cell r="E1573" t="str">
            <v xml:space="preserve"> </v>
          </cell>
        </row>
        <row r="1574">
          <cell r="A1574" t="str">
            <v>종       별</v>
          </cell>
          <cell r="C1574" t="str">
            <v>재 료 또 는</v>
          </cell>
          <cell r="D1574" t="str">
            <v xml:space="preserve">원 수 </v>
          </cell>
          <cell r="E1574" t="str">
            <v>단 위</v>
          </cell>
          <cell r="F1574" t="str">
            <v>총   액</v>
          </cell>
          <cell r="G1574" t="str">
            <v>노   무   비</v>
          </cell>
          <cell r="I1574" t="str">
            <v>재   료   비</v>
          </cell>
          <cell r="K1574" t="str">
            <v>경      비</v>
          </cell>
          <cell r="M1574" t="str">
            <v>비   고</v>
          </cell>
        </row>
        <row r="1575">
          <cell r="C1575" t="str">
            <v xml:space="preserve">규       격 </v>
          </cell>
          <cell r="F1575" t="str">
            <v>금   액</v>
          </cell>
          <cell r="G1575" t="str">
            <v>단  가</v>
          </cell>
          <cell r="H1575" t="str">
            <v>금   액</v>
          </cell>
          <cell r="I1575" t="str">
            <v>단  가</v>
          </cell>
          <cell r="J1575" t="str">
            <v>금   액</v>
          </cell>
          <cell r="K1575" t="str">
            <v>단  가</v>
          </cell>
          <cell r="L1575" t="str">
            <v>금   액</v>
          </cell>
        </row>
        <row r="1576">
          <cell r="A1576" t="str">
            <v>산       소</v>
          </cell>
          <cell r="C1576" t="str">
            <v>6,000L용</v>
          </cell>
          <cell r="D1576">
            <v>0.5</v>
          </cell>
          <cell r="E1576" t="str">
            <v>병</v>
          </cell>
          <cell r="G1576" t="str">
            <v xml:space="preserve"> </v>
          </cell>
          <cell r="I1576">
            <v>12000</v>
          </cell>
          <cell r="J1576">
            <v>6000</v>
          </cell>
        </row>
        <row r="1577">
          <cell r="A1577" t="str">
            <v>아 세 치 렌</v>
          </cell>
          <cell r="C1577" t="str">
            <v>2,100L용</v>
          </cell>
          <cell r="D1577">
            <v>0.05</v>
          </cell>
          <cell r="E1577" t="str">
            <v>병</v>
          </cell>
          <cell r="I1577">
            <v>25849</v>
          </cell>
          <cell r="J1577">
            <v>1292</v>
          </cell>
        </row>
        <row r="1578">
          <cell r="A1578" t="str">
            <v>용   접  봉</v>
          </cell>
          <cell r="C1578" t="str">
            <v>SS41+STS304,4M/M</v>
          </cell>
          <cell r="D1578">
            <v>7</v>
          </cell>
          <cell r="E1578" t="str">
            <v>KG</v>
          </cell>
          <cell r="I1578">
            <v>3360</v>
          </cell>
          <cell r="J1578">
            <v>23520</v>
          </cell>
        </row>
        <row r="1579">
          <cell r="A1579" t="str">
            <v xml:space="preserve"> </v>
          </cell>
          <cell r="D1579" t="str">
            <v xml:space="preserve"> </v>
          </cell>
          <cell r="E1579" t="str">
            <v xml:space="preserve"> </v>
          </cell>
          <cell r="I1579" t="str">
            <v xml:space="preserve"> </v>
          </cell>
          <cell r="J1579" t="str">
            <v xml:space="preserve"> </v>
          </cell>
        </row>
        <row r="1582">
          <cell r="B1582" t="str">
            <v>계</v>
          </cell>
          <cell r="F1582">
            <v>30812</v>
          </cell>
          <cell r="J1582">
            <v>30812</v>
          </cell>
          <cell r="L1582" t="str">
            <v xml:space="preserve"> </v>
          </cell>
        </row>
        <row r="1601">
          <cell r="E1601" t="str">
            <v xml:space="preserve"> </v>
          </cell>
          <cell r="F1601" t="str">
            <v>RADIAL GATE HOIST 설치 사용장비 경비</v>
          </cell>
        </row>
        <row r="1602">
          <cell r="E1602" t="str">
            <v xml:space="preserve"> </v>
          </cell>
        </row>
        <row r="1603">
          <cell r="A1603" t="str">
            <v>종       별</v>
          </cell>
          <cell r="C1603" t="str">
            <v>재 료 또 는</v>
          </cell>
          <cell r="D1603" t="str">
            <v xml:space="preserve">원 수 </v>
          </cell>
          <cell r="E1603" t="str">
            <v>단 위</v>
          </cell>
          <cell r="F1603" t="str">
            <v>총   액</v>
          </cell>
          <cell r="G1603" t="str">
            <v>노   무   비</v>
          </cell>
          <cell r="I1603" t="str">
            <v>재   료   비</v>
          </cell>
          <cell r="K1603" t="str">
            <v>경      비</v>
          </cell>
          <cell r="M1603" t="str">
            <v>비   고</v>
          </cell>
        </row>
        <row r="1604">
          <cell r="C1604" t="str">
            <v xml:space="preserve">규       격 </v>
          </cell>
          <cell r="F1604" t="str">
            <v>금   액</v>
          </cell>
          <cell r="G1604" t="str">
            <v>단  가</v>
          </cell>
          <cell r="H1604" t="str">
            <v>금   액</v>
          </cell>
          <cell r="I1604" t="str">
            <v>단  가</v>
          </cell>
          <cell r="J1604" t="str">
            <v>금   액</v>
          </cell>
          <cell r="K1604" t="str">
            <v>단  가</v>
          </cell>
          <cell r="L1604" t="str">
            <v>금   액</v>
          </cell>
        </row>
        <row r="1607">
          <cell r="A1607" t="str">
            <v>A.C WELDER</v>
          </cell>
          <cell r="C1607" t="str">
            <v>10KVA</v>
          </cell>
          <cell r="D1607">
            <v>8</v>
          </cell>
          <cell r="E1607" t="str">
            <v>Hr</v>
          </cell>
          <cell r="K1607">
            <v>155</v>
          </cell>
          <cell r="L1607">
            <v>1240</v>
          </cell>
        </row>
        <row r="1608">
          <cell r="A1608" t="str">
            <v>GAS CUTTING M/C</v>
          </cell>
          <cell r="C1608" t="str">
            <v>중 형</v>
          </cell>
          <cell r="D1608">
            <v>16</v>
          </cell>
          <cell r="E1608" t="str">
            <v>Hr</v>
          </cell>
          <cell r="G1608">
            <v>3974</v>
          </cell>
          <cell r="H1608">
            <v>63584</v>
          </cell>
          <cell r="K1608">
            <v>115</v>
          </cell>
          <cell r="L1608">
            <v>1840</v>
          </cell>
        </row>
        <row r="1609">
          <cell r="A1609" t="str">
            <v>PORTABLE DRILL</v>
          </cell>
          <cell r="C1609" t="str">
            <v>1.5 HP</v>
          </cell>
          <cell r="D1609">
            <v>8</v>
          </cell>
          <cell r="E1609" t="str">
            <v>Hr</v>
          </cell>
          <cell r="K1609">
            <v>14</v>
          </cell>
          <cell r="L1609">
            <v>112</v>
          </cell>
        </row>
        <row r="1610">
          <cell r="A1610" t="str">
            <v>PORTABLE GRINDER</v>
          </cell>
          <cell r="C1610" t="str">
            <v>0.5 HP</v>
          </cell>
          <cell r="D1610">
            <v>16</v>
          </cell>
          <cell r="E1610" t="str">
            <v>Hr</v>
          </cell>
          <cell r="K1610">
            <v>22</v>
          </cell>
          <cell r="L1610">
            <v>352</v>
          </cell>
        </row>
        <row r="1611">
          <cell r="A1611" t="str">
            <v>TRUCK CRANE</v>
          </cell>
          <cell r="C1611" t="str">
            <v>30 TON</v>
          </cell>
          <cell r="D1611">
            <v>8</v>
          </cell>
          <cell r="E1611" t="str">
            <v>Hr</v>
          </cell>
          <cell r="G1611">
            <v>18615</v>
          </cell>
          <cell r="H1611">
            <v>148920</v>
          </cell>
          <cell r="I1611">
            <v>7046</v>
          </cell>
          <cell r="J1611">
            <v>56368</v>
          </cell>
          <cell r="K1611">
            <v>44939</v>
          </cell>
          <cell r="L1611">
            <v>359512</v>
          </cell>
        </row>
        <row r="1612">
          <cell r="E1612" t="str">
            <v xml:space="preserve"> </v>
          </cell>
          <cell r="G1612" t="str">
            <v xml:space="preserve"> </v>
          </cell>
          <cell r="I1612" t="str">
            <v xml:space="preserve"> </v>
          </cell>
          <cell r="J1612" t="str">
            <v xml:space="preserve"> </v>
          </cell>
          <cell r="K1612" t="str">
            <v xml:space="preserve"> </v>
          </cell>
        </row>
        <row r="1613">
          <cell r="A1613" t="str">
            <v>WINCH</v>
          </cell>
          <cell r="C1613" t="str">
            <v>10 HP</v>
          </cell>
          <cell r="D1613">
            <v>16</v>
          </cell>
          <cell r="E1613" t="str">
            <v>Hr</v>
          </cell>
          <cell r="G1613">
            <v>9235</v>
          </cell>
          <cell r="H1613">
            <v>147760</v>
          </cell>
          <cell r="I1613" t="str">
            <v xml:space="preserve"> </v>
          </cell>
          <cell r="J1613" t="str">
            <v xml:space="preserve"> </v>
          </cell>
          <cell r="K1613">
            <v>850</v>
          </cell>
          <cell r="L1613">
            <v>13600</v>
          </cell>
        </row>
        <row r="1618">
          <cell r="B1618" t="str">
            <v xml:space="preserve"> 계</v>
          </cell>
          <cell r="F1618">
            <v>793288</v>
          </cell>
          <cell r="H1618">
            <v>360264</v>
          </cell>
          <cell r="J1618">
            <v>56368</v>
          </cell>
          <cell r="L1618">
            <v>376656</v>
          </cell>
        </row>
        <row r="1630">
          <cell r="E1630" t="str">
            <v xml:space="preserve"> </v>
          </cell>
          <cell r="F1630" t="str">
            <v>TRASH RACK 제작 인건비</v>
          </cell>
        </row>
        <row r="1631">
          <cell r="E1631" t="str">
            <v xml:space="preserve"> </v>
          </cell>
        </row>
        <row r="1632">
          <cell r="A1632" t="str">
            <v>종       별</v>
          </cell>
          <cell r="C1632" t="str">
            <v>재 료 또 는</v>
          </cell>
          <cell r="D1632" t="str">
            <v xml:space="preserve">원 수 </v>
          </cell>
          <cell r="E1632" t="str">
            <v>단 위</v>
          </cell>
          <cell r="F1632" t="str">
            <v>총   액</v>
          </cell>
          <cell r="G1632" t="str">
            <v>노   무   비</v>
          </cell>
          <cell r="I1632" t="str">
            <v>재   료   비</v>
          </cell>
          <cell r="K1632" t="str">
            <v>경      비</v>
          </cell>
          <cell r="M1632" t="str">
            <v>비   고</v>
          </cell>
        </row>
        <row r="1633">
          <cell r="C1633" t="str">
            <v xml:space="preserve">규       격 </v>
          </cell>
          <cell r="F1633" t="str">
            <v>금   액</v>
          </cell>
          <cell r="G1633" t="str">
            <v>단  가</v>
          </cell>
          <cell r="H1633" t="str">
            <v>금   액</v>
          </cell>
          <cell r="I1633" t="str">
            <v>단  가</v>
          </cell>
          <cell r="J1633" t="str">
            <v>금   액</v>
          </cell>
          <cell r="K1633" t="str">
            <v>단  가</v>
          </cell>
          <cell r="L1633" t="str">
            <v>금   액</v>
          </cell>
        </row>
        <row r="1634">
          <cell r="A1634" t="str">
            <v>기 술 관 리</v>
          </cell>
          <cell r="C1634" t="str">
            <v>기계기사1급</v>
          </cell>
          <cell r="D1634">
            <v>5.2</v>
          </cell>
          <cell r="E1634" t="str">
            <v>인</v>
          </cell>
          <cell r="G1634">
            <v>97488</v>
          </cell>
          <cell r="H1634">
            <v>506937</v>
          </cell>
        </row>
        <row r="1635">
          <cell r="A1635" t="str">
            <v>제 작 정 리</v>
          </cell>
          <cell r="C1635" t="str">
            <v>프랜트 제관공</v>
          </cell>
          <cell r="D1635">
            <v>1.25</v>
          </cell>
          <cell r="E1635" t="str">
            <v>인</v>
          </cell>
          <cell r="G1635">
            <v>81966</v>
          </cell>
          <cell r="H1635">
            <v>102457</v>
          </cell>
        </row>
        <row r="1636">
          <cell r="A1636" t="str">
            <v xml:space="preserve"> </v>
          </cell>
          <cell r="B1636" t="str">
            <v>절    단</v>
          </cell>
          <cell r="C1636" t="str">
            <v>산소 절단공</v>
          </cell>
          <cell r="D1636">
            <v>0.65600000000000003</v>
          </cell>
          <cell r="E1636" t="str">
            <v>인</v>
          </cell>
          <cell r="G1636">
            <v>31794</v>
          </cell>
          <cell r="H1636">
            <v>20856</v>
          </cell>
        </row>
        <row r="1637">
          <cell r="B1637" t="str">
            <v>절    단</v>
          </cell>
          <cell r="C1637" t="str">
            <v>프랜트 제관공</v>
          </cell>
          <cell r="D1637">
            <v>36.902000000000001</v>
          </cell>
          <cell r="E1637" t="str">
            <v>인</v>
          </cell>
          <cell r="G1637">
            <v>81966</v>
          </cell>
          <cell r="H1637">
            <v>3024709</v>
          </cell>
        </row>
        <row r="1638">
          <cell r="A1638" t="str">
            <v>HOLING</v>
          </cell>
          <cell r="C1638" t="str">
            <v>프랜트 제관공</v>
          </cell>
          <cell r="D1638">
            <v>3.22</v>
          </cell>
          <cell r="E1638" t="str">
            <v>인</v>
          </cell>
          <cell r="G1638">
            <v>81966</v>
          </cell>
          <cell r="H1638">
            <v>263930</v>
          </cell>
        </row>
        <row r="1640">
          <cell r="A1640" t="str">
            <v>THREADING</v>
          </cell>
          <cell r="C1640" t="str">
            <v>프랜트 제관공</v>
          </cell>
          <cell r="D1640">
            <v>4.3</v>
          </cell>
          <cell r="E1640" t="str">
            <v>인</v>
          </cell>
          <cell r="G1640">
            <v>81966</v>
          </cell>
          <cell r="H1640">
            <v>352453</v>
          </cell>
        </row>
        <row r="1641">
          <cell r="B1641" t="str">
            <v>끝   손   질</v>
          </cell>
          <cell r="C1641" t="str">
            <v>기계 연마공</v>
          </cell>
          <cell r="D1641">
            <v>18.66</v>
          </cell>
          <cell r="E1641" t="str">
            <v>인</v>
          </cell>
          <cell r="G1641">
            <v>26032</v>
          </cell>
          <cell r="H1641">
            <v>485757</v>
          </cell>
        </row>
        <row r="1642">
          <cell r="B1642" t="str">
            <v>사    도</v>
          </cell>
          <cell r="C1642" t="str">
            <v>제   도   공</v>
          </cell>
          <cell r="D1642">
            <v>0.3</v>
          </cell>
          <cell r="E1642" t="str">
            <v>인</v>
          </cell>
          <cell r="G1642">
            <v>32747</v>
          </cell>
          <cell r="H1642">
            <v>9824</v>
          </cell>
        </row>
        <row r="1643">
          <cell r="B1643" t="str">
            <v>현    도</v>
          </cell>
          <cell r="C1643" t="str">
            <v>현   도   공</v>
          </cell>
          <cell r="D1643">
            <v>8.5999999999999993E-2</v>
          </cell>
          <cell r="E1643" t="str">
            <v>인</v>
          </cell>
          <cell r="G1643">
            <v>28487</v>
          </cell>
          <cell r="H1643">
            <v>2449</v>
          </cell>
        </row>
        <row r="1644">
          <cell r="B1644" t="str">
            <v>괘    서</v>
          </cell>
          <cell r="C1644" t="str">
            <v>마   킹   공</v>
          </cell>
          <cell r="D1644">
            <v>2</v>
          </cell>
          <cell r="E1644" t="str">
            <v>인</v>
          </cell>
          <cell r="G1644">
            <v>26924</v>
          </cell>
          <cell r="H1644">
            <v>53848</v>
          </cell>
        </row>
        <row r="1646">
          <cell r="A1646" t="str">
            <v xml:space="preserve"> </v>
          </cell>
          <cell r="B1646" t="str">
            <v>교    정</v>
          </cell>
          <cell r="C1646" t="str">
            <v>프랜트 제관공</v>
          </cell>
          <cell r="D1646">
            <v>0.5</v>
          </cell>
          <cell r="E1646" t="str">
            <v>인</v>
          </cell>
          <cell r="G1646">
            <v>81966</v>
          </cell>
          <cell r="H1646">
            <v>40983</v>
          </cell>
        </row>
        <row r="1647">
          <cell r="A1647" t="str">
            <v>용        접</v>
          </cell>
          <cell r="C1647" t="str">
            <v>프랜트 용접공</v>
          </cell>
          <cell r="D1647">
            <v>4.46</v>
          </cell>
          <cell r="E1647" t="str">
            <v>인</v>
          </cell>
          <cell r="G1647">
            <v>95379</v>
          </cell>
          <cell r="H1647">
            <v>425390</v>
          </cell>
        </row>
        <row r="1648">
          <cell r="B1648" t="str">
            <v>교    정</v>
          </cell>
          <cell r="C1648" t="str">
            <v>프랜트 제관공</v>
          </cell>
          <cell r="D1648">
            <v>0.75</v>
          </cell>
          <cell r="E1648" t="str">
            <v>인</v>
          </cell>
          <cell r="G1648">
            <v>81966</v>
          </cell>
          <cell r="H1648">
            <v>61474</v>
          </cell>
        </row>
        <row r="1649">
          <cell r="B1649" t="str">
            <v>조    작</v>
          </cell>
          <cell r="C1649" t="str">
            <v>특수 비계공</v>
          </cell>
          <cell r="D1649">
            <v>3.3</v>
          </cell>
          <cell r="E1649" t="str">
            <v>인</v>
          </cell>
          <cell r="G1649">
            <v>85884</v>
          </cell>
          <cell r="H1649">
            <v>283417</v>
          </cell>
        </row>
        <row r="1650">
          <cell r="B1650" t="str">
            <v>소  운  반</v>
          </cell>
          <cell r="C1650" t="str">
            <v>보 통 인 부</v>
          </cell>
          <cell r="D1650">
            <v>1</v>
          </cell>
          <cell r="E1650" t="str">
            <v>인</v>
          </cell>
          <cell r="G1650">
            <v>37736</v>
          </cell>
          <cell r="H1650">
            <v>37736</v>
          </cell>
        </row>
        <row r="1652">
          <cell r="B1652" t="str">
            <v>보  조(기 능)</v>
          </cell>
          <cell r="C1652" t="str">
            <v>특 별 인 부</v>
          </cell>
          <cell r="D1652">
            <v>37.68</v>
          </cell>
          <cell r="G1652">
            <v>57379</v>
          </cell>
          <cell r="H1652">
            <v>2162040</v>
          </cell>
        </row>
        <row r="1656">
          <cell r="B1656" t="str">
            <v xml:space="preserve">    계</v>
          </cell>
          <cell r="F1656">
            <v>7834260</v>
          </cell>
          <cell r="H1656">
            <v>7834260</v>
          </cell>
        </row>
        <row r="1659">
          <cell r="E1659" t="str">
            <v xml:space="preserve"> </v>
          </cell>
          <cell r="F1659" t="str">
            <v>TRASH RACK 제작 소모 자재비</v>
          </cell>
        </row>
        <row r="1660">
          <cell r="E1660" t="str">
            <v xml:space="preserve"> </v>
          </cell>
        </row>
        <row r="1661">
          <cell r="A1661" t="str">
            <v>종       별</v>
          </cell>
          <cell r="C1661" t="str">
            <v>재 료 또 는</v>
          </cell>
          <cell r="D1661" t="str">
            <v xml:space="preserve">원 수 </v>
          </cell>
          <cell r="E1661" t="str">
            <v>단 위</v>
          </cell>
          <cell r="F1661" t="str">
            <v>총   액</v>
          </cell>
          <cell r="G1661" t="str">
            <v>노   무   비</v>
          </cell>
          <cell r="I1661" t="str">
            <v>재   료   비</v>
          </cell>
          <cell r="K1661" t="str">
            <v>경      비</v>
          </cell>
          <cell r="M1661" t="str">
            <v>비   고</v>
          </cell>
        </row>
        <row r="1662">
          <cell r="C1662" t="str">
            <v xml:space="preserve">규       격 </v>
          </cell>
          <cell r="F1662" t="str">
            <v>금   액</v>
          </cell>
          <cell r="G1662" t="str">
            <v>단  가</v>
          </cell>
          <cell r="H1662" t="str">
            <v>금   액</v>
          </cell>
          <cell r="I1662" t="str">
            <v>단  가</v>
          </cell>
          <cell r="J1662" t="str">
            <v>금   액</v>
          </cell>
          <cell r="K1662" t="str">
            <v>단  가</v>
          </cell>
          <cell r="L1662" t="str">
            <v>금   액</v>
          </cell>
        </row>
        <row r="1663">
          <cell r="A1663" t="str">
            <v>산       소</v>
          </cell>
          <cell r="C1663" t="str">
            <v>6,000L용</v>
          </cell>
          <cell r="D1663">
            <v>1.8049999999999999</v>
          </cell>
          <cell r="E1663" t="str">
            <v>병</v>
          </cell>
          <cell r="G1663" t="str">
            <v xml:space="preserve"> </v>
          </cell>
          <cell r="I1663">
            <v>12000</v>
          </cell>
          <cell r="J1663">
            <v>21660</v>
          </cell>
        </row>
        <row r="1664">
          <cell r="A1664" t="str">
            <v>아 세 치 렌</v>
          </cell>
          <cell r="C1664" t="str">
            <v>2,100L용</v>
          </cell>
          <cell r="D1664">
            <v>1.2749999999999999</v>
          </cell>
          <cell r="E1664" t="str">
            <v>병</v>
          </cell>
          <cell r="I1664">
            <v>25849</v>
          </cell>
          <cell r="J1664">
            <v>32957</v>
          </cell>
        </row>
        <row r="1665">
          <cell r="A1665" t="str">
            <v>함       석</v>
          </cell>
          <cell r="C1665" t="str">
            <v>#32 x 3' x 6'</v>
          </cell>
          <cell r="D1665">
            <v>0.53</v>
          </cell>
          <cell r="E1665" t="str">
            <v>매</v>
          </cell>
          <cell r="I1665">
            <v>2597</v>
          </cell>
          <cell r="J1665">
            <v>1376</v>
          </cell>
        </row>
        <row r="1666">
          <cell r="A1666" t="str">
            <v>용   접  봉</v>
          </cell>
          <cell r="C1666" t="str">
            <v>SS400, 4M/Mx350L</v>
          </cell>
          <cell r="D1666">
            <v>20.7</v>
          </cell>
          <cell r="E1666" t="str">
            <v>KG</v>
          </cell>
          <cell r="I1666">
            <v>1260</v>
          </cell>
          <cell r="J1666">
            <v>26082</v>
          </cell>
        </row>
        <row r="1667">
          <cell r="A1667" t="str">
            <v xml:space="preserve"> </v>
          </cell>
          <cell r="D1667" t="str">
            <v xml:space="preserve"> </v>
          </cell>
          <cell r="E1667" t="str">
            <v xml:space="preserve"> </v>
          </cell>
          <cell r="K1667" t="str">
            <v xml:space="preserve"> </v>
          </cell>
          <cell r="L1667" t="str">
            <v xml:space="preserve"> </v>
          </cell>
        </row>
        <row r="1668">
          <cell r="A1668" t="str">
            <v>그라인다돌</v>
          </cell>
          <cell r="C1668" t="str">
            <v>300m/mΦ</v>
          </cell>
          <cell r="D1668">
            <v>1.55</v>
          </cell>
          <cell r="E1668" t="str">
            <v>개</v>
          </cell>
          <cell r="I1668">
            <v>3380</v>
          </cell>
          <cell r="J1668">
            <v>5239</v>
          </cell>
          <cell r="K1668" t="str">
            <v xml:space="preserve"> </v>
          </cell>
        </row>
        <row r="1670">
          <cell r="B1670" t="str">
            <v>계</v>
          </cell>
          <cell r="F1670">
            <v>87314</v>
          </cell>
          <cell r="J1670">
            <v>87314</v>
          </cell>
          <cell r="L1670" t="str">
            <v xml:space="preserve"> </v>
          </cell>
        </row>
        <row r="1672">
          <cell r="M1672" t="str">
            <v xml:space="preserve"> </v>
          </cell>
        </row>
        <row r="1673">
          <cell r="M1673" t="str">
            <v xml:space="preserve"> </v>
          </cell>
        </row>
        <row r="1674">
          <cell r="M1674" t="str">
            <v xml:space="preserve"> </v>
          </cell>
        </row>
        <row r="1675">
          <cell r="M1675" t="str">
            <v xml:space="preserve"> </v>
          </cell>
        </row>
        <row r="1676">
          <cell r="M1676" t="str">
            <v xml:space="preserve"> </v>
          </cell>
        </row>
        <row r="1677">
          <cell r="M1677" t="str">
            <v xml:space="preserve"> </v>
          </cell>
        </row>
        <row r="1678">
          <cell r="M1678" t="str">
            <v xml:space="preserve"> </v>
          </cell>
        </row>
        <row r="1679">
          <cell r="M1679" t="str">
            <v xml:space="preserve"> </v>
          </cell>
        </row>
        <row r="1680">
          <cell r="M1680" t="str">
            <v xml:space="preserve"> </v>
          </cell>
        </row>
        <row r="1681">
          <cell r="M1681" t="str">
            <v xml:space="preserve"> </v>
          </cell>
        </row>
        <row r="1682">
          <cell r="M1682" t="str">
            <v xml:space="preserve"> </v>
          </cell>
        </row>
        <row r="1683">
          <cell r="M1683" t="str">
            <v xml:space="preserve"> </v>
          </cell>
        </row>
        <row r="1684">
          <cell r="M1684" t="str">
            <v xml:space="preserve"> </v>
          </cell>
        </row>
        <row r="1685">
          <cell r="M1685" t="str">
            <v xml:space="preserve"> </v>
          </cell>
        </row>
        <row r="1686">
          <cell r="M1686" t="str">
            <v xml:space="preserve"> </v>
          </cell>
        </row>
        <row r="1687">
          <cell r="M1687" t="str">
            <v xml:space="preserve"> </v>
          </cell>
        </row>
        <row r="1688">
          <cell r="E1688" t="str">
            <v xml:space="preserve"> </v>
          </cell>
          <cell r="F1688" t="str">
            <v>TRASH RACK 설치 인건비</v>
          </cell>
        </row>
        <row r="1689">
          <cell r="E1689" t="str">
            <v xml:space="preserve"> </v>
          </cell>
        </row>
        <row r="1690">
          <cell r="A1690" t="str">
            <v>종       별</v>
          </cell>
          <cell r="C1690" t="str">
            <v>재 료 또 는</v>
          </cell>
          <cell r="D1690" t="str">
            <v xml:space="preserve">원 수 </v>
          </cell>
          <cell r="E1690" t="str">
            <v>단 위</v>
          </cell>
          <cell r="F1690" t="str">
            <v>총   액</v>
          </cell>
          <cell r="G1690" t="str">
            <v>노   무   비</v>
          </cell>
          <cell r="I1690" t="str">
            <v>재   료   비</v>
          </cell>
          <cell r="K1690" t="str">
            <v>경      비</v>
          </cell>
          <cell r="M1690" t="str">
            <v>비   고</v>
          </cell>
        </row>
        <row r="1691">
          <cell r="C1691" t="str">
            <v xml:space="preserve">규       격 </v>
          </cell>
          <cell r="F1691" t="str">
            <v>금   액</v>
          </cell>
          <cell r="G1691" t="str">
            <v>단  가</v>
          </cell>
          <cell r="H1691" t="str">
            <v>금   액</v>
          </cell>
          <cell r="I1691" t="str">
            <v>단  가</v>
          </cell>
          <cell r="J1691" t="str">
            <v>금   액</v>
          </cell>
          <cell r="K1691" t="str">
            <v>단  가</v>
          </cell>
          <cell r="L1691" t="str">
            <v>금   액</v>
          </cell>
        </row>
        <row r="1692">
          <cell r="A1692" t="str">
            <v>기 술 관 리</v>
          </cell>
          <cell r="C1692" t="str">
            <v>기계기사1급</v>
          </cell>
          <cell r="D1692">
            <v>1.66</v>
          </cell>
          <cell r="E1692" t="str">
            <v>인</v>
          </cell>
          <cell r="G1692">
            <v>97488</v>
          </cell>
          <cell r="H1692">
            <v>161830</v>
          </cell>
        </row>
        <row r="1693">
          <cell r="A1693" t="str">
            <v>운 반 검 측</v>
          </cell>
          <cell r="C1693" t="str">
            <v>프랜트기계설치공</v>
          </cell>
          <cell r="D1693">
            <v>0.05</v>
          </cell>
          <cell r="E1693" t="str">
            <v>인</v>
          </cell>
          <cell r="G1693">
            <v>80805</v>
          </cell>
          <cell r="H1693">
            <v>4040</v>
          </cell>
        </row>
        <row r="1694">
          <cell r="C1694" t="str">
            <v>특 별 인 부</v>
          </cell>
          <cell r="D1694">
            <v>0.05</v>
          </cell>
          <cell r="E1694" t="str">
            <v>인</v>
          </cell>
          <cell r="G1694">
            <v>57379</v>
          </cell>
          <cell r="H1694">
            <v>2868</v>
          </cell>
        </row>
        <row r="1695">
          <cell r="A1695" t="str">
            <v>수      정</v>
          </cell>
          <cell r="C1695" t="str">
            <v>산소 절단공</v>
          </cell>
          <cell r="D1695">
            <v>0.05</v>
          </cell>
          <cell r="E1695" t="str">
            <v>인</v>
          </cell>
          <cell r="G1695">
            <v>31794</v>
          </cell>
          <cell r="H1695">
            <v>1589</v>
          </cell>
        </row>
        <row r="1696">
          <cell r="A1696" t="str">
            <v xml:space="preserve"> </v>
          </cell>
          <cell r="C1696" t="str">
            <v>프랜트기계설치공</v>
          </cell>
          <cell r="D1696">
            <v>0.05</v>
          </cell>
          <cell r="E1696" t="str">
            <v>인</v>
          </cell>
          <cell r="G1696">
            <v>80805</v>
          </cell>
          <cell r="H1696">
            <v>4040</v>
          </cell>
        </row>
        <row r="1698">
          <cell r="A1698" t="str">
            <v xml:space="preserve"> </v>
          </cell>
          <cell r="C1698" t="str">
            <v>특 별 인 부</v>
          </cell>
          <cell r="D1698">
            <v>0.1</v>
          </cell>
          <cell r="E1698" t="str">
            <v>인</v>
          </cell>
          <cell r="G1698">
            <v>57379</v>
          </cell>
          <cell r="H1698">
            <v>5737</v>
          </cell>
        </row>
        <row r="1699">
          <cell r="A1699" t="str">
            <v>설치준비 철근정리</v>
          </cell>
          <cell r="C1699" t="str">
            <v>산 소 절 단 공</v>
          </cell>
          <cell r="D1699">
            <v>4.7E-2</v>
          </cell>
          <cell r="E1699" t="str">
            <v>인</v>
          </cell>
          <cell r="G1699">
            <v>31794</v>
          </cell>
          <cell r="H1699">
            <v>1494</v>
          </cell>
        </row>
        <row r="1700">
          <cell r="C1700" t="str">
            <v>특 별 인 부</v>
          </cell>
          <cell r="D1700">
            <v>4.7E-2</v>
          </cell>
          <cell r="E1700" t="str">
            <v>인</v>
          </cell>
          <cell r="G1700">
            <v>57379</v>
          </cell>
          <cell r="H1700">
            <v>2696</v>
          </cell>
        </row>
        <row r="1701">
          <cell r="A1701" t="str">
            <v>CHIPPING</v>
          </cell>
          <cell r="C1701" t="str">
            <v>석      공</v>
          </cell>
          <cell r="D1701">
            <v>0.1</v>
          </cell>
          <cell r="E1701" t="str">
            <v>인</v>
          </cell>
          <cell r="G1701">
            <v>77005</v>
          </cell>
          <cell r="H1701">
            <v>7700</v>
          </cell>
        </row>
        <row r="1702">
          <cell r="C1702" t="str">
            <v>특 별 인 부</v>
          </cell>
          <cell r="D1702">
            <v>0.05</v>
          </cell>
          <cell r="E1702" t="str">
            <v>인</v>
          </cell>
          <cell r="G1702">
            <v>57379</v>
          </cell>
          <cell r="H1702">
            <v>2868</v>
          </cell>
        </row>
        <row r="1704">
          <cell r="A1704" t="str">
            <v>BEAM설치,CRANE</v>
          </cell>
          <cell r="C1704" t="str">
            <v>특 별 인 부</v>
          </cell>
          <cell r="D1704">
            <v>0.17499999999999999</v>
          </cell>
          <cell r="E1704" t="str">
            <v>인</v>
          </cell>
          <cell r="G1704">
            <v>57379</v>
          </cell>
          <cell r="H1704">
            <v>10041</v>
          </cell>
        </row>
        <row r="1705">
          <cell r="A1705" t="str">
            <v xml:space="preserve"> </v>
          </cell>
          <cell r="B1705" t="str">
            <v>작업</v>
          </cell>
          <cell r="C1705" t="str">
            <v>특수 비계공</v>
          </cell>
          <cell r="D1705">
            <v>0.18</v>
          </cell>
          <cell r="E1705" t="str">
            <v>인</v>
          </cell>
          <cell r="G1705">
            <v>85884</v>
          </cell>
          <cell r="H1705">
            <v>15459</v>
          </cell>
        </row>
        <row r="1706">
          <cell r="A1706" t="str">
            <v>BEAM설치,CRANE</v>
          </cell>
          <cell r="C1706" t="str">
            <v>측   량   사</v>
          </cell>
          <cell r="D1706">
            <v>0.14000000000000001</v>
          </cell>
          <cell r="E1706" t="str">
            <v>인</v>
          </cell>
          <cell r="G1706">
            <v>58506</v>
          </cell>
          <cell r="H1706">
            <v>8190</v>
          </cell>
        </row>
        <row r="1707">
          <cell r="A1707" t="str">
            <v>작업,1차 쎈타링</v>
          </cell>
          <cell r="C1707" t="str">
            <v>측 량 조 수</v>
          </cell>
          <cell r="D1707">
            <v>0.14000000000000001</v>
          </cell>
          <cell r="E1707" t="str">
            <v>인</v>
          </cell>
          <cell r="G1707">
            <v>38777</v>
          </cell>
          <cell r="H1707">
            <v>5428</v>
          </cell>
        </row>
        <row r="1708">
          <cell r="C1708" t="str">
            <v>특수 비계공</v>
          </cell>
          <cell r="D1708">
            <v>0.14000000000000001</v>
          </cell>
          <cell r="E1708" t="str">
            <v>인</v>
          </cell>
          <cell r="G1708">
            <v>85884</v>
          </cell>
          <cell r="H1708">
            <v>12023</v>
          </cell>
        </row>
        <row r="1709">
          <cell r="A1709" t="str">
            <v xml:space="preserve"> </v>
          </cell>
          <cell r="B1709" t="str">
            <v xml:space="preserve"> </v>
          </cell>
        </row>
        <row r="1710">
          <cell r="A1710" t="str">
            <v xml:space="preserve"> </v>
          </cell>
          <cell r="B1710" t="str">
            <v xml:space="preserve"> </v>
          </cell>
          <cell r="C1710" t="str">
            <v>특 별 인 부</v>
          </cell>
          <cell r="D1710">
            <v>0.28000000000000003</v>
          </cell>
          <cell r="E1710" t="str">
            <v>인</v>
          </cell>
          <cell r="G1710">
            <v>57379</v>
          </cell>
          <cell r="H1710">
            <v>16066</v>
          </cell>
        </row>
        <row r="1711">
          <cell r="A1711" t="str">
            <v xml:space="preserve"> </v>
          </cell>
          <cell r="B1711" t="str">
            <v xml:space="preserve"> </v>
          </cell>
          <cell r="C1711" t="str">
            <v>프랜트기계설치공</v>
          </cell>
          <cell r="D1711">
            <v>0.14000000000000001</v>
          </cell>
          <cell r="E1711" t="str">
            <v>인</v>
          </cell>
          <cell r="G1711">
            <v>80805</v>
          </cell>
          <cell r="H1711">
            <v>11312</v>
          </cell>
        </row>
        <row r="1712">
          <cell r="A1712" t="str">
            <v>턴 바 클 용 접</v>
          </cell>
          <cell r="C1712" t="str">
            <v xml:space="preserve">프랜트 용접공 </v>
          </cell>
          <cell r="D1712">
            <v>0.21</v>
          </cell>
          <cell r="E1712" t="str">
            <v>인</v>
          </cell>
          <cell r="G1712">
            <v>95379</v>
          </cell>
          <cell r="H1712">
            <v>20029</v>
          </cell>
        </row>
        <row r="1713">
          <cell r="A1713" t="str">
            <v xml:space="preserve"> </v>
          </cell>
          <cell r="B1713" t="str">
            <v xml:space="preserve"> </v>
          </cell>
          <cell r="C1713" t="str">
            <v>특 별 인 부</v>
          </cell>
          <cell r="D1713">
            <v>0.21</v>
          </cell>
          <cell r="E1713" t="str">
            <v>인</v>
          </cell>
          <cell r="G1713">
            <v>57379</v>
          </cell>
          <cell r="H1713">
            <v>12049</v>
          </cell>
        </row>
        <row r="1714">
          <cell r="A1714" t="str">
            <v>BEAM 완전고정</v>
          </cell>
          <cell r="C1714" t="str">
            <v>산소 절단공</v>
          </cell>
          <cell r="D1714">
            <v>1.4999999999999999E-2</v>
          </cell>
          <cell r="E1714" t="str">
            <v>인</v>
          </cell>
          <cell r="G1714">
            <v>31794</v>
          </cell>
          <cell r="H1714">
            <v>476</v>
          </cell>
        </row>
        <row r="1717">
          <cell r="A1717" t="str">
            <v>종       별</v>
          </cell>
          <cell r="C1717" t="str">
            <v>재 료 또 는</v>
          </cell>
          <cell r="D1717" t="str">
            <v xml:space="preserve">원 수 </v>
          </cell>
          <cell r="E1717" t="str">
            <v>단 위</v>
          </cell>
          <cell r="F1717" t="str">
            <v>총   액</v>
          </cell>
          <cell r="G1717" t="str">
            <v>노   무   비</v>
          </cell>
          <cell r="I1717" t="str">
            <v>재   료   비</v>
          </cell>
          <cell r="K1717" t="str">
            <v>경      비</v>
          </cell>
          <cell r="M1717" t="str">
            <v>비   고</v>
          </cell>
        </row>
        <row r="1718">
          <cell r="C1718" t="str">
            <v xml:space="preserve">규       격 </v>
          </cell>
          <cell r="F1718" t="str">
            <v>금   액</v>
          </cell>
          <cell r="G1718" t="str">
            <v>단  가</v>
          </cell>
          <cell r="H1718" t="str">
            <v>금   액</v>
          </cell>
          <cell r="I1718" t="str">
            <v>단  가</v>
          </cell>
          <cell r="J1718" t="str">
            <v>금   액</v>
          </cell>
          <cell r="K1718" t="str">
            <v>단  가</v>
          </cell>
          <cell r="L1718" t="str">
            <v>금   액</v>
          </cell>
        </row>
        <row r="1719">
          <cell r="C1719" t="str">
            <v>프랜트 용접공</v>
          </cell>
          <cell r="D1719">
            <v>2.7</v>
          </cell>
          <cell r="E1719" t="str">
            <v>인</v>
          </cell>
          <cell r="G1719">
            <v>95379</v>
          </cell>
          <cell r="H1719">
            <v>257523</v>
          </cell>
        </row>
        <row r="1720">
          <cell r="A1720" t="str">
            <v xml:space="preserve"> </v>
          </cell>
          <cell r="C1720" t="str">
            <v>특 별 인 부</v>
          </cell>
          <cell r="D1720">
            <v>2.7</v>
          </cell>
          <cell r="E1720" t="str">
            <v>인</v>
          </cell>
          <cell r="G1720">
            <v>57379</v>
          </cell>
          <cell r="H1720">
            <v>154923</v>
          </cell>
        </row>
        <row r="1721">
          <cell r="A1721" t="str">
            <v>TRASH RACK 설치</v>
          </cell>
          <cell r="C1721" t="str">
            <v>특 별 인 부</v>
          </cell>
          <cell r="D1721">
            <v>0.67</v>
          </cell>
          <cell r="E1721" t="str">
            <v>인</v>
          </cell>
          <cell r="G1721">
            <v>57379</v>
          </cell>
          <cell r="H1721">
            <v>38443</v>
          </cell>
        </row>
        <row r="1722">
          <cell r="A1722" t="str">
            <v>1 차 조 립</v>
          </cell>
          <cell r="C1722" t="str">
            <v>특수 비계공</v>
          </cell>
          <cell r="D1722">
            <v>0.59</v>
          </cell>
          <cell r="E1722" t="str">
            <v>인</v>
          </cell>
          <cell r="G1722">
            <v>85884</v>
          </cell>
          <cell r="H1722">
            <v>50671</v>
          </cell>
        </row>
        <row r="1723">
          <cell r="B1723" t="str">
            <v xml:space="preserve"> </v>
          </cell>
          <cell r="C1723" t="str">
            <v>프랜트기계설치공</v>
          </cell>
          <cell r="D1723">
            <v>0.45</v>
          </cell>
          <cell r="E1723" t="str">
            <v>인</v>
          </cell>
          <cell r="G1723">
            <v>80805</v>
          </cell>
          <cell r="H1723">
            <v>36362</v>
          </cell>
        </row>
        <row r="1724">
          <cell r="A1724" t="str">
            <v>2차 쎈 타 링</v>
          </cell>
          <cell r="C1724" t="str">
            <v>측   량   사</v>
          </cell>
          <cell r="D1724">
            <v>8.6999999999999994E-2</v>
          </cell>
          <cell r="E1724" t="str">
            <v>인</v>
          </cell>
          <cell r="G1724">
            <v>58506</v>
          </cell>
          <cell r="H1724">
            <v>5090</v>
          </cell>
        </row>
        <row r="1725">
          <cell r="B1725" t="str">
            <v xml:space="preserve"> </v>
          </cell>
          <cell r="C1725" t="str">
            <v>측 량 조 수</v>
          </cell>
          <cell r="D1725">
            <v>8.6999999999999994E-2</v>
          </cell>
          <cell r="E1725" t="str">
            <v>인</v>
          </cell>
          <cell r="G1725">
            <v>38777</v>
          </cell>
          <cell r="H1725">
            <v>3373</v>
          </cell>
        </row>
        <row r="1726">
          <cell r="C1726" t="str">
            <v>프랜트기계설치공</v>
          </cell>
          <cell r="D1726">
            <v>8.6999999999999994E-2</v>
          </cell>
          <cell r="E1726" t="str">
            <v>인</v>
          </cell>
          <cell r="G1726">
            <v>80805</v>
          </cell>
          <cell r="H1726">
            <v>7030</v>
          </cell>
        </row>
        <row r="1727">
          <cell r="C1727" t="str">
            <v>특 별 인 부</v>
          </cell>
          <cell r="D1727">
            <v>0.16600000000000001</v>
          </cell>
          <cell r="E1727" t="str">
            <v>인</v>
          </cell>
          <cell r="G1727">
            <v>57379</v>
          </cell>
          <cell r="H1727">
            <v>9524</v>
          </cell>
        </row>
        <row r="1728">
          <cell r="C1728" t="str">
            <v>프랜트 용접공</v>
          </cell>
          <cell r="D1728">
            <v>0.79</v>
          </cell>
          <cell r="E1728" t="str">
            <v>인</v>
          </cell>
          <cell r="G1728">
            <v>95379</v>
          </cell>
          <cell r="H1728">
            <v>75349</v>
          </cell>
        </row>
        <row r="1729">
          <cell r="B1729" t="str">
            <v xml:space="preserve"> </v>
          </cell>
        </row>
        <row r="1730">
          <cell r="A1730" t="str">
            <v>검        사</v>
          </cell>
          <cell r="C1730" t="str">
            <v>프랜트기계설치공</v>
          </cell>
          <cell r="D1730">
            <v>3.5000000000000003E-2</v>
          </cell>
          <cell r="E1730" t="str">
            <v>인</v>
          </cell>
          <cell r="G1730">
            <v>80805</v>
          </cell>
          <cell r="H1730">
            <v>2828</v>
          </cell>
        </row>
        <row r="1731">
          <cell r="A1731" t="str">
            <v xml:space="preserve"> </v>
          </cell>
          <cell r="C1731" t="str">
            <v>특 별 인 부</v>
          </cell>
          <cell r="D1731">
            <v>3.5000000000000003E-2</v>
          </cell>
          <cell r="E1731" t="str">
            <v>인</v>
          </cell>
          <cell r="G1731">
            <v>57379</v>
          </cell>
          <cell r="H1731">
            <v>2008</v>
          </cell>
        </row>
        <row r="1732">
          <cell r="A1732" t="str">
            <v>강제거푸집철거</v>
          </cell>
          <cell r="C1732" t="str">
            <v>프랜트 용접공</v>
          </cell>
          <cell r="D1732">
            <v>1.7000000000000001E-2</v>
          </cell>
          <cell r="E1732" t="str">
            <v>인</v>
          </cell>
          <cell r="G1732">
            <v>95379</v>
          </cell>
          <cell r="H1732">
            <v>1621</v>
          </cell>
        </row>
        <row r="1733">
          <cell r="B1733" t="str">
            <v xml:space="preserve"> </v>
          </cell>
          <cell r="C1733" t="str">
            <v>특 별 인 부</v>
          </cell>
          <cell r="D1733">
            <v>1.7000000000000001E-2</v>
          </cell>
          <cell r="E1733" t="str">
            <v>인</v>
          </cell>
          <cell r="G1733">
            <v>57379</v>
          </cell>
          <cell r="H1733">
            <v>975</v>
          </cell>
        </row>
        <row r="1734">
          <cell r="A1734" t="str">
            <v>뒷    정    리</v>
          </cell>
          <cell r="C1734" t="str">
            <v>프랜트기계설치공</v>
          </cell>
          <cell r="D1734">
            <v>3.5000000000000003E-2</v>
          </cell>
          <cell r="E1734" t="str">
            <v>인</v>
          </cell>
          <cell r="G1734">
            <v>80805</v>
          </cell>
          <cell r="H1734">
            <v>2828</v>
          </cell>
        </row>
        <row r="1735">
          <cell r="B1735" t="str">
            <v xml:space="preserve"> </v>
          </cell>
        </row>
        <row r="1736">
          <cell r="C1736" t="str">
            <v>산소 절단공</v>
          </cell>
          <cell r="D1736">
            <v>1.7000000000000001E-2</v>
          </cell>
          <cell r="E1736" t="str">
            <v>인</v>
          </cell>
          <cell r="G1736">
            <v>31794</v>
          </cell>
          <cell r="H1736">
            <v>540</v>
          </cell>
        </row>
        <row r="1737">
          <cell r="C1737" t="str">
            <v>특 별 인 부</v>
          </cell>
          <cell r="D1737">
            <v>3.5000000000000003E-2</v>
          </cell>
          <cell r="E1737" t="str">
            <v>인</v>
          </cell>
          <cell r="G1737">
            <v>57379</v>
          </cell>
          <cell r="H1737">
            <v>2008</v>
          </cell>
        </row>
        <row r="1738">
          <cell r="A1738" t="str">
            <v>전 원 조 작</v>
          </cell>
          <cell r="C1738" t="str">
            <v>프랜트 전공</v>
          </cell>
          <cell r="D1738">
            <v>0.52</v>
          </cell>
          <cell r="E1738" t="str">
            <v>인</v>
          </cell>
          <cell r="G1738">
            <v>64285</v>
          </cell>
          <cell r="H1738">
            <v>33428</v>
          </cell>
        </row>
        <row r="1739">
          <cell r="C1739" t="str">
            <v>특 별 인 부</v>
          </cell>
          <cell r="D1739">
            <v>0.52</v>
          </cell>
          <cell r="E1739" t="str">
            <v>인</v>
          </cell>
          <cell r="G1739">
            <v>57379</v>
          </cell>
          <cell r="H1739">
            <v>29837</v>
          </cell>
        </row>
        <row r="1743">
          <cell r="B1743" t="str">
            <v xml:space="preserve">    계</v>
          </cell>
          <cell r="F1743">
            <v>1020296</v>
          </cell>
          <cell r="H1743">
            <v>1020296</v>
          </cell>
        </row>
        <row r="1746">
          <cell r="E1746" t="str">
            <v xml:space="preserve"> </v>
          </cell>
          <cell r="F1746" t="str">
            <v>TRASH RACK 설치 소모 자재비</v>
          </cell>
        </row>
        <row r="1747">
          <cell r="E1747" t="str">
            <v xml:space="preserve"> </v>
          </cell>
        </row>
        <row r="1748">
          <cell r="A1748" t="str">
            <v>종       별</v>
          </cell>
          <cell r="C1748" t="str">
            <v>재 료 또 는</v>
          </cell>
          <cell r="D1748" t="str">
            <v xml:space="preserve">원 수 </v>
          </cell>
          <cell r="E1748" t="str">
            <v>단 위</v>
          </cell>
          <cell r="F1748" t="str">
            <v>총   액</v>
          </cell>
          <cell r="G1748" t="str">
            <v>노   무   비</v>
          </cell>
          <cell r="I1748" t="str">
            <v>재   료   비</v>
          </cell>
          <cell r="K1748" t="str">
            <v>경      비</v>
          </cell>
          <cell r="M1748" t="str">
            <v>비   고</v>
          </cell>
        </row>
        <row r="1749">
          <cell r="C1749" t="str">
            <v xml:space="preserve">규       격 </v>
          </cell>
          <cell r="F1749" t="str">
            <v>금   액</v>
          </cell>
          <cell r="G1749" t="str">
            <v>단  가</v>
          </cell>
          <cell r="H1749" t="str">
            <v>금   액</v>
          </cell>
          <cell r="I1749" t="str">
            <v>단  가</v>
          </cell>
          <cell r="J1749" t="str">
            <v>금   액</v>
          </cell>
          <cell r="K1749" t="str">
            <v>단  가</v>
          </cell>
          <cell r="L1749" t="str">
            <v>금   액</v>
          </cell>
        </row>
        <row r="1750">
          <cell r="A1750" t="str">
            <v>산       소</v>
          </cell>
          <cell r="C1750" t="str">
            <v>6,000L용</v>
          </cell>
          <cell r="D1750">
            <v>2.9000000000000001E-2</v>
          </cell>
          <cell r="E1750" t="str">
            <v>병</v>
          </cell>
          <cell r="G1750" t="str">
            <v xml:space="preserve"> </v>
          </cell>
          <cell r="I1750">
            <v>12000</v>
          </cell>
          <cell r="J1750">
            <v>348</v>
          </cell>
        </row>
        <row r="1751">
          <cell r="A1751" t="str">
            <v>아 세 치 렌</v>
          </cell>
          <cell r="C1751" t="str">
            <v>2,100L용</v>
          </cell>
          <cell r="D1751">
            <v>1.2E-2</v>
          </cell>
          <cell r="E1751" t="str">
            <v>병</v>
          </cell>
          <cell r="I1751">
            <v>25849</v>
          </cell>
          <cell r="J1751">
            <v>310</v>
          </cell>
        </row>
        <row r="1752">
          <cell r="A1752" t="str">
            <v>용   접  봉</v>
          </cell>
          <cell r="C1752" t="str">
            <v>SS400, 4M/Mx350L</v>
          </cell>
          <cell r="D1752">
            <v>5.95</v>
          </cell>
          <cell r="E1752" t="str">
            <v>KG</v>
          </cell>
          <cell r="I1752">
            <v>1260</v>
          </cell>
          <cell r="J1752">
            <v>7497</v>
          </cell>
        </row>
        <row r="1754">
          <cell r="A1754" t="str">
            <v xml:space="preserve"> </v>
          </cell>
          <cell r="D1754" t="str">
            <v xml:space="preserve"> </v>
          </cell>
          <cell r="E1754" t="str">
            <v xml:space="preserve"> </v>
          </cell>
        </row>
        <row r="1755">
          <cell r="B1755" t="str">
            <v>계</v>
          </cell>
          <cell r="F1755">
            <v>8155</v>
          </cell>
          <cell r="J1755">
            <v>8155</v>
          </cell>
        </row>
        <row r="1757">
          <cell r="A1757" t="str">
            <v xml:space="preserve"> </v>
          </cell>
          <cell r="D1757" t="str">
            <v xml:space="preserve"> </v>
          </cell>
          <cell r="E1757" t="str">
            <v xml:space="preserve"> </v>
          </cell>
        </row>
        <row r="1758">
          <cell r="A1758" t="str">
            <v xml:space="preserve"> </v>
          </cell>
          <cell r="D1758" t="str">
            <v xml:space="preserve"> </v>
          </cell>
          <cell r="E1758" t="str">
            <v xml:space="preserve"> </v>
          </cell>
        </row>
        <row r="1759">
          <cell r="A1759" t="str">
            <v xml:space="preserve"> </v>
          </cell>
          <cell r="D1759" t="str">
            <v xml:space="preserve"> </v>
          </cell>
          <cell r="E1759" t="str">
            <v xml:space="preserve"> </v>
          </cell>
        </row>
        <row r="1760">
          <cell r="A1760" t="str">
            <v xml:space="preserve"> </v>
          </cell>
          <cell r="D1760" t="str">
            <v xml:space="preserve"> </v>
          </cell>
          <cell r="E1760" t="str">
            <v xml:space="preserve"> </v>
          </cell>
        </row>
        <row r="1761">
          <cell r="A1761" t="str">
            <v xml:space="preserve"> </v>
          </cell>
          <cell r="D1761" t="str">
            <v xml:space="preserve"> </v>
          </cell>
          <cell r="E1761" t="str">
            <v xml:space="preserve"> </v>
          </cell>
        </row>
        <row r="1762">
          <cell r="A1762" t="str">
            <v xml:space="preserve"> </v>
          </cell>
          <cell r="D1762" t="str">
            <v xml:space="preserve"> </v>
          </cell>
          <cell r="E1762" t="str">
            <v xml:space="preserve"> </v>
          </cell>
        </row>
        <row r="1763">
          <cell r="A1763" t="str">
            <v xml:space="preserve"> </v>
          </cell>
          <cell r="D1763" t="str">
            <v xml:space="preserve"> </v>
          </cell>
          <cell r="E1763" t="str">
            <v xml:space="preserve"> </v>
          </cell>
        </row>
        <row r="1764">
          <cell r="A1764" t="str">
            <v xml:space="preserve"> </v>
          </cell>
          <cell r="D1764" t="str">
            <v xml:space="preserve"> </v>
          </cell>
          <cell r="E1764" t="str">
            <v xml:space="preserve"> </v>
          </cell>
        </row>
        <row r="1765">
          <cell r="A1765" t="str">
            <v xml:space="preserve"> </v>
          </cell>
          <cell r="D1765" t="str">
            <v xml:space="preserve"> </v>
          </cell>
          <cell r="E1765" t="str">
            <v xml:space="preserve"> </v>
          </cell>
        </row>
        <row r="1766">
          <cell r="A1766" t="str">
            <v xml:space="preserve"> </v>
          </cell>
          <cell r="D1766" t="str">
            <v xml:space="preserve"> </v>
          </cell>
          <cell r="E1766" t="str">
            <v xml:space="preserve"> </v>
          </cell>
        </row>
        <row r="1767">
          <cell r="A1767" t="str">
            <v xml:space="preserve"> </v>
          </cell>
          <cell r="D1767" t="str">
            <v xml:space="preserve"> </v>
          </cell>
          <cell r="E1767" t="str">
            <v xml:space="preserve"> </v>
          </cell>
        </row>
        <row r="1768">
          <cell r="A1768" t="str">
            <v xml:space="preserve"> </v>
          </cell>
          <cell r="D1768" t="str">
            <v xml:space="preserve"> </v>
          </cell>
          <cell r="E1768" t="str">
            <v xml:space="preserve"> </v>
          </cell>
        </row>
        <row r="1769">
          <cell r="A1769" t="str">
            <v xml:space="preserve"> </v>
          </cell>
          <cell r="D1769" t="str">
            <v xml:space="preserve"> </v>
          </cell>
          <cell r="E1769" t="str">
            <v xml:space="preserve"> </v>
          </cell>
        </row>
        <row r="1770">
          <cell r="A1770" t="str">
            <v xml:space="preserve"> </v>
          </cell>
          <cell r="D1770" t="str">
            <v xml:space="preserve"> </v>
          </cell>
          <cell r="E1770" t="str">
            <v xml:space="preserve"> </v>
          </cell>
        </row>
        <row r="1771">
          <cell r="A1771" t="str">
            <v xml:space="preserve"> </v>
          </cell>
          <cell r="D1771" t="str">
            <v xml:space="preserve"> </v>
          </cell>
          <cell r="E1771" t="str">
            <v xml:space="preserve"> </v>
          </cell>
        </row>
        <row r="1772">
          <cell r="A1772" t="str">
            <v xml:space="preserve"> </v>
          </cell>
          <cell r="D1772" t="str">
            <v xml:space="preserve"> </v>
          </cell>
          <cell r="E1772" t="str">
            <v xml:space="preserve"> </v>
          </cell>
        </row>
        <row r="1773">
          <cell r="A1773" t="str">
            <v xml:space="preserve"> </v>
          </cell>
          <cell r="D1773" t="str">
            <v xml:space="preserve"> </v>
          </cell>
          <cell r="E1773" t="str">
            <v xml:space="preserve"> </v>
          </cell>
        </row>
        <row r="1774">
          <cell r="A1774" t="str">
            <v xml:space="preserve"> </v>
          </cell>
          <cell r="D1774" t="str">
            <v xml:space="preserve"> </v>
          </cell>
          <cell r="E1774" t="str">
            <v xml:space="preserve"> </v>
          </cell>
        </row>
        <row r="1775">
          <cell r="A1775" t="str">
            <v>잡철물 제작,설치(SCREEN등)</v>
          </cell>
        </row>
        <row r="1776">
          <cell r="E1776" t="str">
            <v xml:space="preserve"> </v>
          </cell>
        </row>
        <row r="1777">
          <cell r="A1777" t="str">
            <v>종       별</v>
          </cell>
          <cell r="C1777" t="str">
            <v>재 료 또 는</v>
          </cell>
          <cell r="D1777" t="str">
            <v xml:space="preserve">원 수 </v>
          </cell>
          <cell r="E1777" t="str">
            <v>단 위</v>
          </cell>
          <cell r="F1777" t="str">
            <v>총   액</v>
          </cell>
          <cell r="G1777" t="str">
            <v>노   무   비</v>
          </cell>
          <cell r="I1777" t="str">
            <v>재   료   비</v>
          </cell>
          <cell r="K1777" t="str">
            <v>경      비</v>
          </cell>
          <cell r="M1777" t="str">
            <v>비   고</v>
          </cell>
        </row>
        <row r="1778">
          <cell r="C1778" t="str">
            <v xml:space="preserve">규       격 </v>
          </cell>
          <cell r="F1778" t="str">
            <v>금   액</v>
          </cell>
          <cell r="G1778" t="str">
            <v>단  가</v>
          </cell>
          <cell r="H1778" t="str">
            <v>금   액</v>
          </cell>
          <cell r="I1778" t="str">
            <v>단  가</v>
          </cell>
          <cell r="J1778" t="str">
            <v>금   액</v>
          </cell>
          <cell r="K1778" t="str">
            <v>단  가</v>
          </cell>
          <cell r="L1778" t="str">
            <v>금   액</v>
          </cell>
        </row>
        <row r="1779">
          <cell r="A1779" t="str">
            <v>용  접  봉</v>
          </cell>
          <cell r="C1779" t="str">
            <v>KSE4301  3.2Φ</v>
          </cell>
          <cell r="D1779">
            <v>18.48</v>
          </cell>
          <cell r="E1779" t="str">
            <v>KG</v>
          </cell>
          <cell r="I1779">
            <v>1260</v>
          </cell>
          <cell r="J1779">
            <v>23284</v>
          </cell>
        </row>
        <row r="1780">
          <cell r="A1780" t="str">
            <v>산      소</v>
          </cell>
          <cell r="C1780" t="str">
            <v>6,000L</v>
          </cell>
          <cell r="D1780">
            <v>1.05</v>
          </cell>
          <cell r="E1780" t="str">
            <v>병</v>
          </cell>
          <cell r="I1780">
            <v>12000</v>
          </cell>
          <cell r="J1780">
            <v>12600</v>
          </cell>
        </row>
        <row r="1781">
          <cell r="A1781" t="str">
            <v>아 세 치 렌</v>
          </cell>
          <cell r="C1781" t="str">
            <v>4,500L</v>
          </cell>
          <cell r="D1781">
            <v>2.8</v>
          </cell>
          <cell r="E1781" t="str">
            <v>KG</v>
          </cell>
          <cell r="I1781">
            <v>10500</v>
          </cell>
          <cell r="J1781">
            <v>29400</v>
          </cell>
        </row>
        <row r="1782">
          <cell r="A1782" t="str">
            <v>철      공</v>
          </cell>
          <cell r="D1782">
            <v>27.65</v>
          </cell>
          <cell r="E1782" t="str">
            <v>인</v>
          </cell>
          <cell r="G1782">
            <v>72430</v>
          </cell>
          <cell r="H1782">
            <v>2002689</v>
          </cell>
        </row>
        <row r="1783">
          <cell r="A1783" t="str">
            <v>비  계   공</v>
          </cell>
          <cell r="D1783">
            <v>4.71</v>
          </cell>
          <cell r="E1783" t="str">
            <v>인</v>
          </cell>
          <cell r="G1783">
            <v>79467</v>
          </cell>
          <cell r="H1783">
            <v>374289</v>
          </cell>
        </row>
        <row r="1785">
          <cell r="A1785" t="str">
            <v>보 통 인 부</v>
          </cell>
          <cell r="D1785">
            <v>0.66</v>
          </cell>
          <cell r="E1785" t="str">
            <v>인</v>
          </cell>
          <cell r="G1785">
            <v>37736</v>
          </cell>
          <cell r="H1785">
            <v>24905</v>
          </cell>
        </row>
        <row r="1786">
          <cell r="A1786" t="str">
            <v>용  접  공</v>
          </cell>
          <cell r="D1786">
            <v>2.6</v>
          </cell>
          <cell r="E1786" t="str">
            <v>인</v>
          </cell>
          <cell r="G1786">
            <v>74016</v>
          </cell>
          <cell r="H1786">
            <v>192441</v>
          </cell>
        </row>
        <row r="1787">
          <cell r="A1787" t="str">
            <v>특 별 인 부</v>
          </cell>
          <cell r="D1787">
            <v>0.74</v>
          </cell>
          <cell r="E1787" t="str">
            <v>인</v>
          </cell>
          <cell r="G1787">
            <v>57379</v>
          </cell>
          <cell r="H1787">
            <v>42460</v>
          </cell>
        </row>
        <row r="1788">
          <cell r="A1788" t="str">
            <v>용접기 손료</v>
          </cell>
          <cell r="D1788">
            <v>20.83</v>
          </cell>
          <cell r="E1788" t="str">
            <v>Hr</v>
          </cell>
          <cell r="K1788">
            <v>155</v>
          </cell>
          <cell r="L1788">
            <v>3228</v>
          </cell>
        </row>
        <row r="1789">
          <cell r="A1789" t="str">
            <v>전력 소요량</v>
          </cell>
          <cell r="D1789">
            <v>126</v>
          </cell>
          <cell r="E1789" t="str">
            <v>KWH</v>
          </cell>
          <cell r="K1789">
            <v>61.6</v>
          </cell>
          <cell r="L1789">
            <v>7761</v>
          </cell>
        </row>
        <row r="1790">
          <cell r="A1790" t="str">
            <v>공 구 손 료</v>
          </cell>
          <cell r="C1790" t="str">
            <v>인건비의 3%</v>
          </cell>
          <cell r="L1790">
            <v>79103</v>
          </cell>
        </row>
        <row r="1792">
          <cell r="A1792" t="str">
            <v>소    계</v>
          </cell>
          <cell r="F1792">
            <v>2792160</v>
          </cell>
          <cell r="H1792">
            <v>2636784</v>
          </cell>
          <cell r="J1792">
            <v>65284</v>
          </cell>
          <cell r="L1792">
            <v>90092</v>
          </cell>
        </row>
        <row r="1794">
          <cell r="A1794" t="str">
            <v>계 ( 간단한구조 )</v>
          </cell>
          <cell r="C1794" t="str">
            <v>100 %</v>
          </cell>
          <cell r="F1794">
            <v>2792160</v>
          </cell>
          <cell r="H1794">
            <v>2636784</v>
          </cell>
          <cell r="J1794">
            <v>65284</v>
          </cell>
          <cell r="L1794">
            <v>90092</v>
          </cell>
        </row>
        <row r="1796">
          <cell r="A1796" t="str">
            <v>계 ( 복잡한구조 )</v>
          </cell>
          <cell r="C1796" t="str">
            <v>140 %</v>
          </cell>
          <cell r="F1796">
            <v>3909022</v>
          </cell>
          <cell r="H1796">
            <v>3691497</v>
          </cell>
          <cell r="J1796">
            <v>91397</v>
          </cell>
          <cell r="L1796">
            <v>126128</v>
          </cell>
        </row>
        <row r="1799">
          <cell r="F1799" t="str">
            <v xml:space="preserve"> </v>
          </cell>
        </row>
        <row r="1800">
          <cell r="F1800" t="str">
            <v xml:space="preserve"> </v>
          </cell>
        </row>
        <row r="1801">
          <cell r="F1801" t="str">
            <v xml:space="preserve"> </v>
          </cell>
        </row>
        <row r="1802">
          <cell r="F1802" t="str">
            <v xml:space="preserve"> </v>
          </cell>
        </row>
        <row r="1803">
          <cell r="B1803" t="str">
            <v>기존도장 방식을 채택할 경우</v>
          </cell>
          <cell r="E1803" t="str">
            <v xml:space="preserve"> </v>
          </cell>
          <cell r="F1803" t="str">
            <v>도 장 비 (M²당) 일 위 대 가</v>
          </cell>
        </row>
        <row r="1805">
          <cell r="A1805" t="str">
            <v>종       별</v>
          </cell>
          <cell r="C1805" t="str">
            <v>재 료 또 는</v>
          </cell>
          <cell r="D1805" t="str">
            <v xml:space="preserve">원 수 </v>
          </cell>
          <cell r="E1805" t="str">
            <v>단 위</v>
          </cell>
          <cell r="F1805" t="str">
            <v>총   액</v>
          </cell>
          <cell r="G1805" t="str">
            <v>노   무   비</v>
          </cell>
          <cell r="I1805" t="str">
            <v>재   료   비</v>
          </cell>
          <cell r="K1805" t="str">
            <v>경      비</v>
          </cell>
          <cell r="M1805" t="str">
            <v>비   고</v>
          </cell>
        </row>
        <row r="1806">
          <cell r="C1806" t="str">
            <v xml:space="preserve">규       격 </v>
          </cell>
          <cell r="F1806" t="str">
            <v>금   액</v>
          </cell>
          <cell r="G1806" t="str">
            <v>단  가</v>
          </cell>
          <cell r="H1806" t="str">
            <v>금   액</v>
          </cell>
          <cell r="I1806" t="str">
            <v>단  가</v>
          </cell>
          <cell r="J1806" t="str">
            <v>금   액</v>
          </cell>
          <cell r="K1806" t="str">
            <v>단  가</v>
          </cell>
          <cell r="L1806" t="str">
            <v>금   액</v>
          </cell>
        </row>
        <row r="1807">
          <cell r="A1807" t="str">
            <v>1. SAND BLASTING</v>
          </cell>
        </row>
        <row r="1808">
          <cell r="B1808" t="str">
            <v>모      래</v>
          </cell>
          <cell r="D1808">
            <v>5.0799999999999998E-2</v>
          </cell>
          <cell r="E1808" t="str">
            <v>㎥</v>
          </cell>
          <cell r="G1808">
            <v>17799.248685199098</v>
          </cell>
          <cell r="H1808">
            <v>904</v>
          </cell>
          <cell r="I1808">
            <v>10845.529676934633</v>
          </cell>
          <cell r="J1808">
            <v>550</v>
          </cell>
          <cell r="K1808">
            <v>13551.915852742301</v>
          </cell>
          <cell r="L1808">
            <v>688</v>
          </cell>
        </row>
        <row r="1809">
          <cell r="B1809" t="str">
            <v>계  령  공</v>
          </cell>
          <cell r="D1809">
            <v>3.2899999999999999E-2</v>
          </cell>
          <cell r="E1809" t="str">
            <v>인</v>
          </cell>
          <cell r="G1809">
            <v>41937</v>
          </cell>
          <cell r="H1809">
            <v>1379</v>
          </cell>
        </row>
        <row r="1810">
          <cell r="B1810" t="str">
            <v>보 통 인 부</v>
          </cell>
          <cell r="D1810">
            <v>3.5999999999999997E-2</v>
          </cell>
          <cell r="E1810" t="str">
            <v>인</v>
          </cell>
          <cell r="G1810">
            <v>37736</v>
          </cell>
          <cell r="H1810">
            <v>1358</v>
          </cell>
        </row>
        <row r="1811">
          <cell r="B1811" t="str">
            <v>COMPRESSOR</v>
          </cell>
          <cell r="C1811" t="str">
            <v>7.1㎥/min</v>
          </cell>
          <cell r="D1811">
            <v>0.13300000000000001</v>
          </cell>
          <cell r="E1811" t="str">
            <v>Hr</v>
          </cell>
          <cell r="G1811">
            <v>9681</v>
          </cell>
          <cell r="H1811">
            <v>1287</v>
          </cell>
          <cell r="I1811">
            <v>8779</v>
          </cell>
          <cell r="J1811">
            <v>1167</v>
          </cell>
          <cell r="K1811">
            <v>6250</v>
          </cell>
          <cell r="L1811">
            <v>831</v>
          </cell>
        </row>
        <row r="1812">
          <cell r="B1812" t="str">
            <v>AIR HOSE</v>
          </cell>
          <cell r="C1812" t="str">
            <v>3/4" ,1"</v>
          </cell>
          <cell r="D1812">
            <v>0.13300000000000001</v>
          </cell>
          <cell r="E1812" t="str">
            <v>Hr</v>
          </cell>
          <cell r="K1812">
            <v>48</v>
          </cell>
          <cell r="L1812">
            <v>6</v>
          </cell>
        </row>
        <row r="1813">
          <cell r="B1813" t="str">
            <v>브라스트기</v>
          </cell>
          <cell r="D1813">
            <v>0.13300000000000001</v>
          </cell>
          <cell r="E1813" t="str">
            <v>Hr</v>
          </cell>
          <cell r="K1813">
            <v>659</v>
          </cell>
          <cell r="L1813">
            <v>87</v>
          </cell>
        </row>
        <row r="1814">
          <cell r="B1814" t="str">
            <v>건  조  기</v>
          </cell>
          <cell r="D1814">
            <v>0.13300000000000001</v>
          </cell>
          <cell r="E1814" t="str">
            <v>Hr</v>
          </cell>
          <cell r="K1814">
            <v>211</v>
          </cell>
          <cell r="L1814">
            <v>28</v>
          </cell>
        </row>
        <row r="1815">
          <cell r="B1815" t="str">
            <v>방  진  복</v>
          </cell>
          <cell r="D1815">
            <v>0.13300000000000001</v>
          </cell>
          <cell r="E1815" t="str">
            <v>Hr</v>
          </cell>
          <cell r="K1815">
            <v>107</v>
          </cell>
          <cell r="L1815">
            <v>14</v>
          </cell>
        </row>
        <row r="1816">
          <cell r="B1816" t="str">
            <v>방  진  모</v>
          </cell>
          <cell r="D1816">
            <v>0.13300000000000001</v>
          </cell>
          <cell r="E1816" t="str">
            <v>Hr</v>
          </cell>
          <cell r="K1816">
            <v>21</v>
          </cell>
          <cell r="L1816">
            <v>2</v>
          </cell>
        </row>
        <row r="1817">
          <cell r="B1817" t="str">
            <v>건  조  유</v>
          </cell>
          <cell r="D1817">
            <v>0.33300000000000002</v>
          </cell>
          <cell r="E1817" t="str">
            <v>L</v>
          </cell>
          <cell r="I1817">
            <v>526.4</v>
          </cell>
          <cell r="J1817">
            <v>175</v>
          </cell>
        </row>
        <row r="1818">
          <cell r="B1818" t="str">
            <v>노      즐</v>
          </cell>
          <cell r="D1818">
            <v>0.03</v>
          </cell>
          <cell r="E1818" t="str">
            <v>개</v>
          </cell>
          <cell r="I1818">
            <v>32000</v>
          </cell>
          <cell r="J1818">
            <v>960</v>
          </cell>
        </row>
        <row r="1819">
          <cell r="B1819" t="str">
            <v>소      계</v>
          </cell>
          <cell r="F1819">
            <v>9436</v>
          </cell>
          <cell r="H1819">
            <v>4928</v>
          </cell>
          <cell r="J1819">
            <v>2852</v>
          </cell>
          <cell r="L1819">
            <v>1656</v>
          </cell>
        </row>
        <row r="1821">
          <cell r="A1821" t="str">
            <v>2. PRIMERY COATING (20μ)</v>
          </cell>
        </row>
        <row r="1822">
          <cell r="B1822" t="str">
            <v>ZINC RICH PRIMER</v>
          </cell>
          <cell r="D1822">
            <v>8.1000000000000003E-2</v>
          </cell>
          <cell r="E1822" t="str">
            <v>Liter</v>
          </cell>
          <cell r="I1822">
            <v>7945</v>
          </cell>
          <cell r="J1822">
            <v>643</v>
          </cell>
        </row>
        <row r="1823">
          <cell r="B1823" t="str">
            <v>신      나</v>
          </cell>
          <cell r="D1823">
            <v>0.01</v>
          </cell>
          <cell r="E1823" t="str">
            <v>Liter</v>
          </cell>
          <cell r="I1823">
            <v>2111</v>
          </cell>
          <cell r="J1823">
            <v>21</v>
          </cell>
        </row>
        <row r="1824">
          <cell r="B1824" t="str">
            <v>도  장  공</v>
          </cell>
          <cell r="D1824">
            <v>1.4999999999999999E-2</v>
          </cell>
          <cell r="E1824" t="str">
            <v>인</v>
          </cell>
          <cell r="G1824">
            <v>63038</v>
          </cell>
          <cell r="H1824">
            <v>945</v>
          </cell>
        </row>
        <row r="1825">
          <cell r="B1825" t="str">
            <v>공 구 손 료</v>
          </cell>
          <cell r="C1825" t="str">
            <v>2%</v>
          </cell>
          <cell r="D1825" t="str">
            <v>1</v>
          </cell>
          <cell r="E1825" t="str">
            <v>식</v>
          </cell>
          <cell r="L1825">
            <v>18</v>
          </cell>
        </row>
        <row r="1826">
          <cell r="B1826" t="str">
            <v>소      계</v>
          </cell>
          <cell r="F1826">
            <v>1627</v>
          </cell>
          <cell r="H1826">
            <v>945</v>
          </cell>
          <cell r="J1826">
            <v>664</v>
          </cell>
          <cell r="L1826">
            <v>18</v>
          </cell>
        </row>
        <row r="1828">
          <cell r="A1828" t="str">
            <v>3. COVER COATING (280μ)</v>
          </cell>
        </row>
        <row r="1829">
          <cell r="B1829" t="str">
            <v>PURE EPOXY</v>
          </cell>
          <cell r="D1829">
            <v>0.48299999999999998</v>
          </cell>
          <cell r="E1829" t="str">
            <v>Liter</v>
          </cell>
          <cell r="I1829">
            <v>4010</v>
          </cell>
          <cell r="J1829">
            <v>1936</v>
          </cell>
        </row>
        <row r="1830">
          <cell r="B1830" t="str">
            <v>신      나</v>
          </cell>
          <cell r="D1830">
            <v>4.8000000000000001E-2</v>
          </cell>
          <cell r="E1830" t="str">
            <v>Liter</v>
          </cell>
          <cell r="I1830">
            <v>2111</v>
          </cell>
          <cell r="J1830">
            <v>101</v>
          </cell>
        </row>
        <row r="1831">
          <cell r="B1831" t="str">
            <v>도  장  공</v>
          </cell>
          <cell r="D1831">
            <v>0.108</v>
          </cell>
          <cell r="E1831" t="str">
            <v>인</v>
          </cell>
          <cell r="G1831">
            <v>63038</v>
          </cell>
          <cell r="H1831">
            <v>6808</v>
          </cell>
        </row>
        <row r="1832">
          <cell r="A1832" t="str">
            <v>종       별</v>
          </cell>
          <cell r="C1832" t="str">
            <v>재 료 또 는</v>
          </cell>
          <cell r="D1832" t="str">
            <v xml:space="preserve">원 수 </v>
          </cell>
          <cell r="E1832" t="str">
            <v>단 위</v>
          </cell>
          <cell r="F1832" t="str">
            <v>총   액</v>
          </cell>
          <cell r="G1832" t="str">
            <v>노   무   비</v>
          </cell>
          <cell r="I1832" t="str">
            <v>재   료   비</v>
          </cell>
          <cell r="K1832" t="str">
            <v>경      비</v>
          </cell>
          <cell r="M1832" t="str">
            <v>비   고</v>
          </cell>
        </row>
        <row r="1833">
          <cell r="C1833" t="str">
            <v xml:space="preserve">규       격 </v>
          </cell>
          <cell r="F1833" t="str">
            <v>금   액</v>
          </cell>
          <cell r="G1833" t="str">
            <v>단  가</v>
          </cell>
          <cell r="H1833" t="str">
            <v>금   액</v>
          </cell>
          <cell r="I1833" t="str">
            <v>단  가</v>
          </cell>
          <cell r="J1833" t="str">
            <v>금   액</v>
          </cell>
          <cell r="K1833" t="str">
            <v>단  가</v>
          </cell>
          <cell r="L1833" t="str">
            <v>금   액</v>
          </cell>
        </row>
        <row r="1834">
          <cell r="B1834" t="str">
            <v>공 구 손 료</v>
          </cell>
          <cell r="C1834" t="str">
            <v>2%</v>
          </cell>
          <cell r="D1834" t="str">
            <v>1</v>
          </cell>
          <cell r="E1834" t="str">
            <v>식</v>
          </cell>
          <cell r="L1834">
            <v>136</v>
          </cell>
        </row>
        <row r="1835">
          <cell r="B1835" t="str">
            <v>소      계</v>
          </cell>
          <cell r="F1835">
            <v>8981</v>
          </cell>
          <cell r="H1835">
            <v>6808</v>
          </cell>
          <cell r="J1835">
            <v>2037</v>
          </cell>
          <cell r="L1835">
            <v>136</v>
          </cell>
        </row>
        <row r="1837">
          <cell r="A1837" t="str">
            <v>4. COVER COATING (280μ)</v>
          </cell>
        </row>
        <row r="1838">
          <cell r="B1838" t="str">
            <v>TAL  EPOXY</v>
          </cell>
          <cell r="D1838">
            <v>0.48299999999999998</v>
          </cell>
          <cell r="E1838" t="str">
            <v>Liter</v>
          </cell>
          <cell r="I1838">
            <v>3570</v>
          </cell>
          <cell r="J1838">
            <v>1724</v>
          </cell>
        </row>
        <row r="1839">
          <cell r="B1839" t="str">
            <v>신      나</v>
          </cell>
          <cell r="D1839">
            <v>4.8000000000000001E-2</v>
          </cell>
          <cell r="E1839" t="str">
            <v>Liter</v>
          </cell>
          <cell r="I1839">
            <v>2111</v>
          </cell>
          <cell r="J1839">
            <v>101</v>
          </cell>
        </row>
        <row r="1840">
          <cell r="B1840" t="str">
            <v>도  장  공</v>
          </cell>
          <cell r="D1840">
            <v>0.108</v>
          </cell>
          <cell r="E1840" t="str">
            <v>인</v>
          </cell>
          <cell r="G1840">
            <v>63038</v>
          </cell>
          <cell r="H1840">
            <v>6808</v>
          </cell>
        </row>
        <row r="1841">
          <cell r="B1841" t="str">
            <v>공 구 손 료</v>
          </cell>
          <cell r="C1841" t="str">
            <v>2%</v>
          </cell>
          <cell r="D1841" t="str">
            <v>1</v>
          </cell>
          <cell r="E1841" t="str">
            <v>식</v>
          </cell>
          <cell r="L1841">
            <v>136</v>
          </cell>
        </row>
        <row r="1843">
          <cell r="B1843" t="str">
            <v>소      계</v>
          </cell>
          <cell r="F1843">
            <v>8769</v>
          </cell>
          <cell r="H1843">
            <v>6808</v>
          </cell>
          <cell r="J1843">
            <v>1825</v>
          </cell>
          <cell r="L1843">
            <v>136</v>
          </cell>
        </row>
        <row r="1845">
          <cell r="A1845" t="str">
            <v>5. 방 오 도 료</v>
          </cell>
        </row>
        <row r="1846">
          <cell r="B1846" t="str">
            <v>방 오 도 료</v>
          </cell>
          <cell r="D1846">
            <v>0.154</v>
          </cell>
          <cell r="E1846" t="str">
            <v>Liter</v>
          </cell>
          <cell r="I1846">
            <v>9231</v>
          </cell>
          <cell r="J1846">
            <v>1421</v>
          </cell>
        </row>
        <row r="1847">
          <cell r="B1847" t="str">
            <v>신      나(ANTI FOULING)</v>
          </cell>
          <cell r="D1847">
            <v>8.0000000000000002E-3</v>
          </cell>
          <cell r="E1847" t="str">
            <v>Liter</v>
          </cell>
          <cell r="I1847">
            <v>1530</v>
          </cell>
          <cell r="J1847">
            <v>12</v>
          </cell>
        </row>
        <row r="1848">
          <cell r="B1848" t="str">
            <v>도  장  공</v>
          </cell>
          <cell r="D1848">
            <v>0.3</v>
          </cell>
          <cell r="E1848" t="str">
            <v>인</v>
          </cell>
          <cell r="G1848">
            <v>63038</v>
          </cell>
          <cell r="H1848">
            <v>18911</v>
          </cell>
        </row>
        <row r="1849">
          <cell r="B1849" t="str">
            <v>공 구 손 료</v>
          </cell>
          <cell r="C1849" t="str">
            <v>2%</v>
          </cell>
          <cell r="D1849" t="str">
            <v>1</v>
          </cell>
          <cell r="E1849" t="str">
            <v>식</v>
          </cell>
          <cell r="L1849">
            <v>378</v>
          </cell>
        </row>
        <row r="1850">
          <cell r="B1850" t="str">
            <v>소      계</v>
          </cell>
          <cell r="F1850">
            <v>20722</v>
          </cell>
          <cell r="H1850">
            <v>18911</v>
          </cell>
          <cell r="J1850">
            <v>1433</v>
          </cell>
          <cell r="L1850">
            <v>378</v>
          </cell>
        </row>
        <row r="1861">
          <cell r="B1861" t="str">
            <v>신공법 도장방식을 채택할 경우</v>
          </cell>
          <cell r="F1861" t="str">
            <v>도 장 비 (M²당) 일 위 대 가</v>
          </cell>
        </row>
        <row r="1862">
          <cell r="E1862" t="str">
            <v xml:space="preserve"> </v>
          </cell>
        </row>
        <row r="1863">
          <cell r="A1863" t="str">
            <v>종       별</v>
          </cell>
          <cell r="C1863" t="str">
            <v>재 료 또 는</v>
          </cell>
          <cell r="D1863" t="str">
            <v xml:space="preserve">원 수 </v>
          </cell>
          <cell r="E1863" t="str">
            <v>단 위</v>
          </cell>
          <cell r="F1863" t="str">
            <v>총   액</v>
          </cell>
          <cell r="G1863" t="str">
            <v>노   무   비</v>
          </cell>
          <cell r="I1863" t="str">
            <v>재   료   비</v>
          </cell>
          <cell r="K1863" t="str">
            <v>경      비</v>
          </cell>
          <cell r="M1863" t="str">
            <v>비   고</v>
          </cell>
        </row>
        <row r="1864">
          <cell r="C1864" t="str">
            <v xml:space="preserve">규       격 </v>
          </cell>
          <cell r="F1864" t="str">
            <v>금   액</v>
          </cell>
          <cell r="G1864" t="str">
            <v>단  가</v>
          </cell>
          <cell r="H1864" t="str">
            <v>금   액</v>
          </cell>
          <cell r="I1864" t="str">
            <v>단  가</v>
          </cell>
          <cell r="J1864" t="str">
            <v>금   액</v>
          </cell>
          <cell r="K1864" t="str">
            <v>단  가</v>
          </cell>
          <cell r="L1864" t="str">
            <v>금   액</v>
          </cell>
        </row>
        <row r="1865">
          <cell r="A1865" t="str">
            <v>1. 전처리 ( 육상용 ) (WATER SAND JET 공법) : BLAST CLEANINING  SA 2½</v>
          </cell>
        </row>
        <row r="1866">
          <cell r="B1866" t="str">
            <v>WATER JET</v>
          </cell>
          <cell r="C1866" t="str">
            <v>500 KG/㎡</v>
          </cell>
          <cell r="D1866">
            <v>1</v>
          </cell>
          <cell r="E1866" t="str">
            <v>㎡</v>
          </cell>
          <cell r="K1866">
            <v>1400</v>
          </cell>
          <cell r="L1866">
            <v>1400</v>
          </cell>
        </row>
        <row r="1867">
          <cell r="B1867" t="str">
            <v>시 리 카</v>
          </cell>
          <cell r="D1867">
            <v>10</v>
          </cell>
          <cell r="E1867" t="str">
            <v>kg</v>
          </cell>
          <cell r="I1867">
            <v>130</v>
          </cell>
          <cell r="J1867">
            <v>1300</v>
          </cell>
        </row>
        <row r="1868">
          <cell r="B1868" t="str">
            <v>경    유</v>
          </cell>
          <cell r="D1868">
            <v>4</v>
          </cell>
          <cell r="E1868" t="str">
            <v>L</v>
          </cell>
          <cell r="I1868">
            <v>526.4</v>
          </cell>
          <cell r="J1868">
            <v>2105</v>
          </cell>
        </row>
        <row r="1869">
          <cell r="B1869" t="str">
            <v>특별인부</v>
          </cell>
          <cell r="D1869">
            <v>0.1</v>
          </cell>
          <cell r="E1869" t="str">
            <v>인</v>
          </cell>
          <cell r="G1869">
            <v>57379</v>
          </cell>
          <cell r="H1869">
            <v>5737</v>
          </cell>
        </row>
        <row r="1870">
          <cell r="B1870" t="str">
            <v>보통인부</v>
          </cell>
          <cell r="D1870">
            <v>0.08</v>
          </cell>
          <cell r="E1870" t="str">
            <v>"</v>
          </cell>
          <cell r="G1870">
            <v>37736</v>
          </cell>
          <cell r="H1870">
            <v>3018</v>
          </cell>
        </row>
        <row r="1871">
          <cell r="B1871" t="str">
            <v>공구손료</v>
          </cell>
          <cell r="C1871" t="str">
            <v>10 %</v>
          </cell>
          <cell r="D1871" t="str">
            <v>1</v>
          </cell>
          <cell r="E1871" t="str">
            <v>식</v>
          </cell>
          <cell r="L1871">
            <v>875</v>
          </cell>
          <cell r="M1871" t="str">
            <v>열풍기,발청억</v>
          </cell>
        </row>
        <row r="1872">
          <cell r="B1872" t="str">
            <v>소      계</v>
          </cell>
          <cell r="F1872">
            <v>14435</v>
          </cell>
          <cell r="H1872">
            <v>8755</v>
          </cell>
          <cell r="J1872">
            <v>3405</v>
          </cell>
          <cell r="L1872">
            <v>2275</v>
          </cell>
        </row>
        <row r="1874">
          <cell r="A1874" t="str">
            <v>2. 전처리 ( 수중용 ) (WATER SAND JET 공법) : BLAST CLEANINING  ST 2</v>
          </cell>
        </row>
        <row r="1875">
          <cell r="B1875" t="str">
            <v>WATER JET</v>
          </cell>
          <cell r="C1875" t="str">
            <v>500 KG/㎡</v>
          </cell>
          <cell r="D1875">
            <v>1</v>
          </cell>
          <cell r="E1875" t="str">
            <v>㎡</v>
          </cell>
          <cell r="K1875">
            <v>2000</v>
          </cell>
          <cell r="L1875">
            <v>2000</v>
          </cell>
        </row>
        <row r="1876">
          <cell r="B1876" t="str">
            <v>시 리 카</v>
          </cell>
          <cell r="D1876">
            <v>10</v>
          </cell>
          <cell r="E1876" t="str">
            <v>kg</v>
          </cell>
          <cell r="I1876">
            <v>130</v>
          </cell>
          <cell r="J1876">
            <v>1300</v>
          </cell>
        </row>
        <row r="1877">
          <cell r="B1877" t="str">
            <v>경    유</v>
          </cell>
          <cell r="D1877">
            <v>6</v>
          </cell>
          <cell r="E1877" t="str">
            <v>L</v>
          </cell>
          <cell r="I1877">
            <v>526.4</v>
          </cell>
          <cell r="J1877">
            <v>3158</v>
          </cell>
        </row>
        <row r="1878">
          <cell r="B1878" t="str">
            <v>잠 수 부</v>
          </cell>
          <cell r="D1878">
            <v>0.7</v>
          </cell>
          <cell r="E1878" t="str">
            <v>인</v>
          </cell>
          <cell r="G1878">
            <v>81832</v>
          </cell>
          <cell r="H1878">
            <v>57282</v>
          </cell>
        </row>
        <row r="1879">
          <cell r="B1879" t="str">
            <v>보통인부</v>
          </cell>
          <cell r="D1879">
            <v>0.7</v>
          </cell>
          <cell r="E1879" t="str">
            <v>"</v>
          </cell>
          <cell r="G1879">
            <v>37736</v>
          </cell>
          <cell r="H1879">
            <v>26415</v>
          </cell>
        </row>
        <row r="1880">
          <cell r="B1880" t="str">
            <v>선    부</v>
          </cell>
          <cell r="D1880">
            <v>0.7</v>
          </cell>
          <cell r="E1880" t="str">
            <v>"</v>
          </cell>
          <cell r="G1880">
            <v>40088</v>
          </cell>
          <cell r="H1880">
            <v>28061</v>
          </cell>
        </row>
        <row r="1881">
          <cell r="B1881" t="str">
            <v>도선임대료</v>
          </cell>
          <cell r="D1881" t="str">
            <v>1</v>
          </cell>
          <cell r="E1881" t="str">
            <v>식</v>
          </cell>
          <cell r="L1881">
            <v>12000</v>
          </cell>
        </row>
        <row r="1882">
          <cell r="B1882" t="str">
            <v>공구손료</v>
          </cell>
          <cell r="C1882" t="str">
            <v>10 %</v>
          </cell>
          <cell r="D1882" t="str">
            <v>1</v>
          </cell>
          <cell r="E1882" t="str">
            <v>식</v>
          </cell>
          <cell r="L1882">
            <v>11175</v>
          </cell>
          <cell r="M1882" t="str">
            <v>열풍기,발청억</v>
          </cell>
        </row>
        <row r="1883">
          <cell r="B1883" t="str">
            <v>소      계</v>
          </cell>
          <cell r="F1883">
            <v>141391</v>
          </cell>
          <cell r="H1883">
            <v>111758</v>
          </cell>
          <cell r="J1883">
            <v>4458</v>
          </cell>
          <cell r="L1883">
            <v>25175</v>
          </cell>
        </row>
        <row r="1884">
          <cell r="F1884" t="str">
            <v xml:space="preserve"> </v>
          </cell>
        </row>
        <row r="1885">
          <cell r="A1885" t="str">
            <v>3. 도장 SYSTEM 1 : 상시 물속에 잠기는 구조물</v>
          </cell>
        </row>
        <row r="1886">
          <cell r="B1886" t="str">
            <v xml:space="preserve">소지처리 </v>
          </cell>
          <cell r="C1886" t="str">
            <v>BLASTING 작업으로서 SIS Sa2½ 이상</v>
          </cell>
        </row>
        <row r="1887">
          <cell r="B1887" t="str">
            <v>하    도</v>
          </cell>
          <cell r="C1887" t="str">
            <v>무기질 징크리치 푸라이머</v>
          </cell>
          <cell r="F1887" t="str">
            <v xml:space="preserve"> 75 μ</v>
          </cell>
        </row>
        <row r="1888">
          <cell r="B1888" t="str">
            <v>중    도</v>
          </cell>
          <cell r="C1888" t="str">
            <v>중도용 엑폭시 수지도료</v>
          </cell>
          <cell r="F1888" t="str">
            <v xml:space="preserve"> 45 μ</v>
          </cell>
        </row>
        <row r="1889">
          <cell r="B1889" t="str">
            <v>상    도</v>
          </cell>
          <cell r="C1889" t="str">
            <v>상도용 엑폭시</v>
          </cell>
          <cell r="F1889" t="str">
            <v>400 μ</v>
          </cell>
        </row>
        <row r="1890">
          <cell r="A1890" t="str">
            <v>종       별</v>
          </cell>
          <cell r="C1890" t="str">
            <v>재 료 또 는</v>
          </cell>
          <cell r="D1890" t="str">
            <v xml:space="preserve">원 수 </v>
          </cell>
          <cell r="E1890" t="str">
            <v>단 위</v>
          </cell>
          <cell r="F1890" t="str">
            <v>총   액</v>
          </cell>
          <cell r="G1890" t="str">
            <v>노   무   비</v>
          </cell>
          <cell r="I1890" t="str">
            <v>재   료   비</v>
          </cell>
          <cell r="K1890" t="str">
            <v>경      비</v>
          </cell>
          <cell r="M1890" t="str">
            <v>비   고</v>
          </cell>
        </row>
        <row r="1891">
          <cell r="C1891" t="str">
            <v xml:space="preserve">규       격 </v>
          </cell>
          <cell r="F1891" t="str">
            <v>금   액</v>
          </cell>
          <cell r="G1891" t="str">
            <v>단  가</v>
          </cell>
          <cell r="H1891" t="str">
            <v>금   액</v>
          </cell>
          <cell r="I1891" t="str">
            <v>단  가</v>
          </cell>
          <cell r="J1891" t="str">
            <v>금   액</v>
          </cell>
          <cell r="K1891" t="str">
            <v>단  가</v>
          </cell>
          <cell r="L1891" t="str">
            <v>금   액</v>
          </cell>
        </row>
        <row r="1892">
          <cell r="A1892" t="str">
            <v>공사비 산출</v>
          </cell>
          <cell r="F1892" t="str">
            <v xml:space="preserve"> </v>
          </cell>
        </row>
        <row r="1893">
          <cell r="B1893" t="str">
            <v>무기질 징크리치 푸라이머</v>
          </cell>
          <cell r="D1893">
            <v>0.2</v>
          </cell>
          <cell r="E1893" t="str">
            <v>L</v>
          </cell>
          <cell r="F1893" t="str">
            <v xml:space="preserve"> </v>
          </cell>
          <cell r="I1893">
            <v>7945</v>
          </cell>
          <cell r="J1893">
            <v>1589</v>
          </cell>
        </row>
        <row r="1894">
          <cell r="B1894" t="str">
            <v>중도용 엑폭시 수지도료</v>
          </cell>
          <cell r="D1894">
            <v>0.2</v>
          </cell>
          <cell r="E1894" t="str">
            <v>L</v>
          </cell>
          <cell r="F1894" t="str">
            <v xml:space="preserve"> </v>
          </cell>
          <cell r="I1894">
            <v>7500</v>
          </cell>
          <cell r="J1894">
            <v>1500</v>
          </cell>
        </row>
        <row r="1895">
          <cell r="B1895" t="str">
            <v>상도용 엑폭시</v>
          </cell>
          <cell r="D1895">
            <v>0.68</v>
          </cell>
          <cell r="E1895" t="str">
            <v>L</v>
          </cell>
          <cell r="F1895" t="str">
            <v xml:space="preserve"> </v>
          </cell>
          <cell r="I1895">
            <v>18000</v>
          </cell>
          <cell r="J1895">
            <v>12240</v>
          </cell>
        </row>
        <row r="1896">
          <cell r="B1896" t="str">
            <v>희 석 제</v>
          </cell>
          <cell r="D1896">
            <v>0.3</v>
          </cell>
          <cell r="E1896" t="str">
            <v>L</v>
          </cell>
          <cell r="F1896" t="str">
            <v xml:space="preserve"> </v>
          </cell>
          <cell r="I1896">
            <v>2111</v>
          </cell>
          <cell r="J1896">
            <v>633</v>
          </cell>
        </row>
        <row r="1897">
          <cell r="B1897" t="str">
            <v>도  장  공</v>
          </cell>
          <cell r="D1897">
            <v>0.1</v>
          </cell>
          <cell r="E1897" t="str">
            <v>인</v>
          </cell>
          <cell r="F1897" t="str">
            <v xml:space="preserve"> </v>
          </cell>
          <cell r="G1897">
            <v>63038</v>
          </cell>
          <cell r="H1897">
            <v>6303</v>
          </cell>
        </row>
        <row r="1898">
          <cell r="B1898" t="str">
            <v>보 통 인 부</v>
          </cell>
          <cell r="D1898">
            <v>0.1</v>
          </cell>
          <cell r="E1898" t="str">
            <v>인</v>
          </cell>
          <cell r="F1898" t="str">
            <v xml:space="preserve"> </v>
          </cell>
          <cell r="G1898">
            <v>37736</v>
          </cell>
          <cell r="H1898">
            <v>3773</v>
          </cell>
        </row>
        <row r="1899">
          <cell r="B1899" t="str">
            <v>공 구 손 료</v>
          </cell>
          <cell r="C1899" t="str">
            <v>노임의 2%</v>
          </cell>
          <cell r="D1899" t="str">
            <v>1</v>
          </cell>
          <cell r="E1899" t="str">
            <v>식</v>
          </cell>
          <cell r="F1899" t="str">
            <v xml:space="preserve"> </v>
          </cell>
          <cell r="L1899">
            <v>201</v>
          </cell>
        </row>
        <row r="1900">
          <cell r="B1900" t="str">
            <v>소      계</v>
          </cell>
          <cell r="F1900">
            <v>26239</v>
          </cell>
          <cell r="H1900">
            <v>10076</v>
          </cell>
          <cell r="J1900">
            <v>15962</v>
          </cell>
          <cell r="L1900">
            <v>201</v>
          </cell>
        </row>
        <row r="1901">
          <cell r="F1901" t="str">
            <v xml:space="preserve"> </v>
          </cell>
        </row>
        <row r="1902">
          <cell r="A1902" t="str">
            <v>4. 도장 SYSTEM 2 : 해수 가까이 상시 노출되어있는 구조물</v>
          </cell>
        </row>
        <row r="1903">
          <cell r="B1903" t="str">
            <v xml:space="preserve">소지처리 </v>
          </cell>
          <cell r="C1903" t="str">
            <v>BLASTING 작업으로서 SIS Sa2½ 이상</v>
          </cell>
        </row>
        <row r="1904">
          <cell r="B1904" t="str">
            <v>하    도</v>
          </cell>
          <cell r="C1904" t="str">
            <v>무기질 징크리치 푸라이머</v>
          </cell>
          <cell r="F1904" t="str">
            <v xml:space="preserve"> 75 μ</v>
          </cell>
        </row>
        <row r="1905">
          <cell r="B1905" t="str">
            <v>중    도 1</v>
          </cell>
          <cell r="C1905" t="str">
            <v>중도용 엑폭시 수지도료</v>
          </cell>
          <cell r="F1905" t="str">
            <v xml:space="preserve"> 45 μ</v>
          </cell>
        </row>
        <row r="1906">
          <cell r="B1906" t="str">
            <v>중    도 2</v>
          </cell>
          <cell r="C1906" t="str">
            <v>중도용 엑폭시 수지도료</v>
          </cell>
          <cell r="F1906" t="str">
            <v>355 μ</v>
          </cell>
        </row>
        <row r="1907">
          <cell r="B1907" t="str">
            <v>상    도</v>
          </cell>
          <cell r="C1907" t="str">
            <v>상도용 엑폭시</v>
          </cell>
          <cell r="F1907" t="str">
            <v xml:space="preserve"> 45 μ</v>
          </cell>
        </row>
        <row r="1908">
          <cell r="F1908" t="str">
            <v xml:space="preserve"> </v>
          </cell>
        </row>
        <row r="1909">
          <cell r="A1909" t="str">
            <v>공사비 산출</v>
          </cell>
          <cell r="F1909" t="str">
            <v xml:space="preserve"> </v>
          </cell>
        </row>
        <row r="1910">
          <cell r="B1910" t="str">
            <v>무기질 징크리치 푸라이머</v>
          </cell>
          <cell r="D1910">
            <v>0.2</v>
          </cell>
          <cell r="E1910" t="str">
            <v>L</v>
          </cell>
          <cell r="F1910" t="str">
            <v xml:space="preserve"> </v>
          </cell>
          <cell r="I1910">
            <v>7945</v>
          </cell>
          <cell r="J1910">
            <v>1589</v>
          </cell>
        </row>
        <row r="1911">
          <cell r="B1911" t="str">
            <v>중도용 엑폭시 수지도료 1</v>
          </cell>
          <cell r="D1911">
            <v>0.2</v>
          </cell>
          <cell r="E1911" t="str">
            <v>L</v>
          </cell>
          <cell r="F1911" t="str">
            <v xml:space="preserve"> </v>
          </cell>
          <cell r="I1911">
            <v>7500</v>
          </cell>
          <cell r="J1911">
            <v>1500</v>
          </cell>
        </row>
        <row r="1912">
          <cell r="B1912" t="str">
            <v>중도용 엑폭시 수지도료 2</v>
          </cell>
          <cell r="D1912">
            <v>0.6</v>
          </cell>
          <cell r="E1912" t="str">
            <v>L</v>
          </cell>
          <cell r="F1912" t="str">
            <v xml:space="preserve"> </v>
          </cell>
          <cell r="I1912">
            <v>18000</v>
          </cell>
          <cell r="J1912">
            <v>10800</v>
          </cell>
        </row>
        <row r="1913">
          <cell r="B1913" t="str">
            <v>상도용 엑폭시</v>
          </cell>
          <cell r="D1913">
            <v>0.2</v>
          </cell>
          <cell r="E1913" t="str">
            <v>L</v>
          </cell>
          <cell r="F1913" t="str">
            <v xml:space="preserve"> </v>
          </cell>
          <cell r="I1913">
            <v>5900</v>
          </cell>
          <cell r="J1913">
            <v>1180</v>
          </cell>
        </row>
        <row r="1914">
          <cell r="B1914" t="str">
            <v>희 석 제</v>
          </cell>
          <cell r="D1914">
            <v>0.36</v>
          </cell>
          <cell r="E1914" t="str">
            <v>L</v>
          </cell>
          <cell r="F1914" t="str">
            <v xml:space="preserve"> </v>
          </cell>
          <cell r="I1914">
            <v>2111</v>
          </cell>
          <cell r="J1914">
            <v>759</v>
          </cell>
        </row>
        <row r="1915">
          <cell r="B1915" t="str">
            <v>도  장  공</v>
          </cell>
          <cell r="D1915">
            <v>0.13</v>
          </cell>
          <cell r="E1915" t="str">
            <v>인</v>
          </cell>
          <cell r="F1915" t="str">
            <v xml:space="preserve"> </v>
          </cell>
          <cell r="G1915">
            <v>63038</v>
          </cell>
          <cell r="H1915">
            <v>8194</v>
          </cell>
        </row>
        <row r="1916">
          <cell r="B1916" t="str">
            <v>보 통 인 부</v>
          </cell>
          <cell r="D1916">
            <v>0.13</v>
          </cell>
          <cell r="E1916" t="str">
            <v>인</v>
          </cell>
          <cell r="F1916" t="str">
            <v xml:space="preserve"> </v>
          </cell>
          <cell r="G1916">
            <v>37736</v>
          </cell>
          <cell r="H1916">
            <v>4905</v>
          </cell>
        </row>
        <row r="1917">
          <cell r="B1917" t="str">
            <v>공 구 손 료</v>
          </cell>
          <cell r="C1917" t="str">
            <v>노임의 2%</v>
          </cell>
          <cell r="D1917" t="str">
            <v>1</v>
          </cell>
          <cell r="E1917" t="str">
            <v>식</v>
          </cell>
          <cell r="F1917" t="str">
            <v xml:space="preserve"> </v>
          </cell>
          <cell r="L1917">
            <v>261</v>
          </cell>
        </row>
        <row r="1918">
          <cell r="B1918" t="str">
            <v>소      계</v>
          </cell>
          <cell r="F1918">
            <v>29188</v>
          </cell>
          <cell r="H1918">
            <v>13099</v>
          </cell>
          <cell r="J1918">
            <v>15828</v>
          </cell>
          <cell r="L1918">
            <v>261</v>
          </cell>
        </row>
        <row r="1919">
          <cell r="A1919" t="str">
            <v>종       별</v>
          </cell>
          <cell r="C1919" t="str">
            <v>재 료 또 는</v>
          </cell>
          <cell r="D1919" t="str">
            <v xml:space="preserve">원 수 </v>
          </cell>
          <cell r="E1919" t="str">
            <v>단 위</v>
          </cell>
          <cell r="F1919" t="str">
            <v>총   액</v>
          </cell>
          <cell r="G1919" t="str">
            <v>노   무   비</v>
          </cell>
          <cell r="I1919" t="str">
            <v>재   료   비</v>
          </cell>
          <cell r="K1919" t="str">
            <v>경      비</v>
          </cell>
          <cell r="M1919" t="str">
            <v>비   고</v>
          </cell>
        </row>
        <row r="1920">
          <cell r="C1920" t="str">
            <v xml:space="preserve">규       격 </v>
          </cell>
          <cell r="F1920" t="str">
            <v>금   액</v>
          </cell>
          <cell r="G1920" t="str">
            <v>단  가</v>
          </cell>
          <cell r="H1920" t="str">
            <v>금   액</v>
          </cell>
          <cell r="I1920" t="str">
            <v>단  가</v>
          </cell>
          <cell r="J1920" t="str">
            <v>금   액</v>
          </cell>
          <cell r="K1920" t="str">
            <v>단  가</v>
          </cell>
          <cell r="L1920" t="str">
            <v>금   액</v>
          </cell>
        </row>
        <row r="1921">
          <cell r="A1921" t="str">
            <v>5. 도장 SYSTEM 3 : 해중에서 작업해야하는 구조물</v>
          </cell>
        </row>
        <row r="1922">
          <cell r="B1922" t="str">
            <v xml:space="preserve">소지처리 </v>
          </cell>
          <cell r="C1922" t="str">
            <v>WATER SAND JET나 WATER JET로써 피도면의 밀스케일등 이물질을 완전 제거하여 SIS ST 2 이상되게 할것.</v>
          </cell>
        </row>
        <row r="1923">
          <cell r="B1923" t="str">
            <v>하    도</v>
          </cell>
          <cell r="C1923" t="str">
            <v>수중용 엑폭시</v>
          </cell>
          <cell r="F1923" t="str">
            <v>1,000 μ</v>
          </cell>
        </row>
        <row r="1924">
          <cell r="F1924" t="str">
            <v xml:space="preserve"> </v>
          </cell>
        </row>
        <row r="1925">
          <cell r="A1925" t="str">
            <v>공사비 산출</v>
          </cell>
          <cell r="F1925" t="str">
            <v xml:space="preserve"> </v>
          </cell>
        </row>
        <row r="1926">
          <cell r="B1926" t="str">
            <v>상도용 엑폭시</v>
          </cell>
          <cell r="D1926">
            <v>1.74</v>
          </cell>
          <cell r="E1926" t="str">
            <v>L</v>
          </cell>
          <cell r="F1926" t="str">
            <v xml:space="preserve"> </v>
          </cell>
          <cell r="I1926">
            <v>26000</v>
          </cell>
          <cell r="J1926">
            <v>45240</v>
          </cell>
        </row>
        <row r="1927">
          <cell r="B1927" t="str">
            <v>잠  수  부</v>
          </cell>
          <cell r="D1927">
            <v>0.5</v>
          </cell>
          <cell r="E1927" t="str">
            <v>인</v>
          </cell>
          <cell r="F1927" t="str">
            <v xml:space="preserve"> </v>
          </cell>
          <cell r="G1927">
            <v>81832</v>
          </cell>
          <cell r="H1927">
            <v>40916</v>
          </cell>
        </row>
        <row r="1928">
          <cell r="B1928" t="str">
            <v>공 구 손 료</v>
          </cell>
          <cell r="C1928" t="str">
            <v>노임의 2%</v>
          </cell>
          <cell r="D1928" t="str">
            <v>1</v>
          </cell>
          <cell r="E1928" t="str">
            <v>식</v>
          </cell>
          <cell r="F1928" t="str">
            <v xml:space="preserve"> </v>
          </cell>
          <cell r="L1928">
            <v>818</v>
          </cell>
        </row>
        <row r="1929">
          <cell r="B1929" t="str">
            <v>소      계</v>
          </cell>
          <cell r="F1929">
            <v>86974</v>
          </cell>
          <cell r="H1929">
            <v>40916</v>
          </cell>
          <cell r="J1929">
            <v>45240</v>
          </cell>
          <cell r="L1929">
            <v>818</v>
          </cell>
        </row>
        <row r="1930">
          <cell r="F1930" t="str">
            <v xml:space="preserve"> </v>
          </cell>
        </row>
        <row r="1931">
          <cell r="A1931" t="str">
            <v>6. CERAMIC COATING (ATO) 200μ</v>
          </cell>
        </row>
        <row r="1932">
          <cell r="B1932" t="str">
            <v>6-1. 바탕만들기</v>
          </cell>
        </row>
        <row r="1933">
          <cell r="B1933" t="str">
            <v>SNAD</v>
          </cell>
          <cell r="D1933">
            <v>5.0799999999999998E-2</v>
          </cell>
          <cell r="E1933" t="str">
            <v>㎥</v>
          </cell>
          <cell r="F1933">
            <v>355</v>
          </cell>
          <cell r="I1933">
            <v>7000</v>
          </cell>
          <cell r="J1933">
            <v>355</v>
          </cell>
        </row>
        <row r="1934">
          <cell r="B1934" t="str">
            <v>계 령 공</v>
          </cell>
          <cell r="D1934">
            <v>0.05</v>
          </cell>
          <cell r="E1934" t="str">
            <v>인</v>
          </cell>
          <cell r="F1934">
            <v>2096</v>
          </cell>
          <cell r="G1934">
            <v>41937</v>
          </cell>
          <cell r="H1934">
            <v>2096</v>
          </cell>
        </row>
        <row r="1935">
          <cell r="B1935" t="str">
            <v>보 통 인 부</v>
          </cell>
          <cell r="D1935">
            <v>0.1</v>
          </cell>
          <cell r="E1935" t="str">
            <v>인</v>
          </cell>
          <cell r="F1935">
            <v>3773</v>
          </cell>
          <cell r="G1935">
            <v>37736</v>
          </cell>
          <cell r="H1935">
            <v>3773</v>
          </cell>
        </row>
        <row r="1936">
          <cell r="B1936" t="str">
            <v>POWER BRUSH</v>
          </cell>
          <cell r="D1936">
            <v>0.03</v>
          </cell>
          <cell r="E1936" t="str">
            <v>KG</v>
          </cell>
          <cell r="F1936">
            <v>150</v>
          </cell>
          <cell r="I1936">
            <v>5000</v>
          </cell>
          <cell r="J1936">
            <v>150</v>
          </cell>
        </row>
        <row r="1937">
          <cell r="B1937" t="str">
            <v>WIRE BRUSH</v>
          </cell>
          <cell r="D1937">
            <v>1.6E-2</v>
          </cell>
          <cell r="E1937" t="str">
            <v>KG</v>
          </cell>
          <cell r="F1937">
            <v>32</v>
          </cell>
          <cell r="I1937">
            <v>2000</v>
          </cell>
          <cell r="J1937">
            <v>32</v>
          </cell>
        </row>
        <row r="1938">
          <cell r="B1938" t="str">
            <v>기 계 공</v>
          </cell>
          <cell r="D1938">
            <v>0.13300000000000001</v>
          </cell>
          <cell r="E1938" t="str">
            <v>인</v>
          </cell>
          <cell r="F1938">
            <v>7834</v>
          </cell>
          <cell r="G1938">
            <v>58906</v>
          </cell>
          <cell r="H1938">
            <v>7834</v>
          </cell>
        </row>
        <row r="1939">
          <cell r="B1939" t="str">
            <v>조 력 공</v>
          </cell>
          <cell r="D1939">
            <v>0.05</v>
          </cell>
          <cell r="E1939" t="str">
            <v>인</v>
          </cell>
          <cell r="F1939">
            <v>2445</v>
          </cell>
          <cell r="G1939">
            <v>48912</v>
          </cell>
          <cell r="H1939">
            <v>2445</v>
          </cell>
        </row>
        <row r="1940">
          <cell r="B1940" t="str">
            <v>품질관리공(시험사1급)</v>
          </cell>
          <cell r="D1940">
            <v>1.6E-2</v>
          </cell>
          <cell r="E1940" t="str">
            <v>인</v>
          </cell>
          <cell r="F1940">
            <v>765</v>
          </cell>
          <cell r="G1940">
            <v>47867</v>
          </cell>
          <cell r="H1940">
            <v>765</v>
          </cell>
        </row>
        <row r="1941">
          <cell r="B1941" t="str">
            <v>공 구 손 료</v>
          </cell>
          <cell r="C1941" t="str">
            <v>노임의 2%</v>
          </cell>
          <cell r="D1941" t="str">
            <v>1</v>
          </cell>
          <cell r="E1941" t="str">
            <v>식</v>
          </cell>
          <cell r="F1941">
            <v>338</v>
          </cell>
          <cell r="L1941">
            <v>338</v>
          </cell>
        </row>
        <row r="1942">
          <cell r="B1942" t="str">
            <v>소      계</v>
          </cell>
          <cell r="F1942">
            <v>17788</v>
          </cell>
          <cell r="H1942">
            <v>16913</v>
          </cell>
          <cell r="J1942">
            <v>537</v>
          </cell>
          <cell r="L1942">
            <v>338</v>
          </cell>
        </row>
        <row r="1943">
          <cell r="F1943" t="str">
            <v xml:space="preserve"> </v>
          </cell>
        </row>
        <row r="1944">
          <cell r="B1944" t="str">
            <v>6-2. CERAMIC COATING (200μ)</v>
          </cell>
        </row>
        <row r="1945">
          <cell r="B1945" t="str">
            <v>세 척 제</v>
          </cell>
          <cell r="D1945">
            <v>0.05</v>
          </cell>
          <cell r="E1945" t="str">
            <v>통</v>
          </cell>
          <cell r="F1945">
            <v>525</v>
          </cell>
          <cell r="I1945">
            <v>10500</v>
          </cell>
          <cell r="J1945">
            <v>525</v>
          </cell>
        </row>
        <row r="1946">
          <cell r="B1946" t="str">
            <v>세 척 공(보통인부)</v>
          </cell>
          <cell r="D1946">
            <v>1.6E-2</v>
          </cell>
          <cell r="E1946" t="str">
            <v>인</v>
          </cell>
          <cell r="F1946">
            <v>603</v>
          </cell>
          <cell r="G1946">
            <v>37736</v>
          </cell>
          <cell r="H1946">
            <v>603</v>
          </cell>
        </row>
        <row r="1947">
          <cell r="B1947" t="str">
            <v>넝    마</v>
          </cell>
          <cell r="D1947">
            <v>0.01</v>
          </cell>
          <cell r="E1947" t="str">
            <v>KG</v>
          </cell>
          <cell r="F1947">
            <v>13</v>
          </cell>
          <cell r="I1947">
            <v>1363</v>
          </cell>
          <cell r="J1947">
            <v>13</v>
          </cell>
        </row>
        <row r="1948">
          <cell r="A1948" t="str">
            <v>종       별</v>
          </cell>
          <cell r="C1948" t="str">
            <v>재 료 또 는</v>
          </cell>
          <cell r="D1948" t="str">
            <v xml:space="preserve">원 수 </v>
          </cell>
          <cell r="E1948" t="str">
            <v>단 위</v>
          </cell>
          <cell r="F1948" t="str">
            <v>총   액</v>
          </cell>
          <cell r="G1948" t="str">
            <v>노   무   비</v>
          </cell>
          <cell r="I1948" t="str">
            <v>재   료   비</v>
          </cell>
          <cell r="K1948" t="str">
            <v>경      비</v>
          </cell>
          <cell r="M1948" t="str">
            <v>비   고</v>
          </cell>
        </row>
        <row r="1949">
          <cell r="C1949" t="str">
            <v xml:space="preserve">규       격 </v>
          </cell>
          <cell r="F1949" t="str">
            <v>금   액</v>
          </cell>
          <cell r="G1949" t="str">
            <v>단  가</v>
          </cell>
          <cell r="H1949" t="str">
            <v>금   액</v>
          </cell>
          <cell r="I1949" t="str">
            <v>단  가</v>
          </cell>
          <cell r="J1949" t="str">
            <v>금   액</v>
          </cell>
          <cell r="K1949" t="str">
            <v>단  가</v>
          </cell>
          <cell r="L1949" t="str">
            <v>금   액</v>
          </cell>
        </row>
        <row r="1950">
          <cell r="B1950" t="str">
            <v>세라믹코팅제</v>
          </cell>
          <cell r="D1950">
            <v>0.36</v>
          </cell>
          <cell r="E1950" t="str">
            <v>KG</v>
          </cell>
          <cell r="F1950">
            <v>60588</v>
          </cell>
          <cell r="I1950">
            <v>168300</v>
          </cell>
          <cell r="J1950">
            <v>60588</v>
          </cell>
        </row>
        <row r="1951">
          <cell r="B1951" t="str">
            <v>희 석 제</v>
          </cell>
          <cell r="D1951">
            <v>0.188</v>
          </cell>
          <cell r="E1951" t="str">
            <v>통</v>
          </cell>
          <cell r="F1951">
            <v>962</v>
          </cell>
          <cell r="I1951">
            <v>5120</v>
          </cell>
          <cell r="J1951">
            <v>962</v>
          </cell>
        </row>
        <row r="1952">
          <cell r="B1952" t="str">
            <v>도 장 공</v>
          </cell>
          <cell r="D1952">
            <v>6.6000000000000003E-2</v>
          </cell>
          <cell r="E1952" t="str">
            <v>인</v>
          </cell>
          <cell r="F1952">
            <v>4160</v>
          </cell>
          <cell r="G1952">
            <v>63038</v>
          </cell>
          <cell r="H1952">
            <v>4160</v>
          </cell>
        </row>
        <row r="1953">
          <cell r="B1953" t="str">
            <v>규    사</v>
          </cell>
          <cell r="D1953">
            <v>3.5999999999999997E-2</v>
          </cell>
          <cell r="E1953" t="str">
            <v>㎥</v>
          </cell>
          <cell r="F1953">
            <v>900</v>
          </cell>
          <cell r="I1953">
            <v>25000</v>
          </cell>
          <cell r="J1953">
            <v>900</v>
          </cell>
        </row>
        <row r="1954">
          <cell r="B1954" t="str">
            <v>장비사용료</v>
          </cell>
          <cell r="C1954" t="str">
            <v>TRUCK CRANE 
40TON x 2대</v>
          </cell>
          <cell r="D1954">
            <v>0.02</v>
          </cell>
          <cell r="E1954" t="str">
            <v>HR</v>
          </cell>
          <cell r="F1954">
            <v>3317</v>
          </cell>
          <cell r="G1954">
            <v>37230</v>
          </cell>
          <cell r="H1954">
            <v>744</v>
          </cell>
          <cell r="I1954">
            <v>17460</v>
          </cell>
          <cell r="J1954">
            <v>349</v>
          </cell>
          <cell r="K1954">
            <v>111242</v>
          </cell>
          <cell r="L1954">
            <v>2224</v>
          </cell>
        </row>
        <row r="1955">
          <cell r="B1955" t="str">
            <v>공 구 손 료</v>
          </cell>
          <cell r="C1955" t="str">
            <v>노임의 2%</v>
          </cell>
          <cell r="D1955">
            <v>1</v>
          </cell>
          <cell r="E1955" t="str">
            <v>식</v>
          </cell>
          <cell r="F1955">
            <v>110</v>
          </cell>
          <cell r="L1955">
            <v>110</v>
          </cell>
        </row>
        <row r="1956">
          <cell r="B1956" t="str">
            <v>소     계</v>
          </cell>
          <cell r="F1956">
            <v>71178</v>
          </cell>
          <cell r="H1956">
            <v>5507</v>
          </cell>
          <cell r="J1956">
            <v>63337</v>
          </cell>
          <cell r="L1956">
            <v>2334</v>
          </cell>
        </row>
        <row r="1958">
          <cell r="B1958" t="str">
            <v>합     계</v>
          </cell>
          <cell r="F1958">
            <v>88966</v>
          </cell>
          <cell r="H1958">
            <v>22420</v>
          </cell>
          <cell r="J1958">
            <v>63874</v>
          </cell>
          <cell r="L1958">
            <v>2672</v>
          </cell>
        </row>
        <row r="1971">
          <cell r="F1971" t="str">
            <v xml:space="preserve"> </v>
          </cell>
        </row>
        <row r="1976">
          <cell r="E1976" t="str">
            <v xml:space="preserve"> </v>
          </cell>
          <cell r="F1976" t="str">
            <v>S.T.S 잡철물 제작,설치(SCREEN등)</v>
          </cell>
        </row>
        <row r="1977">
          <cell r="E1977" t="str">
            <v xml:space="preserve"> </v>
          </cell>
        </row>
        <row r="1978">
          <cell r="A1978" t="str">
            <v>종       별</v>
          </cell>
          <cell r="C1978" t="str">
            <v>재 료 또 는</v>
          </cell>
          <cell r="D1978" t="str">
            <v xml:space="preserve">원 수 </v>
          </cell>
          <cell r="E1978" t="str">
            <v>단 위</v>
          </cell>
          <cell r="F1978" t="str">
            <v>총   액</v>
          </cell>
          <cell r="G1978" t="str">
            <v>노   무   비</v>
          </cell>
          <cell r="I1978" t="str">
            <v>재   료   비</v>
          </cell>
          <cell r="K1978" t="str">
            <v>경      비</v>
          </cell>
          <cell r="M1978" t="str">
            <v>비   고</v>
          </cell>
        </row>
        <row r="1979">
          <cell r="C1979" t="str">
            <v xml:space="preserve">규       격 </v>
          </cell>
          <cell r="F1979" t="str">
            <v>금   액</v>
          </cell>
          <cell r="G1979" t="str">
            <v>단  가</v>
          </cell>
          <cell r="H1979" t="str">
            <v>금   액</v>
          </cell>
          <cell r="I1979" t="str">
            <v>단  가</v>
          </cell>
          <cell r="J1979" t="str">
            <v>금   액</v>
          </cell>
          <cell r="K1979" t="str">
            <v>단  가</v>
          </cell>
          <cell r="L1979" t="str">
            <v>금   액</v>
          </cell>
        </row>
        <row r="1980">
          <cell r="A1980" t="str">
            <v>용  접  봉</v>
          </cell>
          <cell r="C1980" t="str">
            <v>AWSE 306-16 4Φ</v>
          </cell>
          <cell r="D1980">
            <v>18.48</v>
          </cell>
          <cell r="E1980" t="str">
            <v>KG</v>
          </cell>
          <cell r="I1980">
            <v>5460</v>
          </cell>
          <cell r="J1980">
            <v>100900</v>
          </cell>
        </row>
        <row r="1981">
          <cell r="A1981" t="str">
            <v>산      소</v>
          </cell>
          <cell r="C1981" t="str">
            <v>6,000L</v>
          </cell>
          <cell r="D1981">
            <v>1.05</v>
          </cell>
          <cell r="E1981" t="str">
            <v>병</v>
          </cell>
          <cell r="I1981">
            <v>12000</v>
          </cell>
          <cell r="J1981">
            <v>12600</v>
          </cell>
        </row>
        <row r="1982">
          <cell r="A1982" t="str">
            <v>아 세 치 렌</v>
          </cell>
          <cell r="C1982" t="str">
            <v>4,500L</v>
          </cell>
          <cell r="D1982">
            <v>2.8</v>
          </cell>
          <cell r="E1982" t="str">
            <v>KG</v>
          </cell>
          <cell r="I1982">
            <v>10500</v>
          </cell>
          <cell r="J1982">
            <v>29400</v>
          </cell>
        </row>
        <row r="1983">
          <cell r="A1983" t="str">
            <v>철      공</v>
          </cell>
          <cell r="D1983">
            <v>27.65</v>
          </cell>
          <cell r="E1983" t="str">
            <v>인</v>
          </cell>
          <cell r="G1983">
            <v>72430</v>
          </cell>
          <cell r="H1983">
            <v>2002689</v>
          </cell>
        </row>
        <row r="1984">
          <cell r="A1984" t="str">
            <v>비  계   공</v>
          </cell>
          <cell r="D1984">
            <v>4.71</v>
          </cell>
          <cell r="E1984" t="str">
            <v>인</v>
          </cell>
          <cell r="G1984">
            <v>79467</v>
          </cell>
          <cell r="H1984">
            <v>374289</v>
          </cell>
        </row>
        <row r="1986">
          <cell r="A1986" t="str">
            <v>보 통 인 부</v>
          </cell>
          <cell r="D1986">
            <v>0.66</v>
          </cell>
          <cell r="E1986" t="str">
            <v>인</v>
          </cell>
          <cell r="G1986">
            <v>37736</v>
          </cell>
          <cell r="H1986">
            <v>24905</v>
          </cell>
        </row>
        <row r="1987">
          <cell r="A1987" t="str">
            <v>용  접  공</v>
          </cell>
          <cell r="D1987">
            <v>2.6</v>
          </cell>
          <cell r="E1987" t="str">
            <v>인</v>
          </cell>
          <cell r="G1987">
            <v>74016</v>
          </cell>
          <cell r="H1987">
            <v>192441</v>
          </cell>
        </row>
        <row r="1988">
          <cell r="A1988" t="str">
            <v>특 별 인 부</v>
          </cell>
          <cell r="D1988">
            <v>0.74</v>
          </cell>
          <cell r="E1988" t="str">
            <v>인</v>
          </cell>
          <cell r="G1988">
            <v>57379</v>
          </cell>
          <cell r="H1988">
            <v>42460</v>
          </cell>
        </row>
        <row r="1989">
          <cell r="A1989" t="str">
            <v>용접기 손료</v>
          </cell>
          <cell r="D1989">
            <v>20.83</v>
          </cell>
          <cell r="E1989" t="str">
            <v>Hr</v>
          </cell>
          <cell r="K1989">
            <v>155</v>
          </cell>
          <cell r="L1989">
            <v>3228</v>
          </cell>
        </row>
        <row r="1990">
          <cell r="A1990" t="str">
            <v>전력 소요량</v>
          </cell>
          <cell r="D1990">
            <v>126</v>
          </cell>
          <cell r="E1990" t="str">
            <v>KWH</v>
          </cell>
          <cell r="K1990">
            <v>61.6</v>
          </cell>
          <cell r="L1990">
            <v>7761</v>
          </cell>
        </row>
        <row r="1991">
          <cell r="A1991" t="str">
            <v>공 구 손 료</v>
          </cell>
          <cell r="C1991" t="str">
            <v>인건비의 3%</v>
          </cell>
          <cell r="L1991">
            <v>79103</v>
          </cell>
        </row>
        <row r="1993">
          <cell r="A1993" t="str">
            <v>소    계</v>
          </cell>
          <cell r="F1993">
            <v>2869776</v>
          </cell>
          <cell r="H1993">
            <v>2636784</v>
          </cell>
          <cell r="J1993">
            <v>142900</v>
          </cell>
          <cell r="L1993">
            <v>90092</v>
          </cell>
        </row>
        <row r="1995">
          <cell r="A1995" t="str">
            <v>계 ( 간단한구조 )</v>
          </cell>
          <cell r="C1995" t="str">
            <v>100 %</v>
          </cell>
          <cell r="F1995">
            <v>2869776</v>
          </cell>
          <cell r="H1995">
            <v>2636784</v>
          </cell>
          <cell r="J1995">
            <v>142900</v>
          </cell>
          <cell r="L1995">
            <v>90092</v>
          </cell>
        </row>
        <row r="1997">
          <cell r="A1997" t="str">
            <v>계 ( 복잡한구조 )</v>
          </cell>
          <cell r="C1997" t="str">
            <v>140 %</v>
          </cell>
          <cell r="F1997">
            <v>4017685</v>
          </cell>
          <cell r="H1997">
            <v>3691497</v>
          </cell>
          <cell r="J1997">
            <v>200060</v>
          </cell>
          <cell r="L1997">
            <v>126128</v>
          </cell>
        </row>
        <row r="2000">
          <cell r="F2000" t="str">
            <v xml:space="preserve"> </v>
          </cell>
        </row>
        <row r="2001">
          <cell r="F2001" t="str">
            <v xml:space="preserve"> </v>
          </cell>
        </row>
        <row r="2002">
          <cell r="F2002" t="str">
            <v xml:space="preserve"> </v>
          </cell>
        </row>
        <row r="2004">
          <cell r="F2004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98수문일위"/>
      <sheetName val="98자재단가"/>
      <sheetName val="98년도"/>
      <sheetName val="99년도1월 "/>
      <sheetName val="99년도4월 "/>
      <sheetName val="99년도7월"/>
      <sheetName val="99년도9월"/>
      <sheetName val="해평이토변"/>
      <sheetName val="녹동자동비22560"/>
      <sheetName val="녹동자동비22760"/>
      <sheetName val="광양도이자동비"/>
      <sheetName val="도암천자동비"/>
      <sheetName val="광양신아배수문"/>
      <sheetName val="창포지구"/>
      <sheetName val="도양자동비"/>
      <sheetName val="회문지구"/>
      <sheetName val="토기공"/>
      <sheetName val="옥룡제"/>
      <sheetName val="봉덕보"/>
      <sheetName val="봉덕보 1"/>
      <sheetName val="난간"/>
    </sheetNames>
    <sheetDataSet>
      <sheetData sheetId="0" refreshError="1"/>
      <sheetData sheetId="1" refreshError="1">
        <row r="2">
          <cell r="A2" t="str">
            <v>★ 본 수문용 일위대가표를 수정할때는 아래사항을 유의하기바람</v>
          </cell>
        </row>
        <row r="3">
          <cell r="A3" t="str">
            <v>1. 사용장비 손료는 단가항목이 공란인것은 토목에서 받아 기입하고, 다른것은 시중물가지에서 해당 단가를 찾아  수정할것</v>
          </cell>
        </row>
        <row r="4">
          <cell r="A4" t="str">
            <v xml:space="preserve">2. 도장비 산출 내역중 자재비는 별도 기입할것.          </v>
          </cell>
        </row>
        <row r="11">
          <cell r="G11" t="str">
            <v>'98 년도  노 임  단 가 표</v>
          </cell>
        </row>
        <row r="12">
          <cell r="E12" t="str">
            <v xml:space="preserve"> </v>
          </cell>
        </row>
        <row r="13">
          <cell r="A13" t="str">
            <v>종       별</v>
          </cell>
          <cell r="C13" t="str">
            <v>재 료 또 는</v>
          </cell>
          <cell r="D13" t="str">
            <v>원 수</v>
          </cell>
          <cell r="E13" t="str">
            <v>단위</v>
          </cell>
          <cell r="F13" t="str">
            <v>총   액</v>
          </cell>
          <cell r="G13" t="str">
            <v>노   무   비</v>
          </cell>
          <cell r="I13" t="str">
            <v>재   료   비</v>
          </cell>
          <cell r="K13" t="str">
            <v>경      비</v>
          </cell>
          <cell r="M13" t="str">
            <v>비   고</v>
          </cell>
        </row>
        <row r="14">
          <cell r="C14" t="str">
            <v xml:space="preserve">규       격 </v>
          </cell>
          <cell r="F14" t="str">
            <v>금   액</v>
          </cell>
          <cell r="G14" t="str">
            <v>단  가</v>
          </cell>
          <cell r="H14" t="str">
            <v>금   액</v>
          </cell>
          <cell r="I14" t="str">
            <v>단  가</v>
          </cell>
          <cell r="J14" t="str">
            <v>금   액</v>
          </cell>
          <cell r="K14" t="str">
            <v>단  가</v>
          </cell>
          <cell r="L14" t="str">
            <v>금   액</v>
          </cell>
        </row>
        <row r="15">
          <cell r="A15" t="str">
            <v>형  틀  목  공</v>
          </cell>
          <cell r="C15" t="str">
            <v xml:space="preserve"> </v>
          </cell>
          <cell r="D15">
            <v>1</v>
          </cell>
          <cell r="E15" t="str">
            <v>일</v>
          </cell>
          <cell r="H15">
            <v>75306</v>
          </cell>
        </row>
        <row r="16">
          <cell r="A16" t="str">
            <v>절    단    공</v>
          </cell>
          <cell r="D16">
            <v>1</v>
          </cell>
          <cell r="E16" t="str">
            <v>"</v>
          </cell>
          <cell r="H16">
            <v>65881</v>
          </cell>
        </row>
        <row r="17">
          <cell r="A17" t="str">
            <v>석          공</v>
          </cell>
          <cell r="D17">
            <v>1</v>
          </cell>
          <cell r="E17" t="str">
            <v>"</v>
          </cell>
          <cell r="H17">
            <v>77005</v>
          </cell>
        </row>
        <row r="18">
          <cell r="A18" t="str">
            <v>특 수 비 계 공</v>
          </cell>
          <cell r="D18">
            <v>1</v>
          </cell>
          <cell r="E18" t="str">
            <v>"</v>
          </cell>
          <cell r="H18">
            <v>85884</v>
          </cell>
        </row>
        <row r="19">
          <cell r="A19" t="str">
            <v>비    계    공</v>
          </cell>
          <cell r="D19">
            <v>1</v>
          </cell>
          <cell r="E19" t="str">
            <v>"</v>
          </cell>
          <cell r="H19">
            <v>79467</v>
          </cell>
        </row>
        <row r="20">
          <cell r="A20" t="str">
            <v>도    장    공</v>
          </cell>
          <cell r="D20">
            <v>1</v>
          </cell>
          <cell r="E20" t="str">
            <v>일</v>
          </cell>
          <cell r="H20">
            <v>63038</v>
          </cell>
        </row>
        <row r="21">
          <cell r="A21" t="str">
            <v>플랜트기계설치공</v>
          </cell>
          <cell r="D21">
            <v>1</v>
          </cell>
          <cell r="E21" t="str">
            <v>"</v>
          </cell>
          <cell r="H21">
            <v>80805</v>
          </cell>
        </row>
        <row r="22">
          <cell r="A22" t="str">
            <v>플랜트  용접공</v>
          </cell>
          <cell r="D22">
            <v>1</v>
          </cell>
          <cell r="E22" t="str">
            <v>"</v>
          </cell>
          <cell r="H22">
            <v>95379</v>
          </cell>
        </row>
        <row r="23">
          <cell r="A23" t="str">
            <v>플랜트  제관공</v>
          </cell>
          <cell r="D23">
            <v>1</v>
          </cell>
          <cell r="E23" t="str">
            <v>"</v>
          </cell>
          <cell r="H23">
            <v>81966</v>
          </cell>
        </row>
        <row r="24">
          <cell r="A24" t="str">
            <v>플랜트  배관공</v>
          </cell>
          <cell r="D24">
            <v>1</v>
          </cell>
          <cell r="E24" t="str">
            <v>"</v>
          </cell>
          <cell r="H24">
            <v>97219</v>
          </cell>
        </row>
        <row r="25">
          <cell r="A25" t="str">
            <v>측    량    사</v>
          </cell>
          <cell r="D25">
            <v>1</v>
          </cell>
          <cell r="E25" t="str">
            <v>일</v>
          </cell>
          <cell r="H25">
            <v>58506</v>
          </cell>
        </row>
        <row r="26">
          <cell r="A26" t="str">
            <v>측량사    조수</v>
          </cell>
          <cell r="D26">
            <v>1</v>
          </cell>
          <cell r="E26" t="str">
            <v>"</v>
          </cell>
          <cell r="H26">
            <v>38777</v>
          </cell>
        </row>
        <row r="27">
          <cell r="A27" t="str">
            <v>플랜트    전공</v>
          </cell>
          <cell r="D27">
            <v>1</v>
          </cell>
          <cell r="E27" t="str">
            <v>"</v>
          </cell>
          <cell r="H27">
            <v>64285</v>
          </cell>
        </row>
        <row r="28">
          <cell r="A28" t="str">
            <v>특  별  인  부</v>
          </cell>
          <cell r="D28">
            <v>1</v>
          </cell>
          <cell r="E28" t="str">
            <v>"</v>
          </cell>
          <cell r="H28">
            <v>57379</v>
          </cell>
        </row>
        <row r="29">
          <cell r="A29" t="str">
            <v>보  통  인  부</v>
          </cell>
          <cell r="D29">
            <v>1</v>
          </cell>
          <cell r="E29" t="str">
            <v>"</v>
          </cell>
          <cell r="H29">
            <v>37736</v>
          </cell>
        </row>
        <row r="30">
          <cell r="A30" t="str">
            <v>중기 운전 기사</v>
          </cell>
          <cell r="D30">
            <v>1</v>
          </cell>
          <cell r="E30" t="str">
            <v>일</v>
          </cell>
          <cell r="H30">
            <v>56951</v>
          </cell>
        </row>
        <row r="31">
          <cell r="A31" t="str">
            <v>중  기  조  장</v>
          </cell>
          <cell r="D31">
            <v>1</v>
          </cell>
          <cell r="E31" t="str">
            <v>"</v>
          </cell>
          <cell r="H31">
            <v>55484</v>
          </cell>
        </row>
        <row r="32">
          <cell r="A32" t="str">
            <v>운전수(기  계)</v>
          </cell>
          <cell r="D32">
            <v>1</v>
          </cell>
          <cell r="E32" t="str">
            <v>"</v>
          </cell>
          <cell r="H32">
            <v>54325</v>
          </cell>
        </row>
        <row r="33">
          <cell r="A33" t="str">
            <v>운전사(운반차)</v>
          </cell>
          <cell r="D33">
            <v>1</v>
          </cell>
          <cell r="E33" t="str">
            <v>"</v>
          </cell>
          <cell r="H33">
            <v>51077</v>
          </cell>
        </row>
        <row r="34">
          <cell r="A34" t="str">
            <v>종       별</v>
          </cell>
          <cell r="C34" t="str">
            <v>재 료 또 는</v>
          </cell>
          <cell r="D34" t="str">
            <v xml:space="preserve">원 수 </v>
          </cell>
          <cell r="E34" t="str">
            <v>단 위</v>
          </cell>
          <cell r="F34" t="str">
            <v>총   액</v>
          </cell>
          <cell r="G34" t="str">
            <v>노   무   비</v>
          </cell>
          <cell r="I34" t="str">
            <v>재   료   비</v>
          </cell>
          <cell r="K34" t="str">
            <v>경      비</v>
          </cell>
          <cell r="M34" t="str">
            <v>비   고</v>
          </cell>
        </row>
        <row r="35">
          <cell r="C35" t="str">
            <v xml:space="preserve">규       격 </v>
          </cell>
          <cell r="F35" t="str">
            <v>금   액</v>
          </cell>
          <cell r="G35" t="str">
            <v>단  가</v>
          </cell>
          <cell r="H35" t="str">
            <v>금   액</v>
          </cell>
          <cell r="I35" t="str">
            <v>단  가</v>
          </cell>
          <cell r="J35" t="str">
            <v>금   액</v>
          </cell>
          <cell r="K35" t="str">
            <v>단  가</v>
          </cell>
          <cell r="L35" t="str">
            <v>금   액</v>
          </cell>
        </row>
        <row r="36">
          <cell r="A36" t="str">
            <v>중기 운전 조수</v>
          </cell>
          <cell r="D36">
            <v>1</v>
          </cell>
          <cell r="E36" t="str">
            <v>"</v>
          </cell>
          <cell r="H36">
            <v>42762</v>
          </cell>
        </row>
        <row r="37">
          <cell r="A37" t="str">
            <v>기    계    공</v>
          </cell>
          <cell r="D37">
            <v>1</v>
          </cell>
          <cell r="E37" t="str">
            <v>일</v>
          </cell>
          <cell r="H37">
            <v>58906</v>
          </cell>
        </row>
        <row r="38">
          <cell r="A38" t="str">
            <v>용접공 (일 반)</v>
          </cell>
          <cell r="D38">
            <v>1</v>
          </cell>
          <cell r="E38" t="str">
            <v>"</v>
          </cell>
          <cell r="H38">
            <v>74016</v>
          </cell>
        </row>
        <row r="39">
          <cell r="A39" t="str">
            <v>리    벳    공</v>
          </cell>
          <cell r="D39">
            <v>1</v>
          </cell>
          <cell r="E39" t="str">
            <v>"</v>
          </cell>
          <cell r="H39">
            <v>71579</v>
          </cell>
        </row>
        <row r="40">
          <cell r="A40" t="str">
            <v>계    령    공</v>
          </cell>
          <cell r="D40">
            <v>1</v>
          </cell>
          <cell r="E40" t="str">
            <v>"</v>
          </cell>
          <cell r="H40">
            <v>41937</v>
          </cell>
          <cell r="L40" t="str">
            <v xml:space="preserve"> </v>
          </cell>
        </row>
        <row r="41">
          <cell r="A41" t="str">
            <v>제    도    공</v>
          </cell>
          <cell r="D41">
            <v>1</v>
          </cell>
          <cell r="E41" t="str">
            <v>"</v>
          </cell>
          <cell r="H41">
            <v>32747</v>
          </cell>
        </row>
        <row r="42">
          <cell r="A42" t="str">
            <v>현    도    공</v>
          </cell>
          <cell r="C42" t="str">
            <v xml:space="preserve"> </v>
          </cell>
          <cell r="D42">
            <v>1</v>
          </cell>
          <cell r="E42" t="str">
            <v>일</v>
          </cell>
          <cell r="H42">
            <v>28487</v>
          </cell>
        </row>
        <row r="43">
          <cell r="A43" t="str">
            <v>마    킹    공</v>
          </cell>
          <cell r="D43">
            <v>1</v>
          </cell>
          <cell r="E43" t="str">
            <v>"</v>
          </cell>
          <cell r="H43">
            <v>26924</v>
          </cell>
        </row>
        <row r="44">
          <cell r="A44" t="str">
            <v>산 소 절 단 공</v>
          </cell>
          <cell r="D44">
            <v>1</v>
          </cell>
          <cell r="E44" t="str">
            <v>"</v>
          </cell>
          <cell r="H44">
            <v>31794</v>
          </cell>
        </row>
        <row r="45">
          <cell r="A45" t="str">
            <v>샤    링    공</v>
          </cell>
          <cell r="D45">
            <v>1</v>
          </cell>
          <cell r="E45" t="str">
            <v>"</v>
          </cell>
          <cell r="H45">
            <v>29508</v>
          </cell>
        </row>
        <row r="46">
          <cell r="A46" t="str">
            <v>프  레  스  공</v>
          </cell>
          <cell r="D46">
            <v>1</v>
          </cell>
          <cell r="E46" t="str">
            <v>"</v>
          </cell>
          <cell r="H46">
            <v>26250</v>
          </cell>
        </row>
        <row r="47">
          <cell r="A47" t="str">
            <v>보    링    공</v>
          </cell>
          <cell r="D47">
            <v>1</v>
          </cell>
          <cell r="E47" t="str">
            <v>일</v>
          </cell>
          <cell r="H47">
            <v>28378</v>
          </cell>
        </row>
        <row r="48">
          <cell r="A48" t="str">
            <v>밀    링    공</v>
          </cell>
          <cell r="D48">
            <v>1</v>
          </cell>
          <cell r="E48" t="str">
            <v>"</v>
          </cell>
          <cell r="H48">
            <v>27252</v>
          </cell>
        </row>
        <row r="49">
          <cell r="A49" t="str">
            <v>방 전 절 단 공</v>
          </cell>
          <cell r="D49">
            <v>1</v>
          </cell>
          <cell r="E49" t="str">
            <v>"</v>
          </cell>
          <cell r="H49">
            <v>27047</v>
          </cell>
        </row>
        <row r="50">
          <cell r="A50" t="str">
            <v>드    링    공</v>
          </cell>
          <cell r="D50">
            <v>1</v>
          </cell>
          <cell r="E50" t="str">
            <v>"</v>
          </cell>
          <cell r="H50">
            <v>27215</v>
          </cell>
        </row>
        <row r="51">
          <cell r="A51" t="str">
            <v>수 동 선 반 공</v>
          </cell>
          <cell r="D51">
            <v>1</v>
          </cell>
          <cell r="E51" t="str">
            <v>"</v>
          </cell>
          <cell r="H51">
            <v>27350</v>
          </cell>
        </row>
        <row r="52">
          <cell r="A52" t="str">
            <v>프  레  나  공</v>
          </cell>
          <cell r="D52">
            <v>1</v>
          </cell>
          <cell r="E52" t="str">
            <v>일</v>
          </cell>
          <cell r="H52">
            <v>25035</v>
          </cell>
        </row>
        <row r="53">
          <cell r="A53" t="str">
            <v>3 본  로 라 공</v>
          </cell>
          <cell r="D53">
            <v>1</v>
          </cell>
          <cell r="E53" t="str">
            <v>"</v>
          </cell>
          <cell r="H53">
            <v>34250</v>
          </cell>
        </row>
        <row r="54">
          <cell r="A54" t="str">
            <v>벤 딩 머 쉰 공</v>
          </cell>
          <cell r="D54">
            <v>1</v>
          </cell>
          <cell r="E54" t="str">
            <v>"</v>
          </cell>
          <cell r="H54">
            <v>29076</v>
          </cell>
        </row>
        <row r="55">
          <cell r="A55" t="str">
            <v>열  처  리  공</v>
          </cell>
          <cell r="D55">
            <v>1</v>
          </cell>
          <cell r="E55" t="str">
            <v>"</v>
          </cell>
          <cell r="H55">
            <v>25392</v>
          </cell>
        </row>
        <row r="56">
          <cell r="A56" t="str">
            <v>용    접    공</v>
          </cell>
          <cell r="D56">
            <v>1</v>
          </cell>
          <cell r="E56" t="str">
            <v>"</v>
          </cell>
          <cell r="H56">
            <v>27908</v>
          </cell>
        </row>
        <row r="57">
          <cell r="A57" t="str">
            <v>종       별</v>
          </cell>
          <cell r="C57" t="str">
            <v>재 료 또 는</v>
          </cell>
          <cell r="D57" t="str">
            <v xml:space="preserve">원 수 </v>
          </cell>
          <cell r="E57" t="str">
            <v>단 위</v>
          </cell>
          <cell r="F57" t="str">
            <v>총   액</v>
          </cell>
          <cell r="G57" t="str">
            <v>노   무   비</v>
          </cell>
          <cell r="I57" t="str">
            <v>재   료   비</v>
          </cell>
          <cell r="K57" t="str">
            <v>경      비</v>
          </cell>
          <cell r="M57" t="str">
            <v>비   고</v>
          </cell>
        </row>
        <row r="58">
          <cell r="C58" t="str">
            <v xml:space="preserve">규       격 </v>
          </cell>
          <cell r="F58" t="str">
            <v>금   액</v>
          </cell>
          <cell r="G58" t="str">
            <v>단  가</v>
          </cell>
          <cell r="H58" t="str">
            <v>금   액</v>
          </cell>
          <cell r="I58" t="str">
            <v>단  가</v>
          </cell>
          <cell r="J58" t="str">
            <v>금   액</v>
          </cell>
          <cell r="K58" t="str">
            <v>단  가</v>
          </cell>
          <cell r="L58" t="str">
            <v>금   액</v>
          </cell>
        </row>
        <row r="59">
          <cell r="A59" t="str">
            <v>그 라 인 다 공</v>
          </cell>
          <cell r="D59">
            <v>1</v>
          </cell>
          <cell r="E59" t="str">
            <v>일</v>
          </cell>
          <cell r="H59">
            <v>26032</v>
          </cell>
        </row>
        <row r="60">
          <cell r="A60" t="str">
            <v>비파괴  시험공</v>
          </cell>
          <cell r="D60">
            <v>1</v>
          </cell>
          <cell r="E60" t="str">
            <v>"</v>
          </cell>
          <cell r="H60">
            <v>64472</v>
          </cell>
        </row>
        <row r="61">
          <cell r="A61" t="str">
            <v>기계 기사 1 급</v>
          </cell>
          <cell r="C61" t="str">
            <v>(중급기술자)</v>
          </cell>
          <cell r="D61">
            <v>1</v>
          </cell>
          <cell r="E61" t="str">
            <v>"</v>
          </cell>
          <cell r="H61">
            <v>97488</v>
          </cell>
        </row>
        <row r="62">
          <cell r="A62" t="str">
            <v>기계 기사 2 급</v>
          </cell>
          <cell r="C62" t="str">
            <v>(초급기술자)</v>
          </cell>
          <cell r="D62">
            <v>1</v>
          </cell>
          <cell r="E62" t="str">
            <v>"</v>
          </cell>
          <cell r="H62">
            <v>69405</v>
          </cell>
        </row>
        <row r="63">
          <cell r="A63" t="str">
            <v>철    공</v>
          </cell>
          <cell r="D63">
            <v>1</v>
          </cell>
          <cell r="E63" t="str">
            <v>"</v>
          </cell>
          <cell r="H63">
            <v>72430</v>
          </cell>
        </row>
        <row r="64">
          <cell r="A64" t="str">
            <v>잠 수 부</v>
          </cell>
          <cell r="D64">
            <v>1</v>
          </cell>
          <cell r="E64" t="str">
            <v xml:space="preserve">일 </v>
          </cell>
          <cell r="H64">
            <v>81832</v>
          </cell>
        </row>
        <row r="65">
          <cell r="A65" t="str">
            <v>선    부</v>
          </cell>
          <cell r="D65">
            <v>1</v>
          </cell>
          <cell r="E65" t="str">
            <v xml:space="preserve">일 </v>
          </cell>
          <cell r="H65">
            <v>40088</v>
          </cell>
        </row>
        <row r="66">
          <cell r="A66" t="str">
            <v>조 력 공</v>
          </cell>
          <cell r="D66">
            <v>1</v>
          </cell>
          <cell r="E66" t="str">
            <v xml:space="preserve">일 </v>
          </cell>
          <cell r="H66">
            <v>48912</v>
          </cell>
        </row>
        <row r="67">
          <cell r="A67" t="str">
            <v>품질관리공(시험사1급)</v>
          </cell>
          <cell r="D67">
            <v>1</v>
          </cell>
          <cell r="E67" t="str">
            <v xml:space="preserve">일 </v>
          </cell>
          <cell r="H67">
            <v>47867</v>
          </cell>
          <cell r="L67" t="str">
            <v xml:space="preserve"> </v>
          </cell>
        </row>
        <row r="68">
          <cell r="A68" t="str">
            <v>특급기술자(건설및기타)</v>
          </cell>
          <cell r="D68">
            <v>1</v>
          </cell>
          <cell r="E68" t="str">
            <v xml:space="preserve">일 </v>
          </cell>
          <cell r="H68">
            <v>142203</v>
          </cell>
          <cell r="L68" t="str">
            <v xml:space="preserve"> </v>
          </cell>
        </row>
        <row r="69">
          <cell r="A69" t="str">
            <v>고급기술자(    "     )</v>
          </cell>
          <cell r="D69">
            <v>1</v>
          </cell>
          <cell r="E69" t="str">
            <v xml:space="preserve">일 </v>
          </cell>
          <cell r="H69">
            <v>117410</v>
          </cell>
          <cell r="L69" t="str">
            <v xml:space="preserve"> </v>
          </cell>
        </row>
        <row r="70">
          <cell r="A70" t="str">
            <v>중급기술자(    "     )</v>
          </cell>
          <cell r="D70">
            <v>1</v>
          </cell>
          <cell r="E70" t="str">
            <v xml:space="preserve">일 </v>
          </cell>
          <cell r="H70">
            <v>97488</v>
          </cell>
          <cell r="L70" t="str">
            <v xml:space="preserve"> </v>
          </cell>
        </row>
        <row r="71">
          <cell r="A71" t="str">
            <v>초급기술자(    "     )</v>
          </cell>
          <cell r="D71">
            <v>1</v>
          </cell>
          <cell r="E71" t="str">
            <v xml:space="preserve">일 </v>
          </cell>
          <cell r="H71">
            <v>69405</v>
          </cell>
          <cell r="L71" t="str">
            <v xml:space="preserve"> </v>
          </cell>
        </row>
        <row r="72">
          <cell r="A72" t="str">
            <v>고급기능사(    "     )</v>
          </cell>
          <cell r="D72">
            <v>1</v>
          </cell>
          <cell r="E72" t="str">
            <v xml:space="preserve">일 </v>
          </cell>
          <cell r="H72">
            <v>68094</v>
          </cell>
          <cell r="L72" t="str">
            <v xml:space="preserve"> </v>
          </cell>
        </row>
        <row r="73">
          <cell r="A73" t="str">
            <v>중급기능사(    "     )</v>
          </cell>
          <cell r="D73">
            <v>1</v>
          </cell>
          <cell r="E73" t="str">
            <v xml:space="preserve">일 </v>
          </cell>
          <cell r="H73">
            <v>60249</v>
          </cell>
          <cell r="L73" t="str">
            <v xml:space="preserve"> </v>
          </cell>
        </row>
        <row r="74">
          <cell r="A74" t="str">
            <v>초급기능사(    "     )</v>
          </cell>
          <cell r="D74">
            <v>1</v>
          </cell>
          <cell r="E74" t="str">
            <v xml:space="preserve">일 </v>
          </cell>
          <cell r="H74">
            <v>48652</v>
          </cell>
          <cell r="L74" t="str">
            <v xml:space="preserve"> </v>
          </cell>
        </row>
        <row r="75">
          <cell r="C75" t="str">
            <v xml:space="preserve"> </v>
          </cell>
        </row>
        <row r="76">
          <cell r="C76" t="str">
            <v xml:space="preserve"> 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1">
          <cell r="B81" t="str">
            <v>'98 년도  소 모 자 재  단 가 표</v>
          </cell>
        </row>
        <row r="82">
          <cell r="E82" t="str">
            <v xml:space="preserve"> </v>
          </cell>
        </row>
        <row r="83">
          <cell r="A83" t="str">
            <v>종       별</v>
          </cell>
          <cell r="C83" t="str">
            <v>재 료 또 는</v>
          </cell>
          <cell r="D83" t="str">
            <v xml:space="preserve">원 수 </v>
          </cell>
          <cell r="E83" t="str">
            <v>단 위</v>
          </cell>
          <cell r="F83" t="str">
            <v>총   액</v>
          </cell>
          <cell r="G83" t="str">
            <v>노   무   비</v>
          </cell>
          <cell r="I83" t="str">
            <v>재   료   비</v>
          </cell>
          <cell r="K83" t="str">
            <v>경      비</v>
          </cell>
          <cell r="M83" t="str">
            <v>비   고</v>
          </cell>
        </row>
        <row r="84">
          <cell r="C84" t="str">
            <v xml:space="preserve">규       격 </v>
          </cell>
          <cell r="F84" t="str">
            <v>금   액</v>
          </cell>
          <cell r="G84" t="str">
            <v>단  가</v>
          </cell>
          <cell r="H84" t="str">
            <v>금   액</v>
          </cell>
          <cell r="I84" t="str">
            <v>단  가</v>
          </cell>
          <cell r="J84" t="str">
            <v>금   액</v>
          </cell>
          <cell r="K84" t="str">
            <v>단  가</v>
          </cell>
          <cell r="L84" t="str">
            <v>금   액</v>
          </cell>
        </row>
        <row r="85">
          <cell r="A85" t="str">
            <v>산          소</v>
          </cell>
          <cell r="C85" t="str">
            <v>6,000 L</v>
          </cell>
          <cell r="D85">
            <v>1</v>
          </cell>
          <cell r="E85" t="str">
            <v>병</v>
          </cell>
          <cell r="J85">
            <v>12000</v>
          </cell>
        </row>
        <row r="86">
          <cell r="A86" t="str">
            <v>아  세  치  렌</v>
          </cell>
          <cell r="C86" t="str">
            <v>4,500 L</v>
          </cell>
          <cell r="D86">
            <v>1</v>
          </cell>
          <cell r="E86" t="str">
            <v>"</v>
          </cell>
          <cell r="J86">
            <v>55392</v>
          </cell>
        </row>
        <row r="87">
          <cell r="B87" t="str">
            <v xml:space="preserve">  "</v>
          </cell>
          <cell r="C87" t="str">
            <v>2,100 L</v>
          </cell>
          <cell r="D87">
            <v>1</v>
          </cell>
          <cell r="E87" t="str">
            <v>"</v>
          </cell>
          <cell r="J87">
            <v>25849</v>
          </cell>
        </row>
        <row r="88">
          <cell r="A88" t="str">
            <v>STS 용  접  봉</v>
          </cell>
          <cell r="C88" t="str">
            <v>4Φx350L</v>
          </cell>
          <cell r="D88">
            <v>1</v>
          </cell>
          <cell r="E88" t="str">
            <v>kg</v>
          </cell>
          <cell r="J88">
            <v>5460</v>
          </cell>
        </row>
        <row r="89">
          <cell r="A89" t="str">
            <v>SS400  용 접 봉</v>
          </cell>
          <cell r="C89" t="str">
            <v>"</v>
          </cell>
          <cell r="D89">
            <v>1</v>
          </cell>
          <cell r="E89" t="str">
            <v>"</v>
          </cell>
          <cell r="J89">
            <v>1260</v>
          </cell>
        </row>
        <row r="90">
          <cell r="A90" t="str">
            <v>전  력  요  금</v>
          </cell>
          <cell r="D90">
            <v>1</v>
          </cell>
          <cell r="E90" t="str">
            <v>Kwh</v>
          </cell>
          <cell r="J90">
            <v>61.6</v>
          </cell>
        </row>
        <row r="91">
          <cell r="A91" t="str">
            <v>함          석</v>
          </cell>
          <cell r="C91" t="str">
            <v>#32x3'x6'</v>
          </cell>
          <cell r="D91">
            <v>1</v>
          </cell>
          <cell r="E91" t="str">
            <v>매</v>
          </cell>
          <cell r="J91">
            <v>2597</v>
          </cell>
        </row>
        <row r="92">
          <cell r="B92" t="str">
            <v xml:space="preserve">  "</v>
          </cell>
          <cell r="C92" t="str">
            <v>#31x3'x6'</v>
          </cell>
          <cell r="D92">
            <v>1</v>
          </cell>
          <cell r="E92" t="str">
            <v>"</v>
          </cell>
          <cell r="J92">
            <v>2825</v>
          </cell>
        </row>
        <row r="93">
          <cell r="A93" t="str">
            <v>경          유</v>
          </cell>
          <cell r="D93">
            <v>1</v>
          </cell>
          <cell r="E93" t="str">
            <v>L</v>
          </cell>
          <cell r="J93">
            <v>526.4</v>
          </cell>
        </row>
        <row r="94">
          <cell r="A94" t="str">
            <v>코  크  스</v>
          </cell>
          <cell r="D94">
            <v>1</v>
          </cell>
          <cell r="E94" t="str">
            <v>kg</v>
          </cell>
          <cell r="J94">
            <v>183</v>
          </cell>
        </row>
        <row r="95">
          <cell r="A95" t="str">
            <v>그라인다돌</v>
          </cell>
          <cell r="D95">
            <v>1</v>
          </cell>
          <cell r="E95" t="str">
            <v>개</v>
          </cell>
          <cell r="J95">
            <v>3380</v>
          </cell>
        </row>
        <row r="96">
          <cell r="A96" t="str">
            <v>노   즐</v>
          </cell>
          <cell r="D96">
            <v>1</v>
          </cell>
          <cell r="E96" t="str">
            <v>"</v>
          </cell>
          <cell r="J96">
            <v>32000</v>
          </cell>
        </row>
        <row r="97">
          <cell r="A97" t="str">
            <v>아  세  치  렌</v>
          </cell>
          <cell r="C97" t="str">
            <v>4,500 L</v>
          </cell>
          <cell r="D97">
            <v>1</v>
          </cell>
          <cell r="E97" t="str">
            <v>kg</v>
          </cell>
          <cell r="J97">
            <v>10500</v>
          </cell>
        </row>
        <row r="98">
          <cell r="B98" t="str">
            <v>- 엔진유</v>
          </cell>
          <cell r="E98" t="str">
            <v>L</v>
          </cell>
          <cell r="J98">
            <v>1250</v>
          </cell>
        </row>
        <row r="99">
          <cell r="B99" t="str">
            <v>- 구리이스</v>
          </cell>
          <cell r="E99" t="str">
            <v>KG</v>
          </cell>
          <cell r="J99">
            <v>2323</v>
          </cell>
        </row>
        <row r="100">
          <cell r="B100" t="str">
            <v>- 규사</v>
          </cell>
          <cell r="E100" t="str">
            <v>TON</v>
          </cell>
          <cell r="J100">
            <v>25000</v>
          </cell>
        </row>
        <row r="101">
          <cell r="B101" t="str">
            <v>- SAND</v>
          </cell>
          <cell r="E101" t="str">
            <v>㎥</v>
          </cell>
          <cell r="J101">
            <v>7000</v>
          </cell>
        </row>
        <row r="102">
          <cell r="B102" t="str">
            <v>- POWER BRUSH</v>
          </cell>
          <cell r="E102" t="str">
            <v>KG</v>
          </cell>
          <cell r="J102">
            <v>5000</v>
          </cell>
        </row>
        <row r="103">
          <cell r="A103" t="str">
            <v>종       별</v>
          </cell>
          <cell r="C103" t="str">
            <v>재 료 또 는</v>
          </cell>
          <cell r="D103" t="str">
            <v xml:space="preserve">원 수 </v>
          </cell>
          <cell r="E103" t="str">
            <v>단 위</v>
          </cell>
          <cell r="F103" t="str">
            <v>총   액</v>
          </cell>
          <cell r="G103" t="str">
            <v>노   무   비</v>
          </cell>
          <cell r="I103" t="str">
            <v>재   료   비</v>
          </cell>
          <cell r="K103" t="str">
            <v>경      비</v>
          </cell>
          <cell r="M103" t="str">
            <v>비   고</v>
          </cell>
        </row>
        <row r="104">
          <cell r="C104" t="str">
            <v xml:space="preserve">규       격 </v>
          </cell>
          <cell r="F104" t="str">
            <v>금   액</v>
          </cell>
          <cell r="G104" t="str">
            <v>단  가</v>
          </cell>
          <cell r="H104" t="str">
            <v>금   액</v>
          </cell>
          <cell r="I104" t="str">
            <v>단  가</v>
          </cell>
          <cell r="J104" t="str">
            <v>금   액</v>
          </cell>
          <cell r="K104" t="str">
            <v>단  가</v>
          </cell>
          <cell r="L104" t="str">
            <v>금   액</v>
          </cell>
        </row>
        <row r="105">
          <cell r="B105" t="str">
            <v>- WIRE BRUSH</v>
          </cell>
          <cell r="E105" t="str">
            <v>KG</v>
          </cell>
          <cell r="J105">
            <v>2000</v>
          </cell>
        </row>
        <row r="106">
          <cell r="B106" t="str">
            <v>- 세척제</v>
          </cell>
          <cell r="E106" t="str">
            <v>KG</v>
          </cell>
          <cell r="J106">
            <v>10500</v>
          </cell>
        </row>
        <row r="107">
          <cell r="B107" t="str">
            <v>- 넝마</v>
          </cell>
          <cell r="E107" t="str">
            <v>KG</v>
          </cell>
          <cell r="J107">
            <v>1363</v>
          </cell>
          <cell r="K107" t="str">
            <v>(적산정보 492)</v>
          </cell>
        </row>
        <row r="108">
          <cell r="B108" t="str">
            <v>- 세라믹코팅제</v>
          </cell>
          <cell r="E108" t="str">
            <v>KG</v>
          </cell>
          <cell r="J108">
            <v>168300</v>
          </cell>
        </row>
        <row r="109">
          <cell r="B109" t="str">
            <v>- 희석제</v>
          </cell>
          <cell r="E109" t="str">
            <v>통</v>
          </cell>
          <cell r="J109">
            <v>5120</v>
          </cell>
        </row>
        <row r="110">
          <cell r="B110" t="str">
            <v>ZINC RICH PRIMER</v>
          </cell>
          <cell r="E110" t="str">
            <v>L</v>
          </cell>
          <cell r="J110">
            <v>7945</v>
          </cell>
        </row>
        <row r="111">
          <cell r="B111" t="str">
            <v>신      나</v>
          </cell>
          <cell r="J111">
            <v>2111</v>
          </cell>
        </row>
        <row r="112">
          <cell r="B112" t="str">
            <v>방 오 도 료</v>
          </cell>
          <cell r="J112">
            <v>9231</v>
          </cell>
        </row>
        <row r="113">
          <cell r="B113" t="str">
            <v>신  나(ANTI FAULING)</v>
          </cell>
          <cell r="J113">
            <v>1530</v>
          </cell>
        </row>
        <row r="114">
          <cell r="B114" t="str">
            <v>TAL EPOXY</v>
          </cell>
          <cell r="J114">
            <v>3570</v>
          </cell>
        </row>
        <row r="115">
          <cell r="B115" t="str">
            <v>PURE EPOXY</v>
          </cell>
          <cell r="J115">
            <v>4010</v>
          </cell>
        </row>
        <row r="127">
          <cell r="B127" t="str">
            <v>'98 년도  사 용 장 비 경 비  단 가 표</v>
          </cell>
        </row>
        <row r="128">
          <cell r="E128" t="str">
            <v xml:space="preserve"> </v>
          </cell>
        </row>
        <row r="129">
          <cell r="A129" t="str">
            <v>종       별</v>
          </cell>
          <cell r="C129" t="str">
            <v>재 료 또 는</v>
          </cell>
          <cell r="D129" t="str">
            <v xml:space="preserve">원 수 </v>
          </cell>
          <cell r="E129" t="str">
            <v>단 위</v>
          </cell>
          <cell r="F129" t="str">
            <v>총   액</v>
          </cell>
          <cell r="G129" t="str">
            <v>노   무   비</v>
          </cell>
          <cell r="I129" t="str">
            <v>재   료   비</v>
          </cell>
          <cell r="K129" t="str">
            <v>경      비</v>
          </cell>
          <cell r="M129" t="str">
            <v>비   고</v>
          </cell>
        </row>
        <row r="130">
          <cell r="C130" t="str">
            <v xml:space="preserve">규       격 </v>
          </cell>
          <cell r="F130" t="str">
            <v>금   액</v>
          </cell>
          <cell r="G130" t="str">
            <v>단  가</v>
          </cell>
          <cell r="H130" t="str">
            <v>금   액</v>
          </cell>
          <cell r="I130" t="str">
            <v>단  가</v>
          </cell>
          <cell r="J130" t="str">
            <v>금   액</v>
          </cell>
          <cell r="K130" t="str">
            <v>단  가</v>
          </cell>
          <cell r="L130" t="str">
            <v>금   액</v>
          </cell>
        </row>
        <row r="131">
          <cell r="A131" t="str">
            <v>Lathe</v>
          </cell>
          <cell r="C131" t="str">
            <v>12ftx7.5Hp</v>
          </cell>
          <cell r="D131">
            <v>1</v>
          </cell>
          <cell r="E131" t="str">
            <v>hr</v>
          </cell>
          <cell r="H131">
            <v>3418</v>
          </cell>
          <cell r="L131">
            <v>3775</v>
          </cell>
        </row>
        <row r="132">
          <cell r="A132" t="str">
            <v>Planer</v>
          </cell>
          <cell r="C132" t="str">
            <v>4ftx8ft</v>
          </cell>
          <cell r="D132">
            <v>1</v>
          </cell>
          <cell r="E132" t="str">
            <v>"</v>
          </cell>
          <cell r="H132">
            <v>3129</v>
          </cell>
          <cell r="L132">
            <v>2743</v>
          </cell>
        </row>
        <row r="133">
          <cell r="A133" t="str">
            <v>Boring Machine</v>
          </cell>
          <cell r="C133" t="str">
            <v>horizontal type 3Hp</v>
          </cell>
        </row>
        <row r="134">
          <cell r="D134">
            <v>1</v>
          </cell>
          <cell r="E134" t="str">
            <v>"</v>
          </cell>
          <cell r="H134">
            <v>3547</v>
          </cell>
          <cell r="L134">
            <v>8928</v>
          </cell>
        </row>
        <row r="135">
          <cell r="A135" t="str">
            <v>Union Melt Welder</v>
          </cell>
          <cell r="C135" t="str">
            <v>5.5 KVA</v>
          </cell>
          <cell r="D135">
            <v>1</v>
          </cell>
          <cell r="E135" t="str">
            <v>"</v>
          </cell>
          <cell r="H135">
            <v>3488</v>
          </cell>
          <cell r="L135">
            <v>1797</v>
          </cell>
        </row>
        <row r="136">
          <cell r="A136" t="str">
            <v>Gouging Machine</v>
          </cell>
          <cell r="C136" t="str">
            <v>중형</v>
          </cell>
          <cell r="D136">
            <v>1</v>
          </cell>
          <cell r="E136" t="str">
            <v>"</v>
          </cell>
          <cell r="H136">
            <v>3380</v>
          </cell>
          <cell r="L136">
            <v>670</v>
          </cell>
        </row>
        <row r="137">
          <cell r="A137" t="str">
            <v>Gas Cutting Machine</v>
          </cell>
        </row>
        <row r="138">
          <cell r="C138" t="str">
            <v>auto 중형</v>
          </cell>
          <cell r="D138">
            <v>1</v>
          </cell>
          <cell r="E138" t="str">
            <v>hr</v>
          </cell>
          <cell r="H138">
            <v>11922</v>
          </cell>
          <cell r="L138">
            <v>119</v>
          </cell>
        </row>
        <row r="139">
          <cell r="B139" t="str">
            <v xml:space="preserve">  "</v>
          </cell>
          <cell r="C139" t="str">
            <v>manual 중형</v>
          </cell>
          <cell r="D139">
            <v>1</v>
          </cell>
          <cell r="E139" t="str">
            <v>"</v>
          </cell>
          <cell r="H139">
            <v>3974</v>
          </cell>
          <cell r="L139">
            <v>115</v>
          </cell>
        </row>
        <row r="140">
          <cell r="A140" t="str">
            <v>Gas Heating Touch</v>
          </cell>
          <cell r="C140" t="str">
            <v>중형</v>
          </cell>
          <cell r="D140">
            <v>1</v>
          </cell>
          <cell r="E140" t="str">
            <v>"</v>
          </cell>
          <cell r="H140">
            <v>3174</v>
          </cell>
          <cell r="L140">
            <v>115</v>
          </cell>
        </row>
        <row r="141">
          <cell r="A141" t="str">
            <v>A.C Welder</v>
          </cell>
          <cell r="C141" t="str">
            <v>5.5 KVA</v>
          </cell>
          <cell r="D141">
            <v>1</v>
          </cell>
          <cell r="E141" t="str">
            <v>"</v>
          </cell>
          <cell r="L141">
            <v>107</v>
          </cell>
        </row>
        <row r="142">
          <cell r="B142" t="str">
            <v xml:space="preserve"> "</v>
          </cell>
          <cell r="C142" t="str">
            <v>10 KVA</v>
          </cell>
          <cell r="D142">
            <v>1</v>
          </cell>
          <cell r="E142" t="str">
            <v>"</v>
          </cell>
          <cell r="L142">
            <v>155</v>
          </cell>
        </row>
        <row r="143">
          <cell r="A143" t="str">
            <v>D.C Welder</v>
          </cell>
          <cell r="C143" t="str">
            <v>300A  5.5KW</v>
          </cell>
          <cell r="D143">
            <v>1</v>
          </cell>
          <cell r="E143" t="str">
            <v>hr</v>
          </cell>
          <cell r="L143">
            <v>359</v>
          </cell>
        </row>
        <row r="144">
          <cell r="A144" t="str">
            <v>Gas Welder</v>
          </cell>
          <cell r="C144" t="str">
            <v>대형</v>
          </cell>
          <cell r="D144">
            <v>1</v>
          </cell>
          <cell r="E144" t="str">
            <v>"</v>
          </cell>
          <cell r="L144">
            <v>149.5</v>
          </cell>
        </row>
        <row r="145">
          <cell r="B145" t="str">
            <v xml:space="preserve"> "</v>
          </cell>
          <cell r="C145" t="str">
            <v>중형</v>
          </cell>
          <cell r="D145">
            <v>1</v>
          </cell>
          <cell r="E145" t="str">
            <v>"</v>
          </cell>
          <cell r="L145">
            <v>115</v>
          </cell>
        </row>
        <row r="146">
          <cell r="A146" t="str">
            <v>Hydro Press</v>
          </cell>
          <cell r="C146" t="str">
            <v>300ton</v>
          </cell>
          <cell r="D146">
            <v>1</v>
          </cell>
          <cell r="E146" t="str">
            <v>"</v>
          </cell>
          <cell r="H146">
            <v>3281</v>
          </cell>
          <cell r="L146">
            <v>8463</v>
          </cell>
        </row>
        <row r="147">
          <cell r="B147" t="str">
            <v xml:space="preserve"> "</v>
          </cell>
          <cell r="C147" t="str">
            <v>100ton</v>
          </cell>
          <cell r="D147">
            <v>1</v>
          </cell>
          <cell r="E147" t="str">
            <v>"</v>
          </cell>
          <cell r="H147">
            <v>3281</v>
          </cell>
          <cell r="L147">
            <v>6045</v>
          </cell>
        </row>
        <row r="148">
          <cell r="A148" t="str">
            <v>Bending Roller</v>
          </cell>
          <cell r="C148" t="str">
            <v>23ft</v>
          </cell>
          <cell r="D148">
            <v>1</v>
          </cell>
          <cell r="E148" t="str">
            <v>hr</v>
          </cell>
          <cell r="H148">
            <v>4281</v>
          </cell>
          <cell r="L148">
            <v>6323</v>
          </cell>
        </row>
        <row r="149">
          <cell r="A149" t="str">
            <v>종       별</v>
          </cell>
          <cell r="C149" t="str">
            <v>재 료 또 는</v>
          </cell>
          <cell r="D149" t="str">
            <v xml:space="preserve">원 수 </v>
          </cell>
          <cell r="E149" t="str">
            <v>단 위</v>
          </cell>
          <cell r="F149" t="str">
            <v>총   액</v>
          </cell>
          <cell r="G149" t="str">
            <v>노   무   비</v>
          </cell>
          <cell r="I149" t="str">
            <v>재   료   비</v>
          </cell>
          <cell r="K149" t="str">
            <v>경      비</v>
          </cell>
          <cell r="M149" t="str">
            <v>비   고</v>
          </cell>
        </row>
        <row r="150">
          <cell r="C150" t="str">
            <v xml:space="preserve">규       격 </v>
          </cell>
          <cell r="F150" t="str">
            <v>금   액</v>
          </cell>
          <cell r="G150" t="str">
            <v>단  가</v>
          </cell>
          <cell r="H150" t="str">
            <v>금   액</v>
          </cell>
          <cell r="I150" t="str">
            <v>단  가</v>
          </cell>
          <cell r="J150" t="str">
            <v>금   액</v>
          </cell>
          <cell r="K150" t="str">
            <v>단  가</v>
          </cell>
          <cell r="L150" t="str">
            <v>금   액</v>
          </cell>
        </row>
        <row r="151">
          <cell r="A151" t="str">
            <v>Edge Bending Roller</v>
          </cell>
        </row>
        <row r="152">
          <cell r="C152" t="str">
            <v>23ft</v>
          </cell>
          <cell r="D152">
            <v>1</v>
          </cell>
          <cell r="E152" t="str">
            <v>"</v>
          </cell>
          <cell r="H152">
            <v>4281</v>
          </cell>
          <cell r="L152">
            <v>9484.5</v>
          </cell>
        </row>
        <row r="153">
          <cell r="A153" t="str">
            <v>Shearing Machine</v>
          </cell>
          <cell r="D153">
            <v>1</v>
          </cell>
          <cell r="E153" t="str">
            <v>"</v>
          </cell>
          <cell r="H153">
            <v>3688</v>
          </cell>
          <cell r="L153">
            <v>3209</v>
          </cell>
        </row>
        <row r="154">
          <cell r="A154" t="str">
            <v>Drilling Machine</v>
          </cell>
          <cell r="C154" t="str">
            <v xml:space="preserve"> 3 Hp</v>
          </cell>
          <cell r="D154">
            <v>1</v>
          </cell>
          <cell r="E154" t="str">
            <v>"</v>
          </cell>
          <cell r="H154">
            <v>3401</v>
          </cell>
          <cell r="L154">
            <v>576</v>
          </cell>
        </row>
        <row r="155">
          <cell r="B155" t="str">
            <v xml:space="preserve">  "</v>
          </cell>
          <cell r="C155" t="str">
            <v>radial 5Hp</v>
          </cell>
          <cell r="D155">
            <v>1</v>
          </cell>
          <cell r="E155" t="str">
            <v>"</v>
          </cell>
          <cell r="H155">
            <v>3401</v>
          </cell>
          <cell r="L155">
            <v>1720</v>
          </cell>
        </row>
        <row r="156">
          <cell r="A156" t="str">
            <v>Portable Drill</v>
          </cell>
          <cell r="C156" t="str">
            <v>0.5 Hp</v>
          </cell>
          <cell r="D156">
            <v>1</v>
          </cell>
          <cell r="E156" t="str">
            <v>hr</v>
          </cell>
          <cell r="H156" t="str">
            <v xml:space="preserve"> </v>
          </cell>
          <cell r="L156">
            <v>12</v>
          </cell>
        </row>
        <row r="157">
          <cell r="B157" t="str">
            <v xml:space="preserve">  "</v>
          </cell>
          <cell r="C157" t="str">
            <v>1.5 Hp</v>
          </cell>
          <cell r="D157">
            <v>1</v>
          </cell>
          <cell r="E157" t="str">
            <v>"</v>
          </cell>
          <cell r="H157" t="str">
            <v xml:space="preserve"> </v>
          </cell>
          <cell r="L157">
            <v>14</v>
          </cell>
        </row>
        <row r="158">
          <cell r="A158" t="str">
            <v>Portable Grinder</v>
          </cell>
          <cell r="C158" t="str">
            <v>0.5 Hp</v>
          </cell>
          <cell r="D158">
            <v>1</v>
          </cell>
          <cell r="E158" t="str">
            <v>hr</v>
          </cell>
          <cell r="L158">
            <v>22</v>
          </cell>
        </row>
        <row r="159">
          <cell r="A159" t="str">
            <v>Air Compressor</v>
          </cell>
          <cell r="C159" t="str">
            <v>5.9㎥/min</v>
          </cell>
          <cell r="D159">
            <v>1</v>
          </cell>
          <cell r="E159" t="str">
            <v>"</v>
          </cell>
          <cell r="H159">
            <v>9681</v>
          </cell>
          <cell r="J159">
            <v>6189</v>
          </cell>
          <cell r="L159">
            <v>3137</v>
          </cell>
        </row>
        <row r="160">
          <cell r="B160" t="str">
            <v xml:space="preserve">  "</v>
          </cell>
          <cell r="C160" t="str">
            <v>8.9㎥/min</v>
          </cell>
          <cell r="D160">
            <v>1</v>
          </cell>
          <cell r="E160" t="str">
            <v>"</v>
          </cell>
          <cell r="H160">
            <v>9681</v>
          </cell>
          <cell r="J160">
            <v>8779</v>
          </cell>
          <cell r="L160">
            <v>6250</v>
          </cell>
        </row>
        <row r="161">
          <cell r="A161" t="str">
            <v>Over Head Crane</v>
          </cell>
          <cell r="C161" t="str">
            <v>20ton</v>
          </cell>
          <cell r="D161">
            <v>1</v>
          </cell>
          <cell r="E161" t="str">
            <v>"</v>
          </cell>
          <cell r="H161">
            <v>9681</v>
          </cell>
          <cell r="L161">
            <v>3338</v>
          </cell>
        </row>
        <row r="162">
          <cell r="B162" t="str">
            <v xml:space="preserve">  "</v>
          </cell>
          <cell r="C162" t="str">
            <v>30ton</v>
          </cell>
          <cell r="D162">
            <v>1</v>
          </cell>
          <cell r="E162" t="str">
            <v>hr</v>
          </cell>
          <cell r="H162">
            <v>9681</v>
          </cell>
          <cell r="L162">
            <v>4123</v>
          </cell>
        </row>
        <row r="163">
          <cell r="A163" t="str">
            <v>Truck Crane</v>
          </cell>
          <cell r="C163" t="str">
            <v>10ton</v>
          </cell>
          <cell r="D163">
            <v>1</v>
          </cell>
          <cell r="E163" t="str">
            <v>"</v>
          </cell>
          <cell r="H163">
            <v>18615</v>
          </cell>
          <cell r="J163">
            <v>3486</v>
          </cell>
          <cell r="L163">
            <v>20487</v>
          </cell>
        </row>
        <row r="164">
          <cell r="B164" t="str">
            <v xml:space="preserve">  "</v>
          </cell>
          <cell r="C164" t="str">
            <v>15ton</v>
          </cell>
          <cell r="D164">
            <v>1</v>
          </cell>
          <cell r="E164" t="str">
            <v>"</v>
          </cell>
          <cell r="H164">
            <v>18615</v>
          </cell>
          <cell r="J164">
            <v>4285</v>
          </cell>
          <cell r="L164">
            <v>30731</v>
          </cell>
        </row>
        <row r="165">
          <cell r="B165" t="str">
            <v xml:space="preserve">  "</v>
          </cell>
          <cell r="C165" t="str">
            <v>20ton</v>
          </cell>
          <cell r="D165">
            <v>1</v>
          </cell>
          <cell r="E165" t="str">
            <v>"</v>
          </cell>
          <cell r="H165">
            <v>18615</v>
          </cell>
          <cell r="J165">
            <v>4939</v>
          </cell>
          <cell r="L165">
            <v>40975</v>
          </cell>
        </row>
        <row r="166">
          <cell r="B166" t="str">
            <v xml:space="preserve">  "</v>
          </cell>
          <cell r="C166" t="str">
            <v>30ton</v>
          </cell>
          <cell r="D166">
            <v>1</v>
          </cell>
          <cell r="E166" t="str">
            <v>"</v>
          </cell>
          <cell r="H166">
            <v>18615</v>
          </cell>
          <cell r="J166">
            <v>7046</v>
          </cell>
          <cell r="L166">
            <v>44939</v>
          </cell>
        </row>
        <row r="167">
          <cell r="B167" t="str">
            <v xml:space="preserve">  "</v>
          </cell>
          <cell r="C167" t="str">
            <v>40ton</v>
          </cell>
          <cell r="D167">
            <v>1</v>
          </cell>
          <cell r="E167" t="str">
            <v>"</v>
          </cell>
          <cell r="H167">
            <v>18615</v>
          </cell>
          <cell r="J167">
            <v>8730</v>
          </cell>
          <cell r="L167">
            <v>55621</v>
          </cell>
        </row>
        <row r="168">
          <cell r="A168" t="str">
            <v>Winch</v>
          </cell>
          <cell r="C168" t="str">
            <v>10Hp</v>
          </cell>
          <cell r="D168">
            <v>1</v>
          </cell>
          <cell r="E168" t="str">
            <v>hr</v>
          </cell>
          <cell r="H168">
            <v>9235</v>
          </cell>
          <cell r="L168">
            <v>850</v>
          </cell>
        </row>
        <row r="169">
          <cell r="A169" t="str">
            <v>"</v>
          </cell>
          <cell r="C169" t="str">
            <v>50Hp</v>
          </cell>
          <cell r="D169">
            <v>1</v>
          </cell>
          <cell r="E169" t="str">
            <v>"</v>
          </cell>
          <cell r="H169">
            <v>9235</v>
          </cell>
          <cell r="L169">
            <v>5209</v>
          </cell>
        </row>
        <row r="170">
          <cell r="A170" t="str">
            <v>Truck</v>
          </cell>
          <cell r="C170" t="str">
            <v>6ton</v>
          </cell>
          <cell r="D170">
            <v>1</v>
          </cell>
          <cell r="E170" t="str">
            <v>"</v>
          </cell>
          <cell r="H170">
            <v>8683</v>
          </cell>
          <cell r="J170">
            <v>8110</v>
          </cell>
          <cell r="L170">
            <v>4902</v>
          </cell>
        </row>
        <row r="171">
          <cell r="A171" t="str">
            <v>Trailer</v>
          </cell>
          <cell r="C171" t="str">
            <v>20ton</v>
          </cell>
          <cell r="D171">
            <v>1</v>
          </cell>
          <cell r="E171" t="str">
            <v>"</v>
          </cell>
          <cell r="H171">
            <v>9681</v>
          </cell>
          <cell r="J171">
            <v>15109</v>
          </cell>
          <cell r="L171">
            <v>20345</v>
          </cell>
        </row>
        <row r="172">
          <cell r="A172" t="str">
            <v>종       별</v>
          </cell>
          <cell r="C172" t="str">
            <v>재 료 또 는</v>
          </cell>
          <cell r="D172" t="str">
            <v xml:space="preserve">원 수 </v>
          </cell>
          <cell r="E172" t="str">
            <v>단 위</v>
          </cell>
          <cell r="F172" t="str">
            <v>총   액</v>
          </cell>
          <cell r="G172" t="str">
            <v>노   무   비</v>
          </cell>
          <cell r="I172" t="str">
            <v>재   료   비</v>
          </cell>
          <cell r="K172" t="str">
            <v>경      비</v>
          </cell>
          <cell r="M172" t="str">
            <v>비   고</v>
          </cell>
        </row>
        <row r="173">
          <cell r="C173" t="str">
            <v xml:space="preserve">규       격 </v>
          </cell>
          <cell r="F173" t="str">
            <v>금   액</v>
          </cell>
          <cell r="G173" t="str">
            <v>단  가</v>
          </cell>
          <cell r="H173" t="str">
            <v>금   액</v>
          </cell>
          <cell r="I173" t="str">
            <v>단  가</v>
          </cell>
          <cell r="J173" t="str">
            <v>금   액</v>
          </cell>
          <cell r="K173" t="str">
            <v>단  가</v>
          </cell>
          <cell r="L173" t="str">
            <v>금   액</v>
          </cell>
        </row>
        <row r="174">
          <cell r="A174" t="str">
            <v>Trailer</v>
          </cell>
          <cell r="C174" t="str">
            <v>30ton</v>
          </cell>
          <cell r="D174">
            <v>1</v>
          </cell>
          <cell r="E174" t="str">
            <v>"</v>
          </cell>
          <cell r="H174">
            <v>8683</v>
          </cell>
          <cell r="J174">
            <v>15763</v>
          </cell>
          <cell r="L174">
            <v>27414</v>
          </cell>
        </row>
        <row r="175">
          <cell r="A175" t="str">
            <v>Fork Lift</v>
          </cell>
          <cell r="C175" t="str">
            <v>3.5ton</v>
          </cell>
          <cell r="D175">
            <v>1</v>
          </cell>
          <cell r="E175" t="str">
            <v>hr</v>
          </cell>
          <cell r="H175">
            <v>9681</v>
          </cell>
          <cell r="J175">
            <v>5116</v>
          </cell>
          <cell r="L175">
            <v>3470</v>
          </cell>
        </row>
        <row r="176">
          <cell r="B176" t="str">
            <v xml:space="preserve"> "</v>
          </cell>
          <cell r="C176" t="str">
            <v>5.0ton</v>
          </cell>
          <cell r="D176">
            <v>1</v>
          </cell>
          <cell r="E176" t="str">
            <v>"</v>
          </cell>
          <cell r="H176">
            <v>9681</v>
          </cell>
          <cell r="J176">
            <v>5116.08</v>
          </cell>
          <cell r="L176">
            <v>4863</v>
          </cell>
        </row>
        <row r="177">
          <cell r="B177" t="str">
            <v xml:space="preserve"> "</v>
          </cell>
          <cell r="C177" t="str">
            <v>7.5ton</v>
          </cell>
          <cell r="D177">
            <v>1</v>
          </cell>
          <cell r="E177" t="str">
            <v>"</v>
          </cell>
          <cell r="H177">
            <v>9681</v>
          </cell>
          <cell r="J177">
            <v>5898</v>
          </cell>
          <cell r="L177">
            <v>5845</v>
          </cell>
        </row>
        <row r="178">
          <cell r="A178" t="str">
            <v>발 전 기</v>
          </cell>
          <cell r="C178" t="str">
            <v>50 kw</v>
          </cell>
          <cell r="D178">
            <v>1</v>
          </cell>
          <cell r="E178" t="str">
            <v>"</v>
          </cell>
          <cell r="H178">
            <v>9235</v>
          </cell>
          <cell r="J178">
            <v>8338</v>
          </cell>
          <cell r="L178">
            <v>4912</v>
          </cell>
        </row>
        <row r="179">
          <cell r="A179" t="str">
            <v>AIR HOSE</v>
          </cell>
          <cell r="C179" t="str">
            <v>3/4 "</v>
          </cell>
          <cell r="D179">
            <v>1</v>
          </cell>
          <cell r="E179" t="str">
            <v>"</v>
          </cell>
          <cell r="L179">
            <v>48</v>
          </cell>
        </row>
        <row r="180">
          <cell r="A180" t="str">
            <v>브라스트기</v>
          </cell>
          <cell r="D180">
            <v>1</v>
          </cell>
          <cell r="E180" t="str">
            <v>"</v>
          </cell>
          <cell r="L180">
            <v>659</v>
          </cell>
        </row>
        <row r="181">
          <cell r="A181" t="str">
            <v>건  조  기</v>
          </cell>
          <cell r="D181">
            <v>1</v>
          </cell>
          <cell r="E181" t="str">
            <v>"</v>
          </cell>
          <cell r="L181">
            <v>211</v>
          </cell>
        </row>
        <row r="182">
          <cell r="A182" t="str">
            <v>방  진  복</v>
          </cell>
          <cell r="D182">
            <v>1</v>
          </cell>
          <cell r="E182" t="str">
            <v>"</v>
          </cell>
          <cell r="L182">
            <v>107</v>
          </cell>
        </row>
        <row r="183">
          <cell r="A183" t="str">
            <v>방  진  모</v>
          </cell>
          <cell r="D183">
            <v>1</v>
          </cell>
          <cell r="E183" t="str">
            <v>"</v>
          </cell>
          <cell r="L183">
            <v>21</v>
          </cell>
        </row>
        <row r="196">
          <cell r="B196" t="str">
            <v>'98 년도  사 용 장 비 경 비  산 출 표</v>
          </cell>
        </row>
        <row r="197">
          <cell r="E197" t="str">
            <v xml:space="preserve"> </v>
          </cell>
        </row>
        <row r="198">
          <cell r="A198" t="str">
            <v>종       별</v>
          </cell>
          <cell r="C198" t="str">
            <v>재 료 또 는</v>
          </cell>
          <cell r="D198" t="str">
            <v xml:space="preserve">원 수 </v>
          </cell>
          <cell r="E198" t="str">
            <v>단 위</v>
          </cell>
          <cell r="F198" t="str">
            <v>총   액</v>
          </cell>
          <cell r="G198" t="str">
            <v>노   무   비</v>
          </cell>
          <cell r="I198" t="str">
            <v>재   료   비</v>
          </cell>
          <cell r="K198" t="str">
            <v>경      비</v>
          </cell>
          <cell r="M198" t="str">
            <v>비   고</v>
          </cell>
        </row>
        <row r="199">
          <cell r="C199" t="str">
            <v xml:space="preserve">규       격 </v>
          </cell>
          <cell r="F199" t="str">
            <v>금   액</v>
          </cell>
          <cell r="G199" t="str">
            <v>단  가</v>
          </cell>
          <cell r="H199" t="str">
            <v>금   액</v>
          </cell>
          <cell r="I199" t="str">
            <v>단  가</v>
          </cell>
          <cell r="J199" t="str">
            <v>금   액</v>
          </cell>
          <cell r="K199" t="str">
            <v>단  가</v>
          </cell>
          <cell r="L199" t="str">
            <v>금   액</v>
          </cell>
        </row>
        <row r="200">
          <cell r="A200" t="str">
            <v>Truck</v>
          </cell>
          <cell r="C200" t="str">
            <v>6ton</v>
          </cell>
          <cell r="D200">
            <v>1</v>
          </cell>
          <cell r="E200" t="str">
            <v>hr</v>
          </cell>
          <cell r="H200">
            <v>8683</v>
          </cell>
          <cell r="J200">
            <v>8110</v>
          </cell>
        </row>
        <row r="202">
          <cell r="B202" t="str">
            <v>- 경유</v>
          </cell>
          <cell r="D202">
            <v>10.7</v>
          </cell>
          <cell r="E202" t="str">
            <v>L</v>
          </cell>
          <cell r="I202">
            <v>526.4</v>
          </cell>
          <cell r="J202">
            <v>5632</v>
          </cell>
        </row>
        <row r="203">
          <cell r="B203" t="str">
            <v>- 잡유</v>
          </cell>
          <cell r="C203" t="str">
            <v>주연료*44%</v>
          </cell>
          <cell r="D203">
            <v>1</v>
          </cell>
          <cell r="E203" t="str">
            <v>식</v>
          </cell>
          <cell r="J203">
            <v>2478</v>
          </cell>
        </row>
        <row r="204">
          <cell r="B204" t="str">
            <v>- 조종원</v>
          </cell>
          <cell r="D204">
            <v>0.17</v>
          </cell>
          <cell r="E204" t="str">
            <v>인</v>
          </cell>
          <cell r="G204">
            <v>51077</v>
          </cell>
          <cell r="H204">
            <v>8683</v>
          </cell>
        </row>
        <row r="206">
          <cell r="A206" t="str">
            <v>Truck Crane</v>
          </cell>
          <cell r="C206" t="str">
            <v>15ton</v>
          </cell>
          <cell r="D206">
            <v>1</v>
          </cell>
          <cell r="E206" t="str">
            <v>hr</v>
          </cell>
          <cell r="H206">
            <v>18615</v>
          </cell>
          <cell r="J206">
            <v>4285</v>
          </cell>
        </row>
        <row r="208">
          <cell r="B208" t="str">
            <v>- 경유</v>
          </cell>
          <cell r="D208">
            <v>5.9</v>
          </cell>
          <cell r="E208" t="str">
            <v>L</v>
          </cell>
          <cell r="I208">
            <v>526.4</v>
          </cell>
          <cell r="J208">
            <v>3105.76</v>
          </cell>
        </row>
        <row r="209">
          <cell r="B209" t="str">
            <v>- 잡유</v>
          </cell>
          <cell r="C209" t="str">
            <v>주연료*38%</v>
          </cell>
          <cell r="D209">
            <v>1</v>
          </cell>
          <cell r="E209" t="str">
            <v>식</v>
          </cell>
          <cell r="J209">
            <v>1180.1888000000001</v>
          </cell>
        </row>
        <row r="210">
          <cell r="B210" t="str">
            <v>- 조종원</v>
          </cell>
          <cell r="D210">
            <v>0.17</v>
          </cell>
          <cell r="E210" t="str">
            <v>인</v>
          </cell>
          <cell r="G210">
            <v>56951</v>
          </cell>
          <cell r="H210">
            <v>9681.67</v>
          </cell>
        </row>
        <row r="211">
          <cell r="B211" t="str">
            <v>- 조수</v>
          </cell>
          <cell r="D211">
            <v>0.17</v>
          </cell>
          <cell r="E211" t="str">
            <v>"</v>
          </cell>
          <cell r="G211">
            <v>42762</v>
          </cell>
          <cell r="H211">
            <v>7269.5400000000009</v>
          </cell>
        </row>
        <row r="212">
          <cell r="B212" t="str">
            <v>- 중기조장</v>
          </cell>
          <cell r="D212">
            <v>0.03</v>
          </cell>
          <cell r="E212" t="str">
            <v>"</v>
          </cell>
          <cell r="G212">
            <v>55484</v>
          </cell>
          <cell r="H212">
            <v>1664.52</v>
          </cell>
        </row>
        <row r="214">
          <cell r="A214" t="str">
            <v>Truck Crane</v>
          </cell>
          <cell r="C214" t="str">
            <v>20ton</v>
          </cell>
          <cell r="D214">
            <v>1</v>
          </cell>
          <cell r="E214" t="str">
            <v>hr</v>
          </cell>
          <cell r="H214">
            <v>18615</v>
          </cell>
          <cell r="J214">
            <v>4939</v>
          </cell>
        </row>
        <row r="216">
          <cell r="B216" t="str">
            <v>- 경유</v>
          </cell>
          <cell r="D216">
            <v>6.8</v>
          </cell>
          <cell r="E216" t="str">
            <v>L</v>
          </cell>
          <cell r="I216">
            <v>526.4</v>
          </cell>
          <cell r="J216">
            <v>3579.5199999999995</v>
          </cell>
        </row>
        <row r="217">
          <cell r="B217" t="str">
            <v>- 잡유</v>
          </cell>
          <cell r="C217" t="str">
            <v>주연료*38%</v>
          </cell>
          <cell r="D217">
            <v>1</v>
          </cell>
          <cell r="E217" t="str">
            <v>식</v>
          </cell>
          <cell r="J217">
            <v>1360.2175999999997</v>
          </cell>
        </row>
        <row r="218">
          <cell r="A218" t="str">
            <v>종       별</v>
          </cell>
          <cell r="C218" t="str">
            <v>재 료 또 는</v>
          </cell>
          <cell r="D218" t="str">
            <v xml:space="preserve">원 수 </v>
          </cell>
          <cell r="E218" t="str">
            <v>단 위</v>
          </cell>
          <cell r="F218" t="str">
            <v>총   액</v>
          </cell>
          <cell r="G218" t="str">
            <v>노   무   비</v>
          </cell>
          <cell r="I218" t="str">
            <v>재   료   비</v>
          </cell>
          <cell r="K218" t="str">
            <v>경      비</v>
          </cell>
          <cell r="M218" t="str">
            <v>비   고</v>
          </cell>
        </row>
        <row r="219">
          <cell r="C219" t="str">
            <v xml:space="preserve">규       격 </v>
          </cell>
          <cell r="F219" t="str">
            <v>금   액</v>
          </cell>
          <cell r="G219" t="str">
            <v>단  가</v>
          </cell>
          <cell r="H219" t="str">
            <v>금   액</v>
          </cell>
          <cell r="I219" t="str">
            <v>단  가</v>
          </cell>
          <cell r="J219" t="str">
            <v>금   액</v>
          </cell>
          <cell r="K219" t="str">
            <v>단  가</v>
          </cell>
          <cell r="L219" t="str">
            <v>금   액</v>
          </cell>
        </row>
        <row r="220">
          <cell r="B220" t="str">
            <v>- 조종원</v>
          </cell>
          <cell r="D220">
            <v>0.17</v>
          </cell>
          <cell r="E220" t="str">
            <v>인</v>
          </cell>
          <cell r="G220">
            <v>56951</v>
          </cell>
          <cell r="H220">
            <v>9681.67</v>
          </cell>
        </row>
        <row r="221">
          <cell r="B221" t="str">
            <v>- 조수</v>
          </cell>
          <cell r="D221">
            <v>0.17</v>
          </cell>
          <cell r="E221" t="str">
            <v>"</v>
          </cell>
          <cell r="G221">
            <v>42762</v>
          </cell>
          <cell r="H221">
            <v>7269.5400000000009</v>
          </cell>
        </row>
        <row r="222">
          <cell r="B222" t="str">
            <v>- 중기조장</v>
          </cell>
          <cell r="D222">
            <v>0.03</v>
          </cell>
          <cell r="E222" t="str">
            <v>"</v>
          </cell>
          <cell r="G222">
            <v>55484</v>
          </cell>
          <cell r="H222">
            <v>1664.52</v>
          </cell>
        </row>
        <row r="224">
          <cell r="A224" t="str">
            <v>Truck Crane</v>
          </cell>
          <cell r="C224" t="str">
            <v>30ton</v>
          </cell>
          <cell r="D224">
            <v>1</v>
          </cell>
          <cell r="E224" t="str">
            <v>hr</v>
          </cell>
          <cell r="H224">
            <v>18615</v>
          </cell>
          <cell r="J224">
            <v>7046</v>
          </cell>
        </row>
        <row r="226">
          <cell r="B226" t="str">
            <v>- 경유</v>
          </cell>
          <cell r="D226">
            <v>9.6999999999999993</v>
          </cell>
          <cell r="E226" t="str">
            <v>L</v>
          </cell>
          <cell r="I226">
            <v>526.4</v>
          </cell>
          <cell r="J226">
            <v>5106.079999999999</v>
          </cell>
          <cell r="L226" t="str">
            <v xml:space="preserve"> </v>
          </cell>
        </row>
        <row r="227">
          <cell r="B227" t="str">
            <v>- 잡유</v>
          </cell>
          <cell r="C227" t="str">
            <v>주연료*38%</v>
          </cell>
          <cell r="D227">
            <v>1</v>
          </cell>
          <cell r="E227" t="str">
            <v>식</v>
          </cell>
          <cell r="J227">
            <v>1940.3103999999994</v>
          </cell>
        </row>
        <row r="228">
          <cell r="B228" t="str">
            <v>- 조종원</v>
          </cell>
          <cell r="D228">
            <v>0.17</v>
          </cell>
          <cell r="E228" t="str">
            <v>인</v>
          </cell>
          <cell r="G228">
            <v>56951</v>
          </cell>
          <cell r="H228">
            <v>9681.67</v>
          </cell>
        </row>
        <row r="229">
          <cell r="B229" t="str">
            <v>- 조수</v>
          </cell>
          <cell r="D229">
            <v>0.17</v>
          </cell>
          <cell r="E229" t="str">
            <v>"</v>
          </cell>
          <cell r="G229">
            <v>42762</v>
          </cell>
          <cell r="H229">
            <v>7269.5400000000009</v>
          </cell>
        </row>
        <row r="230">
          <cell r="B230" t="str">
            <v>- 중기조장</v>
          </cell>
          <cell r="D230">
            <v>0.03</v>
          </cell>
          <cell r="E230" t="str">
            <v>"</v>
          </cell>
          <cell r="G230">
            <v>55484</v>
          </cell>
          <cell r="H230">
            <v>1664.52</v>
          </cell>
        </row>
        <row r="232">
          <cell r="A232" t="str">
            <v>Truck Crane</v>
          </cell>
          <cell r="C232" t="str">
            <v>40ton</v>
          </cell>
          <cell r="D232">
            <v>1</v>
          </cell>
          <cell r="E232" t="str">
            <v>hr</v>
          </cell>
          <cell r="H232">
            <v>18615</v>
          </cell>
          <cell r="J232">
            <v>8730</v>
          </cell>
        </row>
        <row r="234">
          <cell r="B234" t="str">
            <v>- 경유</v>
          </cell>
          <cell r="D234">
            <v>10.7</v>
          </cell>
          <cell r="E234" t="str">
            <v>L</v>
          </cell>
          <cell r="I234">
            <v>526.4</v>
          </cell>
          <cell r="J234">
            <v>5632.48</v>
          </cell>
          <cell r="L234" t="str">
            <v xml:space="preserve"> </v>
          </cell>
        </row>
        <row r="235">
          <cell r="B235" t="str">
            <v>- 잡유</v>
          </cell>
          <cell r="C235" t="str">
            <v>주연료*55%</v>
          </cell>
          <cell r="D235">
            <v>1</v>
          </cell>
          <cell r="E235" t="str">
            <v>식</v>
          </cell>
          <cell r="J235">
            <v>3097.8639999999996</v>
          </cell>
        </row>
        <row r="236">
          <cell r="B236" t="str">
            <v>- 조종원</v>
          </cell>
          <cell r="D236">
            <v>0.17</v>
          </cell>
          <cell r="E236" t="str">
            <v>인</v>
          </cell>
          <cell r="G236">
            <v>56951</v>
          </cell>
          <cell r="H236">
            <v>9681.67</v>
          </cell>
        </row>
        <row r="237">
          <cell r="B237" t="str">
            <v>- 조수</v>
          </cell>
          <cell r="D237">
            <v>0.17</v>
          </cell>
          <cell r="E237" t="str">
            <v>"</v>
          </cell>
          <cell r="G237">
            <v>42762</v>
          </cell>
          <cell r="H237">
            <v>7269.5400000000009</v>
          </cell>
        </row>
        <row r="238">
          <cell r="B238" t="str">
            <v>- 중기조장</v>
          </cell>
          <cell r="D238">
            <v>0.03</v>
          </cell>
          <cell r="E238" t="str">
            <v>"</v>
          </cell>
          <cell r="G238">
            <v>55484</v>
          </cell>
          <cell r="H238">
            <v>1664.52</v>
          </cell>
        </row>
        <row r="241">
          <cell r="A241" t="str">
            <v>종       별</v>
          </cell>
          <cell r="C241" t="str">
            <v>재 료 또 는</v>
          </cell>
          <cell r="D241" t="str">
            <v xml:space="preserve">원 수 </v>
          </cell>
          <cell r="E241" t="str">
            <v>단 위</v>
          </cell>
          <cell r="F241" t="str">
            <v>총   액</v>
          </cell>
          <cell r="G241" t="str">
            <v>노   무   비</v>
          </cell>
          <cell r="I241" t="str">
            <v>재   료   비</v>
          </cell>
          <cell r="K241" t="str">
            <v>경      비</v>
          </cell>
          <cell r="M241" t="str">
            <v>비   고</v>
          </cell>
        </row>
        <row r="242">
          <cell r="C242" t="str">
            <v xml:space="preserve">규       격 </v>
          </cell>
          <cell r="F242" t="str">
            <v>금   액</v>
          </cell>
          <cell r="G242" t="str">
            <v>단  가</v>
          </cell>
          <cell r="H242" t="str">
            <v>금   액</v>
          </cell>
          <cell r="I242" t="str">
            <v>단  가</v>
          </cell>
          <cell r="J242" t="str">
            <v>금   액</v>
          </cell>
          <cell r="K242" t="str">
            <v>단  가</v>
          </cell>
          <cell r="L242" t="str">
            <v>금   액</v>
          </cell>
        </row>
        <row r="243">
          <cell r="A243" t="str">
            <v>Tower Crane</v>
          </cell>
          <cell r="C243" t="str">
            <v>5ton</v>
          </cell>
          <cell r="D243">
            <v>1</v>
          </cell>
          <cell r="E243" t="str">
            <v>hr</v>
          </cell>
          <cell r="J243">
            <v>543</v>
          </cell>
        </row>
        <row r="245">
          <cell r="B245" t="str">
            <v xml:space="preserve">- Wire Rope </v>
          </cell>
          <cell r="C245" t="str">
            <v>18m/mΦ</v>
          </cell>
          <cell r="D245">
            <v>0.36</v>
          </cell>
          <cell r="E245" t="str">
            <v>m</v>
          </cell>
          <cell r="I245">
            <v>1509</v>
          </cell>
          <cell r="J245">
            <v>543</v>
          </cell>
        </row>
        <row r="246">
          <cell r="A246" t="str">
            <v>Fork Lift Truck</v>
          </cell>
          <cell r="C246" t="str">
            <v>3.5ton</v>
          </cell>
          <cell r="D246">
            <v>1</v>
          </cell>
          <cell r="E246" t="str">
            <v>hr</v>
          </cell>
          <cell r="H246">
            <v>9681</v>
          </cell>
          <cell r="J246">
            <v>5116</v>
          </cell>
        </row>
        <row r="248">
          <cell r="B248" t="str">
            <v>- 경유</v>
          </cell>
          <cell r="D248">
            <v>7.2</v>
          </cell>
          <cell r="E248" t="str">
            <v>L</v>
          </cell>
          <cell r="I248">
            <v>526.4</v>
          </cell>
          <cell r="J248">
            <v>3790.08</v>
          </cell>
        </row>
        <row r="249">
          <cell r="B249" t="str">
            <v>- 잡유</v>
          </cell>
          <cell r="C249" t="str">
            <v>주연료*35%</v>
          </cell>
          <cell r="D249">
            <v>1</v>
          </cell>
          <cell r="E249" t="str">
            <v>식</v>
          </cell>
          <cell r="J249">
            <v>1326.5279999999998</v>
          </cell>
        </row>
        <row r="250">
          <cell r="B250" t="str">
            <v>- 조종원</v>
          </cell>
          <cell r="D250">
            <v>0.17</v>
          </cell>
          <cell r="E250" t="str">
            <v>인</v>
          </cell>
          <cell r="G250">
            <v>56951</v>
          </cell>
          <cell r="H250">
            <v>9681</v>
          </cell>
        </row>
        <row r="251">
          <cell r="A251" t="str">
            <v>Fork Lift Truck</v>
          </cell>
          <cell r="C251" t="str">
            <v>5.0ton</v>
          </cell>
          <cell r="D251">
            <v>1</v>
          </cell>
          <cell r="E251" t="str">
            <v>hr</v>
          </cell>
          <cell r="H251">
            <v>9681</v>
          </cell>
          <cell r="J251">
            <v>5116.08</v>
          </cell>
        </row>
        <row r="253">
          <cell r="B253" t="str">
            <v>- 경유</v>
          </cell>
          <cell r="D253">
            <v>7.2</v>
          </cell>
          <cell r="E253" t="str">
            <v>L</v>
          </cell>
          <cell r="I253">
            <v>526.4</v>
          </cell>
          <cell r="J253">
            <v>3790.08</v>
          </cell>
        </row>
        <row r="254">
          <cell r="B254" t="str">
            <v>- 잡유</v>
          </cell>
          <cell r="C254" t="str">
            <v>주연료*35%</v>
          </cell>
          <cell r="D254">
            <v>1</v>
          </cell>
          <cell r="E254" t="str">
            <v>식</v>
          </cell>
          <cell r="J254">
            <v>1326</v>
          </cell>
        </row>
        <row r="255">
          <cell r="B255" t="str">
            <v>- 조종원</v>
          </cell>
          <cell r="D255">
            <v>0.17</v>
          </cell>
          <cell r="E255" t="str">
            <v>인</v>
          </cell>
          <cell r="G255">
            <v>56951</v>
          </cell>
          <cell r="H255">
            <v>9681</v>
          </cell>
        </row>
        <row r="257">
          <cell r="A257" t="str">
            <v>Fork Lift Truck</v>
          </cell>
          <cell r="C257" t="str">
            <v>7.5ton</v>
          </cell>
          <cell r="D257">
            <v>1</v>
          </cell>
          <cell r="E257" t="str">
            <v>hr</v>
          </cell>
          <cell r="H257">
            <v>9681</v>
          </cell>
          <cell r="J257">
            <v>5898</v>
          </cell>
        </row>
        <row r="259">
          <cell r="B259" t="str">
            <v>- 경유</v>
          </cell>
          <cell r="D259">
            <v>8.3000000000000007</v>
          </cell>
          <cell r="E259" t="str">
            <v>L</v>
          </cell>
          <cell r="I259">
            <v>526.4</v>
          </cell>
          <cell r="J259">
            <v>4369.12</v>
          </cell>
        </row>
        <row r="260">
          <cell r="B260" t="str">
            <v>- 잡유</v>
          </cell>
          <cell r="C260" t="str">
            <v>주연료*35%</v>
          </cell>
          <cell r="D260">
            <v>1</v>
          </cell>
          <cell r="E260" t="str">
            <v>식</v>
          </cell>
          <cell r="J260">
            <v>1529.1919999999998</v>
          </cell>
        </row>
        <row r="261">
          <cell r="B261" t="str">
            <v>- 조종원</v>
          </cell>
          <cell r="D261">
            <v>0.17</v>
          </cell>
          <cell r="E261" t="str">
            <v>인</v>
          </cell>
          <cell r="G261">
            <v>56951</v>
          </cell>
          <cell r="H261">
            <v>9681</v>
          </cell>
        </row>
        <row r="264">
          <cell r="A264" t="str">
            <v>종       별</v>
          </cell>
          <cell r="C264" t="str">
            <v>재 료 또 는</v>
          </cell>
          <cell r="D264" t="str">
            <v xml:space="preserve">원 수 </v>
          </cell>
          <cell r="E264" t="str">
            <v>단 위</v>
          </cell>
          <cell r="F264" t="str">
            <v>총   액</v>
          </cell>
          <cell r="G264" t="str">
            <v>노   무   비</v>
          </cell>
          <cell r="I264" t="str">
            <v>재   료   비</v>
          </cell>
          <cell r="K264" t="str">
            <v>경      비</v>
          </cell>
          <cell r="M264" t="str">
            <v>비   고</v>
          </cell>
        </row>
        <row r="265">
          <cell r="C265" t="str">
            <v xml:space="preserve">규       격 </v>
          </cell>
          <cell r="F265" t="str">
            <v>금   액</v>
          </cell>
          <cell r="G265" t="str">
            <v>단  가</v>
          </cell>
          <cell r="H265" t="str">
            <v>금   액</v>
          </cell>
          <cell r="I265" t="str">
            <v>단  가</v>
          </cell>
          <cell r="J265" t="str">
            <v>금   액</v>
          </cell>
          <cell r="K265" t="str">
            <v>단  가</v>
          </cell>
          <cell r="L265" t="str">
            <v>금   액</v>
          </cell>
        </row>
        <row r="266">
          <cell r="A266" t="str">
            <v>Trailer</v>
          </cell>
          <cell r="C266" t="str">
            <v>30ton</v>
          </cell>
          <cell r="D266">
            <v>1</v>
          </cell>
          <cell r="E266" t="str">
            <v>hr</v>
          </cell>
          <cell r="H266">
            <v>8683</v>
          </cell>
          <cell r="J266">
            <v>15763</v>
          </cell>
        </row>
        <row r="268">
          <cell r="B268" t="str">
            <v>- 경유</v>
          </cell>
          <cell r="D268">
            <v>21.7</v>
          </cell>
          <cell r="E268" t="str">
            <v>L</v>
          </cell>
          <cell r="I268">
            <v>526.4</v>
          </cell>
          <cell r="J268">
            <v>11422.88</v>
          </cell>
        </row>
        <row r="269">
          <cell r="B269" t="str">
            <v>- 잡유</v>
          </cell>
          <cell r="C269" t="str">
            <v>주연료*38%</v>
          </cell>
          <cell r="D269">
            <v>1</v>
          </cell>
          <cell r="E269" t="str">
            <v>식</v>
          </cell>
          <cell r="J269">
            <v>4340.6943999999994</v>
          </cell>
        </row>
        <row r="270">
          <cell r="B270" t="str">
            <v>- 조종원</v>
          </cell>
          <cell r="D270">
            <v>0.17</v>
          </cell>
          <cell r="E270" t="str">
            <v>인</v>
          </cell>
          <cell r="G270">
            <v>51077</v>
          </cell>
          <cell r="H270">
            <v>8683</v>
          </cell>
        </row>
        <row r="272">
          <cell r="A272" t="str">
            <v>Air Compressor</v>
          </cell>
          <cell r="C272" t="str">
            <v>7.1㎥/min</v>
          </cell>
          <cell r="H272">
            <v>9681</v>
          </cell>
          <cell r="J272">
            <v>6189</v>
          </cell>
        </row>
        <row r="274">
          <cell r="B274" t="str">
            <v>- 경유</v>
          </cell>
          <cell r="D274">
            <v>9.8000000000000007</v>
          </cell>
          <cell r="E274" t="str">
            <v>L</v>
          </cell>
          <cell r="I274">
            <v>526.4</v>
          </cell>
          <cell r="J274">
            <v>5158</v>
          </cell>
        </row>
        <row r="275">
          <cell r="B275" t="str">
            <v>- 잡유</v>
          </cell>
          <cell r="C275" t="str">
            <v>주연료*20%</v>
          </cell>
          <cell r="D275">
            <v>1</v>
          </cell>
          <cell r="E275" t="str">
            <v>식</v>
          </cell>
          <cell r="J275">
            <v>1031</v>
          </cell>
        </row>
        <row r="276">
          <cell r="B276" t="str">
            <v>- 조종원</v>
          </cell>
          <cell r="D276">
            <v>0.17</v>
          </cell>
          <cell r="E276" t="str">
            <v>인</v>
          </cell>
          <cell r="G276">
            <v>56951</v>
          </cell>
          <cell r="H276">
            <v>9681</v>
          </cell>
        </row>
        <row r="278">
          <cell r="A278" t="str">
            <v>Air Compressor</v>
          </cell>
          <cell r="C278" t="str">
            <v>10.3㎥/min</v>
          </cell>
          <cell r="H278">
            <v>9681</v>
          </cell>
          <cell r="J278">
            <v>8779</v>
          </cell>
        </row>
        <row r="280">
          <cell r="B280" t="str">
            <v>- 경유</v>
          </cell>
          <cell r="D280">
            <v>13.9</v>
          </cell>
          <cell r="E280" t="str">
            <v>L</v>
          </cell>
          <cell r="I280">
            <v>526.4</v>
          </cell>
          <cell r="J280">
            <v>7316</v>
          </cell>
        </row>
        <row r="281">
          <cell r="B281" t="str">
            <v>- 잡유</v>
          </cell>
          <cell r="C281" t="str">
            <v>주연료*20%</v>
          </cell>
          <cell r="D281">
            <v>1</v>
          </cell>
          <cell r="E281" t="str">
            <v>식</v>
          </cell>
          <cell r="J281">
            <v>1463</v>
          </cell>
        </row>
        <row r="282">
          <cell r="B282" t="str">
            <v>- 조종원</v>
          </cell>
          <cell r="D282">
            <v>0.17</v>
          </cell>
          <cell r="E282" t="str">
            <v>인</v>
          </cell>
          <cell r="G282">
            <v>56951</v>
          </cell>
          <cell r="H282">
            <v>9681</v>
          </cell>
        </row>
        <row r="284">
          <cell r="A284" t="str">
            <v>Trailer</v>
          </cell>
          <cell r="C284" t="str">
            <v>20ton</v>
          </cell>
          <cell r="D284">
            <v>1</v>
          </cell>
          <cell r="E284" t="str">
            <v>hr</v>
          </cell>
          <cell r="H284">
            <v>9681</v>
          </cell>
          <cell r="J284">
            <v>15109</v>
          </cell>
        </row>
        <row r="286">
          <cell r="B286" t="str">
            <v>- 경유</v>
          </cell>
          <cell r="D286">
            <v>20.8</v>
          </cell>
          <cell r="E286" t="str">
            <v>L</v>
          </cell>
          <cell r="I286">
            <v>526.4</v>
          </cell>
          <cell r="J286">
            <v>10949.12</v>
          </cell>
        </row>
        <row r="287">
          <cell r="A287" t="str">
            <v>종       별</v>
          </cell>
          <cell r="C287" t="str">
            <v>재 료 또 는</v>
          </cell>
          <cell r="D287" t="str">
            <v xml:space="preserve">원 수 </v>
          </cell>
          <cell r="E287" t="str">
            <v>단 위</v>
          </cell>
          <cell r="F287" t="str">
            <v>총   액</v>
          </cell>
          <cell r="G287" t="str">
            <v>노   무   비</v>
          </cell>
          <cell r="I287" t="str">
            <v>재   료   비</v>
          </cell>
          <cell r="K287" t="str">
            <v>경      비</v>
          </cell>
          <cell r="M287" t="str">
            <v>비   고</v>
          </cell>
        </row>
        <row r="288">
          <cell r="C288" t="str">
            <v xml:space="preserve">규       격 </v>
          </cell>
          <cell r="F288" t="str">
            <v>금   액</v>
          </cell>
          <cell r="G288" t="str">
            <v>단  가</v>
          </cell>
          <cell r="H288" t="str">
            <v>금   액</v>
          </cell>
          <cell r="I288" t="str">
            <v>단  가</v>
          </cell>
          <cell r="J288" t="str">
            <v>금   액</v>
          </cell>
          <cell r="K288" t="str">
            <v>단  가</v>
          </cell>
          <cell r="L288" t="str">
            <v>금   액</v>
          </cell>
        </row>
        <row r="289">
          <cell r="B289" t="str">
            <v>- 잡유</v>
          </cell>
          <cell r="C289" t="str">
            <v>주연료*38%</v>
          </cell>
          <cell r="D289">
            <v>1</v>
          </cell>
          <cell r="E289" t="str">
            <v>식</v>
          </cell>
          <cell r="J289">
            <v>4160.6656000000003</v>
          </cell>
        </row>
        <row r="290">
          <cell r="B290" t="str">
            <v>- 조종원</v>
          </cell>
          <cell r="D290">
            <v>0.17</v>
          </cell>
          <cell r="E290" t="str">
            <v>인</v>
          </cell>
          <cell r="G290">
            <v>56951</v>
          </cell>
          <cell r="H290">
            <v>9681</v>
          </cell>
        </row>
        <row r="292">
          <cell r="A292" t="str">
            <v>발 전 기</v>
          </cell>
          <cell r="C292" t="str">
            <v>50 kw</v>
          </cell>
          <cell r="D292">
            <v>1</v>
          </cell>
          <cell r="E292" t="str">
            <v>hr</v>
          </cell>
          <cell r="H292">
            <v>9235</v>
          </cell>
          <cell r="J292">
            <v>8338</v>
          </cell>
        </row>
        <row r="294">
          <cell r="B294" t="str">
            <v>- 경유</v>
          </cell>
          <cell r="D294">
            <v>13.2</v>
          </cell>
          <cell r="E294" t="str">
            <v>L</v>
          </cell>
          <cell r="I294">
            <v>526.4</v>
          </cell>
          <cell r="J294">
            <v>6948.48</v>
          </cell>
        </row>
        <row r="295">
          <cell r="B295" t="str">
            <v>- 잡유</v>
          </cell>
          <cell r="C295" t="str">
            <v>주연료*20%</v>
          </cell>
          <cell r="D295">
            <v>1</v>
          </cell>
          <cell r="E295" t="str">
            <v>식</v>
          </cell>
          <cell r="J295">
            <v>1389.6959999999997</v>
          </cell>
        </row>
        <row r="296">
          <cell r="B296" t="str">
            <v>- 조종원</v>
          </cell>
          <cell r="D296">
            <v>0.17</v>
          </cell>
          <cell r="E296" t="str">
            <v>인</v>
          </cell>
          <cell r="G296">
            <v>54325</v>
          </cell>
          <cell r="H296">
            <v>9235</v>
          </cell>
        </row>
        <row r="297">
          <cell r="A297" t="str">
            <v>Truck Crane</v>
          </cell>
          <cell r="C297" t="str">
            <v>10ton</v>
          </cell>
          <cell r="D297">
            <v>1</v>
          </cell>
          <cell r="E297" t="str">
            <v>hr</v>
          </cell>
          <cell r="H297">
            <v>18615</v>
          </cell>
          <cell r="J297">
            <v>3486</v>
          </cell>
        </row>
        <row r="299">
          <cell r="B299" t="str">
            <v>- 경유</v>
          </cell>
          <cell r="D299">
            <v>4.8</v>
          </cell>
          <cell r="E299" t="str">
            <v>L</v>
          </cell>
          <cell r="I299">
            <v>526.4</v>
          </cell>
          <cell r="J299">
            <v>2526.7199999999998</v>
          </cell>
          <cell r="L299" t="str">
            <v xml:space="preserve"> </v>
          </cell>
        </row>
        <row r="300">
          <cell r="B300" t="str">
            <v>- 잡유</v>
          </cell>
          <cell r="C300" t="str">
            <v>주연료*38%</v>
          </cell>
          <cell r="D300">
            <v>1</v>
          </cell>
          <cell r="E300" t="str">
            <v>식</v>
          </cell>
          <cell r="J300">
            <v>960.15359999999987</v>
          </cell>
        </row>
        <row r="301">
          <cell r="B301" t="str">
            <v>- 조종원</v>
          </cell>
          <cell r="D301">
            <v>0.17</v>
          </cell>
          <cell r="E301" t="str">
            <v>인</v>
          </cell>
          <cell r="G301">
            <v>56951</v>
          </cell>
          <cell r="H301">
            <v>9681.67</v>
          </cell>
        </row>
        <row r="302">
          <cell r="B302" t="str">
            <v>- 조수</v>
          </cell>
          <cell r="D302">
            <v>0.17</v>
          </cell>
          <cell r="E302" t="str">
            <v>"</v>
          </cell>
          <cell r="G302">
            <v>42762</v>
          </cell>
          <cell r="H302">
            <v>7269.54</v>
          </cell>
        </row>
        <row r="303">
          <cell r="B303" t="str">
            <v>- 중기조장</v>
          </cell>
          <cell r="D303">
            <v>0.03</v>
          </cell>
          <cell r="E303" t="str">
            <v>"</v>
          </cell>
          <cell r="G303">
            <v>55484</v>
          </cell>
          <cell r="H303">
            <v>1664.52</v>
          </cell>
        </row>
        <row r="311">
          <cell r="E311" t="str">
            <v xml:space="preserve"> </v>
          </cell>
        </row>
        <row r="312">
          <cell r="B312" t="str">
            <v>'98 년 도  수 문 일 위 대 가 표  총 괄</v>
          </cell>
        </row>
        <row r="314">
          <cell r="A314" t="str">
            <v>종       별</v>
          </cell>
          <cell r="C314" t="str">
            <v>재 료 또 는</v>
          </cell>
          <cell r="D314" t="str">
            <v xml:space="preserve">원 수 </v>
          </cell>
          <cell r="E314" t="str">
            <v>단 위</v>
          </cell>
          <cell r="F314" t="str">
            <v>총   액</v>
          </cell>
          <cell r="G314" t="str">
            <v>노   무   비</v>
          </cell>
          <cell r="I314" t="str">
            <v>재   료   비</v>
          </cell>
          <cell r="K314" t="str">
            <v>경      비</v>
          </cell>
          <cell r="M314" t="str">
            <v>비   고</v>
          </cell>
        </row>
        <row r="315">
          <cell r="C315" t="str">
            <v xml:space="preserve">규       격 </v>
          </cell>
          <cell r="F315" t="str">
            <v>금   액</v>
          </cell>
          <cell r="G315" t="str">
            <v>단  가</v>
          </cell>
          <cell r="H315" t="str">
            <v>금   액</v>
          </cell>
          <cell r="I315" t="str">
            <v>단  가</v>
          </cell>
          <cell r="J315" t="str">
            <v>금   액</v>
          </cell>
          <cell r="K315" t="str">
            <v>단  가</v>
          </cell>
          <cell r="L315" t="str">
            <v>금   액</v>
          </cell>
        </row>
        <row r="316">
          <cell r="A316" t="str">
            <v xml:space="preserve">◈ROLLER GATE </v>
          </cell>
          <cell r="C316" t="str">
            <v xml:space="preserve"> </v>
          </cell>
        </row>
        <row r="317">
          <cell r="A317" t="str">
            <v xml:space="preserve"> </v>
          </cell>
          <cell r="B317" t="str">
            <v>⊙ 제작 가공비</v>
          </cell>
        </row>
        <row r="318">
          <cell r="A318" t="str">
            <v xml:space="preserve"> </v>
          </cell>
          <cell r="B318" t="str">
            <v>▷GATE LEAF</v>
          </cell>
          <cell r="C318" t="str">
            <v>소   계</v>
          </cell>
          <cell r="F318">
            <v>1668518</v>
          </cell>
          <cell r="H318">
            <v>1322330</v>
          </cell>
          <cell r="J318">
            <v>237292</v>
          </cell>
          <cell r="L318">
            <v>108896</v>
          </cell>
        </row>
        <row r="319">
          <cell r="A319" t="str">
            <v xml:space="preserve"> </v>
          </cell>
          <cell r="C319" t="str">
            <v>인 건 비</v>
          </cell>
          <cell r="D319">
            <v>1</v>
          </cell>
          <cell r="E319" t="str">
            <v>TON</v>
          </cell>
          <cell r="F319">
            <v>1195828</v>
          </cell>
          <cell r="H319">
            <v>1195828</v>
          </cell>
        </row>
        <row r="320">
          <cell r="A320" t="str">
            <v xml:space="preserve"> </v>
          </cell>
          <cell r="C320" t="str">
            <v>사용장비경비</v>
          </cell>
          <cell r="D320">
            <v>1</v>
          </cell>
          <cell r="E320" t="str">
            <v>TON</v>
          </cell>
          <cell r="F320">
            <v>247732</v>
          </cell>
          <cell r="H320">
            <v>126502</v>
          </cell>
          <cell r="J320">
            <v>31430</v>
          </cell>
          <cell r="L320">
            <v>89800</v>
          </cell>
        </row>
        <row r="321">
          <cell r="A321" t="str">
            <v xml:space="preserve"> </v>
          </cell>
          <cell r="C321" t="str">
            <v>소모자재비</v>
          </cell>
          <cell r="D321">
            <v>1</v>
          </cell>
          <cell r="E321" t="str">
            <v>TON</v>
          </cell>
          <cell r="F321">
            <v>224958</v>
          </cell>
          <cell r="J321">
            <v>205862</v>
          </cell>
          <cell r="L321">
            <v>19096</v>
          </cell>
        </row>
        <row r="323">
          <cell r="A323" t="str">
            <v xml:space="preserve"> </v>
          </cell>
          <cell r="B323" t="str">
            <v>▷GUIDE FRAME</v>
          </cell>
          <cell r="C323" t="str">
            <v>소   계</v>
          </cell>
          <cell r="F323">
            <v>4324511</v>
          </cell>
          <cell r="H323">
            <v>3911039</v>
          </cell>
          <cell r="J323">
            <v>289792</v>
          </cell>
          <cell r="L323">
            <v>123680</v>
          </cell>
        </row>
        <row r="324">
          <cell r="A324" t="str">
            <v xml:space="preserve"> </v>
          </cell>
          <cell r="C324" t="str">
            <v>인 건 비</v>
          </cell>
          <cell r="D324">
            <v>1</v>
          </cell>
          <cell r="E324" t="str">
            <v>TON</v>
          </cell>
          <cell r="F324">
            <v>3784537</v>
          </cell>
          <cell r="H324">
            <v>3784537</v>
          </cell>
        </row>
        <row r="325">
          <cell r="A325" t="str">
            <v xml:space="preserve"> </v>
          </cell>
          <cell r="C325" t="str">
            <v>사용장비경비</v>
          </cell>
          <cell r="D325">
            <v>1</v>
          </cell>
          <cell r="E325" t="str">
            <v>TON</v>
          </cell>
          <cell r="F325">
            <v>247732</v>
          </cell>
          <cell r="H325">
            <v>126502</v>
          </cell>
          <cell r="J325">
            <v>31430</v>
          </cell>
          <cell r="L325">
            <v>89800</v>
          </cell>
          <cell r="M325" t="str">
            <v>ROLLER GATE
LEAF 적용</v>
          </cell>
        </row>
        <row r="326">
          <cell r="A326" t="str">
            <v xml:space="preserve"> </v>
          </cell>
          <cell r="C326" t="str">
            <v>소모자재비</v>
          </cell>
          <cell r="D326">
            <v>1</v>
          </cell>
          <cell r="E326" t="str">
            <v>TON</v>
          </cell>
          <cell r="F326">
            <v>292242</v>
          </cell>
          <cell r="J326">
            <v>258362</v>
          </cell>
          <cell r="L326">
            <v>33880</v>
          </cell>
        </row>
        <row r="328">
          <cell r="A328" t="str">
            <v xml:space="preserve"> </v>
          </cell>
          <cell r="B328" t="str">
            <v>⊙ 설  치  비</v>
          </cell>
        </row>
        <row r="329">
          <cell r="A329" t="str">
            <v xml:space="preserve"> </v>
          </cell>
          <cell r="B329" t="str">
            <v>▷GATE LEAF</v>
          </cell>
          <cell r="C329" t="str">
            <v>소   계</v>
          </cell>
          <cell r="F329">
            <v>2471576</v>
          </cell>
          <cell r="H329">
            <v>1670029</v>
          </cell>
          <cell r="J329">
            <v>226123</v>
          </cell>
          <cell r="L329">
            <v>575424</v>
          </cell>
        </row>
        <row r="330">
          <cell r="A330" t="str">
            <v>종       별</v>
          </cell>
          <cell r="C330" t="str">
            <v>재 료 또 는</v>
          </cell>
          <cell r="D330" t="str">
            <v xml:space="preserve">원 수 </v>
          </cell>
          <cell r="E330" t="str">
            <v>단 위</v>
          </cell>
          <cell r="F330" t="str">
            <v>총   액</v>
          </cell>
          <cell r="G330" t="str">
            <v>노   무   비</v>
          </cell>
          <cell r="I330" t="str">
            <v>재   료   비</v>
          </cell>
          <cell r="K330" t="str">
            <v>경      비</v>
          </cell>
          <cell r="M330" t="str">
            <v>비   고</v>
          </cell>
        </row>
        <row r="331">
          <cell r="C331" t="str">
            <v xml:space="preserve">규       격 </v>
          </cell>
          <cell r="F331" t="str">
            <v>금   액</v>
          </cell>
          <cell r="G331" t="str">
            <v>단  가</v>
          </cell>
          <cell r="H331" t="str">
            <v>금   액</v>
          </cell>
          <cell r="I331" t="str">
            <v>단  가</v>
          </cell>
          <cell r="J331" t="str">
            <v>금   액</v>
          </cell>
          <cell r="K331" t="str">
            <v>단  가</v>
          </cell>
          <cell r="L331" t="str">
            <v>금   액</v>
          </cell>
        </row>
        <row r="332">
          <cell r="A332" t="str">
            <v xml:space="preserve"> </v>
          </cell>
          <cell r="C332" t="str">
            <v>인 건 비</v>
          </cell>
          <cell r="D332">
            <v>1</v>
          </cell>
          <cell r="E332" t="str">
            <v>TON</v>
          </cell>
          <cell r="F332">
            <v>1091285</v>
          </cell>
          <cell r="H332">
            <v>1091285</v>
          </cell>
        </row>
        <row r="333">
          <cell r="A333" t="str">
            <v xml:space="preserve"> </v>
          </cell>
          <cell r="C333" t="str">
            <v>사용장비경비</v>
          </cell>
          <cell r="D333">
            <v>1</v>
          </cell>
          <cell r="E333" t="str">
            <v>TON</v>
          </cell>
          <cell r="F333">
            <v>1341424</v>
          </cell>
          <cell r="H333">
            <v>578744</v>
          </cell>
          <cell r="J333">
            <v>187256</v>
          </cell>
          <cell r="L333">
            <v>575424</v>
          </cell>
        </row>
        <row r="334">
          <cell r="A334" t="str">
            <v xml:space="preserve"> </v>
          </cell>
          <cell r="C334" t="str">
            <v>소모자재비</v>
          </cell>
          <cell r="D334">
            <v>1</v>
          </cell>
          <cell r="E334" t="str">
            <v>TON</v>
          </cell>
          <cell r="F334">
            <v>38867</v>
          </cell>
          <cell r="J334">
            <v>38867</v>
          </cell>
        </row>
        <row r="336">
          <cell r="A336" t="str">
            <v xml:space="preserve"> </v>
          </cell>
          <cell r="B336" t="str">
            <v>▷GUIDE FRAME</v>
          </cell>
          <cell r="C336" t="str">
            <v>소   계</v>
          </cell>
          <cell r="F336">
            <v>5148432</v>
          </cell>
          <cell r="H336">
            <v>4267975</v>
          </cell>
          <cell r="J336">
            <v>305033</v>
          </cell>
          <cell r="L336">
            <v>575424</v>
          </cell>
        </row>
        <row r="337">
          <cell r="A337" t="str">
            <v xml:space="preserve"> </v>
          </cell>
          <cell r="C337" t="str">
            <v>인 건 비</v>
          </cell>
          <cell r="D337">
            <v>1</v>
          </cell>
          <cell r="E337" t="str">
            <v>TON</v>
          </cell>
          <cell r="F337">
            <v>3689231</v>
          </cell>
          <cell r="H337">
            <v>3689231</v>
          </cell>
        </row>
        <row r="338">
          <cell r="A338" t="str">
            <v xml:space="preserve"> </v>
          </cell>
          <cell r="C338" t="str">
            <v>사용장비경비</v>
          </cell>
          <cell r="D338">
            <v>1</v>
          </cell>
          <cell r="E338" t="str">
            <v>TON</v>
          </cell>
          <cell r="F338">
            <v>1341424</v>
          </cell>
          <cell r="H338">
            <v>578744</v>
          </cell>
          <cell r="J338">
            <v>187256</v>
          </cell>
          <cell r="L338">
            <v>575424</v>
          </cell>
        </row>
        <row r="339">
          <cell r="A339" t="str">
            <v xml:space="preserve"> </v>
          </cell>
          <cell r="C339" t="str">
            <v>소모자재비</v>
          </cell>
          <cell r="D339">
            <v>1</v>
          </cell>
          <cell r="E339" t="str">
            <v>TON</v>
          </cell>
          <cell r="F339">
            <v>117777</v>
          </cell>
          <cell r="J339">
            <v>117777</v>
          </cell>
        </row>
        <row r="341">
          <cell r="A341" t="str">
            <v xml:space="preserve"> </v>
          </cell>
          <cell r="B341" t="str">
            <v>▷ HOIST</v>
          </cell>
          <cell r="C341" t="str">
            <v>소   계</v>
          </cell>
          <cell r="F341">
            <v>2100502</v>
          </cell>
          <cell r="H341">
            <v>1186896</v>
          </cell>
          <cell r="J341">
            <v>275550</v>
          </cell>
          <cell r="L341">
            <v>638056</v>
          </cell>
        </row>
        <row r="342">
          <cell r="A342" t="str">
            <v xml:space="preserve"> </v>
          </cell>
          <cell r="C342" t="str">
            <v>인 건 비</v>
          </cell>
          <cell r="D342">
            <v>1</v>
          </cell>
          <cell r="E342" t="str">
            <v>TON</v>
          </cell>
          <cell r="F342">
            <v>687704</v>
          </cell>
          <cell r="H342">
            <v>687704</v>
          </cell>
        </row>
        <row r="343">
          <cell r="A343" t="str">
            <v xml:space="preserve"> </v>
          </cell>
          <cell r="C343" t="str">
            <v>사용장비경비</v>
          </cell>
          <cell r="D343">
            <v>1</v>
          </cell>
          <cell r="E343" t="str">
            <v>TON</v>
          </cell>
          <cell r="F343">
            <v>1384600</v>
          </cell>
          <cell r="H343">
            <v>499192</v>
          </cell>
          <cell r="J343">
            <v>247352</v>
          </cell>
          <cell r="L343">
            <v>638056</v>
          </cell>
        </row>
        <row r="344">
          <cell r="A344" t="str">
            <v xml:space="preserve"> </v>
          </cell>
          <cell r="C344" t="str">
            <v>소모자재비</v>
          </cell>
          <cell r="D344">
            <v>1</v>
          </cell>
          <cell r="E344" t="str">
            <v>TON</v>
          </cell>
          <cell r="F344">
            <v>28198</v>
          </cell>
          <cell r="J344">
            <v>28198</v>
          </cell>
        </row>
        <row r="345">
          <cell r="A345" t="str">
            <v>◈ STOP LOG</v>
          </cell>
        </row>
        <row r="346">
          <cell r="B346" t="str">
            <v>⊙ 제작 가공비</v>
          </cell>
        </row>
        <row r="347">
          <cell r="B347" t="str">
            <v>▷GATE LEAF</v>
          </cell>
          <cell r="C347" t="str">
            <v>소   계</v>
          </cell>
          <cell r="F347">
            <v>1301484.2280000001</v>
          </cell>
          <cell r="H347">
            <v>1137185</v>
          </cell>
          <cell r="J347">
            <v>65315</v>
          </cell>
          <cell r="L347">
            <v>98984.228000000003</v>
          </cell>
        </row>
        <row r="348">
          <cell r="C348" t="str">
            <v>인 건 비</v>
          </cell>
          <cell r="E348" t="str">
            <v>TON</v>
          </cell>
          <cell r="F348">
            <v>985817</v>
          </cell>
          <cell r="H348">
            <v>985817</v>
          </cell>
        </row>
        <row r="349">
          <cell r="A349" t="str">
            <v>종       별</v>
          </cell>
          <cell r="C349" t="str">
            <v>재 료 또 는</v>
          </cell>
          <cell r="D349" t="str">
            <v xml:space="preserve">원 수 </v>
          </cell>
          <cell r="E349" t="str">
            <v>단 위</v>
          </cell>
          <cell r="F349" t="str">
            <v>총   액</v>
          </cell>
          <cell r="G349" t="str">
            <v>노   무   비</v>
          </cell>
          <cell r="I349" t="str">
            <v>재   료   비</v>
          </cell>
          <cell r="K349" t="str">
            <v>경      비</v>
          </cell>
          <cell r="M349" t="str">
            <v>비   고</v>
          </cell>
        </row>
        <row r="350">
          <cell r="C350" t="str">
            <v xml:space="preserve">규       격 </v>
          </cell>
          <cell r="F350" t="str">
            <v>금   액</v>
          </cell>
          <cell r="G350" t="str">
            <v>단  가</v>
          </cell>
          <cell r="H350" t="str">
            <v>금   액</v>
          </cell>
          <cell r="I350" t="str">
            <v>단  가</v>
          </cell>
          <cell r="J350" t="str">
            <v>금   액</v>
          </cell>
          <cell r="K350" t="str">
            <v>단  가</v>
          </cell>
          <cell r="L350" t="str">
            <v>금   액</v>
          </cell>
        </row>
        <row r="351">
          <cell r="C351" t="str">
            <v>사용장비경비</v>
          </cell>
          <cell r="E351" t="str">
            <v>TON</v>
          </cell>
          <cell r="F351">
            <v>289048.228</v>
          </cell>
          <cell r="H351">
            <v>151368</v>
          </cell>
          <cell r="J351">
            <v>38696</v>
          </cell>
          <cell r="L351">
            <v>98984.228000000003</v>
          </cell>
        </row>
        <row r="352">
          <cell r="A352" t="str">
            <v xml:space="preserve"> </v>
          </cell>
          <cell r="C352" t="str">
            <v>소모자재비</v>
          </cell>
          <cell r="E352" t="str">
            <v>TON</v>
          </cell>
          <cell r="F352">
            <v>26619</v>
          </cell>
          <cell r="J352">
            <v>26619</v>
          </cell>
        </row>
        <row r="354">
          <cell r="A354" t="str">
            <v xml:space="preserve"> </v>
          </cell>
          <cell r="B354" t="str">
            <v>▷GUIDE FRAME</v>
          </cell>
          <cell r="C354" t="str">
            <v>소   계</v>
          </cell>
          <cell r="F354">
            <v>4324511</v>
          </cell>
          <cell r="H354">
            <v>3911039</v>
          </cell>
          <cell r="J354">
            <v>289792</v>
          </cell>
          <cell r="L354">
            <v>123680</v>
          </cell>
          <cell r="M354" t="str">
            <v>ROLLER GATE 
GUIDE FRAME적용</v>
          </cell>
        </row>
        <row r="355">
          <cell r="A355" t="str">
            <v xml:space="preserve"> </v>
          </cell>
          <cell r="C355" t="str">
            <v>인 건 비</v>
          </cell>
          <cell r="E355" t="str">
            <v>TON</v>
          </cell>
          <cell r="F355">
            <v>3784537</v>
          </cell>
          <cell r="H355">
            <v>3784537</v>
          </cell>
          <cell r="M355" t="str">
            <v>"</v>
          </cell>
        </row>
        <row r="356">
          <cell r="A356" t="str">
            <v xml:space="preserve"> </v>
          </cell>
          <cell r="C356" t="str">
            <v>사용장비경비</v>
          </cell>
          <cell r="E356" t="str">
            <v>TON</v>
          </cell>
          <cell r="F356">
            <v>247732</v>
          </cell>
          <cell r="H356">
            <v>126502</v>
          </cell>
          <cell r="J356">
            <v>31430</v>
          </cell>
          <cell r="L356">
            <v>89800</v>
          </cell>
          <cell r="M356" t="str">
            <v>"</v>
          </cell>
        </row>
        <row r="357">
          <cell r="C357" t="str">
            <v>소모자재비</v>
          </cell>
          <cell r="E357" t="str">
            <v>TON</v>
          </cell>
          <cell r="F357">
            <v>292242</v>
          </cell>
          <cell r="J357">
            <v>258362</v>
          </cell>
          <cell r="L357">
            <v>33880</v>
          </cell>
          <cell r="M357" t="str">
            <v>"</v>
          </cell>
        </row>
        <row r="359">
          <cell r="B359" t="str">
            <v>▷LIFTING BEAM</v>
          </cell>
          <cell r="C359" t="str">
            <v>소   계</v>
          </cell>
          <cell r="F359">
            <v>1301484.2280000001</v>
          </cell>
          <cell r="H359">
            <v>1137185</v>
          </cell>
          <cell r="J359">
            <v>65315</v>
          </cell>
          <cell r="L359">
            <v>98984.228000000003</v>
          </cell>
          <cell r="M359" t="str">
            <v>STOP LOG LEAF
적용</v>
          </cell>
        </row>
        <row r="360">
          <cell r="C360" t="str">
            <v>인 건 비</v>
          </cell>
          <cell r="E360" t="str">
            <v>TON</v>
          </cell>
          <cell r="F360">
            <v>985817</v>
          </cell>
          <cell r="H360">
            <v>985817</v>
          </cell>
          <cell r="M360" t="str">
            <v>"</v>
          </cell>
        </row>
        <row r="361">
          <cell r="C361" t="str">
            <v>사용장비경비</v>
          </cell>
          <cell r="E361" t="str">
            <v>TON</v>
          </cell>
          <cell r="F361">
            <v>289048.228</v>
          </cell>
          <cell r="H361">
            <v>151368</v>
          </cell>
          <cell r="J361">
            <v>38696</v>
          </cell>
          <cell r="L361">
            <v>98984.228000000003</v>
          </cell>
          <cell r="M361" t="str">
            <v>"</v>
          </cell>
        </row>
        <row r="362">
          <cell r="C362" t="str">
            <v>소모자재비</v>
          </cell>
          <cell r="E362" t="str">
            <v>TON</v>
          </cell>
          <cell r="F362">
            <v>26619</v>
          </cell>
          <cell r="J362">
            <v>26619</v>
          </cell>
          <cell r="M362" t="str">
            <v>"</v>
          </cell>
        </row>
        <row r="363">
          <cell r="B363" t="str">
            <v>⊙ 설  치  비</v>
          </cell>
        </row>
        <row r="364">
          <cell r="B364" t="str">
            <v>▷GATE LEAF</v>
          </cell>
          <cell r="C364" t="str">
            <v>소   계</v>
          </cell>
          <cell r="F364">
            <v>1483011</v>
          </cell>
          <cell r="H364">
            <v>862692</v>
          </cell>
          <cell r="J364">
            <v>237294</v>
          </cell>
          <cell r="L364">
            <v>383025</v>
          </cell>
        </row>
        <row r="365">
          <cell r="C365" t="str">
            <v>인 건 비</v>
          </cell>
          <cell r="E365" t="str">
            <v>TON</v>
          </cell>
          <cell r="F365">
            <v>562444</v>
          </cell>
          <cell r="H365">
            <v>562444</v>
          </cell>
        </row>
        <row r="366">
          <cell r="C366" t="str">
            <v>사용장비경비</v>
          </cell>
          <cell r="E366" t="str">
            <v>TON</v>
          </cell>
          <cell r="F366">
            <v>744864</v>
          </cell>
          <cell r="H366">
            <v>300248</v>
          </cell>
          <cell r="J366">
            <v>80440</v>
          </cell>
          <cell r="L366">
            <v>364176</v>
          </cell>
        </row>
        <row r="367">
          <cell r="C367" t="str">
            <v>소모자재비</v>
          </cell>
          <cell r="E367" t="str">
            <v>TON</v>
          </cell>
          <cell r="F367">
            <v>175703</v>
          </cell>
          <cell r="J367">
            <v>156854</v>
          </cell>
          <cell r="L367">
            <v>18849</v>
          </cell>
        </row>
        <row r="368">
          <cell r="A368" t="str">
            <v>종       별</v>
          </cell>
          <cell r="C368" t="str">
            <v>재 료 또 는</v>
          </cell>
          <cell r="D368" t="str">
            <v xml:space="preserve">원 수 </v>
          </cell>
          <cell r="E368" t="str">
            <v>단 위</v>
          </cell>
          <cell r="F368" t="str">
            <v>총   액</v>
          </cell>
          <cell r="G368" t="str">
            <v>노   무   비</v>
          </cell>
          <cell r="I368" t="str">
            <v>재   료   비</v>
          </cell>
          <cell r="K368" t="str">
            <v>경      비</v>
          </cell>
          <cell r="M368" t="str">
            <v>비   고</v>
          </cell>
        </row>
        <row r="369">
          <cell r="C369" t="str">
            <v xml:space="preserve">규       격 </v>
          </cell>
          <cell r="F369" t="str">
            <v>금   액</v>
          </cell>
          <cell r="G369" t="str">
            <v>단  가</v>
          </cell>
          <cell r="H369" t="str">
            <v>금   액</v>
          </cell>
          <cell r="I369" t="str">
            <v>단  가</v>
          </cell>
          <cell r="J369" t="str">
            <v>금   액</v>
          </cell>
          <cell r="K369" t="str">
            <v>단  가</v>
          </cell>
          <cell r="L369" t="str">
            <v>금   액</v>
          </cell>
        </row>
        <row r="370">
          <cell r="B370" t="str">
            <v>▷GUIDE FRAME</v>
          </cell>
          <cell r="C370" t="str">
            <v>⇒ ROLLER GATE 적용</v>
          </cell>
        </row>
        <row r="371">
          <cell r="A371" t="str">
            <v xml:space="preserve"> </v>
          </cell>
          <cell r="B371" t="str">
            <v>▷LIFTING BEAM</v>
          </cell>
          <cell r="C371" t="str">
            <v>⇒ STOP LOG LEAF 적용</v>
          </cell>
        </row>
        <row r="373">
          <cell r="A373" t="str">
            <v>◈ RADIAL GATE</v>
          </cell>
        </row>
        <row r="374">
          <cell r="A374" t="str">
            <v xml:space="preserve"> </v>
          </cell>
          <cell r="B374" t="str">
            <v>⊙ 제작 가공비</v>
          </cell>
        </row>
        <row r="376">
          <cell r="A376" t="str">
            <v xml:space="preserve"> </v>
          </cell>
          <cell r="B376" t="str">
            <v>▷GATE LEAF</v>
          </cell>
          <cell r="C376" t="str">
            <v>소   계</v>
          </cell>
          <cell r="F376">
            <v>2124730</v>
          </cell>
          <cell r="H376">
            <v>1660499</v>
          </cell>
          <cell r="J376">
            <v>304929</v>
          </cell>
          <cell r="L376">
            <v>159302</v>
          </cell>
        </row>
        <row r="377">
          <cell r="A377" t="str">
            <v xml:space="preserve"> </v>
          </cell>
          <cell r="C377" t="str">
            <v>인 건 비</v>
          </cell>
          <cell r="E377" t="str">
            <v>TON</v>
          </cell>
          <cell r="F377">
            <v>1502694</v>
          </cell>
          <cell r="H377">
            <v>1502694</v>
          </cell>
        </row>
        <row r="378">
          <cell r="A378" t="str">
            <v xml:space="preserve"> </v>
          </cell>
          <cell r="C378" t="str">
            <v>사용장비경비</v>
          </cell>
          <cell r="E378" t="str">
            <v>TON</v>
          </cell>
          <cell r="F378">
            <v>341716</v>
          </cell>
          <cell r="H378">
            <v>157805</v>
          </cell>
          <cell r="J378">
            <v>47401</v>
          </cell>
          <cell r="L378">
            <v>136510</v>
          </cell>
        </row>
        <row r="379">
          <cell r="A379" t="str">
            <v xml:space="preserve"> </v>
          </cell>
          <cell r="C379" t="str">
            <v>소모자재비</v>
          </cell>
          <cell r="E379" t="str">
            <v>TON</v>
          </cell>
          <cell r="F379">
            <v>280320</v>
          </cell>
          <cell r="J379">
            <v>257528</v>
          </cell>
          <cell r="L379">
            <v>22792</v>
          </cell>
        </row>
        <row r="381">
          <cell r="A381" t="str">
            <v xml:space="preserve"> </v>
          </cell>
          <cell r="B381" t="str">
            <v>▷GUIDE FRAME</v>
          </cell>
          <cell r="C381" t="str">
            <v>소   계</v>
          </cell>
          <cell r="F381">
            <v>4842008</v>
          </cell>
          <cell r="H381">
            <v>4473673</v>
          </cell>
          <cell r="J381">
            <v>195173</v>
          </cell>
          <cell r="L381">
            <v>173162</v>
          </cell>
        </row>
        <row r="382">
          <cell r="A382" t="str">
            <v xml:space="preserve"> </v>
          </cell>
          <cell r="B382" t="str">
            <v xml:space="preserve"> </v>
          </cell>
          <cell r="C382" t="str">
            <v>인 건 비</v>
          </cell>
          <cell r="E382" t="str">
            <v>TON</v>
          </cell>
          <cell r="F382">
            <v>4315868</v>
          </cell>
          <cell r="H382">
            <v>4315868</v>
          </cell>
        </row>
        <row r="383">
          <cell r="A383" t="str">
            <v xml:space="preserve"> </v>
          </cell>
          <cell r="B383" t="str">
            <v xml:space="preserve"> </v>
          </cell>
          <cell r="C383" t="str">
            <v>사용장비경비</v>
          </cell>
          <cell r="E383" t="str">
            <v>TON</v>
          </cell>
          <cell r="F383">
            <v>341716</v>
          </cell>
          <cell r="H383">
            <v>157805</v>
          </cell>
          <cell r="J383">
            <v>47401</v>
          </cell>
          <cell r="L383">
            <v>136510</v>
          </cell>
          <cell r="M383" t="str">
            <v>RADIAL GATE
LEAF 적용</v>
          </cell>
        </row>
        <row r="384">
          <cell r="A384" t="str">
            <v xml:space="preserve"> </v>
          </cell>
          <cell r="C384" t="str">
            <v>소모자재비</v>
          </cell>
          <cell r="E384" t="str">
            <v>TON</v>
          </cell>
          <cell r="F384">
            <v>184424</v>
          </cell>
          <cell r="J384">
            <v>147772</v>
          </cell>
          <cell r="L384">
            <v>36652</v>
          </cell>
        </row>
        <row r="388">
          <cell r="A388" t="str">
            <v>종       별</v>
          </cell>
          <cell r="C388" t="str">
            <v>재 료 또 는</v>
          </cell>
          <cell r="D388" t="str">
            <v xml:space="preserve">원 수 </v>
          </cell>
          <cell r="E388" t="str">
            <v>단 위</v>
          </cell>
          <cell r="F388" t="str">
            <v>총   액</v>
          </cell>
          <cell r="G388" t="str">
            <v>노   무   비</v>
          </cell>
          <cell r="I388" t="str">
            <v>재   료   비</v>
          </cell>
          <cell r="K388" t="str">
            <v>경      비</v>
          </cell>
          <cell r="M388" t="str">
            <v>비   고</v>
          </cell>
        </row>
        <row r="389">
          <cell r="C389" t="str">
            <v xml:space="preserve">규       격 </v>
          </cell>
          <cell r="F389" t="str">
            <v>금   액</v>
          </cell>
          <cell r="G389" t="str">
            <v>단  가</v>
          </cell>
          <cell r="H389" t="str">
            <v>금   액</v>
          </cell>
          <cell r="I389" t="str">
            <v>단  가</v>
          </cell>
          <cell r="J389" t="str">
            <v>금   액</v>
          </cell>
          <cell r="K389" t="str">
            <v>단  가</v>
          </cell>
          <cell r="L389" t="str">
            <v>금   액</v>
          </cell>
        </row>
        <row r="390">
          <cell r="B390" t="str">
            <v>▷ANCHORAGE</v>
          </cell>
          <cell r="C390" t="str">
            <v>소   계</v>
          </cell>
          <cell r="F390">
            <v>3706842</v>
          </cell>
          <cell r="H390">
            <v>3389225</v>
          </cell>
          <cell r="J390">
            <v>155235</v>
          </cell>
          <cell r="L390">
            <v>162382</v>
          </cell>
        </row>
        <row r="391">
          <cell r="C391" t="str">
            <v>인 건 비</v>
          </cell>
          <cell r="E391" t="str">
            <v>TON</v>
          </cell>
          <cell r="F391">
            <v>3231420</v>
          </cell>
          <cell r="H391">
            <v>3231420</v>
          </cell>
        </row>
        <row r="392">
          <cell r="C392" t="str">
            <v>사용장비경비</v>
          </cell>
          <cell r="E392" t="str">
            <v>TON</v>
          </cell>
          <cell r="F392">
            <v>341716</v>
          </cell>
          <cell r="H392">
            <v>157805</v>
          </cell>
          <cell r="J392">
            <v>47401</v>
          </cell>
          <cell r="L392">
            <v>136510</v>
          </cell>
          <cell r="M392" t="str">
            <v>RADIAL GATE
LEAF 적용</v>
          </cell>
        </row>
        <row r="393">
          <cell r="C393" t="str">
            <v>소모자재비</v>
          </cell>
          <cell r="E393" t="str">
            <v>TON</v>
          </cell>
          <cell r="F393">
            <v>133706</v>
          </cell>
          <cell r="J393">
            <v>107834</v>
          </cell>
          <cell r="L393">
            <v>25872</v>
          </cell>
        </row>
        <row r="395">
          <cell r="B395" t="str">
            <v>⊙ 설  치  비</v>
          </cell>
        </row>
        <row r="397">
          <cell r="B397" t="str">
            <v>▷GATE LEAF</v>
          </cell>
          <cell r="C397" t="str">
            <v>소   계</v>
          </cell>
          <cell r="F397">
            <v>3544844.4</v>
          </cell>
          <cell r="H397">
            <v>2061690</v>
          </cell>
          <cell r="J397">
            <v>360170.4</v>
          </cell>
          <cell r="L397">
            <v>1122984</v>
          </cell>
        </row>
        <row r="398">
          <cell r="C398" t="str">
            <v>인 건 비</v>
          </cell>
          <cell r="E398" t="str">
            <v>TON</v>
          </cell>
          <cell r="F398">
            <v>1192994</v>
          </cell>
          <cell r="H398">
            <v>1192994</v>
          </cell>
        </row>
        <row r="399">
          <cell r="A399" t="str">
            <v xml:space="preserve"> </v>
          </cell>
          <cell r="C399" t="str">
            <v>사용장비경비</v>
          </cell>
          <cell r="E399" t="str">
            <v>TON</v>
          </cell>
          <cell r="F399">
            <v>2312752</v>
          </cell>
          <cell r="H399">
            <v>868696</v>
          </cell>
          <cell r="J399">
            <v>321072</v>
          </cell>
          <cell r="K399" t="str">
            <v xml:space="preserve"> </v>
          </cell>
          <cell r="L399">
            <v>1122984</v>
          </cell>
        </row>
        <row r="400">
          <cell r="C400" t="str">
            <v>소모자재비</v>
          </cell>
          <cell r="E400" t="str">
            <v>TON</v>
          </cell>
          <cell r="F400">
            <v>39098.400000000001</v>
          </cell>
          <cell r="J400">
            <v>39098.400000000001</v>
          </cell>
        </row>
        <row r="401">
          <cell r="A401" t="str">
            <v xml:space="preserve"> </v>
          </cell>
        </row>
        <row r="402">
          <cell r="A402" t="str">
            <v xml:space="preserve"> </v>
          </cell>
          <cell r="B402" t="str">
            <v>▷GUIDE FRAME</v>
          </cell>
          <cell r="C402" t="str">
            <v>소   계</v>
          </cell>
          <cell r="F402">
            <v>11345142</v>
          </cell>
          <cell r="H402">
            <v>10426754</v>
          </cell>
          <cell r="J402">
            <v>282044</v>
          </cell>
          <cell r="L402">
            <v>636344</v>
          </cell>
        </row>
        <row r="403">
          <cell r="A403" t="str">
            <v xml:space="preserve"> </v>
          </cell>
          <cell r="C403" t="str">
            <v>인 건 비</v>
          </cell>
          <cell r="E403" t="str">
            <v>TON</v>
          </cell>
          <cell r="F403">
            <v>9780858</v>
          </cell>
          <cell r="H403">
            <v>9780858</v>
          </cell>
        </row>
        <row r="404">
          <cell r="A404" t="str">
            <v xml:space="preserve"> </v>
          </cell>
          <cell r="C404" t="str">
            <v>사용장비경비</v>
          </cell>
          <cell r="E404" t="str">
            <v>TON</v>
          </cell>
          <cell r="F404">
            <v>1533472</v>
          </cell>
          <cell r="H404">
            <v>645896</v>
          </cell>
          <cell r="J404">
            <v>251232</v>
          </cell>
          <cell r="K404" t="str">
            <v xml:space="preserve"> </v>
          </cell>
          <cell r="L404">
            <v>636344</v>
          </cell>
        </row>
        <row r="405">
          <cell r="A405" t="str">
            <v xml:space="preserve"> </v>
          </cell>
          <cell r="C405" t="str">
            <v>소모자재비</v>
          </cell>
          <cell r="E405" t="str">
            <v>TON</v>
          </cell>
          <cell r="F405">
            <v>30812</v>
          </cell>
          <cell r="J405">
            <v>30812</v>
          </cell>
        </row>
        <row r="407">
          <cell r="A407" t="str">
            <v>종       별</v>
          </cell>
          <cell r="C407" t="str">
            <v>재 료 또 는</v>
          </cell>
          <cell r="D407" t="str">
            <v xml:space="preserve">원 수 </v>
          </cell>
          <cell r="E407" t="str">
            <v>단 위</v>
          </cell>
          <cell r="F407" t="str">
            <v>총   액</v>
          </cell>
          <cell r="G407" t="str">
            <v>노   무   비</v>
          </cell>
          <cell r="I407" t="str">
            <v>재   료   비</v>
          </cell>
          <cell r="K407" t="str">
            <v>경      비</v>
          </cell>
          <cell r="M407" t="str">
            <v>비   고</v>
          </cell>
        </row>
        <row r="408">
          <cell r="C408" t="str">
            <v xml:space="preserve">규       격 </v>
          </cell>
          <cell r="F408" t="str">
            <v>금   액</v>
          </cell>
          <cell r="G408" t="str">
            <v>단  가</v>
          </cell>
          <cell r="H408" t="str">
            <v>금   액</v>
          </cell>
          <cell r="I408" t="str">
            <v>단  가</v>
          </cell>
          <cell r="J408" t="str">
            <v>금   액</v>
          </cell>
          <cell r="K408" t="str">
            <v>단  가</v>
          </cell>
          <cell r="L408" t="str">
            <v>금   액</v>
          </cell>
        </row>
        <row r="409">
          <cell r="A409" t="str">
            <v xml:space="preserve"> </v>
          </cell>
          <cell r="B409" t="str">
            <v>▷ANCHORAGE</v>
          </cell>
          <cell r="C409" t="str">
            <v>소   계</v>
          </cell>
          <cell r="F409">
            <v>3544844.4</v>
          </cell>
          <cell r="H409">
            <v>2061690</v>
          </cell>
          <cell r="J409">
            <v>360170.4</v>
          </cell>
          <cell r="L409">
            <v>1122984</v>
          </cell>
        </row>
        <row r="410">
          <cell r="A410" t="str">
            <v xml:space="preserve"> </v>
          </cell>
          <cell r="C410" t="str">
            <v>인 건 비</v>
          </cell>
          <cell r="E410" t="str">
            <v>TON</v>
          </cell>
          <cell r="F410">
            <v>1192994</v>
          </cell>
          <cell r="H410">
            <v>1192994</v>
          </cell>
          <cell r="M410" t="str">
            <v>RADIAL GATE 
LEAF 적용</v>
          </cell>
        </row>
        <row r="411">
          <cell r="A411" t="str">
            <v xml:space="preserve"> </v>
          </cell>
          <cell r="C411" t="str">
            <v>사용장비경비</v>
          </cell>
          <cell r="E411" t="str">
            <v>TON</v>
          </cell>
          <cell r="F411">
            <v>2312752</v>
          </cell>
          <cell r="H411">
            <v>868696</v>
          </cell>
          <cell r="J411">
            <v>321072</v>
          </cell>
          <cell r="L411">
            <v>1122984</v>
          </cell>
          <cell r="M411" t="str">
            <v>"</v>
          </cell>
        </row>
        <row r="412">
          <cell r="A412" t="str">
            <v xml:space="preserve"> </v>
          </cell>
          <cell r="C412" t="str">
            <v>소모자재비</v>
          </cell>
          <cell r="E412" t="str">
            <v>TON</v>
          </cell>
          <cell r="F412">
            <v>39098.400000000001</v>
          </cell>
          <cell r="J412">
            <v>39098.400000000001</v>
          </cell>
          <cell r="M412" t="str">
            <v>"</v>
          </cell>
        </row>
        <row r="414">
          <cell r="B414" t="str">
            <v>▷ HOIST</v>
          </cell>
          <cell r="C414" t="str">
            <v>소   계</v>
          </cell>
          <cell r="F414">
            <v>1509190</v>
          </cell>
          <cell r="H414">
            <v>1047968</v>
          </cell>
          <cell r="J414">
            <v>84566</v>
          </cell>
          <cell r="L414">
            <v>376656</v>
          </cell>
        </row>
        <row r="415">
          <cell r="A415" t="str">
            <v xml:space="preserve"> </v>
          </cell>
          <cell r="C415" t="str">
            <v>인 건 비</v>
          </cell>
          <cell r="E415" t="str">
            <v>TON</v>
          </cell>
          <cell r="F415">
            <v>687704</v>
          </cell>
          <cell r="H415">
            <v>687704</v>
          </cell>
          <cell r="M415" t="str">
            <v>ROLLER HOIST와
동일</v>
          </cell>
        </row>
        <row r="416">
          <cell r="A416" t="str">
            <v xml:space="preserve"> </v>
          </cell>
          <cell r="C416" t="str">
            <v>사용장비경비</v>
          </cell>
          <cell r="E416" t="str">
            <v>TON</v>
          </cell>
          <cell r="F416">
            <v>793288</v>
          </cell>
          <cell r="H416">
            <v>360264</v>
          </cell>
          <cell r="J416">
            <v>56368</v>
          </cell>
          <cell r="L416">
            <v>376656</v>
          </cell>
        </row>
        <row r="417">
          <cell r="A417" t="str">
            <v xml:space="preserve"> </v>
          </cell>
          <cell r="C417" t="str">
            <v>소모자재비</v>
          </cell>
          <cell r="E417" t="str">
            <v>TON</v>
          </cell>
          <cell r="F417">
            <v>28198</v>
          </cell>
          <cell r="J417">
            <v>28198</v>
          </cell>
          <cell r="M417" t="str">
            <v>ROLLER HOIST와
동일</v>
          </cell>
        </row>
        <row r="418">
          <cell r="A418" t="str">
            <v xml:space="preserve"> </v>
          </cell>
        </row>
        <row r="419">
          <cell r="A419" t="str">
            <v>◈ TRASH RACK</v>
          </cell>
        </row>
        <row r="420">
          <cell r="B420" t="str">
            <v>⊙ 제작가공비</v>
          </cell>
          <cell r="C420" t="str">
            <v>소   계</v>
          </cell>
          <cell r="F420">
            <v>8169306</v>
          </cell>
          <cell r="H420">
            <v>7960762</v>
          </cell>
          <cell r="J420">
            <v>118744</v>
          </cell>
          <cell r="L420">
            <v>89800</v>
          </cell>
        </row>
        <row r="421">
          <cell r="C421" t="str">
            <v>인  건  비</v>
          </cell>
          <cell r="E421" t="str">
            <v>TON</v>
          </cell>
          <cell r="F421">
            <v>7834260</v>
          </cell>
          <cell r="H421">
            <v>7834260</v>
          </cell>
        </row>
        <row r="422">
          <cell r="C422" t="str">
            <v>사용장비경비</v>
          </cell>
          <cell r="E422" t="str">
            <v>TON</v>
          </cell>
          <cell r="F422">
            <v>247732</v>
          </cell>
          <cell r="H422">
            <v>126502</v>
          </cell>
          <cell r="J422">
            <v>31430</v>
          </cell>
          <cell r="L422">
            <v>89800</v>
          </cell>
          <cell r="M422" t="str">
            <v>ROLLER GATE
LEAF 적용</v>
          </cell>
        </row>
        <row r="423">
          <cell r="A423" t="str">
            <v xml:space="preserve"> </v>
          </cell>
          <cell r="C423" t="str">
            <v>소모자재비</v>
          </cell>
          <cell r="E423" t="str">
            <v>TON</v>
          </cell>
          <cell r="F423">
            <v>87314</v>
          </cell>
          <cell r="J423">
            <v>87314</v>
          </cell>
        </row>
        <row r="425">
          <cell r="A425" t="str">
            <v xml:space="preserve"> </v>
          </cell>
          <cell r="B425" t="str">
            <v>⊙ 설  치  비</v>
          </cell>
          <cell r="C425" t="str">
            <v>소   계</v>
          </cell>
          <cell r="F425">
            <v>2369875</v>
          </cell>
          <cell r="H425">
            <v>1599040</v>
          </cell>
          <cell r="J425">
            <v>195411</v>
          </cell>
          <cell r="L425">
            <v>575424</v>
          </cell>
        </row>
        <row r="426">
          <cell r="A426" t="str">
            <v>종       별</v>
          </cell>
          <cell r="C426" t="str">
            <v>재 료 또 는</v>
          </cell>
          <cell r="D426" t="str">
            <v xml:space="preserve">원 수 </v>
          </cell>
          <cell r="E426" t="str">
            <v>단 위</v>
          </cell>
          <cell r="F426" t="str">
            <v>총   액</v>
          </cell>
          <cell r="G426" t="str">
            <v>노   무   비</v>
          </cell>
          <cell r="I426" t="str">
            <v>재   료   비</v>
          </cell>
          <cell r="K426" t="str">
            <v>경      비</v>
          </cell>
          <cell r="M426" t="str">
            <v>비   고</v>
          </cell>
        </row>
        <row r="427">
          <cell r="C427" t="str">
            <v xml:space="preserve">규       격 </v>
          </cell>
          <cell r="F427" t="str">
            <v>금   액</v>
          </cell>
          <cell r="G427" t="str">
            <v>단  가</v>
          </cell>
          <cell r="H427" t="str">
            <v>금   액</v>
          </cell>
          <cell r="I427" t="str">
            <v>단  가</v>
          </cell>
          <cell r="J427" t="str">
            <v>금   액</v>
          </cell>
          <cell r="K427" t="str">
            <v>단  가</v>
          </cell>
          <cell r="L427" t="str">
            <v>금   액</v>
          </cell>
        </row>
        <row r="428">
          <cell r="A428" t="str">
            <v xml:space="preserve"> </v>
          </cell>
          <cell r="C428" t="str">
            <v>인  건  비</v>
          </cell>
          <cell r="E428" t="str">
            <v>TON</v>
          </cell>
          <cell r="F428">
            <v>1020296</v>
          </cell>
          <cell r="H428">
            <v>1020296</v>
          </cell>
        </row>
        <row r="429">
          <cell r="A429" t="str">
            <v xml:space="preserve"> </v>
          </cell>
          <cell r="C429" t="str">
            <v>사용장비경비</v>
          </cell>
          <cell r="E429" t="str">
            <v>TON</v>
          </cell>
          <cell r="F429">
            <v>1341424</v>
          </cell>
          <cell r="H429">
            <v>578744</v>
          </cell>
          <cell r="J429">
            <v>187256</v>
          </cell>
          <cell r="L429">
            <v>575424</v>
          </cell>
          <cell r="M429" t="str">
            <v>ROLLER GATE
LEAF 적용</v>
          </cell>
        </row>
        <row r="430">
          <cell r="A430" t="str">
            <v xml:space="preserve"> </v>
          </cell>
          <cell r="C430" t="str">
            <v>소모자재비</v>
          </cell>
          <cell r="E430" t="str">
            <v>TON</v>
          </cell>
          <cell r="F430">
            <v>8155</v>
          </cell>
          <cell r="J430">
            <v>8155</v>
          </cell>
        </row>
        <row r="431">
          <cell r="A431" t="str">
            <v xml:space="preserve"> </v>
          </cell>
        </row>
        <row r="432">
          <cell r="A432" t="str">
            <v>◈ 잡철물 제작,설치 (SCREEN등)</v>
          </cell>
        </row>
        <row r="433">
          <cell r="B433" t="str">
            <v>▷ 간단한 구조</v>
          </cell>
          <cell r="C433" t="str">
            <v>100 %</v>
          </cell>
          <cell r="F433">
            <v>2792160</v>
          </cell>
          <cell r="H433">
            <v>2636784</v>
          </cell>
          <cell r="J433">
            <v>65284</v>
          </cell>
          <cell r="L433">
            <v>90092</v>
          </cell>
        </row>
        <row r="434">
          <cell r="B434" t="str">
            <v>▷ 복잡한 구조</v>
          </cell>
          <cell r="C434" t="str">
            <v>140 %</v>
          </cell>
          <cell r="F434">
            <v>3909022</v>
          </cell>
          <cell r="H434">
            <v>3691497</v>
          </cell>
          <cell r="J434">
            <v>91397</v>
          </cell>
          <cell r="L434">
            <v>126128</v>
          </cell>
        </row>
        <row r="435">
          <cell r="A435" t="str">
            <v xml:space="preserve"> </v>
          </cell>
        </row>
        <row r="436">
          <cell r="A436" t="str">
            <v>◈ 도   장   비 - Ⅰ- (기존 도장 방식)</v>
          </cell>
        </row>
        <row r="437">
          <cell r="A437">
            <v>1</v>
          </cell>
          <cell r="B437" t="str">
            <v>▷ SAND BLASTING</v>
          </cell>
          <cell r="E437" t="str">
            <v>㎡</v>
          </cell>
          <cell r="F437">
            <v>9436</v>
          </cell>
          <cell r="H437">
            <v>4928</v>
          </cell>
          <cell r="J437">
            <v>2852</v>
          </cell>
          <cell r="L437">
            <v>1656</v>
          </cell>
        </row>
        <row r="438">
          <cell r="A438">
            <v>2</v>
          </cell>
          <cell r="B438" t="str">
            <v>▷ PRIMERY COATING (유기질)</v>
          </cell>
          <cell r="D438" t="str">
            <v>(  20μ)</v>
          </cell>
          <cell r="E438" t="str">
            <v>㎡</v>
          </cell>
          <cell r="F438">
            <v>1627</v>
          </cell>
          <cell r="H438">
            <v>945</v>
          </cell>
          <cell r="J438">
            <v>664</v>
          </cell>
          <cell r="L438">
            <v>18</v>
          </cell>
        </row>
        <row r="439">
          <cell r="A439">
            <v>3</v>
          </cell>
          <cell r="B439" t="str">
            <v>▷ COVER COATING(PURE EPOXY)</v>
          </cell>
          <cell r="D439" t="str">
            <v>( 280μ)</v>
          </cell>
          <cell r="E439" t="str">
            <v>㎡</v>
          </cell>
          <cell r="F439">
            <v>8981</v>
          </cell>
          <cell r="H439">
            <v>6808</v>
          </cell>
          <cell r="J439">
            <v>2037</v>
          </cell>
          <cell r="L439">
            <v>136</v>
          </cell>
        </row>
        <row r="440">
          <cell r="A440">
            <v>4</v>
          </cell>
          <cell r="B440" t="str">
            <v>▷ COVER COATING(TAL EPOXY)</v>
          </cell>
          <cell r="D440" t="str">
            <v>( 280μ)</v>
          </cell>
          <cell r="E440" t="str">
            <v>㎡</v>
          </cell>
          <cell r="F440">
            <v>8769</v>
          </cell>
          <cell r="H440">
            <v>6808</v>
          </cell>
          <cell r="J440">
            <v>1825</v>
          </cell>
          <cell r="L440">
            <v>136</v>
          </cell>
        </row>
        <row r="441">
          <cell r="A441">
            <v>5</v>
          </cell>
          <cell r="B441" t="str">
            <v>▷ 방 오 도 료</v>
          </cell>
          <cell r="D441" t="str">
            <v>(  80μ)</v>
          </cell>
          <cell r="E441" t="str">
            <v>㎡</v>
          </cell>
          <cell r="F441">
            <v>20722</v>
          </cell>
          <cell r="H441">
            <v>18911</v>
          </cell>
          <cell r="J441">
            <v>1433</v>
          </cell>
          <cell r="L441">
            <v>378</v>
          </cell>
        </row>
        <row r="442">
          <cell r="A442" t="str">
            <v xml:space="preserve"> </v>
          </cell>
        </row>
        <row r="443">
          <cell r="A443" t="str">
            <v>◈ 도   장   비 - Ⅱ- (신공법 도장방식)  ㎡ 당</v>
          </cell>
        </row>
        <row r="444">
          <cell r="A444">
            <v>1</v>
          </cell>
          <cell r="B444" t="str">
            <v>▷ 전처리 (육상용)(WATER SAND JET 공법)</v>
          </cell>
          <cell r="F444">
            <v>14435</v>
          </cell>
          <cell r="H444">
            <v>8755</v>
          </cell>
          <cell r="J444">
            <v>3405</v>
          </cell>
          <cell r="L444">
            <v>2275</v>
          </cell>
        </row>
        <row r="445">
          <cell r="A445">
            <v>2</v>
          </cell>
          <cell r="B445" t="str">
            <v>▷ 전처리 (수중용)(WATER SAND JET 공법)</v>
          </cell>
          <cell r="F445">
            <v>141391</v>
          </cell>
          <cell r="H445">
            <v>111758</v>
          </cell>
          <cell r="J445">
            <v>4458</v>
          </cell>
          <cell r="L445">
            <v>25175</v>
          </cell>
        </row>
        <row r="446">
          <cell r="A446">
            <v>3</v>
          </cell>
          <cell r="B446" t="str">
            <v>▷ 도장 SYSTEM 1 (상시 물속에 잠기는 구조물)</v>
          </cell>
          <cell r="F446">
            <v>26239</v>
          </cell>
          <cell r="H446">
            <v>10076</v>
          </cell>
          <cell r="J446">
            <v>15962</v>
          </cell>
          <cell r="L446">
            <v>201</v>
          </cell>
        </row>
        <row r="448">
          <cell r="A448" t="str">
            <v>종       별</v>
          </cell>
          <cell r="C448" t="str">
            <v>재 료 또 는</v>
          </cell>
          <cell r="D448" t="str">
            <v xml:space="preserve">원 수 </v>
          </cell>
          <cell r="E448" t="str">
            <v>단 위</v>
          </cell>
          <cell r="F448" t="str">
            <v>총   액</v>
          </cell>
          <cell r="G448" t="str">
            <v>노   무   비</v>
          </cell>
          <cell r="I448" t="str">
            <v>재   료   비</v>
          </cell>
          <cell r="K448" t="str">
            <v>경      비</v>
          </cell>
          <cell r="M448" t="str">
            <v>비   고</v>
          </cell>
        </row>
        <row r="449">
          <cell r="C449" t="str">
            <v xml:space="preserve">규       격 </v>
          </cell>
          <cell r="F449" t="str">
            <v>금   액</v>
          </cell>
          <cell r="G449" t="str">
            <v>단  가</v>
          </cell>
          <cell r="H449" t="str">
            <v>금   액</v>
          </cell>
          <cell r="I449" t="str">
            <v>단  가</v>
          </cell>
          <cell r="J449" t="str">
            <v>금   액</v>
          </cell>
          <cell r="K449" t="str">
            <v>단  가</v>
          </cell>
          <cell r="L449" t="str">
            <v>금   액</v>
          </cell>
        </row>
        <row r="450">
          <cell r="A450">
            <v>4</v>
          </cell>
          <cell r="B450" t="str">
            <v>▷ 도장 SYSTEM 2 (해수 가까이 상시 노출되어있는 구조물)</v>
          </cell>
        </row>
        <row r="451">
          <cell r="F451">
            <v>29188</v>
          </cell>
          <cell r="H451">
            <v>13099</v>
          </cell>
          <cell r="J451">
            <v>15828</v>
          </cell>
          <cell r="L451">
            <v>261</v>
          </cell>
        </row>
        <row r="452">
          <cell r="A452">
            <v>5</v>
          </cell>
          <cell r="B452" t="str">
            <v>▷ 도장 SYSTEM 3 (해중에서 작업해야하는 구조물)</v>
          </cell>
        </row>
        <row r="453">
          <cell r="F453">
            <v>86974</v>
          </cell>
          <cell r="H453">
            <v>40916</v>
          </cell>
          <cell r="J453">
            <v>45240</v>
          </cell>
          <cell r="L453">
            <v>818</v>
          </cell>
        </row>
        <row r="454">
          <cell r="A454">
            <v>6</v>
          </cell>
          <cell r="B454" t="str">
            <v xml:space="preserve">▷ CERAMIC COATING (ATO) 200μ </v>
          </cell>
        </row>
        <row r="455">
          <cell r="B455" t="str">
            <v xml:space="preserve">▷1. 바탕만들기 </v>
          </cell>
          <cell r="F455">
            <v>17788</v>
          </cell>
          <cell r="H455">
            <v>16913</v>
          </cell>
          <cell r="J455">
            <v>537</v>
          </cell>
          <cell r="L455">
            <v>338</v>
          </cell>
        </row>
        <row r="456">
          <cell r="B456" t="str">
            <v>▷2. CERAMIC COATING</v>
          </cell>
          <cell r="F456">
            <v>71178</v>
          </cell>
          <cell r="H456">
            <v>5507</v>
          </cell>
          <cell r="J456">
            <v>63337</v>
          </cell>
          <cell r="L456">
            <v>2334</v>
          </cell>
        </row>
        <row r="458">
          <cell r="A458" t="str">
            <v>◈ 비파괴 검사</v>
          </cell>
        </row>
        <row r="459">
          <cell r="A459" t="str">
            <v>1.초음파 탐상검사(U.T) - 1M당</v>
          </cell>
          <cell r="F459">
            <v>54686</v>
          </cell>
          <cell r="H459">
            <v>21307</v>
          </cell>
          <cell r="J459">
            <v>994</v>
          </cell>
          <cell r="L459">
            <v>32385</v>
          </cell>
        </row>
        <row r="460">
          <cell r="A460" t="str">
            <v>2.방사선 투과검사(R.T) - 1매당</v>
          </cell>
          <cell r="F460">
            <v>55824</v>
          </cell>
          <cell r="H460">
            <v>21230</v>
          </cell>
          <cell r="J460">
            <v>2325</v>
          </cell>
          <cell r="L460">
            <v>32269</v>
          </cell>
        </row>
        <row r="461">
          <cell r="A461" t="str">
            <v>3.자분탐상검사(M.T) - 1M당</v>
          </cell>
          <cell r="F461">
            <v>30165</v>
          </cell>
          <cell r="H461">
            <v>11795</v>
          </cell>
          <cell r="J461">
            <v>443</v>
          </cell>
          <cell r="L461">
            <v>17927</v>
          </cell>
        </row>
        <row r="462">
          <cell r="A462" t="str">
            <v>4.액체침투탐상검사(P.T) - 1M당</v>
          </cell>
          <cell r="F462">
            <v>38002</v>
          </cell>
          <cell r="H462">
            <v>14726</v>
          </cell>
          <cell r="J462">
            <v>894</v>
          </cell>
          <cell r="L462">
            <v>22382</v>
          </cell>
        </row>
        <row r="471">
          <cell r="E471" t="str">
            <v xml:space="preserve"> </v>
          </cell>
        </row>
        <row r="472">
          <cell r="B472" t="str">
            <v>ROLLER GATE 제작 인건비</v>
          </cell>
        </row>
        <row r="473">
          <cell r="A473" t="str">
            <v>종       별</v>
          </cell>
          <cell r="C473" t="str">
            <v>재 료 또 는</v>
          </cell>
          <cell r="D473" t="str">
            <v xml:space="preserve">원 수 </v>
          </cell>
          <cell r="E473" t="str">
            <v>단 위</v>
          </cell>
          <cell r="F473" t="str">
            <v>총   액</v>
          </cell>
          <cell r="G473" t="str">
            <v>노   무   비</v>
          </cell>
          <cell r="I473" t="str">
            <v>재   료   비</v>
          </cell>
          <cell r="K473" t="str">
            <v>경      비</v>
          </cell>
          <cell r="M473" t="str">
            <v>비   고</v>
          </cell>
        </row>
        <row r="474">
          <cell r="C474" t="str">
            <v xml:space="preserve">규       격 </v>
          </cell>
          <cell r="F474" t="str">
            <v>금   액</v>
          </cell>
          <cell r="G474" t="str">
            <v>단  가</v>
          </cell>
          <cell r="H474" t="str">
            <v>금   액</v>
          </cell>
          <cell r="I474" t="str">
            <v>단  가</v>
          </cell>
          <cell r="J474" t="str">
            <v>금   액</v>
          </cell>
          <cell r="K474" t="str">
            <v>단  가</v>
          </cell>
          <cell r="L474" t="str">
            <v>금   액</v>
          </cell>
        </row>
        <row r="475">
          <cell r="A475" t="str">
            <v>기 술 관 리</v>
          </cell>
          <cell r="C475" t="str">
            <v>기계기사1급</v>
          </cell>
          <cell r="D475">
            <v>0.5</v>
          </cell>
          <cell r="E475" t="str">
            <v>인</v>
          </cell>
          <cell r="G475">
            <v>97488</v>
          </cell>
          <cell r="H475">
            <v>48744</v>
          </cell>
        </row>
        <row r="476">
          <cell r="A476" t="str">
            <v>본  뜨  기</v>
          </cell>
          <cell r="C476" t="str">
            <v>프랜트제관공</v>
          </cell>
          <cell r="D476">
            <v>0.437</v>
          </cell>
          <cell r="E476" t="str">
            <v>인</v>
          </cell>
          <cell r="G476">
            <v>81966</v>
          </cell>
          <cell r="H476">
            <v>35819</v>
          </cell>
        </row>
        <row r="477">
          <cell r="A477" t="str">
            <v>금  긋  기</v>
          </cell>
          <cell r="C477" t="str">
            <v>프랜트제관공</v>
          </cell>
          <cell r="D477">
            <v>1.161</v>
          </cell>
          <cell r="E477" t="str">
            <v>인</v>
          </cell>
          <cell r="G477">
            <v>81966</v>
          </cell>
          <cell r="H477">
            <v>95162</v>
          </cell>
        </row>
        <row r="478">
          <cell r="A478" t="str">
            <v>절      단</v>
          </cell>
          <cell r="C478" t="str">
            <v>프랜트제관공</v>
          </cell>
          <cell r="D478">
            <v>0.318</v>
          </cell>
          <cell r="E478" t="str">
            <v>인</v>
          </cell>
          <cell r="G478">
            <v>81966</v>
          </cell>
          <cell r="H478">
            <v>26065</v>
          </cell>
        </row>
        <row r="479">
          <cell r="A479" t="str">
            <v>가      공</v>
          </cell>
          <cell r="C479" t="str">
            <v>프랜트제관공</v>
          </cell>
          <cell r="D479">
            <v>1.359</v>
          </cell>
          <cell r="E479" t="str">
            <v>인</v>
          </cell>
          <cell r="G479">
            <v>81966</v>
          </cell>
          <cell r="H479">
            <v>111391</v>
          </cell>
        </row>
        <row r="481">
          <cell r="A481" t="str">
            <v>구 멍 뚫 기</v>
          </cell>
          <cell r="C481" t="str">
            <v>프랜트제관공</v>
          </cell>
          <cell r="D481">
            <v>0.39700000000000002</v>
          </cell>
          <cell r="E481" t="str">
            <v>인</v>
          </cell>
          <cell r="G481">
            <v>81966</v>
          </cell>
          <cell r="H481">
            <v>32540</v>
          </cell>
        </row>
        <row r="482">
          <cell r="A482" t="str">
            <v>용      접</v>
          </cell>
          <cell r="C482" t="str">
            <v>프랜트용접공</v>
          </cell>
          <cell r="D482">
            <v>2.125</v>
          </cell>
          <cell r="E482" t="str">
            <v>인</v>
          </cell>
          <cell r="G482">
            <v>95379</v>
          </cell>
          <cell r="H482">
            <v>202680</v>
          </cell>
        </row>
        <row r="483">
          <cell r="A483" t="str">
            <v>부 품 조 립</v>
          </cell>
          <cell r="C483" t="str">
            <v>비 계 공</v>
          </cell>
          <cell r="D483">
            <v>1.0900000000000001</v>
          </cell>
          <cell r="E483" t="str">
            <v>인</v>
          </cell>
          <cell r="G483">
            <v>79467</v>
          </cell>
          <cell r="H483">
            <v>86619</v>
          </cell>
        </row>
        <row r="484">
          <cell r="C484" t="str">
            <v>프랜트기계설치공</v>
          </cell>
          <cell r="D484">
            <v>1.0900000000000001</v>
          </cell>
          <cell r="E484" t="str">
            <v>인</v>
          </cell>
          <cell r="G484">
            <v>80805</v>
          </cell>
          <cell r="H484">
            <v>88077</v>
          </cell>
        </row>
        <row r="485">
          <cell r="A485" t="str">
            <v>소운반 조립</v>
          </cell>
          <cell r="C485" t="str">
            <v>산소 절단공</v>
          </cell>
          <cell r="D485">
            <v>0.17</v>
          </cell>
          <cell r="E485" t="str">
            <v>인</v>
          </cell>
          <cell r="G485">
            <v>31794</v>
          </cell>
          <cell r="H485">
            <v>5404</v>
          </cell>
        </row>
        <row r="487">
          <cell r="A487" t="str">
            <v>가   조   립</v>
          </cell>
          <cell r="C487" t="str">
            <v>비   계   공</v>
          </cell>
          <cell r="D487">
            <v>0.86399999999999999</v>
          </cell>
          <cell r="E487" t="str">
            <v>인</v>
          </cell>
          <cell r="G487">
            <v>79467</v>
          </cell>
          <cell r="H487">
            <v>68659</v>
          </cell>
        </row>
        <row r="488">
          <cell r="C488" t="str">
            <v>프랜트 제관공</v>
          </cell>
          <cell r="D488">
            <v>1.766</v>
          </cell>
          <cell r="E488" t="str">
            <v>인</v>
          </cell>
          <cell r="G488">
            <v>81966</v>
          </cell>
          <cell r="H488">
            <v>144751</v>
          </cell>
        </row>
        <row r="489">
          <cell r="C489" t="str">
            <v>프랜트 용접공</v>
          </cell>
          <cell r="D489">
            <v>0.85299999999999998</v>
          </cell>
          <cell r="E489" t="str">
            <v>인</v>
          </cell>
          <cell r="G489">
            <v>95379</v>
          </cell>
          <cell r="H489">
            <v>81358</v>
          </cell>
        </row>
        <row r="490">
          <cell r="C490" t="str">
            <v>측   량   사</v>
          </cell>
          <cell r="D490">
            <v>0.14299999999999999</v>
          </cell>
          <cell r="E490" t="str">
            <v>인</v>
          </cell>
          <cell r="G490">
            <v>58506</v>
          </cell>
          <cell r="H490">
            <v>8366</v>
          </cell>
        </row>
        <row r="491">
          <cell r="C491" t="str">
            <v>프랜트기계설치공</v>
          </cell>
          <cell r="D491">
            <v>0.51800000000000002</v>
          </cell>
          <cell r="E491" t="str">
            <v>인</v>
          </cell>
          <cell r="G491">
            <v>80805</v>
          </cell>
          <cell r="H491">
            <v>41856</v>
          </cell>
        </row>
        <row r="492">
          <cell r="E492" t="str">
            <v xml:space="preserve"> </v>
          </cell>
        </row>
        <row r="493">
          <cell r="C493" t="str">
            <v>특 별 인 부</v>
          </cell>
          <cell r="D493">
            <v>0.245</v>
          </cell>
          <cell r="E493" t="str">
            <v>인</v>
          </cell>
          <cell r="G493">
            <v>57379</v>
          </cell>
          <cell r="H493">
            <v>14057</v>
          </cell>
        </row>
        <row r="494">
          <cell r="A494" t="str">
            <v>검사 및 교정</v>
          </cell>
          <cell r="C494" t="str">
            <v>기술관리 제외한</v>
          </cell>
          <cell r="D494" t="str">
            <v>1</v>
          </cell>
          <cell r="E494" t="str">
            <v>식</v>
          </cell>
          <cell r="H494">
            <v>104280</v>
          </cell>
        </row>
        <row r="495">
          <cell r="C495" t="str">
            <v>10%</v>
          </cell>
        </row>
        <row r="497">
          <cell r="B497" t="str">
            <v>계</v>
          </cell>
          <cell r="F497">
            <v>1195828</v>
          </cell>
          <cell r="H497">
            <v>1195828</v>
          </cell>
        </row>
        <row r="499">
          <cell r="A499" t="str">
            <v>ROLLER GATE 제작 사용장비 경비</v>
          </cell>
        </row>
        <row r="500">
          <cell r="E500" t="str">
            <v xml:space="preserve"> </v>
          </cell>
        </row>
        <row r="501">
          <cell r="A501" t="str">
            <v>종       별</v>
          </cell>
          <cell r="C501" t="str">
            <v>재 료 또 는</v>
          </cell>
          <cell r="D501" t="str">
            <v xml:space="preserve">원 수 </v>
          </cell>
          <cell r="E501" t="str">
            <v>단 위</v>
          </cell>
          <cell r="F501" t="str">
            <v>총   액</v>
          </cell>
          <cell r="G501" t="str">
            <v>노   무   비</v>
          </cell>
          <cell r="I501" t="str">
            <v>재   료   비</v>
          </cell>
          <cell r="K501" t="str">
            <v>경      비</v>
          </cell>
          <cell r="M501" t="str">
            <v>비   고</v>
          </cell>
        </row>
        <row r="502">
          <cell r="C502" t="str">
            <v xml:space="preserve">규       격 </v>
          </cell>
          <cell r="F502" t="str">
            <v>금   액</v>
          </cell>
          <cell r="G502" t="str">
            <v>단  가</v>
          </cell>
          <cell r="H502" t="str">
            <v>금   액</v>
          </cell>
          <cell r="I502" t="str">
            <v>단  가</v>
          </cell>
          <cell r="J502" t="str">
            <v>금   액</v>
          </cell>
          <cell r="K502" t="str">
            <v>단  가</v>
          </cell>
          <cell r="L502" t="str">
            <v>금   액</v>
          </cell>
        </row>
        <row r="503">
          <cell r="A503" t="str">
            <v>LATHE</v>
          </cell>
          <cell r="C503" t="str">
            <v>12FT x 7.5HP</v>
          </cell>
          <cell r="D503">
            <v>0.53600000000000003</v>
          </cell>
          <cell r="E503" t="str">
            <v>Hr</v>
          </cell>
          <cell r="G503">
            <v>3418</v>
          </cell>
          <cell r="H503">
            <v>1832</v>
          </cell>
          <cell r="I503" t="str">
            <v xml:space="preserve"> </v>
          </cell>
          <cell r="J503" t="str">
            <v xml:space="preserve"> </v>
          </cell>
          <cell r="K503">
            <v>3775</v>
          </cell>
          <cell r="L503">
            <v>2023</v>
          </cell>
        </row>
        <row r="504">
          <cell r="A504" t="str">
            <v>PLANER</v>
          </cell>
          <cell r="C504" t="str">
            <v>4FT x 8FT</v>
          </cell>
          <cell r="D504">
            <v>7.5999999999999998E-2</v>
          </cell>
          <cell r="E504" t="str">
            <v>Hr</v>
          </cell>
          <cell r="G504">
            <v>3129</v>
          </cell>
          <cell r="H504">
            <v>237</v>
          </cell>
          <cell r="I504" t="str">
            <v xml:space="preserve"> </v>
          </cell>
          <cell r="J504" t="str">
            <v xml:space="preserve"> </v>
          </cell>
          <cell r="K504">
            <v>2743</v>
          </cell>
          <cell r="L504">
            <v>208</v>
          </cell>
        </row>
        <row r="505">
          <cell r="A505" t="str">
            <v>BORING M/C</v>
          </cell>
          <cell r="C505" t="str">
            <v>Hori.type,3HP</v>
          </cell>
          <cell r="D505">
            <v>1.4359999999999999</v>
          </cell>
          <cell r="E505" t="str">
            <v>Hr</v>
          </cell>
          <cell r="G505">
            <v>3547</v>
          </cell>
          <cell r="H505">
            <v>5093</v>
          </cell>
          <cell r="I505" t="str">
            <v xml:space="preserve"> </v>
          </cell>
          <cell r="J505" t="str">
            <v xml:space="preserve"> </v>
          </cell>
          <cell r="K505">
            <v>8928</v>
          </cell>
          <cell r="L505">
            <v>12820</v>
          </cell>
        </row>
        <row r="506">
          <cell r="A506" t="str">
            <v>UNION MELT WELDER</v>
          </cell>
          <cell r="C506" t="str">
            <v>5.5 KVA</v>
          </cell>
          <cell r="D506">
            <v>2.72</v>
          </cell>
          <cell r="E506" t="str">
            <v>Hr</v>
          </cell>
          <cell r="G506">
            <v>3488</v>
          </cell>
          <cell r="H506">
            <v>9487</v>
          </cell>
          <cell r="I506" t="str">
            <v xml:space="preserve"> </v>
          </cell>
          <cell r="J506" t="str">
            <v xml:space="preserve"> </v>
          </cell>
          <cell r="K506">
            <v>1797</v>
          </cell>
          <cell r="L506">
            <v>4887</v>
          </cell>
        </row>
        <row r="507">
          <cell r="A507" t="str">
            <v>A.C WELDER</v>
          </cell>
          <cell r="C507" t="str">
            <v>10KVA</v>
          </cell>
          <cell r="D507">
            <v>8.16</v>
          </cell>
          <cell r="E507" t="str">
            <v>Hr</v>
          </cell>
          <cell r="I507" t="str">
            <v xml:space="preserve"> </v>
          </cell>
          <cell r="J507" t="str">
            <v xml:space="preserve"> </v>
          </cell>
          <cell r="K507">
            <v>155</v>
          </cell>
          <cell r="L507">
            <v>1264</v>
          </cell>
        </row>
        <row r="508">
          <cell r="E508" t="str">
            <v xml:space="preserve"> </v>
          </cell>
          <cell r="I508" t="str">
            <v xml:space="preserve"> </v>
          </cell>
          <cell r="J508" t="str">
            <v xml:space="preserve"> </v>
          </cell>
        </row>
        <row r="509">
          <cell r="A509" t="str">
            <v>GOUGING M/C</v>
          </cell>
          <cell r="C509" t="str">
            <v>중 형</v>
          </cell>
          <cell r="D509">
            <v>1.7</v>
          </cell>
          <cell r="E509" t="str">
            <v>Hr</v>
          </cell>
          <cell r="G509">
            <v>3380</v>
          </cell>
          <cell r="H509">
            <v>5746</v>
          </cell>
          <cell r="I509" t="str">
            <v xml:space="preserve"> </v>
          </cell>
          <cell r="J509" t="str">
            <v xml:space="preserve"> </v>
          </cell>
          <cell r="K509">
            <v>670</v>
          </cell>
          <cell r="L509">
            <v>1139</v>
          </cell>
        </row>
        <row r="510">
          <cell r="A510" t="str">
            <v>GAS CUTTING M/C</v>
          </cell>
          <cell r="C510" t="str">
            <v>Auto형</v>
          </cell>
          <cell r="D510">
            <v>1.016</v>
          </cell>
          <cell r="E510" t="str">
            <v>Hr</v>
          </cell>
          <cell r="G510">
            <v>11922</v>
          </cell>
          <cell r="H510">
            <v>12112</v>
          </cell>
          <cell r="I510" t="str">
            <v xml:space="preserve"> </v>
          </cell>
          <cell r="J510" t="str">
            <v xml:space="preserve"> </v>
          </cell>
          <cell r="K510">
            <v>119</v>
          </cell>
          <cell r="L510">
            <v>120</v>
          </cell>
        </row>
        <row r="511">
          <cell r="A511" t="str">
            <v>GAS CUTTING M/C</v>
          </cell>
          <cell r="C511" t="str">
            <v>수 동</v>
          </cell>
          <cell r="D511">
            <v>1.016</v>
          </cell>
          <cell r="E511" t="str">
            <v>Hr</v>
          </cell>
          <cell r="G511">
            <v>3974</v>
          </cell>
          <cell r="H511">
            <v>4037</v>
          </cell>
          <cell r="I511" t="str">
            <v xml:space="preserve"> </v>
          </cell>
          <cell r="J511" t="str">
            <v xml:space="preserve"> </v>
          </cell>
          <cell r="K511">
            <v>115</v>
          </cell>
          <cell r="L511">
            <v>116</v>
          </cell>
        </row>
        <row r="512">
          <cell r="A512" t="str">
            <v>GAS HEATING TOUCH</v>
          </cell>
          <cell r="C512" t="str">
            <v>중 형</v>
          </cell>
          <cell r="D512">
            <v>3.3279999999999998</v>
          </cell>
          <cell r="E512" t="str">
            <v>Hr</v>
          </cell>
          <cell r="G512">
            <v>3174</v>
          </cell>
          <cell r="H512">
            <v>10563</v>
          </cell>
          <cell r="I512" t="str">
            <v xml:space="preserve"> </v>
          </cell>
          <cell r="J512" t="str">
            <v xml:space="preserve"> </v>
          </cell>
          <cell r="K512">
            <v>115</v>
          </cell>
          <cell r="L512">
            <v>382</v>
          </cell>
        </row>
        <row r="513">
          <cell r="A513" t="str">
            <v>OVER HEAD CRANE</v>
          </cell>
          <cell r="C513" t="str">
            <v>30 TON</v>
          </cell>
          <cell r="D513">
            <v>1.2689999999999999</v>
          </cell>
          <cell r="E513" t="str">
            <v>Hr</v>
          </cell>
          <cell r="G513">
            <v>9681</v>
          </cell>
          <cell r="H513">
            <v>12285</v>
          </cell>
          <cell r="I513" t="str">
            <v xml:space="preserve"> </v>
          </cell>
          <cell r="J513" t="str">
            <v xml:space="preserve"> </v>
          </cell>
          <cell r="K513">
            <v>4123</v>
          </cell>
          <cell r="L513">
            <v>5232</v>
          </cell>
        </row>
        <row r="514">
          <cell r="E514" t="str">
            <v xml:space="preserve"> </v>
          </cell>
          <cell r="I514" t="str">
            <v xml:space="preserve"> </v>
          </cell>
          <cell r="J514" t="str">
            <v xml:space="preserve"> </v>
          </cell>
        </row>
        <row r="515">
          <cell r="A515" t="str">
            <v>HYDRO PRESS</v>
          </cell>
          <cell r="C515" t="str">
            <v>100 TON</v>
          </cell>
          <cell r="D515">
            <v>1.48</v>
          </cell>
          <cell r="E515" t="str">
            <v>Hr</v>
          </cell>
          <cell r="G515">
            <v>3281</v>
          </cell>
          <cell r="H515">
            <v>4855</v>
          </cell>
          <cell r="I515" t="str">
            <v xml:space="preserve"> </v>
          </cell>
          <cell r="J515" t="str">
            <v xml:space="preserve"> </v>
          </cell>
          <cell r="K515">
            <v>6045</v>
          </cell>
          <cell r="L515">
            <v>8946</v>
          </cell>
        </row>
        <row r="516">
          <cell r="A516" t="str">
            <v>BENDING ROLLER</v>
          </cell>
          <cell r="C516" t="str">
            <v>23 FT</v>
          </cell>
          <cell r="D516">
            <v>1.0880000000000001</v>
          </cell>
          <cell r="E516" t="str">
            <v>Hr</v>
          </cell>
          <cell r="G516">
            <v>4281</v>
          </cell>
          <cell r="H516">
            <v>4657</v>
          </cell>
          <cell r="I516" t="str">
            <v xml:space="preserve"> </v>
          </cell>
          <cell r="J516" t="str">
            <v xml:space="preserve"> </v>
          </cell>
          <cell r="K516">
            <v>6323</v>
          </cell>
          <cell r="L516">
            <v>6879</v>
          </cell>
        </row>
        <row r="517">
          <cell r="A517" t="str">
            <v>SHEARING M/C</v>
          </cell>
          <cell r="D517">
            <v>0.25600000000000001</v>
          </cell>
          <cell r="E517" t="str">
            <v>Hr</v>
          </cell>
          <cell r="G517">
            <v>3688</v>
          </cell>
          <cell r="H517">
            <v>944</v>
          </cell>
          <cell r="I517" t="str">
            <v xml:space="preserve"> </v>
          </cell>
          <cell r="J517" t="str">
            <v xml:space="preserve"> </v>
          </cell>
          <cell r="K517">
            <v>3209</v>
          </cell>
          <cell r="L517">
            <v>821</v>
          </cell>
        </row>
        <row r="518">
          <cell r="A518" t="str">
            <v>DRILLING M/C</v>
          </cell>
          <cell r="C518" t="str">
            <v>3 HP</v>
          </cell>
          <cell r="D518">
            <v>1.6319999999999999</v>
          </cell>
          <cell r="E518" t="str">
            <v>Hr</v>
          </cell>
          <cell r="G518">
            <v>3401</v>
          </cell>
          <cell r="H518">
            <v>5550</v>
          </cell>
          <cell r="I518" t="str">
            <v xml:space="preserve"> </v>
          </cell>
          <cell r="J518" t="str">
            <v xml:space="preserve"> </v>
          </cell>
          <cell r="K518">
            <v>576</v>
          </cell>
          <cell r="L518">
            <v>940</v>
          </cell>
        </row>
        <row r="519">
          <cell r="A519" t="str">
            <v>DRILLING M/C</v>
          </cell>
          <cell r="C519" t="str">
            <v>Radial,5 HP</v>
          </cell>
          <cell r="D519">
            <v>0.81599999999999995</v>
          </cell>
          <cell r="E519" t="str">
            <v>Hr</v>
          </cell>
          <cell r="G519">
            <v>3401</v>
          </cell>
          <cell r="H519">
            <v>2775</v>
          </cell>
          <cell r="I519" t="str">
            <v xml:space="preserve"> </v>
          </cell>
          <cell r="J519" t="str">
            <v xml:space="preserve"> </v>
          </cell>
          <cell r="K519">
            <v>1720</v>
          </cell>
          <cell r="L519">
            <v>1403</v>
          </cell>
        </row>
        <row r="520">
          <cell r="E520" t="str">
            <v xml:space="preserve"> </v>
          </cell>
          <cell r="I520" t="str">
            <v xml:space="preserve"> </v>
          </cell>
          <cell r="J520" t="str">
            <v xml:space="preserve"> </v>
          </cell>
        </row>
        <row r="521">
          <cell r="A521" t="str">
            <v>COMPRESSOR</v>
          </cell>
          <cell r="C521" t="str">
            <v>7.1㎥/min</v>
          </cell>
          <cell r="D521">
            <v>3.17</v>
          </cell>
          <cell r="E521" t="str">
            <v>Hr</v>
          </cell>
          <cell r="G521">
            <v>9681</v>
          </cell>
          <cell r="H521">
            <v>30688</v>
          </cell>
          <cell r="I521">
            <v>6189</v>
          </cell>
          <cell r="J521">
            <v>19619</v>
          </cell>
          <cell r="K521">
            <v>3137</v>
          </cell>
          <cell r="L521">
            <v>9944</v>
          </cell>
        </row>
        <row r="522">
          <cell r="A522" t="str">
            <v>PORTABLE DRILL</v>
          </cell>
          <cell r="C522" t="str">
            <v>0.5 HP</v>
          </cell>
          <cell r="D522">
            <v>1.2210000000000001</v>
          </cell>
          <cell r="E522" t="str">
            <v>Hr</v>
          </cell>
          <cell r="K522">
            <v>12</v>
          </cell>
          <cell r="L522">
            <v>14</v>
          </cell>
        </row>
        <row r="523">
          <cell r="A523" t="str">
            <v>TRUCK CRANE</v>
          </cell>
          <cell r="C523" t="str">
            <v>30 TON</v>
          </cell>
          <cell r="D523">
            <v>0.42299999999999999</v>
          </cell>
          <cell r="E523" t="str">
            <v>Hr</v>
          </cell>
          <cell r="G523">
            <v>18615</v>
          </cell>
          <cell r="H523">
            <v>7874</v>
          </cell>
          <cell r="I523">
            <v>7046</v>
          </cell>
          <cell r="J523">
            <v>2980</v>
          </cell>
          <cell r="K523">
            <v>44939</v>
          </cell>
          <cell r="L523">
            <v>19009</v>
          </cell>
        </row>
        <row r="524">
          <cell r="A524" t="str">
            <v>Fork Lift</v>
          </cell>
          <cell r="C524" t="str">
            <v>5 TON</v>
          </cell>
          <cell r="D524">
            <v>0.42299999999999999</v>
          </cell>
          <cell r="E524" t="str">
            <v>Hr</v>
          </cell>
          <cell r="G524">
            <v>9681</v>
          </cell>
          <cell r="H524">
            <v>4095</v>
          </cell>
          <cell r="I524">
            <v>5116.08</v>
          </cell>
          <cell r="J524">
            <v>2164</v>
          </cell>
          <cell r="K524">
            <v>4863</v>
          </cell>
          <cell r="L524">
            <v>2057</v>
          </cell>
        </row>
        <row r="525">
          <cell r="A525" t="str">
            <v>Trailer</v>
          </cell>
          <cell r="C525" t="str">
            <v>30ton</v>
          </cell>
          <cell r="D525">
            <v>0.42299999999999999</v>
          </cell>
          <cell r="E525" t="str">
            <v>Hr</v>
          </cell>
          <cell r="G525">
            <v>8683</v>
          </cell>
          <cell r="H525">
            <v>3672</v>
          </cell>
          <cell r="I525">
            <v>15763</v>
          </cell>
          <cell r="J525">
            <v>6667</v>
          </cell>
          <cell r="K525">
            <v>27414</v>
          </cell>
          <cell r="L525">
            <v>11596</v>
          </cell>
        </row>
        <row r="527">
          <cell r="B527" t="str">
            <v>계</v>
          </cell>
          <cell r="F527">
            <v>247732</v>
          </cell>
          <cell r="H527">
            <v>126502</v>
          </cell>
          <cell r="J527">
            <v>31430</v>
          </cell>
          <cell r="K527" t="str">
            <v xml:space="preserve"> </v>
          </cell>
          <cell r="L527">
            <v>89800</v>
          </cell>
        </row>
        <row r="528">
          <cell r="A528" t="str">
            <v>ROLLER GATE 제작 소모 자재비</v>
          </cell>
        </row>
        <row r="529">
          <cell r="E529" t="str">
            <v xml:space="preserve"> </v>
          </cell>
        </row>
        <row r="530">
          <cell r="A530" t="str">
            <v>종       별</v>
          </cell>
          <cell r="C530" t="str">
            <v>재 료 또 는</v>
          </cell>
          <cell r="D530" t="str">
            <v xml:space="preserve">원 수 </v>
          </cell>
          <cell r="E530" t="str">
            <v>단 위</v>
          </cell>
          <cell r="F530" t="str">
            <v>총   액</v>
          </cell>
          <cell r="G530" t="str">
            <v>노   무   비</v>
          </cell>
          <cell r="I530" t="str">
            <v>재   료   비</v>
          </cell>
          <cell r="K530" t="str">
            <v>경      비</v>
          </cell>
          <cell r="M530" t="str">
            <v>비   고</v>
          </cell>
        </row>
        <row r="531">
          <cell r="C531" t="str">
            <v xml:space="preserve">규       격 </v>
          </cell>
          <cell r="F531" t="str">
            <v>금   액</v>
          </cell>
          <cell r="G531" t="str">
            <v>단  가</v>
          </cell>
          <cell r="H531" t="str">
            <v>금   액</v>
          </cell>
          <cell r="I531" t="str">
            <v>단  가</v>
          </cell>
          <cell r="J531" t="str">
            <v>금   액</v>
          </cell>
          <cell r="K531" t="str">
            <v>단  가</v>
          </cell>
          <cell r="L531" t="str">
            <v>금   액</v>
          </cell>
        </row>
        <row r="533">
          <cell r="A533" t="str">
            <v>산       소</v>
          </cell>
          <cell r="C533" t="str">
            <v>6,000L용</v>
          </cell>
          <cell r="D533">
            <v>3</v>
          </cell>
          <cell r="E533" t="str">
            <v>병</v>
          </cell>
          <cell r="G533" t="str">
            <v xml:space="preserve"> </v>
          </cell>
          <cell r="I533">
            <v>12000</v>
          </cell>
          <cell r="J533">
            <v>36000</v>
          </cell>
        </row>
        <row r="534">
          <cell r="A534" t="str">
            <v>아 세 치 렌</v>
          </cell>
          <cell r="C534" t="str">
            <v>4,500L용</v>
          </cell>
          <cell r="D534">
            <v>2.58</v>
          </cell>
          <cell r="E534" t="str">
            <v>병</v>
          </cell>
          <cell r="I534">
            <v>55392</v>
          </cell>
          <cell r="J534">
            <v>142911</v>
          </cell>
        </row>
        <row r="535">
          <cell r="A535" t="str">
            <v>함       석</v>
          </cell>
          <cell r="C535" t="str">
            <v>#31 x 3' x 6'</v>
          </cell>
          <cell r="D535">
            <v>0.62</v>
          </cell>
          <cell r="E535" t="str">
            <v>매</v>
          </cell>
          <cell r="I535">
            <v>2825</v>
          </cell>
          <cell r="J535">
            <v>1751</v>
          </cell>
        </row>
        <row r="536">
          <cell r="A536" t="str">
            <v>용   접  봉</v>
          </cell>
          <cell r="C536" t="str">
            <v>SS41, 4M/Mx350L</v>
          </cell>
          <cell r="D536">
            <v>20</v>
          </cell>
          <cell r="E536" t="str">
            <v>KG</v>
          </cell>
          <cell r="I536">
            <v>1260</v>
          </cell>
          <cell r="J536">
            <v>25200</v>
          </cell>
        </row>
        <row r="537">
          <cell r="A537" t="str">
            <v>전       력</v>
          </cell>
          <cell r="D537">
            <v>310</v>
          </cell>
          <cell r="E537" t="str">
            <v>KWH</v>
          </cell>
          <cell r="I537" t="str">
            <v xml:space="preserve"> </v>
          </cell>
          <cell r="K537">
            <v>61.6</v>
          </cell>
          <cell r="L537">
            <v>19096</v>
          </cell>
        </row>
        <row r="538">
          <cell r="E538" t="str">
            <v xml:space="preserve"> </v>
          </cell>
          <cell r="I538" t="str">
            <v xml:space="preserve"> </v>
          </cell>
          <cell r="K538" t="str">
            <v xml:space="preserve"> </v>
          </cell>
        </row>
        <row r="540">
          <cell r="B540" t="str">
            <v>계</v>
          </cell>
          <cell r="F540">
            <v>224958</v>
          </cell>
          <cell r="J540">
            <v>205862</v>
          </cell>
          <cell r="L540">
            <v>19096</v>
          </cell>
        </row>
        <row r="557">
          <cell r="A557" t="str">
            <v>ROLLER GATE GUIDE FRAME 제작 인건비</v>
          </cell>
        </row>
        <row r="558">
          <cell r="E558" t="str">
            <v xml:space="preserve"> </v>
          </cell>
        </row>
        <row r="559">
          <cell r="A559" t="str">
            <v>종       별</v>
          </cell>
          <cell r="C559" t="str">
            <v>재 료 또 는</v>
          </cell>
          <cell r="D559" t="str">
            <v xml:space="preserve">원 수 </v>
          </cell>
          <cell r="E559" t="str">
            <v>단 위</v>
          </cell>
          <cell r="F559" t="str">
            <v>총   액</v>
          </cell>
          <cell r="G559" t="str">
            <v>노   무   비</v>
          </cell>
          <cell r="I559" t="str">
            <v>재   료   비</v>
          </cell>
          <cell r="K559" t="str">
            <v>경      비</v>
          </cell>
          <cell r="M559" t="str">
            <v>비   고</v>
          </cell>
        </row>
        <row r="560">
          <cell r="C560" t="str">
            <v xml:space="preserve">규       격 </v>
          </cell>
          <cell r="F560" t="str">
            <v>금   액</v>
          </cell>
          <cell r="G560" t="str">
            <v>단  가</v>
          </cell>
          <cell r="H560" t="str">
            <v>금   액</v>
          </cell>
          <cell r="I560" t="str">
            <v>단  가</v>
          </cell>
          <cell r="J560" t="str">
            <v>금   액</v>
          </cell>
          <cell r="K560" t="str">
            <v>단  가</v>
          </cell>
          <cell r="L560" t="str">
            <v>금   액</v>
          </cell>
        </row>
        <row r="561">
          <cell r="A561" t="str">
            <v>기 술 관 리</v>
          </cell>
          <cell r="C561" t="str">
            <v>기계기사1급</v>
          </cell>
          <cell r="D561">
            <v>2.5</v>
          </cell>
          <cell r="E561" t="str">
            <v>인</v>
          </cell>
          <cell r="G561">
            <v>97488</v>
          </cell>
          <cell r="H561">
            <v>243720</v>
          </cell>
        </row>
        <row r="562">
          <cell r="A562" t="str">
            <v>사      도</v>
          </cell>
          <cell r="C562" t="str">
            <v>제   도   공</v>
          </cell>
          <cell r="D562">
            <v>1</v>
          </cell>
          <cell r="E562" t="str">
            <v>인</v>
          </cell>
          <cell r="G562">
            <v>32747</v>
          </cell>
          <cell r="H562">
            <v>32747</v>
          </cell>
        </row>
        <row r="563">
          <cell r="A563" t="str">
            <v>재료 절단 현도</v>
          </cell>
          <cell r="C563" t="str">
            <v>현   도   공</v>
          </cell>
          <cell r="D563">
            <v>0.63</v>
          </cell>
          <cell r="E563" t="str">
            <v>인</v>
          </cell>
          <cell r="G563">
            <v>28487</v>
          </cell>
          <cell r="H563">
            <v>17946</v>
          </cell>
        </row>
        <row r="564">
          <cell r="A564" t="str">
            <v xml:space="preserve"> </v>
          </cell>
          <cell r="B564" t="str">
            <v>괘    서</v>
          </cell>
          <cell r="C564" t="str">
            <v>마   킹   공</v>
          </cell>
          <cell r="D564">
            <v>1.26</v>
          </cell>
          <cell r="E564" t="str">
            <v>인</v>
          </cell>
          <cell r="G564">
            <v>26924</v>
          </cell>
          <cell r="H564">
            <v>33924</v>
          </cell>
        </row>
        <row r="565">
          <cell r="A565" t="str">
            <v xml:space="preserve"> </v>
          </cell>
          <cell r="B565" t="str">
            <v>절    단</v>
          </cell>
          <cell r="C565" t="str">
            <v>절   단   공</v>
          </cell>
          <cell r="D565">
            <v>0.33</v>
          </cell>
          <cell r="E565" t="str">
            <v>인</v>
          </cell>
          <cell r="G565">
            <v>65881</v>
          </cell>
          <cell r="H565">
            <v>21740</v>
          </cell>
        </row>
        <row r="567">
          <cell r="B567" t="str">
            <v>교    정</v>
          </cell>
          <cell r="C567" t="str">
            <v>프랜트 제관공</v>
          </cell>
          <cell r="D567">
            <v>0.6</v>
          </cell>
          <cell r="E567" t="str">
            <v>인</v>
          </cell>
          <cell r="G567">
            <v>81966</v>
          </cell>
          <cell r="H567">
            <v>49179</v>
          </cell>
        </row>
        <row r="568">
          <cell r="A568" t="str">
            <v>단재가공 괘서</v>
          </cell>
          <cell r="C568" t="str">
            <v>마   킹   공</v>
          </cell>
          <cell r="D568">
            <v>1.26</v>
          </cell>
          <cell r="E568" t="str">
            <v>인</v>
          </cell>
          <cell r="G568">
            <v>26924</v>
          </cell>
          <cell r="H568">
            <v>33924</v>
          </cell>
        </row>
        <row r="569">
          <cell r="A569" t="str">
            <v xml:space="preserve"> </v>
          </cell>
          <cell r="B569" t="str">
            <v>절    단</v>
          </cell>
          <cell r="C569" t="str">
            <v>절   단   공</v>
          </cell>
          <cell r="D569">
            <v>0.16</v>
          </cell>
          <cell r="E569" t="str">
            <v>인</v>
          </cell>
          <cell r="G569">
            <v>65881</v>
          </cell>
          <cell r="H569">
            <v>10540</v>
          </cell>
        </row>
        <row r="570">
          <cell r="B570" t="str">
            <v>EDGE가공</v>
          </cell>
          <cell r="C570" t="str">
            <v>산소 절단공</v>
          </cell>
          <cell r="D570">
            <v>0.17</v>
          </cell>
          <cell r="E570" t="str">
            <v>인</v>
          </cell>
          <cell r="G570">
            <v>31794</v>
          </cell>
          <cell r="H570">
            <v>5404</v>
          </cell>
        </row>
        <row r="571">
          <cell r="A571" t="str">
            <v xml:space="preserve"> </v>
          </cell>
          <cell r="B571" t="str">
            <v>용    접</v>
          </cell>
          <cell r="C571" t="str">
            <v>프랜트 용접공</v>
          </cell>
          <cell r="D571">
            <v>1.3</v>
          </cell>
          <cell r="E571" t="str">
            <v>인</v>
          </cell>
          <cell r="G571">
            <v>95379</v>
          </cell>
          <cell r="H571">
            <v>123992</v>
          </cell>
        </row>
        <row r="573">
          <cell r="A573" t="str">
            <v xml:space="preserve"> </v>
          </cell>
          <cell r="B573" t="str">
            <v>교    정</v>
          </cell>
          <cell r="C573" t="str">
            <v>프랜트 제관공</v>
          </cell>
          <cell r="D573">
            <v>0.75</v>
          </cell>
          <cell r="E573" t="str">
            <v>인</v>
          </cell>
          <cell r="G573">
            <v>81966</v>
          </cell>
          <cell r="H573">
            <v>61474</v>
          </cell>
        </row>
        <row r="574">
          <cell r="B574" t="str">
            <v>HOLING</v>
          </cell>
          <cell r="C574" t="str">
            <v>프랜트 제관공</v>
          </cell>
          <cell r="D574">
            <v>0.15</v>
          </cell>
          <cell r="E574" t="str">
            <v>인</v>
          </cell>
          <cell r="G574">
            <v>81966</v>
          </cell>
          <cell r="H574">
            <v>12294</v>
          </cell>
        </row>
        <row r="575">
          <cell r="A575" t="str">
            <v>부분조립,취부조정</v>
          </cell>
          <cell r="C575" t="str">
            <v>프랜트기계설치공</v>
          </cell>
          <cell r="D575">
            <v>3.7</v>
          </cell>
          <cell r="E575" t="str">
            <v>인</v>
          </cell>
          <cell r="G575">
            <v>80805</v>
          </cell>
          <cell r="H575">
            <v>298978</v>
          </cell>
        </row>
        <row r="576">
          <cell r="A576" t="str">
            <v>용      접</v>
          </cell>
          <cell r="C576" t="str">
            <v>프랜트 용접공</v>
          </cell>
          <cell r="D576">
            <v>8.4</v>
          </cell>
          <cell r="E576" t="str">
            <v>인</v>
          </cell>
          <cell r="G576">
            <v>95379</v>
          </cell>
          <cell r="H576">
            <v>801183</v>
          </cell>
        </row>
        <row r="577">
          <cell r="A577" t="str">
            <v>절      단</v>
          </cell>
          <cell r="C577" t="str">
            <v>절   단   공</v>
          </cell>
          <cell r="D577">
            <v>0.1</v>
          </cell>
          <cell r="E577" t="str">
            <v>인</v>
          </cell>
          <cell r="G577">
            <v>65881</v>
          </cell>
          <cell r="H577">
            <v>6588</v>
          </cell>
        </row>
        <row r="578">
          <cell r="E578" t="str">
            <v xml:space="preserve"> </v>
          </cell>
        </row>
        <row r="579">
          <cell r="A579" t="str">
            <v>교      정</v>
          </cell>
          <cell r="C579" t="str">
            <v>프랜트 제관공</v>
          </cell>
          <cell r="D579">
            <v>1.75</v>
          </cell>
          <cell r="E579" t="str">
            <v>인</v>
          </cell>
          <cell r="G579">
            <v>81966</v>
          </cell>
          <cell r="H579">
            <v>143440</v>
          </cell>
        </row>
        <row r="580">
          <cell r="A580" t="str">
            <v>기 계 가 공</v>
          </cell>
          <cell r="C580" t="str">
            <v>기   계   공</v>
          </cell>
          <cell r="D580">
            <v>1.26</v>
          </cell>
          <cell r="E580" t="str">
            <v>인</v>
          </cell>
          <cell r="G580">
            <v>58906</v>
          </cell>
          <cell r="H580">
            <v>74221</v>
          </cell>
        </row>
        <row r="581">
          <cell r="C581" t="str">
            <v>기계 연마공</v>
          </cell>
          <cell r="D581">
            <v>0.126</v>
          </cell>
          <cell r="E581" t="str">
            <v>인</v>
          </cell>
          <cell r="G581">
            <v>26032</v>
          </cell>
          <cell r="H581">
            <v>3280</v>
          </cell>
        </row>
        <row r="582">
          <cell r="A582" t="str">
            <v>가 조 립,조 립</v>
          </cell>
          <cell r="C582" t="str">
            <v>프랜트기계설치공</v>
          </cell>
          <cell r="D582">
            <v>2</v>
          </cell>
          <cell r="E582" t="str">
            <v>인</v>
          </cell>
          <cell r="G582">
            <v>80805</v>
          </cell>
          <cell r="H582">
            <v>161610</v>
          </cell>
        </row>
        <row r="583">
          <cell r="A583" t="str">
            <v>가 조 립,해 체</v>
          </cell>
          <cell r="C583" t="str">
            <v>프랜트기계설치공</v>
          </cell>
          <cell r="D583">
            <v>1</v>
          </cell>
          <cell r="E583" t="str">
            <v>인</v>
          </cell>
          <cell r="G583">
            <v>80805</v>
          </cell>
          <cell r="H583">
            <v>80805</v>
          </cell>
        </row>
        <row r="584">
          <cell r="E584" t="str">
            <v xml:space="preserve"> </v>
          </cell>
        </row>
        <row r="585">
          <cell r="A585" t="str">
            <v>운 반 조 작</v>
          </cell>
          <cell r="C585" t="str">
            <v>특수 비계공</v>
          </cell>
          <cell r="D585">
            <v>5</v>
          </cell>
          <cell r="E585" t="str">
            <v>인</v>
          </cell>
          <cell r="G585">
            <v>85884</v>
          </cell>
          <cell r="H585">
            <v>429420</v>
          </cell>
        </row>
        <row r="586">
          <cell r="A586" t="str">
            <v>종       별</v>
          </cell>
          <cell r="C586" t="str">
            <v>재 료 또 는</v>
          </cell>
          <cell r="D586" t="str">
            <v xml:space="preserve">원 수 </v>
          </cell>
          <cell r="E586" t="str">
            <v>단 위</v>
          </cell>
          <cell r="F586" t="str">
            <v>총   액</v>
          </cell>
          <cell r="G586" t="str">
            <v>노   무   비</v>
          </cell>
          <cell r="I586" t="str">
            <v>재   료   비</v>
          </cell>
          <cell r="K586" t="str">
            <v>경      비</v>
          </cell>
          <cell r="M586" t="str">
            <v>비   고</v>
          </cell>
        </row>
        <row r="587">
          <cell r="C587" t="str">
            <v xml:space="preserve">규       격 </v>
          </cell>
          <cell r="F587" t="str">
            <v>금   액</v>
          </cell>
          <cell r="G587" t="str">
            <v>단  가</v>
          </cell>
          <cell r="H587" t="str">
            <v>금   액</v>
          </cell>
          <cell r="I587" t="str">
            <v>단  가</v>
          </cell>
          <cell r="J587" t="str">
            <v>금   액</v>
          </cell>
          <cell r="K587" t="str">
            <v>단  가</v>
          </cell>
          <cell r="L587" t="str">
            <v>금   액</v>
          </cell>
        </row>
        <row r="588">
          <cell r="A588" t="str">
            <v>동 력 조 작</v>
          </cell>
          <cell r="C588" t="str">
            <v>플랜트전공</v>
          </cell>
          <cell r="D588">
            <v>1</v>
          </cell>
          <cell r="E588" t="str">
            <v>인</v>
          </cell>
          <cell r="G588">
            <v>64285</v>
          </cell>
          <cell r="H588">
            <v>64285</v>
          </cell>
        </row>
        <row r="589">
          <cell r="A589" t="str">
            <v>보      조</v>
          </cell>
          <cell r="C589" t="str">
            <v>특 별 인 부</v>
          </cell>
          <cell r="D589">
            <v>14.4</v>
          </cell>
          <cell r="E589" t="str">
            <v>인</v>
          </cell>
          <cell r="G589">
            <v>57379</v>
          </cell>
          <cell r="H589">
            <v>826257</v>
          </cell>
        </row>
        <row r="590">
          <cell r="A590" t="str">
            <v>검      사</v>
          </cell>
          <cell r="C590" t="str">
            <v>인건비 7%</v>
          </cell>
          <cell r="D590" t="str">
            <v>1</v>
          </cell>
          <cell r="E590" t="str">
            <v>식</v>
          </cell>
          <cell r="H590">
            <v>247586</v>
          </cell>
        </row>
        <row r="592">
          <cell r="B592" t="str">
            <v>계</v>
          </cell>
          <cell r="F592">
            <v>3784537</v>
          </cell>
          <cell r="H592">
            <v>3784537</v>
          </cell>
        </row>
        <row r="615">
          <cell r="A615" t="str">
            <v>ROLLER GATE GUIDE FRAME 제작 소모 자재비</v>
          </cell>
        </row>
        <row r="616">
          <cell r="E616" t="str">
            <v xml:space="preserve"> </v>
          </cell>
        </row>
        <row r="617">
          <cell r="A617" t="str">
            <v>종       별</v>
          </cell>
          <cell r="C617" t="str">
            <v>재 료 또 는</v>
          </cell>
          <cell r="D617" t="str">
            <v xml:space="preserve">원 수 </v>
          </cell>
          <cell r="E617" t="str">
            <v>단 위</v>
          </cell>
          <cell r="F617" t="str">
            <v>총   액</v>
          </cell>
          <cell r="G617" t="str">
            <v>노   무   비</v>
          </cell>
          <cell r="I617" t="str">
            <v>재   료   비</v>
          </cell>
          <cell r="K617" t="str">
            <v>경      비</v>
          </cell>
          <cell r="M617" t="str">
            <v>비   고</v>
          </cell>
        </row>
        <row r="618">
          <cell r="C618" t="str">
            <v xml:space="preserve">규       격 </v>
          </cell>
          <cell r="F618" t="str">
            <v>금   액</v>
          </cell>
          <cell r="G618" t="str">
            <v>단  가</v>
          </cell>
          <cell r="H618" t="str">
            <v>금   액</v>
          </cell>
          <cell r="I618" t="str">
            <v>단  가</v>
          </cell>
          <cell r="J618" t="str">
            <v>금   액</v>
          </cell>
          <cell r="K618" t="str">
            <v>단  가</v>
          </cell>
          <cell r="L618" t="str">
            <v>금   액</v>
          </cell>
        </row>
        <row r="619">
          <cell r="A619" t="str">
            <v>산       소</v>
          </cell>
          <cell r="C619" t="str">
            <v>6,000L용</v>
          </cell>
          <cell r="D619">
            <v>2.2999999999999998</v>
          </cell>
          <cell r="E619" t="str">
            <v>병</v>
          </cell>
          <cell r="G619" t="str">
            <v xml:space="preserve"> </v>
          </cell>
          <cell r="I619">
            <v>12000</v>
          </cell>
          <cell r="J619">
            <v>27600</v>
          </cell>
        </row>
        <row r="620">
          <cell r="A620" t="str">
            <v>아 세 치 렌</v>
          </cell>
          <cell r="C620" t="str">
            <v>2,100L용</v>
          </cell>
          <cell r="D620">
            <v>1.6</v>
          </cell>
          <cell r="E620" t="str">
            <v>병</v>
          </cell>
          <cell r="I620">
            <v>25849</v>
          </cell>
          <cell r="J620">
            <v>41358</v>
          </cell>
        </row>
        <row r="621">
          <cell r="A621" t="str">
            <v>함       석</v>
          </cell>
          <cell r="C621" t="str">
            <v>#32 x 3' x 6'</v>
          </cell>
          <cell r="D621">
            <v>1.9</v>
          </cell>
          <cell r="E621" t="str">
            <v>매</v>
          </cell>
          <cell r="I621">
            <v>2597</v>
          </cell>
          <cell r="J621">
            <v>4934</v>
          </cell>
        </row>
        <row r="622">
          <cell r="A622" t="str">
            <v>용   접  봉</v>
          </cell>
          <cell r="C622" t="str">
            <v>SS41+STS304,4M/M</v>
          </cell>
          <cell r="D622">
            <v>54.6</v>
          </cell>
          <cell r="E622" t="str">
            <v>KG</v>
          </cell>
          <cell r="I622">
            <v>3360</v>
          </cell>
          <cell r="J622">
            <v>183456</v>
          </cell>
        </row>
        <row r="623">
          <cell r="A623" t="str">
            <v>전       력</v>
          </cell>
          <cell r="D623">
            <v>550</v>
          </cell>
          <cell r="E623" t="str">
            <v>KWH</v>
          </cell>
          <cell r="K623">
            <v>61.6</v>
          </cell>
          <cell r="L623">
            <v>33880</v>
          </cell>
        </row>
        <row r="624">
          <cell r="A624" t="str">
            <v>그라인다돌</v>
          </cell>
          <cell r="C624" t="str">
            <v>300 M/M</v>
          </cell>
          <cell r="D624">
            <v>0.3</v>
          </cell>
          <cell r="E624" t="str">
            <v>개</v>
          </cell>
          <cell r="I624">
            <v>3380</v>
          </cell>
          <cell r="J624">
            <v>1014</v>
          </cell>
        </row>
        <row r="625">
          <cell r="A625" t="str">
            <v xml:space="preserve"> </v>
          </cell>
        </row>
        <row r="627">
          <cell r="B627" t="str">
            <v>계</v>
          </cell>
          <cell r="F627">
            <v>292242</v>
          </cell>
          <cell r="J627">
            <v>258362</v>
          </cell>
          <cell r="L627">
            <v>33880</v>
          </cell>
        </row>
        <row r="628">
          <cell r="F628" t="str">
            <v xml:space="preserve"> </v>
          </cell>
          <cell r="J628" t="str">
            <v xml:space="preserve"> </v>
          </cell>
          <cell r="L628" t="str">
            <v xml:space="preserve"> </v>
          </cell>
        </row>
        <row r="629">
          <cell r="F629" t="str">
            <v xml:space="preserve"> </v>
          </cell>
          <cell r="J629" t="str">
            <v xml:space="preserve"> </v>
          </cell>
          <cell r="L629" t="str">
            <v xml:space="preserve"> </v>
          </cell>
        </row>
        <row r="630">
          <cell r="F630" t="str">
            <v xml:space="preserve"> </v>
          </cell>
          <cell r="J630" t="str">
            <v xml:space="preserve"> </v>
          </cell>
          <cell r="L630" t="str">
            <v xml:space="preserve"> </v>
          </cell>
        </row>
        <row r="631">
          <cell r="F631" t="str">
            <v xml:space="preserve"> </v>
          </cell>
          <cell r="J631" t="str">
            <v xml:space="preserve"> </v>
          </cell>
          <cell r="L631" t="str">
            <v xml:space="preserve"> </v>
          </cell>
        </row>
        <row r="632">
          <cell r="F632" t="str">
            <v xml:space="preserve"> </v>
          </cell>
          <cell r="J632" t="str">
            <v xml:space="preserve"> </v>
          </cell>
          <cell r="L632" t="str">
            <v xml:space="preserve"> </v>
          </cell>
        </row>
        <row r="633">
          <cell r="F633" t="str">
            <v xml:space="preserve"> </v>
          </cell>
          <cell r="J633" t="str">
            <v xml:space="preserve"> </v>
          </cell>
          <cell r="L633" t="str">
            <v xml:space="preserve"> </v>
          </cell>
        </row>
        <row r="634">
          <cell r="F634" t="str">
            <v xml:space="preserve"> </v>
          </cell>
          <cell r="J634" t="str">
            <v xml:space="preserve"> </v>
          </cell>
          <cell r="L634" t="str">
            <v xml:space="preserve"> </v>
          </cell>
        </row>
        <row r="635">
          <cell r="F635" t="str">
            <v xml:space="preserve"> </v>
          </cell>
          <cell r="J635" t="str">
            <v xml:space="preserve"> </v>
          </cell>
          <cell r="L635" t="str">
            <v xml:space="preserve"> </v>
          </cell>
        </row>
        <row r="636">
          <cell r="F636" t="str">
            <v xml:space="preserve"> </v>
          </cell>
          <cell r="J636" t="str">
            <v xml:space="preserve"> </v>
          </cell>
          <cell r="L636" t="str">
            <v xml:space="preserve"> </v>
          </cell>
        </row>
        <row r="637">
          <cell r="F637" t="str">
            <v xml:space="preserve"> </v>
          </cell>
          <cell r="J637" t="str">
            <v xml:space="preserve"> </v>
          </cell>
          <cell r="L637" t="str">
            <v xml:space="preserve"> </v>
          </cell>
        </row>
        <row r="638">
          <cell r="F638" t="str">
            <v xml:space="preserve"> </v>
          </cell>
          <cell r="J638" t="str">
            <v xml:space="preserve"> </v>
          </cell>
          <cell r="L638" t="str">
            <v xml:space="preserve"> </v>
          </cell>
        </row>
        <row r="639">
          <cell r="F639" t="str">
            <v xml:space="preserve"> </v>
          </cell>
          <cell r="J639" t="str">
            <v xml:space="preserve"> </v>
          </cell>
          <cell r="L639" t="str">
            <v xml:space="preserve"> </v>
          </cell>
        </row>
        <row r="640">
          <cell r="F640" t="str">
            <v xml:space="preserve"> </v>
          </cell>
          <cell r="J640" t="str">
            <v xml:space="preserve"> </v>
          </cell>
          <cell r="L640" t="str">
            <v xml:space="preserve"> </v>
          </cell>
        </row>
        <row r="641">
          <cell r="F641" t="str">
            <v xml:space="preserve"> </v>
          </cell>
          <cell r="J641" t="str">
            <v xml:space="preserve"> </v>
          </cell>
          <cell r="L641" t="str">
            <v xml:space="preserve"> </v>
          </cell>
        </row>
        <row r="642">
          <cell r="F642" t="str">
            <v xml:space="preserve"> </v>
          </cell>
          <cell r="J642" t="str">
            <v xml:space="preserve"> </v>
          </cell>
          <cell r="L642" t="str">
            <v xml:space="preserve"> </v>
          </cell>
        </row>
        <row r="643">
          <cell r="F643" t="str">
            <v xml:space="preserve"> </v>
          </cell>
          <cell r="J643" t="str">
            <v xml:space="preserve"> </v>
          </cell>
          <cell r="L643" t="str">
            <v xml:space="preserve"> </v>
          </cell>
        </row>
        <row r="644">
          <cell r="A644" t="str">
            <v>ROLLER GATE 설치 인건비</v>
          </cell>
        </row>
        <row r="645">
          <cell r="E645" t="str">
            <v xml:space="preserve"> </v>
          </cell>
        </row>
        <row r="646">
          <cell r="A646" t="str">
            <v>종       별</v>
          </cell>
          <cell r="C646" t="str">
            <v>재 료 또 는</v>
          </cell>
          <cell r="D646" t="str">
            <v xml:space="preserve">원 수 </v>
          </cell>
          <cell r="E646" t="str">
            <v>단 위</v>
          </cell>
          <cell r="F646" t="str">
            <v>총   액</v>
          </cell>
          <cell r="G646" t="str">
            <v>노   무   비</v>
          </cell>
          <cell r="I646" t="str">
            <v>재   료   비</v>
          </cell>
          <cell r="K646" t="str">
            <v>경      비</v>
          </cell>
          <cell r="M646" t="str">
            <v>비   고</v>
          </cell>
        </row>
        <row r="647">
          <cell r="C647" t="str">
            <v xml:space="preserve">규       격 </v>
          </cell>
          <cell r="F647" t="str">
            <v>금   액</v>
          </cell>
          <cell r="G647" t="str">
            <v>단  가</v>
          </cell>
          <cell r="H647" t="str">
            <v>금   액</v>
          </cell>
          <cell r="I647" t="str">
            <v>단  가</v>
          </cell>
          <cell r="J647" t="str">
            <v>금   액</v>
          </cell>
          <cell r="K647" t="str">
            <v>단  가</v>
          </cell>
          <cell r="L647" t="str">
            <v>금   액</v>
          </cell>
        </row>
        <row r="648">
          <cell r="A648" t="str">
            <v>기 술 관 리</v>
          </cell>
          <cell r="C648" t="str">
            <v>기계기사1급</v>
          </cell>
          <cell r="D648">
            <v>0.5</v>
          </cell>
          <cell r="E648" t="str">
            <v>인</v>
          </cell>
          <cell r="G648">
            <v>97488</v>
          </cell>
          <cell r="H648">
            <v>48744</v>
          </cell>
        </row>
        <row r="649">
          <cell r="A649" t="str">
            <v>형 장 교 정</v>
          </cell>
          <cell r="C649" t="str">
            <v>프랜트 제관공</v>
          </cell>
          <cell r="D649">
            <v>0.81599999999999995</v>
          </cell>
          <cell r="E649" t="str">
            <v>인</v>
          </cell>
          <cell r="G649">
            <v>81966</v>
          </cell>
          <cell r="H649">
            <v>66884</v>
          </cell>
        </row>
        <row r="650">
          <cell r="A650" t="str">
            <v xml:space="preserve"> </v>
          </cell>
          <cell r="C650" t="str">
            <v>비   계   공</v>
          </cell>
          <cell r="D650">
            <v>0.14599999999999999</v>
          </cell>
          <cell r="E650" t="str">
            <v>인</v>
          </cell>
          <cell r="G650">
            <v>79467</v>
          </cell>
          <cell r="H650">
            <v>11602</v>
          </cell>
        </row>
        <row r="651">
          <cell r="A651" t="str">
            <v>소 운 반 제 작</v>
          </cell>
          <cell r="C651" t="str">
            <v>비   계   공</v>
          </cell>
          <cell r="D651">
            <v>1.992</v>
          </cell>
          <cell r="E651" t="str">
            <v>인</v>
          </cell>
          <cell r="G651">
            <v>79467</v>
          </cell>
          <cell r="H651">
            <v>158298</v>
          </cell>
        </row>
        <row r="652">
          <cell r="A652" t="str">
            <v xml:space="preserve"> </v>
          </cell>
          <cell r="C652" t="str">
            <v>프랜트기계설치공</v>
          </cell>
          <cell r="D652">
            <v>0.79100000000000004</v>
          </cell>
          <cell r="E652" t="str">
            <v>인</v>
          </cell>
          <cell r="G652">
            <v>80805</v>
          </cell>
          <cell r="H652">
            <v>63916</v>
          </cell>
        </row>
        <row r="654">
          <cell r="A654" t="str">
            <v>조 립 조 정</v>
          </cell>
          <cell r="C654" t="str">
            <v>비   계   공</v>
          </cell>
          <cell r="D654">
            <v>2.4300000000000002</v>
          </cell>
          <cell r="E654" t="str">
            <v>인</v>
          </cell>
          <cell r="G654">
            <v>79467</v>
          </cell>
          <cell r="H654">
            <v>193104</v>
          </cell>
        </row>
        <row r="655">
          <cell r="A655" t="str">
            <v xml:space="preserve"> </v>
          </cell>
          <cell r="C655" t="str">
            <v>프랜트 제관공</v>
          </cell>
          <cell r="D655">
            <v>2.0350000000000001</v>
          </cell>
          <cell r="E655" t="str">
            <v>인</v>
          </cell>
          <cell r="G655">
            <v>81966</v>
          </cell>
          <cell r="H655">
            <v>166800</v>
          </cell>
        </row>
        <row r="656">
          <cell r="A656" t="str">
            <v xml:space="preserve"> </v>
          </cell>
          <cell r="C656" t="str">
            <v>측   량   사</v>
          </cell>
          <cell r="D656">
            <v>0.81200000000000006</v>
          </cell>
          <cell r="E656" t="str">
            <v>인</v>
          </cell>
          <cell r="G656">
            <v>58506</v>
          </cell>
          <cell r="H656">
            <v>47506</v>
          </cell>
        </row>
        <row r="657">
          <cell r="A657" t="str">
            <v>리  벳  팅</v>
          </cell>
          <cell r="C657" t="str">
            <v>리 벳 팅 공</v>
          </cell>
          <cell r="D657">
            <v>1.4470000000000001</v>
          </cell>
          <cell r="E657" t="str">
            <v>인</v>
          </cell>
          <cell r="G657">
            <v>71579</v>
          </cell>
          <cell r="H657">
            <v>103574</v>
          </cell>
        </row>
        <row r="658">
          <cell r="A658" t="str">
            <v xml:space="preserve"> </v>
          </cell>
          <cell r="C658" t="str">
            <v>플랜트기계설치공</v>
          </cell>
          <cell r="D658">
            <v>0.52700000000000002</v>
          </cell>
          <cell r="E658" t="str">
            <v>인</v>
          </cell>
          <cell r="G658">
            <v>80805</v>
          </cell>
          <cell r="H658">
            <v>42584</v>
          </cell>
        </row>
        <row r="659">
          <cell r="C659" t="str">
            <v xml:space="preserve"> </v>
          </cell>
        </row>
        <row r="660">
          <cell r="A660" t="str">
            <v>용      접</v>
          </cell>
          <cell r="C660" t="str">
            <v>프랜트 용접공</v>
          </cell>
          <cell r="D660">
            <v>0.70499999999999996</v>
          </cell>
          <cell r="E660" t="str">
            <v>인</v>
          </cell>
          <cell r="G660">
            <v>95379</v>
          </cell>
          <cell r="H660">
            <v>67242</v>
          </cell>
        </row>
        <row r="661">
          <cell r="A661" t="str">
            <v xml:space="preserve"> </v>
          </cell>
          <cell r="C661" t="str">
            <v>프랜트 제관공</v>
          </cell>
          <cell r="D661">
            <v>0.187</v>
          </cell>
          <cell r="E661" t="str">
            <v>인</v>
          </cell>
          <cell r="G661">
            <v>81966</v>
          </cell>
          <cell r="H661">
            <v>15327</v>
          </cell>
        </row>
        <row r="662">
          <cell r="A662" t="str">
            <v>전 원 배 선</v>
          </cell>
          <cell r="C662" t="str">
            <v>플랜트 전공</v>
          </cell>
          <cell r="D662">
            <v>0.187</v>
          </cell>
          <cell r="E662" t="str">
            <v>인</v>
          </cell>
          <cell r="G662">
            <v>64285</v>
          </cell>
          <cell r="H662">
            <v>12021</v>
          </cell>
        </row>
        <row r="664">
          <cell r="A664" t="str">
            <v>검사 및 교정</v>
          </cell>
          <cell r="C664" t="str">
            <v xml:space="preserve">기술관리,전원 </v>
          </cell>
          <cell r="D664" t="str">
            <v>1</v>
          </cell>
          <cell r="E664" t="str">
            <v>식</v>
          </cell>
          <cell r="H664">
            <v>93683</v>
          </cell>
        </row>
        <row r="665">
          <cell r="C665" t="str">
            <v>배선 제외 10%</v>
          </cell>
        </row>
        <row r="669">
          <cell r="B669" t="str">
            <v>계</v>
          </cell>
          <cell r="F669">
            <v>1091285</v>
          </cell>
          <cell r="H669">
            <v>1091285</v>
          </cell>
        </row>
        <row r="673">
          <cell r="A673" t="str">
            <v>ROLLER GATE 설치 사용장비 경비</v>
          </cell>
        </row>
        <row r="674">
          <cell r="E674" t="str">
            <v xml:space="preserve"> </v>
          </cell>
        </row>
        <row r="675">
          <cell r="A675" t="str">
            <v>종       별</v>
          </cell>
          <cell r="C675" t="str">
            <v>재 료 또 는</v>
          </cell>
          <cell r="D675" t="str">
            <v xml:space="preserve">원 수 </v>
          </cell>
          <cell r="E675" t="str">
            <v>단 위</v>
          </cell>
          <cell r="F675" t="str">
            <v>총   액</v>
          </cell>
          <cell r="G675" t="str">
            <v>노   무   비</v>
          </cell>
          <cell r="I675" t="str">
            <v>재   료   비</v>
          </cell>
          <cell r="K675" t="str">
            <v>경      비</v>
          </cell>
          <cell r="M675" t="str">
            <v>비   고</v>
          </cell>
        </row>
        <row r="676">
          <cell r="C676" t="str">
            <v xml:space="preserve">규       격 </v>
          </cell>
          <cell r="F676" t="str">
            <v>금   액</v>
          </cell>
          <cell r="G676" t="str">
            <v>단  가</v>
          </cell>
          <cell r="H676" t="str">
            <v>금   액</v>
          </cell>
          <cell r="I676" t="str">
            <v>단  가</v>
          </cell>
          <cell r="J676" t="str">
            <v>금   액</v>
          </cell>
          <cell r="K676" t="str">
            <v>단  가</v>
          </cell>
          <cell r="L676" t="str">
            <v>금   액</v>
          </cell>
        </row>
        <row r="677">
          <cell r="A677" t="str">
            <v>A.C WELDER</v>
          </cell>
          <cell r="C677" t="str">
            <v>10KVA</v>
          </cell>
          <cell r="D677">
            <v>8</v>
          </cell>
          <cell r="E677" t="str">
            <v>Hr</v>
          </cell>
          <cell r="K677">
            <v>155</v>
          </cell>
          <cell r="L677">
            <v>1240</v>
          </cell>
        </row>
        <row r="678">
          <cell r="A678" t="str">
            <v>D.C WELDER</v>
          </cell>
          <cell r="C678" t="str">
            <v>5.5KW</v>
          </cell>
          <cell r="D678">
            <v>32</v>
          </cell>
          <cell r="E678" t="str">
            <v>Hr</v>
          </cell>
          <cell r="K678">
            <v>359</v>
          </cell>
          <cell r="L678">
            <v>11488</v>
          </cell>
        </row>
        <row r="679">
          <cell r="A679" t="str">
            <v>GAS CUTTING M/C</v>
          </cell>
          <cell r="C679" t="str">
            <v>중 형</v>
          </cell>
          <cell r="D679">
            <v>32</v>
          </cell>
          <cell r="E679" t="str">
            <v>Hr</v>
          </cell>
          <cell r="G679">
            <v>3974</v>
          </cell>
          <cell r="H679">
            <v>127168</v>
          </cell>
          <cell r="K679">
            <v>115</v>
          </cell>
          <cell r="L679">
            <v>3680</v>
          </cell>
        </row>
        <row r="680">
          <cell r="A680" t="str">
            <v>GAS WELDER</v>
          </cell>
          <cell r="C680" t="str">
            <v>중 형</v>
          </cell>
          <cell r="D680">
            <v>24</v>
          </cell>
          <cell r="E680" t="str">
            <v>Hr</v>
          </cell>
          <cell r="K680">
            <v>115</v>
          </cell>
          <cell r="L680">
            <v>2760</v>
          </cell>
        </row>
        <row r="681">
          <cell r="A681" t="str">
            <v>PORTABLE DRILL</v>
          </cell>
          <cell r="C681" t="str">
            <v>1.5 HP</v>
          </cell>
          <cell r="D681">
            <v>16</v>
          </cell>
          <cell r="E681" t="str">
            <v>Hr</v>
          </cell>
          <cell r="K681">
            <v>14</v>
          </cell>
          <cell r="L681">
            <v>224</v>
          </cell>
        </row>
        <row r="683">
          <cell r="A683" t="str">
            <v>PORTABLE GRINDER</v>
          </cell>
          <cell r="C683" t="str">
            <v>0.5 HP</v>
          </cell>
          <cell r="D683">
            <v>32</v>
          </cell>
          <cell r="E683" t="str">
            <v>Hr</v>
          </cell>
          <cell r="K683">
            <v>22</v>
          </cell>
          <cell r="L683">
            <v>704</v>
          </cell>
        </row>
        <row r="684">
          <cell r="A684" t="str">
            <v>COMPRESSOR</v>
          </cell>
          <cell r="C684" t="str">
            <v>8.9㎥/min</v>
          </cell>
          <cell r="D684">
            <v>8</v>
          </cell>
          <cell r="E684" t="str">
            <v>Hr</v>
          </cell>
          <cell r="G684">
            <v>9681</v>
          </cell>
          <cell r="H684">
            <v>77448</v>
          </cell>
          <cell r="I684">
            <v>8779</v>
          </cell>
          <cell r="J684">
            <v>70232</v>
          </cell>
          <cell r="K684">
            <v>6250</v>
          </cell>
          <cell r="L684">
            <v>50000</v>
          </cell>
        </row>
        <row r="685">
          <cell r="A685" t="str">
            <v>WINCH</v>
          </cell>
          <cell r="C685" t="str">
            <v>10 HP</v>
          </cell>
          <cell r="D685">
            <v>16</v>
          </cell>
          <cell r="E685" t="str">
            <v>Hr</v>
          </cell>
          <cell r="G685">
            <v>9235</v>
          </cell>
          <cell r="H685">
            <v>147760</v>
          </cell>
          <cell r="K685">
            <v>850</v>
          </cell>
          <cell r="L685">
            <v>13600</v>
          </cell>
        </row>
        <row r="686">
          <cell r="A686" t="str">
            <v>리프트 트럭</v>
          </cell>
          <cell r="C686" t="str">
            <v>7 TON</v>
          </cell>
          <cell r="D686">
            <v>8</v>
          </cell>
          <cell r="E686" t="str">
            <v>Hr</v>
          </cell>
          <cell r="G686">
            <v>9681</v>
          </cell>
          <cell r="H686">
            <v>77448</v>
          </cell>
          <cell r="I686">
            <v>5898</v>
          </cell>
          <cell r="J686">
            <v>47184</v>
          </cell>
          <cell r="K686">
            <v>5845</v>
          </cell>
          <cell r="L686">
            <v>46760</v>
          </cell>
        </row>
        <row r="687">
          <cell r="A687" t="str">
            <v>TRUCK CRANE</v>
          </cell>
          <cell r="C687" t="str">
            <v>40 TON</v>
          </cell>
          <cell r="D687">
            <v>8</v>
          </cell>
          <cell r="E687" t="str">
            <v>Hr</v>
          </cell>
          <cell r="G687">
            <v>18615</v>
          </cell>
          <cell r="H687">
            <v>148920</v>
          </cell>
          <cell r="I687">
            <v>8730</v>
          </cell>
          <cell r="J687">
            <v>69840</v>
          </cell>
          <cell r="K687">
            <v>55621</v>
          </cell>
          <cell r="L687">
            <v>444968</v>
          </cell>
        </row>
        <row r="691">
          <cell r="B691" t="str">
            <v xml:space="preserve"> 계</v>
          </cell>
          <cell r="F691">
            <v>1341424</v>
          </cell>
          <cell r="H691">
            <v>578744</v>
          </cell>
          <cell r="J691">
            <v>187256</v>
          </cell>
          <cell r="L691">
            <v>575424</v>
          </cell>
        </row>
        <row r="699">
          <cell r="J699" t="str">
            <v xml:space="preserve"> </v>
          </cell>
        </row>
        <row r="700">
          <cell r="J700" t="str">
            <v xml:space="preserve"> </v>
          </cell>
        </row>
        <row r="701">
          <cell r="J701" t="str">
            <v xml:space="preserve"> </v>
          </cell>
        </row>
        <row r="702">
          <cell r="A702" t="str">
            <v>ROLLER GATE LEAF 설치 소모 자재비</v>
          </cell>
        </row>
        <row r="703">
          <cell r="E703" t="str">
            <v xml:space="preserve"> </v>
          </cell>
        </row>
        <row r="704">
          <cell r="A704" t="str">
            <v>종       별</v>
          </cell>
          <cell r="C704" t="str">
            <v>재 료 또 는</v>
          </cell>
          <cell r="D704" t="str">
            <v xml:space="preserve">원 수 </v>
          </cell>
          <cell r="E704" t="str">
            <v>단 위</v>
          </cell>
          <cell r="F704" t="str">
            <v>총   액</v>
          </cell>
          <cell r="G704" t="str">
            <v>노   무   비</v>
          </cell>
          <cell r="I704" t="str">
            <v>재   료   비</v>
          </cell>
          <cell r="K704" t="str">
            <v>경      비</v>
          </cell>
          <cell r="M704" t="str">
            <v>비   고</v>
          </cell>
        </row>
        <row r="705">
          <cell r="C705" t="str">
            <v xml:space="preserve">규       격 </v>
          </cell>
          <cell r="F705" t="str">
            <v>금   액</v>
          </cell>
          <cell r="G705" t="str">
            <v>단  가</v>
          </cell>
          <cell r="H705" t="str">
            <v>금   액</v>
          </cell>
          <cell r="I705" t="str">
            <v>단  가</v>
          </cell>
          <cell r="J705" t="str">
            <v>금   액</v>
          </cell>
          <cell r="K705" t="str">
            <v>단  가</v>
          </cell>
          <cell r="L705" t="str">
            <v>금   액</v>
          </cell>
        </row>
        <row r="706">
          <cell r="A706" t="str">
            <v>산       소</v>
          </cell>
          <cell r="C706" t="str">
            <v>6,000L용</v>
          </cell>
          <cell r="D706">
            <v>0.46</v>
          </cell>
          <cell r="E706" t="str">
            <v>병</v>
          </cell>
          <cell r="G706" t="str">
            <v xml:space="preserve"> </v>
          </cell>
          <cell r="I706">
            <v>12000</v>
          </cell>
          <cell r="J706">
            <v>5520</v>
          </cell>
        </row>
        <row r="707">
          <cell r="A707" t="str">
            <v>아 세 치 렌</v>
          </cell>
          <cell r="C707" t="str">
            <v>4,500L용</v>
          </cell>
          <cell r="D707">
            <v>0.39</v>
          </cell>
          <cell r="E707" t="str">
            <v>병</v>
          </cell>
          <cell r="I707">
            <v>55392</v>
          </cell>
          <cell r="J707">
            <v>21602</v>
          </cell>
        </row>
        <row r="708">
          <cell r="A708" t="str">
            <v>용   접  봉</v>
          </cell>
          <cell r="C708" t="str">
            <v>SS400 , 4M/M</v>
          </cell>
          <cell r="D708">
            <v>5.4</v>
          </cell>
          <cell r="E708" t="str">
            <v>KG</v>
          </cell>
          <cell r="I708">
            <v>1260</v>
          </cell>
          <cell r="J708">
            <v>6804</v>
          </cell>
        </row>
        <row r="709">
          <cell r="A709" t="str">
            <v>코  크  스</v>
          </cell>
          <cell r="D709">
            <v>27</v>
          </cell>
          <cell r="E709" t="str">
            <v>KG</v>
          </cell>
          <cell r="I709">
            <v>183</v>
          </cell>
          <cell r="J709">
            <v>4941</v>
          </cell>
        </row>
        <row r="712">
          <cell r="A712" t="str">
            <v xml:space="preserve"> </v>
          </cell>
        </row>
        <row r="713">
          <cell r="L713" t="str">
            <v xml:space="preserve"> </v>
          </cell>
        </row>
        <row r="714">
          <cell r="B714" t="str">
            <v>계</v>
          </cell>
          <cell r="F714">
            <v>38867</v>
          </cell>
          <cell r="J714">
            <v>38867</v>
          </cell>
        </row>
        <row r="715">
          <cell r="A715" t="str">
            <v xml:space="preserve"> </v>
          </cell>
        </row>
        <row r="716">
          <cell r="A716" t="str">
            <v xml:space="preserve"> </v>
          </cell>
        </row>
        <row r="717">
          <cell r="A717" t="str">
            <v xml:space="preserve"> </v>
          </cell>
        </row>
        <row r="718">
          <cell r="A718" t="str">
            <v xml:space="preserve"> </v>
          </cell>
        </row>
        <row r="719">
          <cell r="A719" t="str">
            <v xml:space="preserve"> </v>
          </cell>
        </row>
        <row r="720">
          <cell r="A720" t="str">
            <v xml:space="preserve"> </v>
          </cell>
        </row>
        <row r="721">
          <cell r="A721" t="str">
            <v xml:space="preserve"> </v>
          </cell>
        </row>
        <row r="722">
          <cell r="A722" t="str">
            <v xml:space="preserve"> </v>
          </cell>
        </row>
        <row r="723">
          <cell r="A723" t="str">
            <v xml:space="preserve"> </v>
          </cell>
        </row>
        <row r="724">
          <cell r="A724" t="str">
            <v xml:space="preserve"> </v>
          </cell>
        </row>
        <row r="725">
          <cell r="A725" t="str">
            <v xml:space="preserve"> </v>
          </cell>
        </row>
        <row r="726">
          <cell r="A726" t="str">
            <v xml:space="preserve"> </v>
          </cell>
        </row>
        <row r="727">
          <cell r="A727" t="str">
            <v xml:space="preserve"> </v>
          </cell>
        </row>
        <row r="728">
          <cell r="A728" t="str">
            <v xml:space="preserve"> </v>
          </cell>
        </row>
        <row r="729">
          <cell r="A729" t="str">
            <v xml:space="preserve"> </v>
          </cell>
        </row>
        <row r="730">
          <cell r="A730" t="str">
            <v xml:space="preserve"> </v>
          </cell>
        </row>
        <row r="731">
          <cell r="A731" t="str">
            <v>ROLLER GATE GUIDE FRAME 설치 인건비</v>
          </cell>
        </row>
        <row r="732">
          <cell r="E732" t="str">
            <v xml:space="preserve"> </v>
          </cell>
        </row>
        <row r="733">
          <cell r="A733" t="str">
            <v>종       별</v>
          </cell>
          <cell r="C733" t="str">
            <v>재 료 또 는</v>
          </cell>
          <cell r="D733" t="str">
            <v xml:space="preserve">원 수 </v>
          </cell>
          <cell r="E733" t="str">
            <v>단 위</v>
          </cell>
          <cell r="F733" t="str">
            <v>총   액</v>
          </cell>
          <cell r="G733" t="str">
            <v>노   무   비</v>
          </cell>
          <cell r="I733" t="str">
            <v>재   료   비</v>
          </cell>
          <cell r="K733" t="str">
            <v>경      비</v>
          </cell>
          <cell r="M733" t="str">
            <v>비   고</v>
          </cell>
        </row>
        <row r="734">
          <cell r="C734" t="str">
            <v xml:space="preserve">규       격 </v>
          </cell>
          <cell r="F734" t="str">
            <v>금   액</v>
          </cell>
          <cell r="G734" t="str">
            <v>단  가</v>
          </cell>
          <cell r="H734" t="str">
            <v>금   액</v>
          </cell>
          <cell r="I734" t="str">
            <v>단  가</v>
          </cell>
          <cell r="J734" t="str">
            <v>금   액</v>
          </cell>
          <cell r="K734" t="str">
            <v>단  가</v>
          </cell>
          <cell r="L734" t="str">
            <v>금   액</v>
          </cell>
        </row>
        <row r="735">
          <cell r="A735" t="str">
            <v>기 술 지 도</v>
          </cell>
          <cell r="C735" t="str">
            <v>기계기사1급</v>
          </cell>
          <cell r="D735">
            <v>5.33</v>
          </cell>
          <cell r="E735" t="str">
            <v>인</v>
          </cell>
          <cell r="G735">
            <v>97488</v>
          </cell>
          <cell r="H735">
            <v>519611</v>
          </cell>
        </row>
        <row r="736">
          <cell r="A736" t="str">
            <v>박 스 해 체</v>
          </cell>
          <cell r="C736" t="str">
            <v>목       공</v>
          </cell>
          <cell r="D736">
            <v>0.34</v>
          </cell>
          <cell r="E736" t="str">
            <v>인</v>
          </cell>
          <cell r="G736">
            <v>75306</v>
          </cell>
          <cell r="H736">
            <v>25604</v>
          </cell>
        </row>
        <row r="737">
          <cell r="C737" t="str">
            <v>특 별 인 부</v>
          </cell>
          <cell r="D737">
            <v>0.34</v>
          </cell>
          <cell r="E737" t="str">
            <v>인</v>
          </cell>
          <cell r="G737">
            <v>57379</v>
          </cell>
          <cell r="H737">
            <v>19508</v>
          </cell>
        </row>
        <row r="738">
          <cell r="A738" t="str">
            <v>검       측</v>
          </cell>
          <cell r="C738" t="str">
            <v>플랜트기계설치공</v>
          </cell>
          <cell r="D738">
            <v>0.17</v>
          </cell>
          <cell r="E738" t="str">
            <v>인</v>
          </cell>
          <cell r="G738">
            <v>80805</v>
          </cell>
          <cell r="H738">
            <v>13736</v>
          </cell>
        </row>
        <row r="739">
          <cell r="C739" t="str">
            <v>특 별 인 부</v>
          </cell>
          <cell r="D739">
            <v>0.17</v>
          </cell>
          <cell r="E739" t="str">
            <v>인</v>
          </cell>
          <cell r="G739">
            <v>57379</v>
          </cell>
          <cell r="H739">
            <v>9754</v>
          </cell>
        </row>
        <row r="741">
          <cell r="A741" t="str">
            <v xml:space="preserve">수정 및 교정 </v>
          </cell>
          <cell r="C741" t="str">
            <v>프랜트기계설치공</v>
          </cell>
          <cell r="D741">
            <v>0.34</v>
          </cell>
          <cell r="E741" t="str">
            <v>인</v>
          </cell>
          <cell r="G741">
            <v>80805</v>
          </cell>
          <cell r="H741">
            <v>27473</v>
          </cell>
        </row>
        <row r="742">
          <cell r="C742" t="str">
            <v>특 별 인 부</v>
          </cell>
          <cell r="D742">
            <v>0.17</v>
          </cell>
          <cell r="E742" t="str">
            <v>인</v>
          </cell>
          <cell r="G742">
            <v>57379</v>
          </cell>
          <cell r="H742">
            <v>9754</v>
          </cell>
        </row>
        <row r="743">
          <cell r="A743" t="str">
            <v>설치준비,CHIPPING</v>
          </cell>
          <cell r="C743" t="str">
            <v>석      공</v>
          </cell>
          <cell r="D743">
            <v>1.1499999999999999</v>
          </cell>
          <cell r="E743" t="str">
            <v>인</v>
          </cell>
          <cell r="G743">
            <v>77005</v>
          </cell>
          <cell r="H743">
            <v>88555</v>
          </cell>
        </row>
        <row r="744">
          <cell r="C744" t="str">
            <v>특 별 인 부</v>
          </cell>
          <cell r="D744">
            <v>0.86</v>
          </cell>
          <cell r="E744" t="str">
            <v>인</v>
          </cell>
          <cell r="G744">
            <v>57379</v>
          </cell>
          <cell r="H744">
            <v>49345</v>
          </cell>
        </row>
        <row r="745">
          <cell r="A745" t="str">
            <v>가설 장비 설치</v>
          </cell>
          <cell r="C745" t="str">
            <v>프랜트기계설치공</v>
          </cell>
          <cell r="D745">
            <v>0.19</v>
          </cell>
          <cell r="E745" t="str">
            <v>인</v>
          </cell>
          <cell r="G745">
            <v>80805</v>
          </cell>
          <cell r="H745">
            <v>15352</v>
          </cell>
        </row>
        <row r="747">
          <cell r="C747" t="str">
            <v>프랜트 배관공</v>
          </cell>
          <cell r="D747">
            <v>0.19</v>
          </cell>
          <cell r="E747" t="str">
            <v>인</v>
          </cell>
          <cell r="G747">
            <v>97219</v>
          </cell>
          <cell r="H747">
            <v>18471</v>
          </cell>
        </row>
        <row r="748">
          <cell r="C748" t="str">
            <v>산소 절단공</v>
          </cell>
          <cell r="D748">
            <v>0.12</v>
          </cell>
          <cell r="E748" t="str">
            <v>인</v>
          </cell>
          <cell r="G748">
            <v>31794</v>
          </cell>
          <cell r="H748">
            <v>3815</v>
          </cell>
        </row>
        <row r="749">
          <cell r="C749" t="str">
            <v>프랜트 용접공</v>
          </cell>
          <cell r="D749">
            <v>0.12</v>
          </cell>
          <cell r="E749" t="str">
            <v>인</v>
          </cell>
          <cell r="G749">
            <v>95379</v>
          </cell>
          <cell r="H749">
            <v>11445</v>
          </cell>
        </row>
        <row r="750">
          <cell r="C750" t="str">
            <v>특 별 인 부</v>
          </cell>
          <cell r="D750">
            <v>0.51</v>
          </cell>
          <cell r="E750" t="str">
            <v>인</v>
          </cell>
          <cell r="G750">
            <v>57379</v>
          </cell>
          <cell r="H750">
            <v>29263</v>
          </cell>
        </row>
        <row r="751">
          <cell r="A751" t="str">
            <v>앙카바 정리 작업</v>
          </cell>
          <cell r="C751" t="str">
            <v>산소 절단공</v>
          </cell>
          <cell r="D751">
            <v>0.56000000000000005</v>
          </cell>
          <cell r="E751" t="str">
            <v>인</v>
          </cell>
          <cell r="G751">
            <v>31794</v>
          </cell>
          <cell r="H751">
            <v>17804</v>
          </cell>
        </row>
        <row r="753">
          <cell r="A753" t="str">
            <v xml:space="preserve"> </v>
          </cell>
          <cell r="C753" t="str">
            <v>프랜트기계설치공</v>
          </cell>
          <cell r="D753">
            <v>0.56000000000000005</v>
          </cell>
          <cell r="E753" t="str">
            <v>인</v>
          </cell>
          <cell r="G753">
            <v>80805</v>
          </cell>
          <cell r="H753">
            <v>45250</v>
          </cell>
        </row>
        <row r="754">
          <cell r="A754" t="str">
            <v xml:space="preserve"> </v>
          </cell>
          <cell r="C754" t="str">
            <v>특 별 인 부</v>
          </cell>
          <cell r="D754">
            <v>1.1200000000000001</v>
          </cell>
          <cell r="E754" t="str">
            <v>인</v>
          </cell>
          <cell r="G754">
            <v>57379</v>
          </cell>
          <cell r="H754">
            <v>64264</v>
          </cell>
        </row>
        <row r="755">
          <cell r="A755" t="str">
            <v>조       립</v>
          </cell>
          <cell r="C755" t="str">
            <v>특수 비계공</v>
          </cell>
          <cell r="D755">
            <v>0.79</v>
          </cell>
          <cell r="E755" t="str">
            <v>인</v>
          </cell>
          <cell r="G755">
            <v>85884</v>
          </cell>
          <cell r="H755">
            <v>67848</v>
          </cell>
        </row>
        <row r="756">
          <cell r="A756" t="str">
            <v xml:space="preserve"> </v>
          </cell>
          <cell r="C756" t="str">
            <v>프랜트기계설치공</v>
          </cell>
          <cell r="D756">
            <v>0.59</v>
          </cell>
          <cell r="E756" t="str">
            <v>인</v>
          </cell>
          <cell r="G756">
            <v>80805</v>
          </cell>
          <cell r="H756">
            <v>47674</v>
          </cell>
        </row>
        <row r="757">
          <cell r="C757" t="str">
            <v>산소 절단공</v>
          </cell>
          <cell r="D757">
            <v>0.28999999999999998</v>
          </cell>
          <cell r="E757" t="str">
            <v>인</v>
          </cell>
          <cell r="G757">
            <v>31794</v>
          </cell>
          <cell r="H757">
            <v>9220</v>
          </cell>
        </row>
        <row r="758">
          <cell r="C758" t="str">
            <v>플랜트기계설치공</v>
          </cell>
          <cell r="D758">
            <v>0.28999999999999998</v>
          </cell>
          <cell r="E758" t="str">
            <v>인</v>
          </cell>
          <cell r="G758">
            <v>80805</v>
          </cell>
          <cell r="H758">
            <v>23433</v>
          </cell>
        </row>
        <row r="759">
          <cell r="C759" t="str">
            <v>프랜트 용접공</v>
          </cell>
          <cell r="D759">
            <v>1.6</v>
          </cell>
          <cell r="E759" t="str">
            <v>인</v>
          </cell>
          <cell r="G759">
            <v>95379</v>
          </cell>
          <cell r="H759">
            <v>152606</v>
          </cell>
        </row>
        <row r="760">
          <cell r="A760" t="str">
            <v>종       별</v>
          </cell>
          <cell r="C760" t="str">
            <v>재 료 또 는</v>
          </cell>
          <cell r="D760" t="str">
            <v xml:space="preserve">원 수 </v>
          </cell>
          <cell r="E760" t="str">
            <v>단 위</v>
          </cell>
          <cell r="F760" t="str">
            <v>총   액</v>
          </cell>
          <cell r="G760" t="str">
            <v>노   무   비</v>
          </cell>
          <cell r="I760" t="str">
            <v>재   료   비</v>
          </cell>
          <cell r="K760" t="str">
            <v>경      비</v>
          </cell>
          <cell r="M760" t="str">
            <v>비   고</v>
          </cell>
        </row>
        <row r="761">
          <cell r="C761" t="str">
            <v xml:space="preserve">규       격 </v>
          </cell>
          <cell r="F761" t="str">
            <v>금   액</v>
          </cell>
          <cell r="G761" t="str">
            <v>단  가</v>
          </cell>
          <cell r="H761" t="str">
            <v>금   액</v>
          </cell>
          <cell r="I761" t="str">
            <v>단  가</v>
          </cell>
          <cell r="J761" t="str">
            <v>금   액</v>
          </cell>
          <cell r="K761" t="str">
            <v>단  가</v>
          </cell>
          <cell r="L761" t="str">
            <v>금   액</v>
          </cell>
        </row>
        <row r="762">
          <cell r="C762" t="str">
            <v>특 별 인 부</v>
          </cell>
          <cell r="D762">
            <v>2.77</v>
          </cell>
          <cell r="E762" t="str">
            <v>인</v>
          </cell>
          <cell r="G762">
            <v>57379</v>
          </cell>
          <cell r="H762">
            <v>158939</v>
          </cell>
        </row>
        <row r="763">
          <cell r="A763" t="str">
            <v>쎈   터   링</v>
          </cell>
          <cell r="C763" t="str">
            <v>특수 비계공</v>
          </cell>
          <cell r="D763">
            <v>0.79</v>
          </cell>
          <cell r="E763" t="str">
            <v>인</v>
          </cell>
          <cell r="G763">
            <v>85884</v>
          </cell>
          <cell r="H763">
            <v>67848</v>
          </cell>
        </row>
        <row r="764">
          <cell r="C764" t="str">
            <v>프랜트 용접공</v>
          </cell>
          <cell r="D764">
            <v>4.9000000000000004</v>
          </cell>
          <cell r="E764" t="str">
            <v>인</v>
          </cell>
          <cell r="G764">
            <v>95379</v>
          </cell>
          <cell r="H764">
            <v>467357</v>
          </cell>
        </row>
        <row r="765">
          <cell r="A765" t="str">
            <v xml:space="preserve"> </v>
          </cell>
          <cell r="C765" t="str">
            <v>측   량   사</v>
          </cell>
          <cell r="D765">
            <v>0.59</v>
          </cell>
          <cell r="E765" t="str">
            <v>인</v>
          </cell>
          <cell r="G765">
            <v>58506</v>
          </cell>
          <cell r="H765">
            <v>34518</v>
          </cell>
          <cell r="I765" t="str">
            <v xml:space="preserve"> </v>
          </cell>
        </row>
        <row r="766">
          <cell r="C766" t="str">
            <v>측 량 조 수</v>
          </cell>
          <cell r="D766">
            <v>0.59</v>
          </cell>
          <cell r="E766" t="str">
            <v>인</v>
          </cell>
          <cell r="G766">
            <v>38777</v>
          </cell>
          <cell r="H766">
            <v>22878</v>
          </cell>
        </row>
        <row r="767">
          <cell r="A767" t="str">
            <v xml:space="preserve"> </v>
          </cell>
          <cell r="C767" t="str">
            <v>산소 절단공</v>
          </cell>
          <cell r="D767">
            <v>0.59</v>
          </cell>
          <cell r="E767" t="str">
            <v>인</v>
          </cell>
          <cell r="G767">
            <v>31794</v>
          </cell>
          <cell r="H767">
            <v>18758</v>
          </cell>
        </row>
        <row r="768">
          <cell r="C768" t="str">
            <v>프랜트기계설치공</v>
          </cell>
          <cell r="D768">
            <v>1.48</v>
          </cell>
          <cell r="E768" t="str">
            <v>인</v>
          </cell>
          <cell r="G768">
            <v>80805</v>
          </cell>
          <cell r="H768">
            <v>119591</v>
          </cell>
        </row>
        <row r="769">
          <cell r="A769" t="str">
            <v xml:space="preserve"> </v>
          </cell>
          <cell r="C769" t="str">
            <v>특 별 인 부</v>
          </cell>
          <cell r="D769">
            <v>7.76</v>
          </cell>
          <cell r="E769" t="str">
            <v>인</v>
          </cell>
          <cell r="G769">
            <v>57379</v>
          </cell>
          <cell r="H769">
            <v>445261</v>
          </cell>
        </row>
        <row r="771">
          <cell r="A771" t="str">
            <v>거프집용 앙카설치</v>
          </cell>
          <cell r="C771" t="str">
            <v>산소 절단공</v>
          </cell>
          <cell r="D771">
            <v>0.21</v>
          </cell>
          <cell r="E771" t="str">
            <v>인</v>
          </cell>
          <cell r="G771">
            <v>31794</v>
          </cell>
          <cell r="H771">
            <v>6676</v>
          </cell>
        </row>
        <row r="772">
          <cell r="A772" t="str">
            <v xml:space="preserve"> </v>
          </cell>
          <cell r="C772" t="str">
            <v>프랜트 용접공</v>
          </cell>
          <cell r="D772">
            <v>1.6</v>
          </cell>
          <cell r="E772" t="str">
            <v>인</v>
          </cell>
          <cell r="G772">
            <v>95379</v>
          </cell>
          <cell r="H772">
            <v>152606</v>
          </cell>
        </row>
        <row r="773">
          <cell r="C773" t="str">
            <v>특 별 인 부</v>
          </cell>
          <cell r="D773">
            <v>1.81</v>
          </cell>
          <cell r="E773" t="str">
            <v>인</v>
          </cell>
          <cell r="G773">
            <v>57379</v>
          </cell>
          <cell r="H773">
            <v>103855</v>
          </cell>
        </row>
        <row r="774">
          <cell r="A774" t="str">
            <v>검 사 기 록</v>
          </cell>
          <cell r="C774" t="str">
            <v>측   량   사</v>
          </cell>
          <cell r="D774">
            <v>0.28999999999999998</v>
          </cell>
          <cell r="E774" t="str">
            <v>인</v>
          </cell>
          <cell r="G774">
            <v>58506</v>
          </cell>
          <cell r="H774">
            <v>16966</v>
          </cell>
        </row>
        <row r="775">
          <cell r="C775" t="str">
            <v>측 량 조 수</v>
          </cell>
          <cell r="D775">
            <v>0.28999999999999998</v>
          </cell>
          <cell r="E775" t="str">
            <v>인</v>
          </cell>
          <cell r="G775">
            <v>38777</v>
          </cell>
          <cell r="H775">
            <v>11245</v>
          </cell>
        </row>
        <row r="777">
          <cell r="C777" t="str">
            <v>프랜트기계설치공</v>
          </cell>
          <cell r="D777">
            <v>0.73</v>
          </cell>
          <cell r="E777" t="str">
            <v>인</v>
          </cell>
          <cell r="G777">
            <v>80805</v>
          </cell>
          <cell r="H777">
            <v>58987</v>
          </cell>
        </row>
        <row r="778">
          <cell r="C778" t="str">
            <v>특 별 인 부</v>
          </cell>
          <cell r="D778">
            <v>2.29</v>
          </cell>
          <cell r="E778" t="str">
            <v>인</v>
          </cell>
          <cell r="G778">
            <v>57379</v>
          </cell>
          <cell r="H778">
            <v>131397</v>
          </cell>
        </row>
        <row r="779">
          <cell r="A779" t="str">
            <v>뒷   정   리</v>
          </cell>
          <cell r="C779" t="str">
            <v>특수 비계공</v>
          </cell>
          <cell r="D779">
            <v>0.22</v>
          </cell>
          <cell r="E779" t="str">
            <v>인</v>
          </cell>
          <cell r="G779">
            <v>85884</v>
          </cell>
          <cell r="H779">
            <v>18894</v>
          </cell>
        </row>
        <row r="780">
          <cell r="C780" t="str">
            <v>프랜트기계설치공</v>
          </cell>
          <cell r="D780">
            <v>0.34</v>
          </cell>
          <cell r="E780" t="str">
            <v>인</v>
          </cell>
          <cell r="G780">
            <v>80805</v>
          </cell>
          <cell r="H780">
            <v>27473</v>
          </cell>
        </row>
        <row r="781">
          <cell r="C781" t="str">
            <v>산소 절단공</v>
          </cell>
          <cell r="D781">
            <v>0.22</v>
          </cell>
          <cell r="E781" t="str">
            <v>인</v>
          </cell>
          <cell r="G781">
            <v>31794</v>
          </cell>
          <cell r="H781">
            <v>6994</v>
          </cell>
        </row>
        <row r="783">
          <cell r="C783" t="str">
            <v>특 별 인 부</v>
          </cell>
          <cell r="D783">
            <v>0.56000000000000005</v>
          </cell>
          <cell r="E783" t="str">
            <v>인</v>
          </cell>
          <cell r="G783">
            <v>57379</v>
          </cell>
          <cell r="H783">
            <v>32132</v>
          </cell>
        </row>
        <row r="784">
          <cell r="A784" t="str">
            <v>전기설비,설치유지비</v>
          </cell>
          <cell r="C784" t="str">
            <v>플랜트전공</v>
          </cell>
          <cell r="D784">
            <v>4.25</v>
          </cell>
          <cell r="E784" t="str">
            <v>인</v>
          </cell>
          <cell r="G784">
            <v>64285</v>
          </cell>
          <cell r="H784">
            <v>273211</v>
          </cell>
        </row>
        <row r="785">
          <cell r="A785" t="str">
            <v>철     거</v>
          </cell>
          <cell r="C785" t="str">
            <v>특 별 인 부</v>
          </cell>
          <cell r="D785">
            <v>4.25</v>
          </cell>
          <cell r="E785" t="str">
            <v>인</v>
          </cell>
          <cell r="G785">
            <v>57379</v>
          </cell>
          <cell r="H785">
            <v>243860</v>
          </cell>
        </row>
        <row r="787">
          <cell r="B787" t="str">
            <v>계</v>
          </cell>
          <cell r="F787">
            <v>3689231</v>
          </cell>
          <cell r="H787">
            <v>3689231</v>
          </cell>
        </row>
        <row r="789">
          <cell r="A789" t="str">
            <v>ROLLER GATE GUIDE FRAME 설치 사용장비 경비</v>
          </cell>
        </row>
        <row r="790">
          <cell r="E790" t="str">
            <v xml:space="preserve"> </v>
          </cell>
        </row>
        <row r="791">
          <cell r="A791" t="str">
            <v>종       별</v>
          </cell>
          <cell r="C791" t="str">
            <v>재 료 또 는</v>
          </cell>
          <cell r="D791" t="str">
            <v xml:space="preserve">원 수 </v>
          </cell>
          <cell r="E791" t="str">
            <v>단 위</v>
          </cell>
          <cell r="F791" t="str">
            <v>총   액</v>
          </cell>
          <cell r="G791" t="str">
            <v>노   무   비</v>
          </cell>
          <cell r="I791" t="str">
            <v>재   료   비</v>
          </cell>
          <cell r="K791" t="str">
            <v>경      비</v>
          </cell>
          <cell r="M791" t="str">
            <v>비   고</v>
          </cell>
        </row>
        <row r="792">
          <cell r="C792" t="str">
            <v xml:space="preserve">규       격 </v>
          </cell>
          <cell r="F792" t="str">
            <v>금   액</v>
          </cell>
          <cell r="G792" t="str">
            <v>단  가</v>
          </cell>
          <cell r="H792" t="str">
            <v>금   액</v>
          </cell>
          <cell r="I792" t="str">
            <v>단  가</v>
          </cell>
          <cell r="J792" t="str">
            <v>금   액</v>
          </cell>
          <cell r="K792" t="str">
            <v>단  가</v>
          </cell>
          <cell r="L792" t="str">
            <v>금   액</v>
          </cell>
        </row>
        <row r="793">
          <cell r="A793" t="str">
            <v>A.C WELDER</v>
          </cell>
          <cell r="C793" t="str">
            <v>10KVA</v>
          </cell>
          <cell r="D793">
            <v>8</v>
          </cell>
          <cell r="E793" t="str">
            <v>Hr</v>
          </cell>
          <cell r="K793">
            <v>155</v>
          </cell>
          <cell r="L793">
            <v>1240</v>
          </cell>
        </row>
        <row r="794">
          <cell r="A794" t="str">
            <v>D.C WELDER</v>
          </cell>
          <cell r="C794" t="str">
            <v>5.5KW</v>
          </cell>
          <cell r="D794">
            <v>32</v>
          </cell>
          <cell r="E794" t="str">
            <v>Hr</v>
          </cell>
          <cell r="K794">
            <v>359</v>
          </cell>
          <cell r="L794">
            <v>11488</v>
          </cell>
        </row>
        <row r="795">
          <cell r="A795" t="str">
            <v>GAS CUTTING M/C</v>
          </cell>
          <cell r="C795" t="str">
            <v>중 형</v>
          </cell>
          <cell r="D795">
            <v>32</v>
          </cell>
          <cell r="E795" t="str">
            <v>Hr</v>
          </cell>
          <cell r="G795">
            <v>3974</v>
          </cell>
          <cell r="H795">
            <v>127168</v>
          </cell>
          <cell r="K795">
            <v>115</v>
          </cell>
          <cell r="L795">
            <v>3680</v>
          </cell>
        </row>
        <row r="796">
          <cell r="A796" t="str">
            <v>GAS WELDER</v>
          </cell>
          <cell r="C796" t="str">
            <v>중 형</v>
          </cell>
          <cell r="D796">
            <v>24</v>
          </cell>
          <cell r="E796" t="str">
            <v>Hr</v>
          </cell>
          <cell r="K796">
            <v>115</v>
          </cell>
          <cell r="L796">
            <v>2760</v>
          </cell>
        </row>
        <row r="797">
          <cell r="A797" t="str">
            <v>PORTABLE DRILL</v>
          </cell>
          <cell r="C797" t="str">
            <v>1.5 HP</v>
          </cell>
          <cell r="D797">
            <v>16</v>
          </cell>
          <cell r="E797" t="str">
            <v>Hr</v>
          </cell>
          <cell r="K797">
            <v>14</v>
          </cell>
          <cell r="L797">
            <v>224</v>
          </cell>
        </row>
        <row r="799">
          <cell r="A799" t="str">
            <v>PORTABLE GRINDER</v>
          </cell>
          <cell r="C799" t="str">
            <v>0.5 HP</v>
          </cell>
          <cell r="D799">
            <v>32</v>
          </cell>
          <cell r="E799" t="str">
            <v>Hr</v>
          </cell>
          <cell r="K799">
            <v>22</v>
          </cell>
          <cell r="L799">
            <v>704</v>
          </cell>
        </row>
        <row r="800">
          <cell r="A800" t="str">
            <v>COMPRESSOR</v>
          </cell>
          <cell r="C800" t="str">
            <v>8.9㎥/min</v>
          </cell>
          <cell r="D800">
            <v>8</v>
          </cell>
          <cell r="E800" t="str">
            <v>Hr</v>
          </cell>
          <cell r="G800">
            <v>9681</v>
          </cell>
          <cell r="H800">
            <v>77448</v>
          </cell>
          <cell r="I800">
            <v>8779</v>
          </cell>
          <cell r="J800">
            <v>70232</v>
          </cell>
          <cell r="K800">
            <v>6250</v>
          </cell>
          <cell r="L800">
            <v>50000</v>
          </cell>
        </row>
        <row r="801">
          <cell r="A801" t="str">
            <v>WINCH</v>
          </cell>
          <cell r="C801" t="str">
            <v>10 HP</v>
          </cell>
          <cell r="D801">
            <v>16</v>
          </cell>
          <cell r="E801" t="str">
            <v>Hr</v>
          </cell>
          <cell r="G801">
            <v>9235</v>
          </cell>
          <cell r="H801">
            <v>147760</v>
          </cell>
          <cell r="K801">
            <v>850</v>
          </cell>
          <cell r="L801">
            <v>13600</v>
          </cell>
        </row>
        <row r="802">
          <cell r="A802" t="str">
            <v>리프트 트럭</v>
          </cell>
          <cell r="C802" t="str">
            <v>7 TON</v>
          </cell>
          <cell r="D802">
            <v>8</v>
          </cell>
          <cell r="E802" t="str">
            <v>Hr</v>
          </cell>
          <cell r="G802">
            <v>9681</v>
          </cell>
          <cell r="H802">
            <v>77448</v>
          </cell>
          <cell r="I802">
            <v>5898</v>
          </cell>
          <cell r="J802">
            <v>47184</v>
          </cell>
          <cell r="K802">
            <v>5845</v>
          </cell>
          <cell r="L802">
            <v>46760</v>
          </cell>
        </row>
        <row r="803">
          <cell r="A803" t="str">
            <v>TRUCK CRANE</v>
          </cell>
          <cell r="C803" t="str">
            <v>40 TON</v>
          </cell>
          <cell r="D803">
            <v>8</v>
          </cell>
          <cell r="E803" t="str">
            <v>Hr</v>
          </cell>
          <cell r="G803">
            <v>18615</v>
          </cell>
          <cell r="H803">
            <v>148920</v>
          </cell>
          <cell r="I803">
            <v>8730</v>
          </cell>
          <cell r="J803">
            <v>69840</v>
          </cell>
          <cell r="K803">
            <v>55621</v>
          </cell>
          <cell r="L803">
            <v>444968</v>
          </cell>
        </row>
        <row r="807">
          <cell r="B807" t="str">
            <v xml:space="preserve"> 계</v>
          </cell>
          <cell r="F807">
            <v>1341424</v>
          </cell>
          <cell r="H807">
            <v>578744</v>
          </cell>
          <cell r="J807">
            <v>187256</v>
          </cell>
          <cell r="L807">
            <v>575424</v>
          </cell>
        </row>
        <row r="815">
          <cell r="J815" t="str">
            <v xml:space="preserve"> </v>
          </cell>
        </row>
        <row r="816">
          <cell r="J816" t="str">
            <v xml:space="preserve"> </v>
          </cell>
        </row>
        <row r="817">
          <cell r="J817" t="str">
            <v xml:space="preserve"> </v>
          </cell>
        </row>
        <row r="818">
          <cell r="A818" t="str">
            <v>ROLLER GATE GUIDE FRAME 설치 소모 자재비</v>
          </cell>
        </row>
        <row r="819">
          <cell r="E819" t="str">
            <v xml:space="preserve"> </v>
          </cell>
        </row>
        <row r="820">
          <cell r="A820" t="str">
            <v>종       별</v>
          </cell>
          <cell r="C820" t="str">
            <v>재 료 또 는</v>
          </cell>
          <cell r="D820" t="str">
            <v xml:space="preserve">원 수 </v>
          </cell>
          <cell r="E820" t="str">
            <v>단 위</v>
          </cell>
          <cell r="F820" t="str">
            <v>총   액</v>
          </cell>
          <cell r="G820" t="str">
            <v>노   무   비</v>
          </cell>
          <cell r="I820" t="str">
            <v>재   료   비</v>
          </cell>
          <cell r="K820" t="str">
            <v>경      비</v>
          </cell>
          <cell r="M820" t="str">
            <v>비   고</v>
          </cell>
        </row>
        <row r="821">
          <cell r="C821" t="str">
            <v xml:space="preserve">규       격 </v>
          </cell>
          <cell r="F821" t="str">
            <v>금   액</v>
          </cell>
          <cell r="G821" t="str">
            <v>단  가</v>
          </cell>
          <cell r="H821" t="str">
            <v>금   액</v>
          </cell>
          <cell r="I821" t="str">
            <v>단  가</v>
          </cell>
          <cell r="J821" t="str">
            <v>금   액</v>
          </cell>
          <cell r="K821" t="str">
            <v>단  가</v>
          </cell>
          <cell r="L821" t="str">
            <v>금   액</v>
          </cell>
        </row>
        <row r="822">
          <cell r="A822" t="str">
            <v>산       소</v>
          </cell>
          <cell r="C822" t="str">
            <v>6,000L용</v>
          </cell>
          <cell r="D822">
            <v>0.69</v>
          </cell>
          <cell r="E822" t="str">
            <v>병</v>
          </cell>
          <cell r="G822" t="str">
            <v xml:space="preserve"> </v>
          </cell>
          <cell r="I822">
            <v>12000</v>
          </cell>
          <cell r="J822">
            <v>8280</v>
          </cell>
        </row>
        <row r="823">
          <cell r="A823" t="str">
            <v>아 세 치 렌</v>
          </cell>
          <cell r="C823" t="str">
            <v>2,100L용</v>
          </cell>
          <cell r="D823">
            <v>0.2</v>
          </cell>
          <cell r="E823" t="str">
            <v>병</v>
          </cell>
          <cell r="I823">
            <v>25849</v>
          </cell>
          <cell r="J823">
            <v>5169</v>
          </cell>
        </row>
        <row r="824">
          <cell r="A824" t="str">
            <v>용   접  봉</v>
          </cell>
          <cell r="C824" t="str">
            <v>SS41+STS304,4M/M</v>
          </cell>
          <cell r="D824">
            <v>31.05</v>
          </cell>
          <cell r="E824" t="str">
            <v>KG</v>
          </cell>
          <cell r="I824">
            <v>3360</v>
          </cell>
          <cell r="J824">
            <v>104328</v>
          </cell>
        </row>
        <row r="825">
          <cell r="A825" t="str">
            <v xml:space="preserve"> </v>
          </cell>
          <cell r="D825" t="str">
            <v xml:space="preserve"> </v>
          </cell>
          <cell r="E825" t="str">
            <v xml:space="preserve"> </v>
          </cell>
        </row>
        <row r="828">
          <cell r="A828" t="str">
            <v xml:space="preserve"> </v>
          </cell>
        </row>
        <row r="829">
          <cell r="L829" t="str">
            <v xml:space="preserve"> </v>
          </cell>
        </row>
        <row r="830">
          <cell r="B830" t="str">
            <v>계</v>
          </cell>
          <cell r="F830">
            <v>117777</v>
          </cell>
          <cell r="J830">
            <v>117777</v>
          </cell>
          <cell r="L830" t="str">
            <v xml:space="preserve"> </v>
          </cell>
        </row>
        <row r="831">
          <cell r="F831" t="str">
            <v xml:space="preserve"> </v>
          </cell>
          <cell r="L831" t="str">
            <v xml:space="preserve"> </v>
          </cell>
        </row>
        <row r="832">
          <cell r="F832" t="str">
            <v xml:space="preserve"> </v>
          </cell>
          <cell r="J832" t="str">
            <v xml:space="preserve"> </v>
          </cell>
          <cell r="L832" t="str">
            <v xml:space="preserve"> </v>
          </cell>
        </row>
        <row r="833">
          <cell r="F833" t="str">
            <v xml:space="preserve"> </v>
          </cell>
          <cell r="J833" t="str">
            <v xml:space="preserve"> </v>
          </cell>
          <cell r="L833" t="str">
            <v xml:space="preserve"> </v>
          </cell>
        </row>
        <row r="834">
          <cell r="F834" t="str">
            <v xml:space="preserve"> </v>
          </cell>
          <cell r="J834" t="str">
            <v xml:space="preserve"> </v>
          </cell>
          <cell r="L834" t="str">
            <v xml:space="preserve"> </v>
          </cell>
        </row>
        <row r="835">
          <cell r="F835" t="str">
            <v xml:space="preserve"> </v>
          </cell>
          <cell r="J835" t="str">
            <v xml:space="preserve"> </v>
          </cell>
          <cell r="L835" t="str">
            <v xml:space="preserve"> </v>
          </cell>
        </row>
        <row r="836">
          <cell r="F836" t="str">
            <v xml:space="preserve"> </v>
          </cell>
          <cell r="J836" t="str">
            <v xml:space="preserve"> </v>
          </cell>
          <cell r="L836" t="str">
            <v xml:space="preserve"> </v>
          </cell>
        </row>
        <row r="837">
          <cell r="F837" t="str">
            <v xml:space="preserve"> </v>
          </cell>
          <cell r="J837" t="str">
            <v xml:space="preserve"> </v>
          </cell>
          <cell r="L837" t="str">
            <v xml:space="preserve"> </v>
          </cell>
        </row>
        <row r="838">
          <cell r="F838" t="str">
            <v xml:space="preserve"> </v>
          </cell>
          <cell r="J838" t="str">
            <v xml:space="preserve"> </v>
          </cell>
          <cell r="L838" t="str">
            <v xml:space="preserve"> </v>
          </cell>
        </row>
        <row r="839">
          <cell r="F839" t="str">
            <v xml:space="preserve"> </v>
          </cell>
          <cell r="J839" t="str">
            <v xml:space="preserve"> </v>
          </cell>
          <cell r="L839" t="str">
            <v xml:space="preserve"> </v>
          </cell>
        </row>
        <row r="840">
          <cell r="F840" t="str">
            <v xml:space="preserve"> </v>
          </cell>
          <cell r="J840" t="str">
            <v xml:space="preserve"> </v>
          </cell>
          <cell r="L840" t="str">
            <v xml:space="preserve"> </v>
          </cell>
        </row>
        <row r="841">
          <cell r="F841" t="str">
            <v xml:space="preserve"> </v>
          </cell>
          <cell r="J841" t="str">
            <v xml:space="preserve"> </v>
          </cell>
          <cell r="L841" t="str">
            <v xml:space="preserve"> </v>
          </cell>
        </row>
        <row r="842">
          <cell r="F842" t="str">
            <v xml:space="preserve"> </v>
          </cell>
          <cell r="J842" t="str">
            <v xml:space="preserve"> </v>
          </cell>
          <cell r="L842" t="str">
            <v xml:space="preserve"> </v>
          </cell>
        </row>
        <row r="843">
          <cell r="F843" t="str">
            <v xml:space="preserve"> </v>
          </cell>
          <cell r="J843" t="str">
            <v xml:space="preserve"> </v>
          </cell>
          <cell r="L843" t="str">
            <v xml:space="preserve"> </v>
          </cell>
        </row>
        <row r="844">
          <cell r="F844" t="str">
            <v xml:space="preserve"> </v>
          </cell>
          <cell r="J844" t="str">
            <v xml:space="preserve"> </v>
          </cell>
          <cell r="L844" t="str">
            <v xml:space="preserve"> </v>
          </cell>
        </row>
        <row r="845">
          <cell r="F845" t="str">
            <v xml:space="preserve"> </v>
          </cell>
          <cell r="J845" t="str">
            <v xml:space="preserve"> </v>
          </cell>
          <cell r="L845" t="str">
            <v xml:space="preserve"> </v>
          </cell>
        </row>
        <row r="846">
          <cell r="F846" t="str">
            <v xml:space="preserve"> </v>
          </cell>
          <cell r="J846" t="str">
            <v xml:space="preserve"> </v>
          </cell>
          <cell r="L846" t="str">
            <v xml:space="preserve"> </v>
          </cell>
        </row>
        <row r="847">
          <cell r="A847" t="str">
            <v>HOIST 설치 인건비</v>
          </cell>
        </row>
        <row r="848">
          <cell r="E848" t="str">
            <v xml:space="preserve"> </v>
          </cell>
        </row>
        <row r="849">
          <cell r="A849" t="str">
            <v>종       별</v>
          </cell>
          <cell r="C849" t="str">
            <v>재 료 또 는</v>
          </cell>
          <cell r="D849" t="str">
            <v xml:space="preserve">원 수 </v>
          </cell>
          <cell r="E849" t="str">
            <v>단 위</v>
          </cell>
          <cell r="F849" t="str">
            <v>총   액</v>
          </cell>
          <cell r="G849" t="str">
            <v>노   무   비</v>
          </cell>
          <cell r="I849" t="str">
            <v>재   료   비</v>
          </cell>
          <cell r="K849" t="str">
            <v>경      비</v>
          </cell>
          <cell r="M849" t="str">
            <v>비   고</v>
          </cell>
        </row>
        <row r="850">
          <cell r="C850" t="str">
            <v xml:space="preserve">규       격 </v>
          </cell>
          <cell r="F850" t="str">
            <v>금   액</v>
          </cell>
          <cell r="G850" t="str">
            <v>단  가</v>
          </cell>
          <cell r="H850" t="str">
            <v>금   액</v>
          </cell>
          <cell r="I850" t="str">
            <v>단  가</v>
          </cell>
          <cell r="J850" t="str">
            <v>금   액</v>
          </cell>
          <cell r="K850" t="str">
            <v>단  가</v>
          </cell>
          <cell r="L850" t="str">
            <v>금   액</v>
          </cell>
        </row>
        <row r="851">
          <cell r="A851" t="str">
            <v>기 술 관 리</v>
          </cell>
          <cell r="C851" t="str">
            <v>기계기사2급</v>
          </cell>
          <cell r="D851">
            <v>0.5</v>
          </cell>
          <cell r="E851" t="str">
            <v>인</v>
          </cell>
          <cell r="G851">
            <v>69405</v>
          </cell>
          <cell r="H851">
            <v>34702</v>
          </cell>
        </row>
        <row r="852">
          <cell r="A852" t="str">
            <v>소운반 조작</v>
          </cell>
          <cell r="C852" t="str">
            <v>비   계   공</v>
          </cell>
          <cell r="D852">
            <v>1.105</v>
          </cell>
          <cell r="E852" t="str">
            <v>인</v>
          </cell>
          <cell r="G852">
            <v>79467</v>
          </cell>
          <cell r="H852">
            <v>87811</v>
          </cell>
        </row>
        <row r="853">
          <cell r="A853" t="str">
            <v>조립 및 조정</v>
          </cell>
          <cell r="C853" t="str">
            <v>비   계   공</v>
          </cell>
          <cell r="D853">
            <v>1.9279999999999999</v>
          </cell>
          <cell r="E853" t="str">
            <v>인</v>
          </cell>
          <cell r="G853">
            <v>79467</v>
          </cell>
          <cell r="H853">
            <v>153212</v>
          </cell>
        </row>
        <row r="854">
          <cell r="A854" t="str">
            <v xml:space="preserve"> </v>
          </cell>
          <cell r="C854" t="str">
            <v>측   량   사</v>
          </cell>
          <cell r="D854">
            <v>0.26800000000000002</v>
          </cell>
          <cell r="E854" t="str">
            <v>인</v>
          </cell>
          <cell r="G854">
            <v>58506</v>
          </cell>
          <cell r="H854">
            <v>15679</v>
          </cell>
        </row>
        <row r="855">
          <cell r="A855" t="str">
            <v xml:space="preserve"> </v>
          </cell>
          <cell r="C855" t="str">
            <v>프랜트기계설치공</v>
          </cell>
          <cell r="D855">
            <v>2.1150000000000002</v>
          </cell>
          <cell r="E855" t="str">
            <v>인</v>
          </cell>
          <cell r="G855">
            <v>80805</v>
          </cell>
          <cell r="H855">
            <v>170902</v>
          </cell>
        </row>
        <row r="857">
          <cell r="A857" t="str">
            <v>용       접</v>
          </cell>
          <cell r="C857" t="str">
            <v>프랜트 용접공</v>
          </cell>
          <cell r="D857">
            <v>1.03</v>
          </cell>
          <cell r="E857" t="str">
            <v>인</v>
          </cell>
          <cell r="G857">
            <v>95379</v>
          </cell>
          <cell r="H857">
            <v>98240</v>
          </cell>
        </row>
        <row r="858">
          <cell r="A858" t="str">
            <v>시운전 및 조작</v>
          </cell>
          <cell r="C858" t="str">
            <v>프랜트기계설치공</v>
          </cell>
          <cell r="D858">
            <v>0.36</v>
          </cell>
          <cell r="E858" t="str">
            <v>인</v>
          </cell>
          <cell r="G858">
            <v>80805</v>
          </cell>
          <cell r="H858">
            <v>29089</v>
          </cell>
        </row>
        <row r="859">
          <cell r="A859" t="str">
            <v xml:space="preserve"> </v>
          </cell>
          <cell r="B859" t="str">
            <v xml:space="preserve"> </v>
          </cell>
          <cell r="C859" t="str">
            <v>프랜트 전공</v>
          </cell>
          <cell r="D859">
            <v>0.41299999999999998</v>
          </cell>
          <cell r="E859" t="str">
            <v>인</v>
          </cell>
          <cell r="G859">
            <v>64285</v>
          </cell>
          <cell r="H859">
            <v>26549</v>
          </cell>
        </row>
        <row r="860">
          <cell r="C860" t="str">
            <v>비   계   공</v>
          </cell>
          <cell r="D860">
            <v>0.9</v>
          </cell>
          <cell r="E860" t="str">
            <v>인</v>
          </cell>
          <cell r="G860">
            <v>79467</v>
          </cell>
          <cell r="H860">
            <v>71520</v>
          </cell>
        </row>
        <row r="861">
          <cell r="A861" t="str">
            <v>검사 및 교정</v>
          </cell>
          <cell r="C861" t="str">
            <v>기술관리,시운</v>
          </cell>
          <cell r="D861" t="str">
            <v>1</v>
          </cell>
          <cell r="E861" t="str">
            <v>식</v>
          </cell>
        </row>
        <row r="862">
          <cell r="C862" t="str">
            <v>전및조작제외</v>
          </cell>
          <cell r="E862" t="str">
            <v xml:space="preserve"> </v>
          </cell>
        </row>
        <row r="863">
          <cell r="A863" t="str">
            <v xml:space="preserve"> </v>
          </cell>
          <cell r="C863" t="str">
            <v>10 %</v>
          </cell>
        </row>
        <row r="865">
          <cell r="B865" t="str">
            <v>계</v>
          </cell>
          <cell r="F865">
            <v>687704</v>
          </cell>
          <cell r="H865">
            <v>687704</v>
          </cell>
        </row>
        <row r="876">
          <cell r="A876" t="str">
            <v>ROLLER GATE HOIST 설치 사용장비 경비</v>
          </cell>
        </row>
        <row r="877">
          <cell r="E877" t="str">
            <v xml:space="preserve"> </v>
          </cell>
        </row>
        <row r="878">
          <cell r="A878" t="str">
            <v>종       별</v>
          </cell>
          <cell r="C878" t="str">
            <v>재 료 또 는</v>
          </cell>
          <cell r="D878" t="str">
            <v xml:space="preserve">원 수 </v>
          </cell>
          <cell r="E878" t="str">
            <v>단 위</v>
          </cell>
          <cell r="F878" t="str">
            <v>총   액</v>
          </cell>
          <cell r="G878" t="str">
            <v>노   무   비</v>
          </cell>
          <cell r="I878" t="str">
            <v>재   료   비</v>
          </cell>
          <cell r="K878" t="str">
            <v>경      비</v>
          </cell>
          <cell r="M878" t="str">
            <v>비   고</v>
          </cell>
        </row>
        <row r="879">
          <cell r="C879" t="str">
            <v xml:space="preserve">규       격 </v>
          </cell>
          <cell r="F879" t="str">
            <v>금   액</v>
          </cell>
          <cell r="G879" t="str">
            <v>단  가</v>
          </cell>
          <cell r="H879" t="str">
            <v>금   액</v>
          </cell>
          <cell r="I879" t="str">
            <v>단  가</v>
          </cell>
          <cell r="J879" t="str">
            <v>금   액</v>
          </cell>
          <cell r="K879" t="str">
            <v>단  가</v>
          </cell>
          <cell r="L879" t="str">
            <v>금   액</v>
          </cell>
        </row>
        <row r="880">
          <cell r="A880" t="str">
            <v>A.C WELDER</v>
          </cell>
          <cell r="C880" t="str">
            <v>10KVA</v>
          </cell>
          <cell r="D880">
            <v>8</v>
          </cell>
          <cell r="E880" t="str">
            <v>Hr</v>
          </cell>
          <cell r="K880">
            <v>155</v>
          </cell>
          <cell r="L880">
            <v>1240</v>
          </cell>
        </row>
        <row r="881">
          <cell r="A881" t="str">
            <v>D.C WELDER</v>
          </cell>
          <cell r="C881" t="str">
            <v>300A,5.5KW</v>
          </cell>
          <cell r="D881">
            <v>8</v>
          </cell>
          <cell r="E881" t="str">
            <v>Hr</v>
          </cell>
          <cell r="K881">
            <v>359</v>
          </cell>
          <cell r="L881">
            <v>2872</v>
          </cell>
        </row>
        <row r="882">
          <cell r="A882" t="str">
            <v>GAS CUTTING M/C</v>
          </cell>
          <cell r="C882" t="str">
            <v>중 형</v>
          </cell>
          <cell r="D882">
            <v>16</v>
          </cell>
          <cell r="E882" t="str">
            <v>Hr</v>
          </cell>
          <cell r="G882">
            <v>3974</v>
          </cell>
          <cell r="H882">
            <v>63584</v>
          </cell>
          <cell r="K882">
            <v>115</v>
          </cell>
          <cell r="L882">
            <v>1840</v>
          </cell>
        </row>
        <row r="883">
          <cell r="A883" t="str">
            <v>PORTABLE DRILL</v>
          </cell>
          <cell r="C883" t="str">
            <v>1.5 HP</v>
          </cell>
          <cell r="D883">
            <v>8</v>
          </cell>
          <cell r="E883" t="str">
            <v>Hr</v>
          </cell>
          <cell r="K883">
            <v>14</v>
          </cell>
          <cell r="L883">
            <v>112</v>
          </cell>
        </row>
        <row r="884">
          <cell r="A884" t="str">
            <v>PORTABLE GRINDER</v>
          </cell>
          <cell r="C884" t="str">
            <v>0.5 HP</v>
          </cell>
          <cell r="D884">
            <v>16</v>
          </cell>
          <cell r="E884" t="str">
            <v>Hr</v>
          </cell>
          <cell r="K884">
            <v>22</v>
          </cell>
          <cell r="L884">
            <v>352</v>
          </cell>
        </row>
        <row r="886">
          <cell r="A886" t="str">
            <v>TRUCK CRANE</v>
          </cell>
          <cell r="C886" t="str">
            <v>30 TON</v>
          </cell>
          <cell r="D886">
            <v>8</v>
          </cell>
          <cell r="E886" t="str">
            <v>Hr</v>
          </cell>
          <cell r="G886">
            <v>18615</v>
          </cell>
          <cell r="H886">
            <v>148920</v>
          </cell>
          <cell r="I886">
            <v>7046</v>
          </cell>
          <cell r="J886">
            <v>56368</v>
          </cell>
          <cell r="K886">
            <v>44939</v>
          </cell>
          <cell r="L886">
            <v>359512</v>
          </cell>
        </row>
        <row r="887">
          <cell r="A887" t="str">
            <v>WINCH</v>
          </cell>
          <cell r="C887" t="str">
            <v>10 HP</v>
          </cell>
          <cell r="D887">
            <v>16</v>
          </cell>
          <cell r="E887" t="str">
            <v>Hr</v>
          </cell>
          <cell r="G887">
            <v>9235</v>
          </cell>
          <cell r="H887">
            <v>147760</v>
          </cell>
          <cell r="K887">
            <v>850</v>
          </cell>
          <cell r="L887">
            <v>13600</v>
          </cell>
        </row>
        <row r="888">
          <cell r="A888" t="str">
            <v>TRAILER</v>
          </cell>
          <cell r="C888" t="str">
            <v>30 TON</v>
          </cell>
          <cell r="D888">
            <v>8</v>
          </cell>
          <cell r="E888" t="str">
            <v>Hr</v>
          </cell>
          <cell r="G888">
            <v>8683</v>
          </cell>
          <cell r="H888">
            <v>69464</v>
          </cell>
          <cell r="I888">
            <v>15763</v>
          </cell>
          <cell r="J888">
            <v>126104</v>
          </cell>
          <cell r="K888">
            <v>27414</v>
          </cell>
          <cell r="L888">
            <v>219312</v>
          </cell>
        </row>
        <row r="889">
          <cell r="A889" t="str">
            <v>TRUCK</v>
          </cell>
          <cell r="C889" t="str">
            <v>6TON</v>
          </cell>
          <cell r="D889">
            <v>8</v>
          </cell>
          <cell r="E889" t="str">
            <v>Hr</v>
          </cell>
          <cell r="G889">
            <v>8683</v>
          </cell>
          <cell r="H889">
            <v>69464</v>
          </cell>
          <cell r="I889">
            <v>8110</v>
          </cell>
          <cell r="J889">
            <v>64880</v>
          </cell>
          <cell r="K889">
            <v>4902</v>
          </cell>
          <cell r="L889">
            <v>39216</v>
          </cell>
        </row>
        <row r="892">
          <cell r="B892" t="str">
            <v xml:space="preserve"> 계</v>
          </cell>
          <cell r="F892">
            <v>1384600</v>
          </cell>
          <cell r="H892">
            <v>499192</v>
          </cell>
          <cell r="J892">
            <v>247352</v>
          </cell>
          <cell r="L892">
            <v>638056</v>
          </cell>
        </row>
        <row r="905">
          <cell r="A905" t="str">
            <v>HOIST 설치 소모 자재비</v>
          </cell>
        </row>
        <row r="906">
          <cell r="E906" t="str">
            <v xml:space="preserve"> </v>
          </cell>
        </row>
        <row r="907">
          <cell r="A907" t="str">
            <v>종       별</v>
          </cell>
          <cell r="C907" t="str">
            <v>재 료 또 는</v>
          </cell>
          <cell r="D907" t="str">
            <v xml:space="preserve">원 수 </v>
          </cell>
          <cell r="E907" t="str">
            <v>단 위</v>
          </cell>
          <cell r="F907" t="str">
            <v>총   액</v>
          </cell>
          <cell r="G907" t="str">
            <v>노   무   비</v>
          </cell>
          <cell r="I907" t="str">
            <v>재   료   비</v>
          </cell>
          <cell r="K907" t="str">
            <v>경      비</v>
          </cell>
          <cell r="M907" t="str">
            <v>비   고</v>
          </cell>
        </row>
        <row r="908">
          <cell r="C908" t="str">
            <v xml:space="preserve">규       격 </v>
          </cell>
          <cell r="F908" t="str">
            <v>금   액</v>
          </cell>
          <cell r="G908" t="str">
            <v>단  가</v>
          </cell>
          <cell r="H908" t="str">
            <v>금   액</v>
          </cell>
          <cell r="I908" t="str">
            <v>단  가</v>
          </cell>
          <cell r="J908" t="str">
            <v>금   액</v>
          </cell>
          <cell r="K908" t="str">
            <v>단  가</v>
          </cell>
          <cell r="L908" t="str">
            <v>금   액</v>
          </cell>
        </row>
        <row r="909">
          <cell r="A909" t="str">
            <v>산       소</v>
          </cell>
          <cell r="C909" t="str">
            <v>6,000L용</v>
          </cell>
          <cell r="D909">
            <v>0.38</v>
          </cell>
          <cell r="E909" t="str">
            <v>병</v>
          </cell>
          <cell r="G909" t="str">
            <v xml:space="preserve"> </v>
          </cell>
          <cell r="I909">
            <v>12000</v>
          </cell>
          <cell r="J909">
            <v>4560</v>
          </cell>
        </row>
        <row r="910">
          <cell r="A910" t="str">
            <v>아 세 치 렌</v>
          </cell>
          <cell r="C910" t="str">
            <v>4,500L용</v>
          </cell>
          <cell r="D910">
            <v>0.33</v>
          </cell>
          <cell r="E910" t="str">
            <v>병</v>
          </cell>
          <cell r="I910">
            <v>55392</v>
          </cell>
          <cell r="J910">
            <v>18279</v>
          </cell>
        </row>
        <row r="911">
          <cell r="A911" t="str">
            <v>용   접  봉</v>
          </cell>
          <cell r="C911" t="str">
            <v>SS400 , 4M/M</v>
          </cell>
          <cell r="D911">
            <v>3</v>
          </cell>
          <cell r="E911" t="str">
            <v>KG</v>
          </cell>
          <cell r="I911">
            <v>1260</v>
          </cell>
          <cell r="J911">
            <v>3780</v>
          </cell>
        </row>
        <row r="912">
          <cell r="A912" t="str">
            <v>세    유(경유)</v>
          </cell>
          <cell r="D912">
            <v>3</v>
          </cell>
          <cell r="E912" t="str">
            <v>L</v>
          </cell>
          <cell r="I912">
            <v>526.4</v>
          </cell>
          <cell r="J912">
            <v>1579</v>
          </cell>
        </row>
        <row r="915">
          <cell r="A915" t="str">
            <v xml:space="preserve"> </v>
          </cell>
        </row>
        <row r="916">
          <cell r="L916" t="str">
            <v xml:space="preserve"> </v>
          </cell>
        </row>
        <row r="917">
          <cell r="B917" t="str">
            <v>계</v>
          </cell>
          <cell r="F917">
            <v>28198</v>
          </cell>
          <cell r="J917">
            <v>28198</v>
          </cell>
          <cell r="L917" t="str">
            <v xml:space="preserve"> </v>
          </cell>
        </row>
        <row r="918">
          <cell r="A918" t="str">
            <v xml:space="preserve"> </v>
          </cell>
        </row>
        <row r="919">
          <cell r="A919" t="str">
            <v xml:space="preserve"> </v>
          </cell>
        </row>
        <row r="920">
          <cell r="A920" t="str">
            <v xml:space="preserve"> </v>
          </cell>
        </row>
        <row r="921">
          <cell r="A921" t="str">
            <v xml:space="preserve"> </v>
          </cell>
        </row>
        <row r="922">
          <cell r="A922" t="str">
            <v xml:space="preserve"> </v>
          </cell>
        </row>
        <row r="923">
          <cell r="A923" t="str">
            <v xml:space="preserve"> </v>
          </cell>
        </row>
        <row r="924">
          <cell r="A924" t="str">
            <v xml:space="preserve"> </v>
          </cell>
        </row>
        <row r="925">
          <cell r="A925" t="str">
            <v xml:space="preserve"> </v>
          </cell>
        </row>
        <row r="926">
          <cell r="A926" t="str">
            <v xml:space="preserve"> </v>
          </cell>
        </row>
        <row r="927">
          <cell r="A927" t="str">
            <v xml:space="preserve"> </v>
          </cell>
        </row>
        <row r="928">
          <cell r="A928" t="str">
            <v xml:space="preserve"> </v>
          </cell>
        </row>
        <row r="929">
          <cell r="A929" t="str">
            <v xml:space="preserve"> </v>
          </cell>
        </row>
        <row r="930">
          <cell r="A930" t="str">
            <v xml:space="preserve"> </v>
          </cell>
        </row>
        <row r="931">
          <cell r="A931" t="str">
            <v xml:space="preserve"> </v>
          </cell>
        </row>
        <row r="932">
          <cell r="A932" t="str">
            <v xml:space="preserve"> </v>
          </cell>
        </row>
        <row r="933">
          <cell r="A933" t="str">
            <v xml:space="preserve"> </v>
          </cell>
        </row>
        <row r="934">
          <cell r="A934" t="str">
            <v>STOP LOG LEAF 제작 인건비</v>
          </cell>
        </row>
        <row r="935">
          <cell r="E935" t="str">
            <v xml:space="preserve"> </v>
          </cell>
        </row>
        <row r="936">
          <cell r="A936" t="str">
            <v>종       별</v>
          </cell>
          <cell r="C936" t="str">
            <v>재 료 또 는</v>
          </cell>
          <cell r="D936" t="str">
            <v xml:space="preserve">원 수 </v>
          </cell>
          <cell r="E936" t="str">
            <v>단 위</v>
          </cell>
          <cell r="F936" t="str">
            <v>총   액</v>
          </cell>
          <cell r="G936" t="str">
            <v>노   무   비</v>
          </cell>
          <cell r="I936" t="str">
            <v>재   료   비</v>
          </cell>
          <cell r="K936" t="str">
            <v>경      비</v>
          </cell>
          <cell r="M936" t="str">
            <v>비   고</v>
          </cell>
        </row>
        <row r="937">
          <cell r="C937" t="str">
            <v xml:space="preserve">규       격 </v>
          </cell>
          <cell r="F937" t="str">
            <v>금   액</v>
          </cell>
          <cell r="G937" t="str">
            <v>단  가</v>
          </cell>
          <cell r="H937" t="str">
            <v>금   액</v>
          </cell>
          <cell r="I937" t="str">
            <v>단  가</v>
          </cell>
          <cell r="J937" t="str">
            <v>금   액</v>
          </cell>
          <cell r="K937" t="str">
            <v>단  가</v>
          </cell>
          <cell r="L937" t="str">
            <v>금   액</v>
          </cell>
        </row>
        <row r="938">
          <cell r="A938" t="str">
            <v>기 술 관 리</v>
          </cell>
          <cell r="C938" t="str">
            <v>기계기사2급</v>
          </cell>
          <cell r="D938">
            <v>0.5</v>
          </cell>
          <cell r="E938" t="str">
            <v>인</v>
          </cell>
          <cell r="G938">
            <v>69405</v>
          </cell>
          <cell r="H938">
            <v>34702</v>
          </cell>
        </row>
        <row r="939">
          <cell r="A939" t="str">
            <v>본  뜨  기</v>
          </cell>
          <cell r="C939" t="str">
            <v>프랜트 제관공</v>
          </cell>
          <cell r="D939">
            <v>0.52300000000000002</v>
          </cell>
          <cell r="E939" t="str">
            <v>인</v>
          </cell>
          <cell r="G939">
            <v>81966</v>
          </cell>
          <cell r="H939">
            <v>42868</v>
          </cell>
        </row>
        <row r="940">
          <cell r="A940" t="str">
            <v>금  긋  기</v>
          </cell>
          <cell r="C940" t="str">
            <v>프랜트 제관공</v>
          </cell>
          <cell r="D940">
            <v>1.514</v>
          </cell>
          <cell r="E940" t="str">
            <v>인</v>
          </cell>
          <cell r="G940">
            <v>81966</v>
          </cell>
          <cell r="H940">
            <v>124096</v>
          </cell>
        </row>
        <row r="941">
          <cell r="A941" t="str">
            <v>절      단</v>
          </cell>
          <cell r="C941" t="str">
            <v>프랜트 제관공</v>
          </cell>
          <cell r="D941">
            <v>0.41399999999999998</v>
          </cell>
          <cell r="E941" t="str">
            <v>인</v>
          </cell>
          <cell r="G941">
            <v>81966</v>
          </cell>
          <cell r="H941">
            <v>33933</v>
          </cell>
        </row>
        <row r="942">
          <cell r="A942" t="str">
            <v>가      공</v>
          </cell>
          <cell r="C942" t="str">
            <v>프랜트 제관공</v>
          </cell>
          <cell r="D942">
            <v>0.5</v>
          </cell>
          <cell r="E942" t="str">
            <v>인</v>
          </cell>
          <cell r="G942">
            <v>81966</v>
          </cell>
          <cell r="H942">
            <v>40983</v>
          </cell>
        </row>
        <row r="944">
          <cell r="A944" t="str">
            <v>구 멍 뚫 기</v>
          </cell>
          <cell r="C944" t="str">
            <v>프랜트 제관공</v>
          </cell>
          <cell r="D944">
            <v>0.61299999999999999</v>
          </cell>
          <cell r="E944" t="str">
            <v>인</v>
          </cell>
          <cell r="G944">
            <v>81966</v>
          </cell>
          <cell r="H944">
            <v>50245</v>
          </cell>
        </row>
        <row r="945">
          <cell r="A945" t="str">
            <v>용      접</v>
          </cell>
          <cell r="C945" t="str">
            <v>프랜트 용접공</v>
          </cell>
          <cell r="D945">
            <v>2.968</v>
          </cell>
          <cell r="E945" t="str">
            <v>인</v>
          </cell>
          <cell r="G945">
            <v>95379</v>
          </cell>
          <cell r="H945">
            <v>283084</v>
          </cell>
        </row>
        <row r="946">
          <cell r="A946" t="str">
            <v>부 품 조 립</v>
          </cell>
          <cell r="C946" t="str">
            <v>비   계   공</v>
          </cell>
          <cell r="D946">
            <v>1.325</v>
          </cell>
          <cell r="E946" t="str">
            <v>인</v>
          </cell>
          <cell r="G946">
            <v>79467</v>
          </cell>
          <cell r="H946">
            <v>105293</v>
          </cell>
        </row>
        <row r="947">
          <cell r="C947" t="str">
            <v>프랜트기계설치공</v>
          </cell>
          <cell r="D947">
            <v>1.325</v>
          </cell>
          <cell r="E947" t="str">
            <v>인</v>
          </cell>
          <cell r="G947">
            <v>80805</v>
          </cell>
          <cell r="H947">
            <v>107066</v>
          </cell>
        </row>
        <row r="948">
          <cell r="A948" t="str">
            <v>소운반 조작</v>
          </cell>
          <cell r="C948" t="str">
            <v>비   계   공</v>
          </cell>
          <cell r="D948">
            <v>0.97</v>
          </cell>
          <cell r="E948" t="str">
            <v>인</v>
          </cell>
          <cell r="G948">
            <v>79467</v>
          </cell>
          <cell r="H948">
            <v>77082</v>
          </cell>
        </row>
        <row r="949">
          <cell r="A949" t="str">
            <v>검사 및 교정</v>
          </cell>
          <cell r="C949" t="str">
            <v>기술관리 제외한</v>
          </cell>
          <cell r="D949" t="str">
            <v>1</v>
          </cell>
          <cell r="E949" t="str">
            <v>식</v>
          </cell>
          <cell r="H949">
            <v>86465</v>
          </cell>
        </row>
        <row r="950">
          <cell r="C950" t="str">
            <v>10%</v>
          </cell>
        </row>
        <row r="953">
          <cell r="B953" t="str">
            <v>계</v>
          </cell>
          <cell r="F953">
            <v>985817</v>
          </cell>
          <cell r="H953">
            <v>985817</v>
          </cell>
        </row>
        <row r="963">
          <cell r="A963" t="str">
            <v>STOP LOG LEAF 제작 사용장비 경비</v>
          </cell>
        </row>
        <row r="964">
          <cell r="E964" t="str">
            <v xml:space="preserve"> </v>
          </cell>
        </row>
        <row r="965">
          <cell r="A965" t="str">
            <v>종       별</v>
          </cell>
          <cell r="C965" t="str">
            <v>재 료 또 는</v>
          </cell>
          <cell r="D965" t="str">
            <v xml:space="preserve">원 수 </v>
          </cell>
          <cell r="E965" t="str">
            <v>단 위</v>
          </cell>
          <cell r="F965" t="str">
            <v>총   액</v>
          </cell>
          <cell r="G965" t="str">
            <v>노   무   비</v>
          </cell>
          <cell r="I965" t="str">
            <v>재   료   비</v>
          </cell>
          <cell r="K965" t="str">
            <v>경      비</v>
          </cell>
          <cell r="M965" t="str">
            <v>비   고</v>
          </cell>
        </row>
        <row r="966">
          <cell r="C966" t="str">
            <v xml:space="preserve">규       격 </v>
          </cell>
          <cell r="F966" t="str">
            <v>금   액</v>
          </cell>
          <cell r="G966" t="str">
            <v>단  가</v>
          </cell>
          <cell r="H966" t="str">
            <v>금   액</v>
          </cell>
          <cell r="I966" t="str">
            <v>단  가</v>
          </cell>
          <cell r="J966" t="str">
            <v>금   액</v>
          </cell>
          <cell r="K966" t="str">
            <v>단  가</v>
          </cell>
          <cell r="L966" t="str">
            <v>금   액</v>
          </cell>
        </row>
        <row r="967">
          <cell r="A967" t="str">
            <v>LATHE</v>
          </cell>
          <cell r="C967" t="str">
            <v>12FT x 7.5HP</v>
          </cell>
          <cell r="D967">
            <v>0.41599999999999998</v>
          </cell>
          <cell r="E967" t="str">
            <v>Hr</v>
          </cell>
          <cell r="G967">
            <v>3418</v>
          </cell>
          <cell r="H967">
            <v>1421</v>
          </cell>
          <cell r="K967">
            <v>3775</v>
          </cell>
          <cell r="L967">
            <v>1570.3999999999999</v>
          </cell>
        </row>
        <row r="968">
          <cell r="A968" t="str">
            <v>PLANER</v>
          </cell>
          <cell r="C968" t="str">
            <v>4FT x 8FT</v>
          </cell>
          <cell r="D968">
            <v>7.5999999999999998E-2</v>
          </cell>
          <cell r="E968" t="str">
            <v>Hr</v>
          </cell>
          <cell r="G968">
            <v>3129</v>
          </cell>
          <cell r="H968">
            <v>237</v>
          </cell>
          <cell r="K968">
            <v>2743</v>
          </cell>
          <cell r="L968">
            <v>208.46799999999999</v>
          </cell>
        </row>
        <row r="969">
          <cell r="A969" t="str">
            <v>BORING M/C</v>
          </cell>
          <cell r="C969" t="str">
            <v>Hori.type,3HP</v>
          </cell>
          <cell r="D969">
            <v>0.248</v>
          </cell>
          <cell r="E969" t="str">
            <v>Hr</v>
          </cell>
          <cell r="G969">
            <v>3547</v>
          </cell>
          <cell r="H969">
            <v>879</v>
          </cell>
          <cell r="K969">
            <v>8928</v>
          </cell>
          <cell r="L969">
            <v>2214.1439999999998</v>
          </cell>
        </row>
        <row r="970">
          <cell r="A970" t="str">
            <v>UNION MELT WELDER</v>
          </cell>
          <cell r="C970" t="str">
            <v>5.5 KVA</v>
          </cell>
          <cell r="D970">
            <v>3.2240000000000002</v>
          </cell>
          <cell r="E970" t="str">
            <v>Hr</v>
          </cell>
          <cell r="G970">
            <v>3488</v>
          </cell>
          <cell r="H970">
            <v>11245</v>
          </cell>
          <cell r="K970">
            <v>1797</v>
          </cell>
          <cell r="L970">
            <v>5793.5280000000002</v>
          </cell>
        </row>
        <row r="971">
          <cell r="A971" t="str">
            <v>A.C WELDER</v>
          </cell>
          <cell r="C971" t="str">
            <v>10KVA</v>
          </cell>
          <cell r="D971">
            <v>9.9760000000000009</v>
          </cell>
          <cell r="E971" t="str">
            <v>Hr</v>
          </cell>
          <cell r="K971">
            <v>155</v>
          </cell>
          <cell r="L971">
            <v>1546.2800000000002</v>
          </cell>
        </row>
        <row r="972">
          <cell r="E972" t="str">
            <v xml:space="preserve"> </v>
          </cell>
        </row>
        <row r="973">
          <cell r="A973" t="str">
            <v>GOUGING M/C</v>
          </cell>
          <cell r="C973" t="str">
            <v>중 형</v>
          </cell>
          <cell r="D973">
            <v>3.56</v>
          </cell>
          <cell r="E973" t="str">
            <v>Hr</v>
          </cell>
          <cell r="G973">
            <v>3380</v>
          </cell>
          <cell r="H973">
            <v>12032</v>
          </cell>
          <cell r="K973">
            <v>670</v>
          </cell>
          <cell r="L973">
            <v>2385.1999999999998</v>
          </cell>
        </row>
        <row r="974">
          <cell r="A974" t="str">
            <v>GAS CUTTING M/C</v>
          </cell>
          <cell r="C974" t="str">
            <v>Auto형</v>
          </cell>
          <cell r="D974">
            <v>1.3280000000000001</v>
          </cell>
          <cell r="E974" t="str">
            <v>Hr</v>
          </cell>
          <cell r="G974">
            <v>11922</v>
          </cell>
          <cell r="H974">
            <v>15832</v>
          </cell>
          <cell r="K974">
            <v>119</v>
          </cell>
          <cell r="L974">
            <v>158.03200000000001</v>
          </cell>
        </row>
        <row r="975">
          <cell r="A975" t="str">
            <v>GAS CUTTING M/C</v>
          </cell>
          <cell r="C975" t="str">
            <v>수 동</v>
          </cell>
          <cell r="D975">
            <v>1.984</v>
          </cell>
          <cell r="E975" t="str">
            <v>Hr</v>
          </cell>
          <cell r="G975">
            <v>3974</v>
          </cell>
          <cell r="H975">
            <v>7884</v>
          </cell>
          <cell r="K975">
            <v>115</v>
          </cell>
          <cell r="L975">
            <v>228.16</v>
          </cell>
        </row>
        <row r="976">
          <cell r="A976" t="str">
            <v>GAS HEATING TOUCH</v>
          </cell>
          <cell r="C976" t="str">
            <v>중 형</v>
          </cell>
          <cell r="D976">
            <v>3.8719999999999999</v>
          </cell>
          <cell r="E976" t="str">
            <v>Hr</v>
          </cell>
          <cell r="G976">
            <v>3174</v>
          </cell>
          <cell r="H976">
            <v>12289</v>
          </cell>
          <cell r="K976">
            <v>115</v>
          </cell>
          <cell r="L976">
            <v>445.28</v>
          </cell>
        </row>
        <row r="977">
          <cell r="A977" t="str">
            <v>OVER HEAD CRANE</v>
          </cell>
          <cell r="C977" t="str">
            <v>30 TON</v>
          </cell>
          <cell r="D977">
            <v>0.88</v>
          </cell>
          <cell r="E977" t="str">
            <v>Hr</v>
          </cell>
          <cell r="G977">
            <v>9681</v>
          </cell>
          <cell r="H977">
            <v>8519</v>
          </cell>
          <cell r="K977">
            <v>3338</v>
          </cell>
          <cell r="L977">
            <v>2937.44</v>
          </cell>
        </row>
        <row r="978">
          <cell r="E978" t="str">
            <v xml:space="preserve"> </v>
          </cell>
        </row>
        <row r="979">
          <cell r="A979" t="str">
            <v>OVER HEAD CRANE</v>
          </cell>
          <cell r="C979" t="str">
            <v>20 TON</v>
          </cell>
          <cell r="D979">
            <v>0.88</v>
          </cell>
          <cell r="E979" t="str">
            <v>Hr</v>
          </cell>
          <cell r="G979">
            <v>9681</v>
          </cell>
          <cell r="H979">
            <v>8519</v>
          </cell>
          <cell r="K979">
            <v>3338</v>
          </cell>
          <cell r="L979">
            <v>2937.44</v>
          </cell>
        </row>
        <row r="980">
          <cell r="A980" t="str">
            <v>HYDRO PRESS</v>
          </cell>
          <cell r="C980" t="str">
            <v>100 TON</v>
          </cell>
          <cell r="D980">
            <v>1.72</v>
          </cell>
          <cell r="E980" t="str">
            <v>Hr</v>
          </cell>
          <cell r="G980">
            <v>3281</v>
          </cell>
          <cell r="H980">
            <v>5643</v>
          </cell>
          <cell r="K980">
            <v>6045</v>
          </cell>
          <cell r="L980">
            <v>10397.4</v>
          </cell>
        </row>
        <row r="981">
          <cell r="A981" t="str">
            <v>SHEARING M/C</v>
          </cell>
          <cell r="D981">
            <v>2</v>
          </cell>
          <cell r="E981" t="str">
            <v>Hr</v>
          </cell>
          <cell r="G981">
            <v>3688</v>
          </cell>
          <cell r="H981">
            <v>7376</v>
          </cell>
          <cell r="K981">
            <v>3209</v>
          </cell>
          <cell r="L981">
            <v>6418</v>
          </cell>
        </row>
        <row r="982">
          <cell r="A982" t="str">
            <v>DRILLING M/C</v>
          </cell>
          <cell r="C982" t="str">
            <v>3 HP</v>
          </cell>
          <cell r="D982">
            <v>0.48799999999999999</v>
          </cell>
          <cell r="E982" t="str">
            <v>Hr</v>
          </cell>
          <cell r="G982">
            <v>3401</v>
          </cell>
          <cell r="H982">
            <v>1659</v>
          </cell>
          <cell r="K982">
            <v>576</v>
          </cell>
          <cell r="L982">
            <v>281.08799999999997</v>
          </cell>
        </row>
        <row r="983">
          <cell r="A983" t="str">
            <v>DRILLING M/C</v>
          </cell>
          <cell r="C983" t="str">
            <v>Radial,5 HP</v>
          </cell>
          <cell r="D983">
            <v>0.48799999999999999</v>
          </cell>
          <cell r="E983" t="str">
            <v>Hr</v>
          </cell>
          <cell r="G983">
            <v>3401</v>
          </cell>
          <cell r="H983">
            <v>1659</v>
          </cell>
          <cell r="K983">
            <v>1720</v>
          </cell>
          <cell r="L983">
            <v>839.36</v>
          </cell>
        </row>
        <row r="984">
          <cell r="E984" t="str">
            <v xml:space="preserve"> </v>
          </cell>
        </row>
        <row r="985">
          <cell r="A985" t="str">
            <v>PORTABLE DRILL</v>
          </cell>
          <cell r="C985" t="str">
            <v>0.5 HP</v>
          </cell>
          <cell r="D985">
            <v>1.5640000000000001</v>
          </cell>
          <cell r="E985" t="str">
            <v>Hr</v>
          </cell>
          <cell r="K985">
            <v>12</v>
          </cell>
          <cell r="L985">
            <v>18.768000000000001</v>
          </cell>
        </row>
        <row r="986">
          <cell r="A986" t="str">
            <v>TRUCK CRANE</v>
          </cell>
          <cell r="C986" t="str">
            <v>30 TON</v>
          </cell>
          <cell r="D986">
            <v>0.65</v>
          </cell>
          <cell r="E986" t="str">
            <v>Hr</v>
          </cell>
          <cell r="G986">
            <v>18615</v>
          </cell>
          <cell r="H986">
            <v>12099</v>
          </cell>
          <cell r="I986">
            <v>7046</v>
          </cell>
          <cell r="J986">
            <v>4579</v>
          </cell>
          <cell r="K986">
            <v>44939</v>
          </cell>
          <cell r="L986">
            <v>29210.350000000002</v>
          </cell>
        </row>
        <row r="987">
          <cell r="A987" t="str">
            <v>리프트 트럭</v>
          </cell>
          <cell r="C987" t="str">
            <v>5 TON</v>
          </cell>
          <cell r="D987">
            <v>0.65</v>
          </cell>
          <cell r="E987" t="str">
            <v>Hr</v>
          </cell>
          <cell r="G987">
            <v>9681</v>
          </cell>
          <cell r="H987">
            <v>6292</v>
          </cell>
          <cell r="I987">
            <v>5116.08</v>
          </cell>
          <cell r="J987">
            <v>3325</v>
          </cell>
          <cell r="K987">
            <v>4863</v>
          </cell>
          <cell r="L987">
            <v>3160.9500000000003</v>
          </cell>
        </row>
        <row r="988">
          <cell r="A988" t="str">
            <v>COMPRESSOR</v>
          </cell>
          <cell r="C988" t="str">
            <v>7.1㎥/min</v>
          </cell>
          <cell r="D988">
            <v>3.32</v>
          </cell>
          <cell r="E988" t="str">
            <v>Hr</v>
          </cell>
          <cell r="G988">
            <v>9681</v>
          </cell>
          <cell r="H988">
            <v>32140</v>
          </cell>
          <cell r="I988">
            <v>6189</v>
          </cell>
          <cell r="J988">
            <v>20547</v>
          </cell>
          <cell r="K988">
            <v>3137</v>
          </cell>
          <cell r="L988">
            <v>10414.84</v>
          </cell>
        </row>
        <row r="989">
          <cell r="A989" t="str">
            <v>TRAILER</v>
          </cell>
          <cell r="C989" t="str">
            <v>30 TON</v>
          </cell>
          <cell r="D989">
            <v>0.65</v>
          </cell>
          <cell r="E989" t="str">
            <v>Hr</v>
          </cell>
          <cell r="G989">
            <v>8683</v>
          </cell>
          <cell r="H989">
            <v>5643</v>
          </cell>
          <cell r="I989">
            <v>15763</v>
          </cell>
          <cell r="J989">
            <v>10245</v>
          </cell>
          <cell r="K989">
            <v>27414</v>
          </cell>
          <cell r="L989">
            <v>17819.100000000002</v>
          </cell>
        </row>
        <row r="991">
          <cell r="B991" t="str">
            <v>계</v>
          </cell>
          <cell r="F991">
            <v>289048.228</v>
          </cell>
          <cell r="H991">
            <v>151368</v>
          </cell>
          <cell r="J991">
            <v>38696</v>
          </cell>
          <cell r="K991" t="str">
            <v xml:space="preserve"> </v>
          </cell>
          <cell r="L991">
            <v>98984.228000000003</v>
          </cell>
        </row>
        <row r="992">
          <cell r="A992" t="str">
            <v>STOP LOG LEAF 제작 소모 자재비</v>
          </cell>
        </row>
        <row r="993">
          <cell r="E993" t="str">
            <v xml:space="preserve"> </v>
          </cell>
        </row>
        <row r="994">
          <cell r="A994" t="str">
            <v>종       별</v>
          </cell>
          <cell r="C994" t="str">
            <v>재 료 또 는</v>
          </cell>
          <cell r="D994" t="str">
            <v xml:space="preserve">원 수 </v>
          </cell>
          <cell r="E994" t="str">
            <v>단 위</v>
          </cell>
          <cell r="F994" t="str">
            <v>총   액</v>
          </cell>
          <cell r="G994" t="str">
            <v>노   무   비</v>
          </cell>
          <cell r="I994" t="str">
            <v>재   료   비</v>
          </cell>
          <cell r="K994" t="str">
            <v>경      비</v>
          </cell>
          <cell r="M994" t="str">
            <v>비   고</v>
          </cell>
        </row>
        <row r="995">
          <cell r="C995" t="str">
            <v xml:space="preserve">규       격 </v>
          </cell>
          <cell r="F995" t="str">
            <v>금   액</v>
          </cell>
          <cell r="G995" t="str">
            <v>단  가</v>
          </cell>
          <cell r="H995" t="str">
            <v>금   액</v>
          </cell>
          <cell r="I995" t="str">
            <v>단  가</v>
          </cell>
          <cell r="J995" t="str">
            <v>금   액</v>
          </cell>
          <cell r="K995" t="str">
            <v>단  가</v>
          </cell>
          <cell r="L995" t="str">
            <v>금   액</v>
          </cell>
        </row>
        <row r="996">
          <cell r="A996" t="str">
            <v>산       소</v>
          </cell>
          <cell r="C996" t="str">
            <v>6,000L용</v>
          </cell>
          <cell r="D996">
            <v>0.38</v>
          </cell>
          <cell r="E996" t="str">
            <v>병</v>
          </cell>
          <cell r="G996" t="str">
            <v xml:space="preserve"> </v>
          </cell>
          <cell r="I996">
            <v>12000</v>
          </cell>
          <cell r="J996">
            <v>4560</v>
          </cell>
        </row>
        <row r="997">
          <cell r="A997" t="str">
            <v>아 세 치 렌</v>
          </cell>
          <cell r="C997" t="str">
            <v>4,500L용</v>
          </cell>
          <cell r="D997">
            <v>0.33</v>
          </cell>
          <cell r="E997" t="str">
            <v>병</v>
          </cell>
          <cell r="I997">
            <v>55392</v>
          </cell>
          <cell r="J997">
            <v>18279</v>
          </cell>
        </row>
        <row r="998">
          <cell r="A998" t="str">
            <v>용   접  봉</v>
          </cell>
          <cell r="C998" t="str">
            <v>SS41, 4M/Mx350L</v>
          </cell>
          <cell r="D998">
            <v>3</v>
          </cell>
          <cell r="E998" t="str">
            <v>KG</v>
          </cell>
          <cell r="I998">
            <v>1260</v>
          </cell>
          <cell r="J998">
            <v>3780</v>
          </cell>
        </row>
        <row r="1000">
          <cell r="A1000" t="str">
            <v xml:space="preserve"> </v>
          </cell>
          <cell r="D1000" t="str">
            <v xml:space="preserve"> </v>
          </cell>
          <cell r="E1000" t="str">
            <v xml:space="preserve"> </v>
          </cell>
        </row>
        <row r="1001">
          <cell r="E1001" t="str">
            <v xml:space="preserve"> </v>
          </cell>
        </row>
        <row r="1003">
          <cell r="B1003" t="str">
            <v>계</v>
          </cell>
          <cell r="F1003">
            <v>26619</v>
          </cell>
          <cell r="J1003">
            <v>26619</v>
          </cell>
        </row>
        <row r="1021">
          <cell r="A1021" t="str">
            <v>STOP LOG LEAF 설치 인건비</v>
          </cell>
        </row>
        <row r="1022">
          <cell r="E1022" t="str">
            <v xml:space="preserve"> </v>
          </cell>
        </row>
        <row r="1023">
          <cell r="A1023" t="str">
            <v>종       별</v>
          </cell>
          <cell r="C1023" t="str">
            <v>재 료 또 는</v>
          </cell>
          <cell r="D1023" t="str">
            <v xml:space="preserve">원 수 </v>
          </cell>
          <cell r="E1023" t="str">
            <v>단 위</v>
          </cell>
          <cell r="F1023" t="str">
            <v>총   액</v>
          </cell>
          <cell r="G1023" t="str">
            <v>노   무   비</v>
          </cell>
          <cell r="I1023" t="str">
            <v>재   료   비</v>
          </cell>
          <cell r="K1023" t="str">
            <v>경      비</v>
          </cell>
          <cell r="M1023" t="str">
            <v>비   고</v>
          </cell>
        </row>
        <row r="1024">
          <cell r="C1024" t="str">
            <v xml:space="preserve">규       격 </v>
          </cell>
          <cell r="F1024" t="str">
            <v>금   액</v>
          </cell>
          <cell r="G1024" t="str">
            <v>단  가</v>
          </cell>
          <cell r="H1024" t="str">
            <v>금   액</v>
          </cell>
          <cell r="I1024" t="str">
            <v>단  가</v>
          </cell>
          <cell r="J1024" t="str">
            <v>금   액</v>
          </cell>
          <cell r="K1024" t="str">
            <v>단  가</v>
          </cell>
          <cell r="L1024" t="str">
            <v>금   액</v>
          </cell>
        </row>
        <row r="1025">
          <cell r="A1025" t="str">
            <v>기 술 관 리</v>
          </cell>
          <cell r="C1025" t="str">
            <v>기계기사2급</v>
          </cell>
          <cell r="D1025">
            <v>0.5</v>
          </cell>
          <cell r="E1025" t="str">
            <v>인</v>
          </cell>
          <cell r="G1025">
            <v>69405</v>
          </cell>
          <cell r="H1025">
            <v>34702</v>
          </cell>
        </row>
        <row r="1026">
          <cell r="A1026" t="str">
            <v>운 반 조 작</v>
          </cell>
          <cell r="C1026" t="str">
            <v>비   계   공</v>
          </cell>
          <cell r="D1026">
            <v>0.97</v>
          </cell>
          <cell r="E1026" t="str">
            <v>인</v>
          </cell>
          <cell r="G1026">
            <v>79467</v>
          </cell>
          <cell r="H1026">
            <v>77082</v>
          </cell>
        </row>
        <row r="1027">
          <cell r="A1027" t="str">
            <v>조 립 조 정</v>
          </cell>
          <cell r="C1027" t="str">
            <v>비   계   공</v>
          </cell>
          <cell r="D1027">
            <v>2.02</v>
          </cell>
          <cell r="E1027" t="str">
            <v>인</v>
          </cell>
          <cell r="G1027">
            <v>79467</v>
          </cell>
          <cell r="H1027">
            <v>160523</v>
          </cell>
        </row>
        <row r="1028">
          <cell r="A1028" t="str">
            <v xml:space="preserve"> </v>
          </cell>
          <cell r="C1028" t="str">
            <v>프랜트 제관공</v>
          </cell>
          <cell r="D1028">
            <v>1.19</v>
          </cell>
          <cell r="E1028" t="str">
            <v>인</v>
          </cell>
          <cell r="G1028">
            <v>81966</v>
          </cell>
          <cell r="H1028">
            <v>97539</v>
          </cell>
        </row>
        <row r="1029">
          <cell r="A1029" t="str">
            <v xml:space="preserve"> </v>
          </cell>
          <cell r="C1029" t="str">
            <v>측   량   사</v>
          </cell>
          <cell r="D1029">
            <v>0.122</v>
          </cell>
          <cell r="E1029" t="str">
            <v>인</v>
          </cell>
          <cell r="G1029">
            <v>58506</v>
          </cell>
          <cell r="H1029">
            <v>7137</v>
          </cell>
        </row>
        <row r="1031">
          <cell r="C1031" t="str">
            <v>프랜트기계설치공</v>
          </cell>
          <cell r="D1031">
            <v>1.17</v>
          </cell>
          <cell r="E1031" t="str">
            <v>인</v>
          </cell>
          <cell r="G1031">
            <v>80805</v>
          </cell>
          <cell r="H1031">
            <v>94541</v>
          </cell>
        </row>
        <row r="1032">
          <cell r="A1032" t="str">
            <v>설      치</v>
          </cell>
          <cell r="C1032" t="str">
            <v>비   계   공</v>
          </cell>
          <cell r="D1032">
            <v>0.36</v>
          </cell>
          <cell r="E1032" t="str">
            <v>인</v>
          </cell>
          <cell r="G1032">
            <v>79467</v>
          </cell>
          <cell r="H1032">
            <v>28608</v>
          </cell>
        </row>
        <row r="1033">
          <cell r="C1033" t="str">
            <v>프랜트기계설치공</v>
          </cell>
          <cell r="D1033">
            <v>0.13</v>
          </cell>
          <cell r="E1033" t="str">
            <v>인</v>
          </cell>
          <cell r="G1033">
            <v>81966</v>
          </cell>
          <cell r="H1033">
            <v>10655</v>
          </cell>
        </row>
        <row r="1034">
          <cell r="A1034" t="str">
            <v>전 원 배 선</v>
          </cell>
          <cell r="C1034" t="str">
            <v>플랜트전공</v>
          </cell>
          <cell r="D1034">
            <v>6.3E-2</v>
          </cell>
          <cell r="E1034" t="str">
            <v>인</v>
          </cell>
          <cell r="G1034">
            <v>64285</v>
          </cell>
          <cell r="H1034">
            <v>4049</v>
          </cell>
          <cell r="I1034" t="str">
            <v xml:space="preserve"> </v>
          </cell>
          <cell r="J1034" t="str">
            <v xml:space="preserve"> </v>
          </cell>
        </row>
        <row r="1035">
          <cell r="A1035" t="str">
            <v xml:space="preserve"> </v>
          </cell>
          <cell r="C1035" t="str">
            <v xml:space="preserve"> </v>
          </cell>
          <cell r="D1035" t="str">
            <v xml:space="preserve"> </v>
          </cell>
          <cell r="E1035" t="str">
            <v xml:space="preserve"> </v>
          </cell>
          <cell r="G1035" t="str">
            <v xml:space="preserve"> </v>
          </cell>
        </row>
        <row r="1036">
          <cell r="A1036" t="str">
            <v>검사 및 교정</v>
          </cell>
          <cell r="C1036" t="str">
            <v>기술관리,전원</v>
          </cell>
          <cell r="D1036" t="str">
            <v>1</v>
          </cell>
          <cell r="E1036" t="str">
            <v>식</v>
          </cell>
          <cell r="H1036">
            <v>47608</v>
          </cell>
        </row>
        <row r="1037">
          <cell r="C1037" t="str">
            <v>배선제외10%</v>
          </cell>
        </row>
        <row r="1040">
          <cell r="B1040" t="str">
            <v>계</v>
          </cell>
          <cell r="F1040">
            <v>562444</v>
          </cell>
          <cell r="H1040">
            <v>562444</v>
          </cell>
        </row>
        <row r="1050">
          <cell r="E1050" t="str">
            <v xml:space="preserve"> </v>
          </cell>
          <cell r="F1050" t="str">
            <v>STOP LOG LEAF 설치 사용장비 경비</v>
          </cell>
        </row>
        <row r="1051">
          <cell r="E1051" t="str">
            <v xml:space="preserve"> </v>
          </cell>
        </row>
        <row r="1052">
          <cell r="A1052" t="str">
            <v>종       별</v>
          </cell>
          <cell r="C1052" t="str">
            <v>재 료 또 는</v>
          </cell>
          <cell r="D1052" t="str">
            <v xml:space="preserve">원 수 </v>
          </cell>
          <cell r="E1052" t="str">
            <v>단 위</v>
          </cell>
          <cell r="F1052" t="str">
            <v>총   액</v>
          </cell>
          <cell r="G1052" t="str">
            <v>노   무   비</v>
          </cell>
          <cell r="I1052" t="str">
            <v>재   료   비</v>
          </cell>
          <cell r="K1052" t="str">
            <v>경      비</v>
          </cell>
          <cell r="M1052" t="str">
            <v>비   고</v>
          </cell>
        </row>
        <row r="1053">
          <cell r="C1053" t="str">
            <v xml:space="preserve">규       격 </v>
          </cell>
          <cell r="F1053" t="str">
            <v>금   액</v>
          </cell>
          <cell r="G1053" t="str">
            <v>단  가</v>
          </cell>
          <cell r="H1053" t="str">
            <v>금   액</v>
          </cell>
          <cell r="I1053" t="str">
            <v>단  가</v>
          </cell>
          <cell r="J1053" t="str">
            <v>금   액</v>
          </cell>
          <cell r="K1053" t="str">
            <v>단  가</v>
          </cell>
          <cell r="L1053" t="str">
            <v>금   액</v>
          </cell>
        </row>
        <row r="1054">
          <cell r="A1054" t="str">
            <v>A.C WELDER</v>
          </cell>
          <cell r="C1054" t="str">
            <v>10KVA</v>
          </cell>
          <cell r="D1054">
            <v>8</v>
          </cell>
          <cell r="E1054" t="str">
            <v>Hr</v>
          </cell>
          <cell r="K1054">
            <v>155</v>
          </cell>
          <cell r="L1054">
            <v>1240</v>
          </cell>
        </row>
        <row r="1055">
          <cell r="A1055" t="str">
            <v>PORTABLE DRILL</v>
          </cell>
          <cell r="C1055" t="str">
            <v>1.5 Hp</v>
          </cell>
          <cell r="D1055">
            <v>16</v>
          </cell>
          <cell r="E1055" t="str">
            <v>Hr</v>
          </cell>
          <cell r="K1055">
            <v>14</v>
          </cell>
          <cell r="L1055">
            <v>224</v>
          </cell>
        </row>
        <row r="1056">
          <cell r="A1056" t="str">
            <v>PORTABLE GRINDER</v>
          </cell>
          <cell r="C1056" t="str">
            <v>0.5 Hp</v>
          </cell>
          <cell r="D1056">
            <v>16</v>
          </cell>
          <cell r="E1056" t="str">
            <v>Hr</v>
          </cell>
          <cell r="K1056">
            <v>22</v>
          </cell>
          <cell r="L1056">
            <v>352</v>
          </cell>
        </row>
        <row r="1057">
          <cell r="A1057" t="str">
            <v>WINCH</v>
          </cell>
          <cell r="C1057" t="str">
            <v>10Hp</v>
          </cell>
          <cell r="D1057">
            <v>8</v>
          </cell>
          <cell r="E1057" t="str">
            <v>Hr</v>
          </cell>
          <cell r="G1057">
            <v>9235</v>
          </cell>
          <cell r="H1057">
            <v>73880</v>
          </cell>
          <cell r="K1057">
            <v>850</v>
          </cell>
          <cell r="L1057">
            <v>6800</v>
          </cell>
        </row>
        <row r="1058">
          <cell r="A1058" t="str">
            <v>FORK LIFT</v>
          </cell>
          <cell r="C1058" t="str">
            <v>3.5TON</v>
          </cell>
          <cell r="D1058">
            <v>8</v>
          </cell>
          <cell r="E1058" t="str">
            <v>Hr</v>
          </cell>
          <cell r="G1058">
            <v>9681</v>
          </cell>
          <cell r="H1058">
            <v>77448</v>
          </cell>
          <cell r="I1058">
            <v>5116</v>
          </cell>
          <cell r="J1058">
            <v>40928</v>
          </cell>
          <cell r="K1058">
            <v>3470</v>
          </cell>
          <cell r="L1058">
            <v>27760</v>
          </cell>
        </row>
        <row r="1060">
          <cell r="A1060" t="str">
            <v>TRUCK CRANE</v>
          </cell>
          <cell r="C1060" t="str">
            <v>20TON</v>
          </cell>
          <cell r="D1060">
            <v>8</v>
          </cell>
          <cell r="E1060" t="str">
            <v>Hr</v>
          </cell>
          <cell r="G1060">
            <v>18615</v>
          </cell>
          <cell r="H1060">
            <v>148920</v>
          </cell>
          <cell r="I1060">
            <v>4939</v>
          </cell>
          <cell r="J1060">
            <v>39512</v>
          </cell>
          <cell r="K1060">
            <v>40975</v>
          </cell>
          <cell r="L1060">
            <v>327800</v>
          </cell>
        </row>
        <row r="1063">
          <cell r="A1063" t="str">
            <v xml:space="preserve">      계</v>
          </cell>
          <cell r="F1063">
            <v>744864</v>
          </cell>
          <cell r="H1063">
            <v>300248</v>
          </cell>
          <cell r="J1063">
            <v>80440</v>
          </cell>
          <cell r="L1063">
            <v>364176</v>
          </cell>
        </row>
        <row r="1079">
          <cell r="E1079" t="str">
            <v xml:space="preserve"> </v>
          </cell>
          <cell r="F1079" t="str">
            <v>STOP LOG LEAF 설치 소모 자재비</v>
          </cell>
        </row>
        <row r="1080">
          <cell r="E1080" t="str">
            <v xml:space="preserve"> </v>
          </cell>
        </row>
        <row r="1081">
          <cell r="A1081" t="str">
            <v>종       별</v>
          </cell>
          <cell r="C1081" t="str">
            <v>재 료 또 는</v>
          </cell>
          <cell r="D1081" t="str">
            <v xml:space="preserve">원 수 </v>
          </cell>
          <cell r="E1081" t="str">
            <v>단 위</v>
          </cell>
          <cell r="F1081" t="str">
            <v>총   액</v>
          </cell>
          <cell r="G1081" t="str">
            <v>노   무   비</v>
          </cell>
          <cell r="I1081" t="str">
            <v>재   료   비</v>
          </cell>
          <cell r="K1081" t="str">
            <v>경      비</v>
          </cell>
          <cell r="M1081" t="str">
            <v>비   고</v>
          </cell>
        </row>
        <row r="1082">
          <cell r="C1082" t="str">
            <v xml:space="preserve">규       격 </v>
          </cell>
          <cell r="F1082" t="str">
            <v>금   액</v>
          </cell>
          <cell r="G1082" t="str">
            <v>단  가</v>
          </cell>
          <cell r="H1082" t="str">
            <v>금   액</v>
          </cell>
          <cell r="I1082" t="str">
            <v>단  가</v>
          </cell>
          <cell r="J1082" t="str">
            <v>금   액</v>
          </cell>
          <cell r="K1082" t="str">
            <v>단  가</v>
          </cell>
          <cell r="L1082" t="str">
            <v>금   액</v>
          </cell>
        </row>
        <row r="1083">
          <cell r="A1083" t="str">
            <v>산       소</v>
          </cell>
          <cell r="C1083" t="str">
            <v>6,000L용</v>
          </cell>
          <cell r="D1083">
            <v>2.2999999999999998</v>
          </cell>
          <cell r="E1083" t="str">
            <v>병</v>
          </cell>
          <cell r="G1083" t="str">
            <v xml:space="preserve"> </v>
          </cell>
          <cell r="I1083">
            <v>12000</v>
          </cell>
          <cell r="J1083">
            <v>27600</v>
          </cell>
        </row>
        <row r="1084">
          <cell r="A1084" t="str">
            <v>아 세 치 렌</v>
          </cell>
          <cell r="C1084" t="str">
            <v>4,500L용</v>
          </cell>
          <cell r="D1084">
            <v>1.98</v>
          </cell>
          <cell r="E1084" t="str">
            <v>병</v>
          </cell>
          <cell r="I1084">
            <v>55392</v>
          </cell>
          <cell r="J1084">
            <v>109676</v>
          </cell>
        </row>
        <row r="1085">
          <cell r="A1085" t="str">
            <v>용   접  봉</v>
          </cell>
          <cell r="C1085" t="str">
            <v>SS41 , 4M/M</v>
          </cell>
          <cell r="D1085">
            <v>14.35</v>
          </cell>
          <cell r="E1085" t="str">
            <v>KG</v>
          </cell>
          <cell r="I1085">
            <v>1260</v>
          </cell>
          <cell r="J1085">
            <v>18081</v>
          </cell>
        </row>
        <row r="1086">
          <cell r="A1086" t="str">
            <v>함       석</v>
          </cell>
          <cell r="C1086" t="str">
            <v>#31x3'x6'</v>
          </cell>
          <cell r="D1086">
            <v>0.53</v>
          </cell>
          <cell r="E1086" t="str">
            <v>매</v>
          </cell>
          <cell r="I1086">
            <v>2825</v>
          </cell>
          <cell r="J1086">
            <v>1497</v>
          </cell>
        </row>
        <row r="1087">
          <cell r="A1087" t="str">
            <v>전       력</v>
          </cell>
          <cell r="D1087">
            <v>306</v>
          </cell>
          <cell r="E1087" t="str">
            <v>KWH</v>
          </cell>
          <cell r="K1087">
            <v>61.6</v>
          </cell>
          <cell r="L1087">
            <v>18849</v>
          </cell>
        </row>
        <row r="1089">
          <cell r="A1089" t="str">
            <v xml:space="preserve"> </v>
          </cell>
        </row>
        <row r="1091">
          <cell r="B1091" t="str">
            <v>계</v>
          </cell>
          <cell r="F1091">
            <v>175703</v>
          </cell>
          <cell r="J1091">
            <v>156854</v>
          </cell>
          <cell r="L1091">
            <v>18849</v>
          </cell>
        </row>
        <row r="1092">
          <cell r="A1092" t="str">
            <v xml:space="preserve"> </v>
          </cell>
        </row>
        <row r="1093">
          <cell r="A1093" t="str">
            <v xml:space="preserve"> </v>
          </cell>
        </row>
        <row r="1094">
          <cell r="A1094" t="str">
            <v xml:space="preserve"> </v>
          </cell>
        </row>
        <row r="1095">
          <cell r="A1095" t="str">
            <v xml:space="preserve"> </v>
          </cell>
        </row>
        <row r="1096">
          <cell r="A1096" t="str">
            <v xml:space="preserve"> </v>
          </cell>
        </row>
        <row r="1097">
          <cell r="A1097" t="str">
            <v xml:space="preserve"> </v>
          </cell>
        </row>
        <row r="1098">
          <cell r="A1098" t="str">
            <v xml:space="preserve"> </v>
          </cell>
        </row>
        <row r="1099">
          <cell r="A1099" t="str">
            <v xml:space="preserve"> </v>
          </cell>
        </row>
        <row r="1100">
          <cell r="A1100" t="str">
            <v xml:space="preserve"> </v>
          </cell>
        </row>
        <row r="1101">
          <cell r="A1101" t="str">
            <v xml:space="preserve"> </v>
          </cell>
        </row>
        <row r="1102">
          <cell r="A1102" t="str">
            <v xml:space="preserve"> </v>
          </cell>
        </row>
        <row r="1103">
          <cell r="A1103" t="str">
            <v xml:space="preserve"> </v>
          </cell>
        </row>
        <row r="1105">
          <cell r="A1105" t="str">
            <v xml:space="preserve"> </v>
          </cell>
        </row>
        <row r="1106">
          <cell r="A1106" t="str">
            <v xml:space="preserve"> </v>
          </cell>
        </row>
        <row r="1107">
          <cell r="A1107" t="str">
            <v xml:space="preserve"> </v>
          </cell>
        </row>
        <row r="1108">
          <cell r="E1108" t="str">
            <v xml:space="preserve"> </v>
          </cell>
          <cell r="F1108" t="str">
            <v>RADIAL GATE LEAF 제작 인건비</v>
          </cell>
        </row>
        <row r="1109">
          <cell r="E1109" t="str">
            <v xml:space="preserve"> </v>
          </cell>
        </row>
        <row r="1110">
          <cell r="A1110" t="str">
            <v>종       별</v>
          </cell>
          <cell r="C1110" t="str">
            <v>재 료 또 는</v>
          </cell>
          <cell r="F1110" t="str">
            <v>총   액</v>
          </cell>
          <cell r="G1110" t="str">
            <v xml:space="preserve">    노   무   비</v>
          </cell>
          <cell r="I1110" t="str">
            <v xml:space="preserve">    재   료   비</v>
          </cell>
          <cell r="K1110" t="str">
            <v xml:space="preserve">    경      비</v>
          </cell>
        </row>
        <row r="1111">
          <cell r="C1111" t="str">
            <v xml:space="preserve">규       격 </v>
          </cell>
          <cell r="E1111" t="str">
            <v xml:space="preserve"> </v>
          </cell>
          <cell r="F1111" t="str">
            <v>금   액</v>
          </cell>
          <cell r="G1111" t="str">
            <v>단  가</v>
          </cell>
          <cell r="H1111" t="str">
            <v>금   액</v>
          </cell>
          <cell r="I1111" t="str">
            <v>단  가</v>
          </cell>
          <cell r="J1111" t="str">
            <v>금   액</v>
          </cell>
          <cell r="K1111" t="str">
            <v>단  가</v>
          </cell>
          <cell r="L1111" t="str">
            <v>금   액</v>
          </cell>
        </row>
        <row r="1112">
          <cell r="A1112" t="str">
            <v>기술관리</v>
          </cell>
          <cell r="C1112" t="str">
            <v>기계기사1급</v>
          </cell>
          <cell r="D1112">
            <v>0.5</v>
          </cell>
          <cell r="E1112" t="str">
            <v>인</v>
          </cell>
          <cell r="G1112">
            <v>97488</v>
          </cell>
          <cell r="H1112">
            <v>48744</v>
          </cell>
        </row>
        <row r="1113">
          <cell r="A1113" t="str">
            <v>본  뜨  기</v>
          </cell>
          <cell r="C1113" t="str">
            <v>프랜트 제관공</v>
          </cell>
          <cell r="D1113">
            <v>0.52300000000000002</v>
          </cell>
          <cell r="E1113" t="str">
            <v>인</v>
          </cell>
          <cell r="G1113">
            <v>81966</v>
          </cell>
          <cell r="H1113">
            <v>42868</v>
          </cell>
        </row>
        <row r="1114">
          <cell r="A1114" t="str">
            <v>금  긋  기</v>
          </cell>
          <cell r="C1114" t="str">
            <v>프랜트 제관공</v>
          </cell>
          <cell r="D1114">
            <v>1.39</v>
          </cell>
          <cell r="E1114" t="str">
            <v>인</v>
          </cell>
          <cell r="G1114">
            <v>81966</v>
          </cell>
          <cell r="H1114">
            <v>113932</v>
          </cell>
        </row>
        <row r="1115">
          <cell r="A1115" t="str">
            <v>절      단</v>
          </cell>
          <cell r="C1115" t="str">
            <v>프랜트 제관공</v>
          </cell>
          <cell r="D1115">
            <v>0.38</v>
          </cell>
          <cell r="E1115" t="str">
            <v>인</v>
          </cell>
          <cell r="G1115">
            <v>81966</v>
          </cell>
          <cell r="H1115">
            <v>31147</v>
          </cell>
        </row>
        <row r="1116">
          <cell r="A1116" t="str">
            <v>가      공</v>
          </cell>
          <cell r="C1116" t="str">
            <v>프랜트 제관공</v>
          </cell>
          <cell r="D1116">
            <v>1.59</v>
          </cell>
          <cell r="E1116" t="str">
            <v>인</v>
          </cell>
          <cell r="G1116">
            <v>81966</v>
          </cell>
          <cell r="H1116">
            <v>130325</v>
          </cell>
        </row>
        <row r="1118">
          <cell r="A1118" t="str">
            <v>구 멍 뚫 기</v>
          </cell>
          <cell r="C1118" t="str">
            <v>프랜트 제관공</v>
          </cell>
          <cell r="D1118">
            <v>0.47499999999999998</v>
          </cell>
          <cell r="E1118" t="str">
            <v>인</v>
          </cell>
          <cell r="G1118">
            <v>81966</v>
          </cell>
          <cell r="H1118">
            <v>38933</v>
          </cell>
        </row>
        <row r="1119">
          <cell r="A1119" t="str">
            <v>용      접</v>
          </cell>
          <cell r="C1119" t="str">
            <v>프랜트 용접공</v>
          </cell>
          <cell r="D1119">
            <v>2.5499999999999998</v>
          </cell>
          <cell r="E1119" t="str">
            <v>인</v>
          </cell>
          <cell r="G1119">
            <v>95379</v>
          </cell>
          <cell r="H1119">
            <v>243216</v>
          </cell>
        </row>
        <row r="1120">
          <cell r="A1120" t="str">
            <v>부 품 조 립</v>
          </cell>
          <cell r="C1120" t="str">
            <v>비   계   공</v>
          </cell>
          <cell r="D1120">
            <v>1.3049999999999999</v>
          </cell>
          <cell r="E1120" t="str">
            <v>인</v>
          </cell>
          <cell r="G1120">
            <v>79467</v>
          </cell>
          <cell r="H1120">
            <v>103704</v>
          </cell>
        </row>
        <row r="1121">
          <cell r="C1121" t="str">
            <v>프랜트기계설치공</v>
          </cell>
          <cell r="D1121">
            <v>1.3049999999999999</v>
          </cell>
          <cell r="E1121" t="str">
            <v>인</v>
          </cell>
          <cell r="G1121">
            <v>80805</v>
          </cell>
          <cell r="H1121">
            <v>105450</v>
          </cell>
        </row>
        <row r="1122">
          <cell r="A1122" t="str">
            <v>소운반 조작</v>
          </cell>
          <cell r="C1122" t="str">
            <v>비   계   공</v>
          </cell>
          <cell r="D1122">
            <v>0.98</v>
          </cell>
          <cell r="E1122" t="str">
            <v>인</v>
          </cell>
          <cell r="G1122">
            <v>79467</v>
          </cell>
          <cell r="H1122">
            <v>77877</v>
          </cell>
        </row>
        <row r="1124">
          <cell r="A1124" t="str">
            <v>가   조   립</v>
          </cell>
          <cell r="C1124" t="str">
            <v>비   계   공</v>
          </cell>
          <cell r="D1124">
            <v>1.0329999999999999</v>
          </cell>
          <cell r="E1124" t="str">
            <v>인</v>
          </cell>
          <cell r="G1124">
            <v>79467</v>
          </cell>
          <cell r="H1124">
            <v>82089</v>
          </cell>
        </row>
        <row r="1125">
          <cell r="C1125" t="str">
            <v>프랜트 제관공</v>
          </cell>
          <cell r="D1125">
            <v>2.1160000000000001</v>
          </cell>
          <cell r="E1125" t="str">
            <v>인</v>
          </cell>
          <cell r="G1125">
            <v>81966</v>
          </cell>
          <cell r="H1125">
            <v>173440</v>
          </cell>
        </row>
        <row r="1126">
          <cell r="C1126" t="str">
            <v>프랜트 용접공</v>
          </cell>
          <cell r="D1126">
            <v>1.02</v>
          </cell>
          <cell r="E1126" t="str">
            <v>인</v>
          </cell>
          <cell r="G1126">
            <v>95379</v>
          </cell>
          <cell r="H1126">
            <v>97286</v>
          </cell>
        </row>
        <row r="1127">
          <cell r="C1127" t="str">
            <v>측   량   사</v>
          </cell>
          <cell r="D1127">
            <v>0.17199999999999999</v>
          </cell>
          <cell r="E1127" t="str">
            <v>인</v>
          </cell>
          <cell r="G1127">
            <v>58506</v>
          </cell>
          <cell r="H1127">
            <v>10063</v>
          </cell>
        </row>
        <row r="1128">
          <cell r="C1128" t="str">
            <v>프랜트기계설치공</v>
          </cell>
          <cell r="D1128">
            <v>0.62</v>
          </cell>
          <cell r="E1128" t="str">
            <v>인</v>
          </cell>
          <cell r="G1128">
            <v>80805</v>
          </cell>
          <cell r="H1128">
            <v>50099</v>
          </cell>
        </row>
        <row r="1129">
          <cell r="E1129" t="str">
            <v xml:space="preserve"> </v>
          </cell>
        </row>
        <row r="1130">
          <cell r="C1130" t="str">
            <v>특 별 인 부</v>
          </cell>
          <cell r="D1130">
            <v>0.372</v>
          </cell>
          <cell r="E1130" t="str">
            <v>인</v>
          </cell>
          <cell r="G1130">
            <v>57379</v>
          </cell>
          <cell r="H1130">
            <v>21344</v>
          </cell>
        </row>
        <row r="1131">
          <cell r="A1131" t="str">
            <v>검사 및 교정</v>
          </cell>
          <cell r="C1131" t="str">
            <v>기술관리 제외한</v>
          </cell>
          <cell r="D1131" t="str">
            <v>1</v>
          </cell>
          <cell r="E1131" t="str">
            <v>식</v>
          </cell>
          <cell r="H1131">
            <v>132177</v>
          </cell>
        </row>
        <row r="1132">
          <cell r="C1132" t="str">
            <v>10%</v>
          </cell>
        </row>
        <row r="1134">
          <cell r="B1134" t="str">
            <v>계</v>
          </cell>
          <cell r="F1134">
            <v>1502694</v>
          </cell>
          <cell r="H1134">
            <v>1502694</v>
          </cell>
        </row>
        <row r="1137">
          <cell r="E1137" t="str">
            <v xml:space="preserve"> </v>
          </cell>
          <cell r="F1137" t="str">
            <v>RADIAL GATE LEAF 제작 사용장비 경비</v>
          </cell>
        </row>
        <row r="1138">
          <cell r="E1138" t="str">
            <v xml:space="preserve"> </v>
          </cell>
        </row>
        <row r="1139">
          <cell r="A1139" t="str">
            <v>종       별</v>
          </cell>
          <cell r="C1139" t="str">
            <v>재 료 또 는</v>
          </cell>
          <cell r="D1139" t="str">
            <v xml:space="preserve">원 수 </v>
          </cell>
          <cell r="E1139" t="str">
            <v>단 위</v>
          </cell>
          <cell r="F1139" t="str">
            <v>총   액</v>
          </cell>
          <cell r="G1139" t="str">
            <v>노   무   비</v>
          </cell>
          <cell r="I1139" t="str">
            <v>재   료   비</v>
          </cell>
          <cell r="K1139" t="str">
            <v>경      비</v>
          </cell>
          <cell r="M1139" t="str">
            <v>비   고</v>
          </cell>
        </row>
        <row r="1140">
          <cell r="C1140" t="str">
            <v xml:space="preserve">규       격 </v>
          </cell>
          <cell r="F1140" t="str">
            <v>금   액</v>
          </cell>
          <cell r="G1140" t="str">
            <v>단  가</v>
          </cell>
          <cell r="H1140" t="str">
            <v>금   액</v>
          </cell>
          <cell r="I1140" t="str">
            <v>단  가</v>
          </cell>
          <cell r="J1140" t="str">
            <v>금   액</v>
          </cell>
          <cell r="K1140" t="str">
            <v>단  가</v>
          </cell>
          <cell r="L1140" t="str">
            <v>금   액</v>
          </cell>
        </row>
        <row r="1141">
          <cell r="A1141" t="str">
            <v>LATHE</v>
          </cell>
          <cell r="C1141" t="str">
            <v>12FT x 7.5HP</v>
          </cell>
          <cell r="D1141">
            <v>0.64</v>
          </cell>
          <cell r="E1141" t="str">
            <v>Hr</v>
          </cell>
          <cell r="G1141">
            <v>3418</v>
          </cell>
          <cell r="H1141">
            <v>2187</v>
          </cell>
          <cell r="K1141">
            <v>3775</v>
          </cell>
          <cell r="L1141">
            <v>2416</v>
          </cell>
        </row>
        <row r="1142">
          <cell r="A1142" t="str">
            <v>PLANER</v>
          </cell>
          <cell r="C1142" t="str">
            <v>4FT x 8FT</v>
          </cell>
          <cell r="D1142">
            <v>0.72</v>
          </cell>
          <cell r="E1142" t="str">
            <v>Hr</v>
          </cell>
          <cell r="G1142">
            <v>3129</v>
          </cell>
          <cell r="H1142">
            <v>2252</v>
          </cell>
          <cell r="K1142">
            <v>2743</v>
          </cell>
          <cell r="L1142">
            <v>1974</v>
          </cell>
        </row>
        <row r="1143">
          <cell r="A1143" t="str">
            <v>BORING M/C</v>
          </cell>
          <cell r="C1143" t="str">
            <v>Hori.type,3HP</v>
          </cell>
          <cell r="D1143">
            <v>1.72</v>
          </cell>
          <cell r="E1143" t="str">
            <v>Hr</v>
          </cell>
          <cell r="G1143">
            <v>3547</v>
          </cell>
          <cell r="H1143">
            <v>6100</v>
          </cell>
          <cell r="K1143">
            <v>8928</v>
          </cell>
          <cell r="L1143">
            <v>15356</v>
          </cell>
        </row>
        <row r="1144">
          <cell r="A1144" t="str">
            <v>UNION MELT WELDER</v>
          </cell>
          <cell r="C1144" t="str">
            <v>5.5 KVA</v>
          </cell>
          <cell r="D1144">
            <v>2.8559999999999999</v>
          </cell>
          <cell r="E1144" t="str">
            <v>Hr</v>
          </cell>
          <cell r="G1144">
            <v>3488</v>
          </cell>
          <cell r="H1144">
            <v>9961</v>
          </cell>
          <cell r="K1144">
            <v>1797</v>
          </cell>
          <cell r="L1144">
            <v>5132</v>
          </cell>
        </row>
        <row r="1145">
          <cell r="A1145" t="str">
            <v>A.C WELDER</v>
          </cell>
          <cell r="C1145" t="str">
            <v>10KVA</v>
          </cell>
          <cell r="D1145">
            <v>8.5679999999999996</v>
          </cell>
          <cell r="E1145" t="str">
            <v>Hr</v>
          </cell>
          <cell r="K1145">
            <v>107</v>
          </cell>
          <cell r="L1145">
            <v>916</v>
          </cell>
        </row>
        <row r="1146">
          <cell r="E1146" t="str">
            <v xml:space="preserve"> </v>
          </cell>
        </row>
        <row r="1147">
          <cell r="A1147" t="str">
            <v>GOUGING M/C</v>
          </cell>
          <cell r="C1147" t="str">
            <v>중 형</v>
          </cell>
          <cell r="D1147">
            <v>3.06</v>
          </cell>
          <cell r="E1147" t="str">
            <v>Hr</v>
          </cell>
          <cell r="G1147">
            <v>3380</v>
          </cell>
          <cell r="H1147">
            <v>10342</v>
          </cell>
          <cell r="K1147">
            <v>670</v>
          </cell>
          <cell r="L1147">
            <v>2050</v>
          </cell>
        </row>
        <row r="1148">
          <cell r="A1148" t="str">
            <v>GAS CUTTING M/C</v>
          </cell>
          <cell r="C1148" t="str">
            <v>Auto형</v>
          </cell>
          <cell r="D1148">
            <v>1.24</v>
          </cell>
          <cell r="E1148" t="str">
            <v>Hr</v>
          </cell>
          <cell r="G1148">
            <v>11922</v>
          </cell>
          <cell r="H1148">
            <v>14783</v>
          </cell>
          <cell r="K1148">
            <v>119</v>
          </cell>
          <cell r="L1148">
            <v>147</v>
          </cell>
        </row>
        <row r="1149">
          <cell r="A1149" t="str">
            <v>GAS CUTTING M/C</v>
          </cell>
          <cell r="C1149" t="str">
            <v>수 동</v>
          </cell>
          <cell r="D1149">
            <v>1.8</v>
          </cell>
          <cell r="E1149" t="str">
            <v>Hr</v>
          </cell>
          <cell r="G1149">
            <v>3974</v>
          </cell>
          <cell r="H1149">
            <v>7153</v>
          </cell>
          <cell r="K1149">
            <v>115</v>
          </cell>
          <cell r="L1149">
            <v>207</v>
          </cell>
        </row>
        <row r="1150">
          <cell r="A1150" t="str">
            <v>GAS HEATING TOUCH</v>
          </cell>
          <cell r="C1150" t="str">
            <v>중 형</v>
          </cell>
          <cell r="D1150">
            <v>3.984</v>
          </cell>
          <cell r="E1150" t="str">
            <v>Hr</v>
          </cell>
          <cell r="G1150">
            <v>3174</v>
          </cell>
          <cell r="H1150">
            <v>12645</v>
          </cell>
          <cell r="K1150">
            <v>115</v>
          </cell>
          <cell r="L1150">
            <v>458</v>
          </cell>
        </row>
        <row r="1152">
          <cell r="A1152" t="str">
            <v>OVER HEAD CRANE</v>
          </cell>
          <cell r="C1152" t="str">
            <v>30 TON</v>
          </cell>
          <cell r="D1152">
            <v>0.75900000000000001</v>
          </cell>
          <cell r="E1152" t="str">
            <v>Hr</v>
          </cell>
          <cell r="G1152">
            <v>9681</v>
          </cell>
          <cell r="H1152">
            <v>7347</v>
          </cell>
          <cell r="K1152">
            <v>3338</v>
          </cell>
          <cell r="L1152">
            <v>2533</v>
          </cell>
        </row>
        <row r="1153">
          <cell r="A1153" t="str">
            <v>OVER HEAD CRANE</v>
          </cell>
          <cell r="C1153" t="str">
            <v>20 TON</v>
          </cell>
          <cell r="D1153">
            <v>0.75900000000000001</v>
          </cell>
          <cell r="E1153" t="str">
            <v>Hr</v>
          </cell>
          <cell r="G1153">
            <v>9681</v>
          </cell>
          <cell r="H1153">
            <v>7347</v>
          </cell>
          <cell r="K1153">
            <v>3338</v>
          </cell>
          <cell r="L1153">
            <v>2533</v>
          </cell>
        </row>
        <row r="1154">
          <cell r="A1154" t="str">
            <v>HYDRO PRESS</v>
          </cell>
          <cell r="C1154" t="str">
            <v>300 TON</v>
          </cell>
          <cell r="D1154">
            <v>1.7709999999999999</v>
          </cell>
          <cell r="E1154" t="str">
            <v>Hr</v>
          </cell>
          <cell r="G1154">
            <v>3281</v>
          </cell>
          <cell r="H1154">
            <v>5810</v>
          </cell>
          <cell r="K1154">
            <v>8463</v>
          </cell>
          <cell r="L1154">
            <v>14987</v>
          </cell>
        </row>
        <row r="1155">
          <cell r="A1155" t="str">
            <v>BENDING ROLLER</v>
          </cell>
          <cell r="C1155" t="str">
            <v>23 FT</v>
          </cell>
          <cell r="D1155">
            <v>1.48</v>
          </cell>
          <cell r="E1155" t="str">
            <v>Hr</v>
          </cell>
          <cell r="G1155">
            <v>4281</v>
          </cell>
          <cell r="H1155">
            <v>6335</v>
          </cell>
          <cell r="K1155">
            <v>6323</v>
          </cell>
          <cell r="L1155">
            <v>9358</v>
          </cell>
        </row>
        <row r="1156">
          <cell r="A1156" t="str">
            <v>EDGE BENDING ROLLER</v>
          </cell>
          <cell r="C1156" t="str">
            <v>23 FT</v>
          </cell>
          <cell r="D1156">
            <v>1.38</v>
          </cell>
          <cell r="E1156" t="str">
            <v>Hr</v>
          </cell>
          <cell r="G1156">
            <v>4281</v>
          </cell>
          <cell r="H1156">
            <v>5907</v>
          </cell>
          <cell r="K1156">
            <v>9484.5</v>
          </cell>
          <cell r="L1156">
            <v>13088</v>
          </cell>
        </row>
        <row r="1158">
          <cell r="A1158" t="str">
            <v>SHEARING M/C</v>
          </cell>
          <cell r="D1158">
            <v>0.64</v>
          </cell>
          <cell r="E1158" t="str">
            <v>Hr</v>
          </cell>
          <cell r="G1158">
            <v>3688</v>
          </cell>
          <cell r="H1158">
            <v>2360</v>
          </cell>
          <cell r="K1158">
            <v>3209</v>
          </cell>
          <cell r="L1158">
            <v>2053</v>
          </cell>
        </row>
        <row r="1159">
          <cell r="A1159" t="str">
            <v>DRILLING M/C</v>
          </cell>
          <cell r="C1159" t="str">
            <v>3 HP</v>
          </cell>
          <cell r="D1159">
            <v>0.36799999999999999</v>
          </cell>
          <cell r="E1159" t="str">
            <v>Hr</v>
          </cell>
          <cell r="G1159">
            <v>3401</v>
          </cell>
          <cell r="H1159">
            <v>1251</v>
          </cell>
          <cell r="K1159">
            <v>576</v>
          </cell>
          <cell r="L1159">
            <v>211</v>
          </cell>
        </row>
        <row r="1160">
          <cell r="A1160" t="str">
            <v>DRILLING M/C</v>
          </cell>
          <cell r="C1160" t="str">
            <v>Radial,5 HP</v>
          </cell>
          <cell r="D1160">
            <v>0.184</v>
          </cell>
          <cell r="E1160" t="str">
            <v>Hr</v>
          </cell>
          <cell r="G1160">
            <v>3401</v>
          </cell>
          <cell r="H1160">
            <v>625</v>
          </cell>
          <cell r="K1160">
            <v>1720</v>
          </cell>
          <cell r="L1160">
            <v>316</v>
          </cell>
        </row>
        <row r="1161">
          <cell r="A1161" t="str">
            <v>PORTABLE DRILL</v>
          </cell>
          <cell r="C1161" t="str">
            <v>0.5 HP</v>
          </cell>
          <cell r="D1161">
            <v>1.532</v>
          </cell>
          <cell r="E1161" t="str">
            <v>Hr</v>
          </cell>
          <cell r="K1161">
            <v>12</v>
          </cell>
          <cell r="L1161">
            <v>18</v>
          </cell>
        </row>
        <row r="1162">
          <cell r="A1162" t="str">
            <v>TRUCK CRANE</v>
          </cell>
          <cell r="C1162" t="str">
            <v>30 TON</v>
          </cell>
          <cell r="D1162">
            <v>0.50600000000000001</v>
          </cell>
          <cell r="E1162" t="str">
            <v>Hr</v>
          </cell>
          <cell r="G1162">
            <v>18615</v>
          </cell>
          <cell r="H1162">
            <v>9419</v>
          </cell>
          <cell r="I1162">
            <v>7046</v>
          </cell>
          <cell r="J1162">
            <v>3565</v>
          </cell>
          <cell r="K1162">
            <v>44939</v>
          </cell>
          <cell r="L1162">
            <v>22739</v>
          </cell>
        </row>
        <row r="1164">
          <cell r="A1164" t="str">
            <v>리프트 트럭</v>
          </cell>
          <cell r="C1164" t="str">
            <v xml:space="preserve"> 5 TON</v>
          </cell>
          <cell r="D1164">
            <v>0.50600000000000001</v>
          </cell>
          <cell r="E1164" t="str">
            <v>Hr</v>
          </cell>
          <cell r="G1164">
            <v>9681</v>
          </cell>
          <cell r="H1164">
            <v>4898</v>
          </cell>
          <cell r="I1164">
            <v>5116.08</v>
          </cell>
          <cell r="J1164">
            <v>2588</v>
          </cell>
          <cell r="K1164">
            <v>4863</v>
          </cell>
          <cell r="L1164">
            <v>2460</v>
          </cell>
        </row>
        <row r="1165">
          <cell r="A1165" t="str">
            <v>TRAILER</v>
          </cell>
          <cell r="C1165" t="str">
            <v>30 TON</v>
          </cell>
          <cell r="D1165">
            <v>0.50600000000000001</v>
          </cell>
          <cell r="E1165" t="str">
            <v>Hr</v>
          </cell>
          <cell r="G1165">
            <v>8683</v>
          </cell>
          <cell r="H1165">
            <v>4393</v>
          </cell>
          <cell r="I1165">
            <v>15763</v>
          </cell>
          <cell r="J1165">
            <v>7976</v>
          </cell>
          <cell r="K1165">
            <v>27414</v>
          </cell>
          <cell r="L1165">
            <v>13871</v>
          </cell>
        </row>
        <row r="1166">
          <cell r="A1166" t="str">
            <v>종       별</v>
          </cell>
          <cell r="C1166" t="str">
            <v>재 료 또 는</v>
          </cell>
          <cell r="D1166" t="str">
            <v xml:space="preserve">원 수 </v>
          </cell>
          <cell r="E1166" t="str">
            <v>단 위</v>
          </cell>
          <cell r="F1166" t="str">
            <v>총   액</v>
          </cell>
          <cell r="G1166" t="str">
            <v>노   무   비</v>
          </cell>
          <cell r="I1166" t="str">
            <v>재   료   비</v>
          </cell>
          <cell r="K1166" t="str">
            <v>경      비</v>
          </cell>
          <cell r="M1166" t="str">
            <v>비   고</v>
          </cell>
        </row>
        <row r="1167">
          <cell r="C1167" t="str">
            <v xml:space="preserve">규       격 </v>
          </cell>
          <cell r="F1167" t="str">
            <v>금   액</v>
          </cell>
          <cell r="G1167" t="str">
            <v>단  가</v>
          </cell>
          <cell r="H1167" t="str">
            <v>금   액</v>
          </cell>
          <cell r="I1167" t="str">
            <v>단  가</v>
          </cell>
          <cell r="J1167" t="str">
            <v>금   액</v>
          </cell>
          <cell r="K1167" t="str">
            <v>단  가</v>
          </cell>
          <cell r="L1167" t="str">
            <v>금   액</v>
          </cell>
        </row>
        <row r="1168">
          <cell r="A1168" t="str">
            <v>COMPRESSOR</v>
          </cell>
          <cell r="C1168" t="str">
            <v>7.1㎥/min</v>
          </cell>
          <cell r="D1168">
            <v>3.79</v>
          </cell>
          <cell r="E1168" t="str">
            <v>Hr</v>
          </cell>
          <cell r="G1168">
            <v>9681</v>
          </cell>
          <cell r="H1168">
            <v>36690</v>
          </cell>
          <cell r="I1168">
            <v>8779</v>
          </cell>
          <cell r="J1168">
            <v>33272</v>
          </cell>
          <cell r="K1168">
            <v>6250</v>
          </cell>
          <cell r="L1168">
            <v>23687</v>
          </cell>
        </row>
        <row r="1170">
          <cell r="B1170" t="str">
            <v>계</v>
          </cell>
          <cell r="F1170">
            <v>341716</v>
          </cell>
          <cell r="H1170">
            <v>157805</v>
          </cell>
          <cell r="J1170">
            <v>47401</v>
          </cell>
          <cell r="K1170" t="str">
            <v xml:space="preserve"> </v>
          </cell>
          <cell r="L1170">
            <v>136510</v>
          </cell>
        </row>
        <row r="1195">
          <cell r="E1195" t="str">
            <v xml:space="preserve"> </v>
          </cell>
          <cell r="F1195" t="str">
            <v>RADIAL GATE LEAF 제작 소모 자재비</v>
          </cell>
        </row>
        <row r="1196">
          <cell r="E1196" t="str">
            <v xml:space="preserve"> </v>
          </cell>
        </row>
        <row r="1197">
          <cell r="A1197" t="str">
            <v>종       별</v>
          </cell>
          <cell r="C1197" t="str">
            <v>재 료 또 는</v>
          </cell>
          <cell r="D1197" t="str">
            <v xml:space="preserve">원 수 </v>
          </cell>
          <cell r="E1197" t="str">
            <v>단 위</v>
          </cell>
          <cell r="F1197" t="str">
            <v>총   액</v>
          </cell>
          <cell r="G1197" t="str">
            <v>노   무   비</v>
          </cell>
          <cell r="I1197" t="str">
            <v>재   료   비</v>
          </cell>
          <cell r="K1197" t="str">
            <v>경      비</v>
          </cell>
          <cell r="M1197" t="str">
            <v>비   고</v>
          </cell>
        </row>
        <row r="1198">
          <cell r="C1198" t="str">
            <v xml:space="preserve">규       격 </v>
          </cell>
          <cell r="F1198" t="str">
            <v>금   액</v>
          </cell>
          <cell r="G1198" t="str">
            <v>단  가</v>
          </cell>
          <cell r="H1198" t="str">
            <v>금   액</v>
          </cell>
          <cell r="I1198" t="str">
            <v>단  가</v>
          </cell>
          <cell r="J1198" t="str">
            <v>금   액</v>
          </cell>
          <cell r="K1198" t="str">
            <v>단  가</v>
          </cell>
          <cell r="L1198" t="str">
            <v>금   액</v>
          </cell>
        </row>
        <row r="1199">
          <cell r="A1199" t="str">
            <v>산       소</v>
          </cell>
          <cell r="C1199" t="str">
            <v>6,000L용</v>
          </cell>
          <cell r="D1199">
            <v>3.76</v>
          </cell>
          <cell r="E1199" t="str">
            <v>병</v>
          </cell>
          <cell r="G1199" t="str">
            <v xml:space="preserve"> </v>
          </cell>
          <cell r="I1199">
            <v>12000</v>
          </cell>
          <cell r="J1199">
            <v>45120</v>
          </cell>
        </row>
        <row r="1200">
          <cell r="A1200" t="str">
            <v>아 세 치 렌</v>
          </cell>
          <cell r="C1200" t="str">
            <v>4,500L용</v>
          </cell>
          <cell r="D1200">
            <v>3.23</v>
          </cell>
          <cell r="E1200" t="str">
            <v>병</v>
          </cell>
          <cell r="I1200">
            <v>55392</v>
          </cell>
          <cell r="J1200">
            <v>178916</v>
          </cell>
        </row>
        <row r="1201">
          <cell r="A1201" t="str">
            <v>함       석</v>
          </cell>
          <cell r="C1201" t="str">
            <v>#31 x 3' x 6'</v>
          </cell>
          <cell r="D1201">
            <v>0.71</v>
          </cell>
          <cell r="E1201" t="str">
            <v>매</v>
          </cell>
          <cell r="I1201">
            <v>2825</v>
          </cell>
          <cell r="J1201">
            <v>2005</v>
          </cell>
        </row>
        <row r="1202">
          <cell r="A1202" t="str">
            <v>용   접  봉</v>
          </cell>
          <cell r="C1202" t="str">
            <v>SS400, 4M/Mx350L</v>
          </cell>
          <cell r="D1202">
            <v>24.99</v>
          </cell>
          <cell r="E1202" t="str">
            <v>KG</v>
          </cell>
          <cell r="I1202">
            <v>1260</v>
          </cell>
          <cell r="J1202">
            <v>31487</v>
          </cell>
        </row>
        <row r="1203">
          <cell r="A1203" t="str">
            <v>전       력</v>
          </cell>
          <cell r="D1203">
            <v>370</v>
          </cell>
          <cell r="E1203" t="str">
            <v>KWH</v>
          </cell>
          <cell r="K1203">
            <v>61.6</v>
          </cell>
          <cell r="L1203">
            <v>22792</v>
          </cell>
        </row>
        <row r="1204">
          <cell r="E1204" t="str">
            <v xml:space="preserve"> </v>
          </cell>
          <cell r="K1204" t="str">
            <v xml:space="preserve"> </v>
          </cell>
        </row>
        <row r="1206">
          <cell r="B1206" t="str">
            <v>계</v>
          </cell>
          <cell r="F1206">
            <v>280320</v>
          </cell>
          <cell r="J1206">
            <v>257528</v>
          </cell>
          <cell r="L1206">
            <v>22792</v>
          </cell>
        </row>
        <row r="1224">
          <cell r="E1224" t="str">
            <v xml:space="preserve"> </v>
          </cell>
          <cell r="F1224" t="str">
            <v>RADIAL GATE GUIDE FRAME 제작 인건비</v>
          </cell>
        </row>
        <row r="1225">
          <cell r="E1225" t="str">
            <v xml:space="preserve"> </v>
          </cell>
        </row>
        <row r="1226">
          <cell r="A1226" t="str">
            <v>종       별</v>
          </cell>
          <cell r="C1226" t="str">
            <v>재 료 또 는</v>
          </cell>
          <cell r="D1226" t="str">
            <v xml:space="preserve">원 수 </v>
          </cell>
          <cell r="E1226" t="str">
            <v>단 위</v>
          </cell>
          <cell r="F1226" t="str">
            <v>총   액</v>
          </cell>
          <cell r="G1226" t="str">
            <v>노   무   비</v>
          </cell>
          <cell r="I1226" t="str">
            <v>재   료   비</v>
          </cell>
          <cell r="K1226" t="str">
            <v>경      비</v>
          </cell>
          <cell r="M1226" t="str">
            <v>비   고</v>
          </cell>
        </row>
        <row r="1227">
          <cell r="C1227" t="str">
            <v xml:space="preserve">규       격 </v>
          </cell>
          <cell r="F1227" t="str">
            <v>금   액</v>
          </cell>
          <cell r="G1227" t="str">
            <v>단  가</v>
          </cell>
          <cell r="H1227" t="str">
            <v>금   액</v>
          </cell>
          <cell r="I1227" t="str">
            <v>단  가</v>
          </cell>
          <cell r="J1227" t="str">
            <v>금   액</v>
          </cell>
          <cell r="K1227" t="str">
            <v>단  가</v>
          </cell>
          <cell r="L1227" t="str">
            <v>금   액</v>
          </cell>
        </row>
        <row r="1228">
          <cell r="A1228" t="str">
            <v>기 술 관 리</v>
          </cell>
          <cell r="C1228" t="str">
            <v>기계기사1급</v>
          </cell>
          <cell r="D1228">
            <v>8</v>
          </cell>
          <cell r="E1228" t="str">
            <v>인</v>
          </cell>
          <cell r="G1228">
            <v>97488</v>
          </cell>
          <cell r="H1228">
            <v>779904</v>
          </cell>
        </row>
        <row r="1229">
          <cell r="A1229" t="str">
            <v>재료 절단 사도</v>
          </cell>
          <cell r="C1229" t="str">
            <v>제   도   공</v>
          </cell>
          <cell r="D1229">
            <v>2</v>
          </cell>
          <cell r="E1229" t="str">
            <v>인</v>
          </cell>
          <cell r="G1229">
            <v>32747</v>
          </cell>
          <cell r="H1229">
            <v>65494</v>
          </cell>
        </row>
        <row r="1230">
          <cell r="A1230" t="str">
            <v xml:space="preserve"> </v>
          </cell>
          <cell r="B1230" t="str">
            <v>현    도</v>
          </cell>
          <cell r="C1230" t="str">
            <v>현   도   공</v>
          </cell>
          <cell r="D1230">
            <v>1.4</v>
          </cell>
          <cell r="E1230" t="str">
            <v>인</v>
          </cell>
          <cell r="G1230">
            <v>28487</v>
          </cell>
          <cell r="H1230">
            <v>39881</v>
          </cell>
        </row>
        <row r="1231">
          <cell r="A1231" t="str">
            <v xml:space="preserve"> </v>
          </cell>
          <cell r="B1231" t="str">
            <v>괘    서</v>
          </cell>
          <cell r="C1231" t="str">
            <v>마   킹   공</v>
          </cell>
          <cell r="D1231">
            <v>2.8</v>
          </cell>
          <cell r="E1231" t="str">
            <v>인</v>
          </cell>
          <cell r="G1231">
            <v>26924</v>
          </cell>
          <cell r="H1231">
            <v>75387</v>
          </cell>
        </row>
        <row r="1232">
          <cell r="A1232" t="str">
            <v xml:space="preserve"> </v>
          </cell>
          <cell r="B1232" t="str">
            <v>절    단</v>
          </cell>
          <cell r="C1232" t="str">
            <v>절   단   공</v>
          </cell>
          <cell r="D1232">
            <v>0.52</v>
          </cell>
          <cell r="E1232" t="str">
            <v>인</v>
          </cell>
          <cell r="G1232">
            <v>65881</v>
          </cell>
          <cell r="H1232">
            <v>34258</v>
          </cell>
        </row>
        <row r="1234">
          <cell r="A1234" t="str">
            <v>단재가공 괘서</v>
          </cell>
          <cell r="C1234" t="str">
            <v>마   킹   공</v>
          </cell>
          <cell r="D1234">
            <v>2.8</v>
          </cell>
          <cell r="E1234" t="str">
            <v>인</v>
          </cell>
          <cell r="G1234">
            <v>26250</v>
          </cell>
          <cell r="H1234">
            <v>73500</v>
          </cell>
        </row>
        <row r="1235">
          <cell r="A1235" t="str">
            <v xml:space="preserve"> </v>
          </cell>
          <cell r="B1235" t="str">
            <v>절    단</v>
          </cell>
          <cell r="C1235" t="str">
            <v>산소 절단공</v>
          </cell>
          <cell r="D1235">
            <v>0.26</v>
          </cell>
          <cell r="E1235" t="str">
            <v>인</v>
          </cell>
          <cell r="G1235">
            <v>31794</v>
          </cell>
          <cell r="H1235">
            <v>8266</v>
          </cell>
        </row>
        <row r="1236">
          <cell r="C1236" t="str">
            <v>프랜트기계설치공</v>
          </cell>
          <cell r="D1236">
            <v>2.2999999999999998</v>
          </cell>
          <cell r="E1236" t="str">
            <v>인</v>
          </cell>
          <cell r="G1236">
            <v>80805</v>
          </cell>
          <cell r="H1236">
            <v>185851</v>
          </cell>
        </row>
        <row r="1237">
          <cell r="B1237" t="str">
            <v>EDGE가공</v>
          </cell>
          <cell r="C1237" t="str">
            <v>산소 절단공</v>
          </cell>
          <cell r="D1237">
            <v>1.1000000000000001</v>
          </cell>
          <cell r="E1237" t="str">
            <v>인</v>
          </cell>
          <cell r="G1237">
            <v>31794</v>
          </cell>
          <cell r="H1237">
            <v>34973</v>
          </cell>
        </row>
        <row r="1238">
          <cell r="A1238" t="str">
            <v xml:space="preserve"> </v>
          </cell>
          <cell r="B1238" t="str">
            <v>용    접</v>
          </cell>
          <cell r="C1238" t="str">
            <v>프랜트 용접공</v>
          </cell>
          <cell r="D1238">
            <v>0.78</v>
          </cell>
          <cell r="E1238" t="str">
            <v>인</v>
          </cell>
          <cell r="G1238">
            <v>95379</v>
          </cell>
          <cell r="H1238">
            <v>74395</v>
          </cell>
        </row>
        <row r="1240">
          <cell r="A1240" t="str">
            <v xml:space="preserve"> </v>
          </cell>
          <cell r="B1240" t="str">
            <v>교    정</v>
          </cell>
          <cell r="C1240" t="str">
            <v>프랜트 제관공</v>
          </cell>
          <cell r="D1240">
            <v>0.75</v>
          </cell>
          <cell r="E1240" t="str">
            <v>인</v>
          </cell>
          <cell r="G1240">
            <v>81966</v>
          </cell>
          <cell r="H1240">
            <v>61474</v>
          </cell>
        </row>
        <row r="1241">
          <cell r="B1241" t="str">
            <v>HOLING</v>
          </cell>
          <cell r="C1241" t="str">
            <v>프랜트 제관공</v>
          </cell>
          <cell r="D1241">
            <v>0.62</v>
          </cell>
          <cell r="E1241" t="str">
            <v>인</v>
          </cell>
          <cell r="G1241">
            <v>81966</v>
          </cell>
          <cell r="H1241">
            <v>50818</v>
          </cell>
        </row>
        <row r="1242">
          <cell r="A1242" t="str">
            <v>부분조립,취부조정</v>
          </cell>
          <cell r="C1242" t="str">
            <v>프랜트기계설치공</v>
          </cell>
          <cell r="D1242">
            <v>6.2</v>
          </cell>
          <cell r="E1242" t="str">
            <v>인</v>
          </cell>
          <cell r="G1242">
            <v>80805</v>
          </cell>
          <cell r="H1242">
            <v>500991</v>
          </cell>
        </row>
        <row r="1243">
          <cell r="A1243" t="str">
            <v xml:space="preserve"> </v>
          </cell>
          <cell r="B1243" t="str">
            <v>용    접</v>
          </cell>
          <cell r="C1243" t="str">
            <v>프랜트 용접공</v>
          </cell>
          <cell r="D1243">
            <v>3.9</v>
          </cell>
          <cell r="E1243" t="str">
            <v>인</v>
          </cell>
          <cell r="G1243">
            <v>95379</v>
          </cell>
          <cell r="H1243">
            <v>371978</v>
          </cell>
        </row>
        <row r="1244">
          <cell r="A1244" t="str">
            <v xml:space="preserve"> </v>
          </cell>
          <cell r="B1244" t="str">
            <v>교    정</v>
          </cell>
          <cell r="C1244" t="str">
            <v>프랜트 제관공</v>
          </cell>
          <cell r="D1244">
            <v>1.75</v>
          </cell>
          <cell r="E1244" t="str">
            <v>인</v>
          </cell>
          <cell r="G1244">
            <v>81966</v>
          </cell>
          <cell r="H1244">
            <v>143440</v>
          </cell>
        </row>
        <row r="1246">
          <cell r="A1246" t="str">
            <v>기 계 가 공</v>
          </cell>
          <cell r="C1246" t="str">
            <v>기   계   공</v>
          </cell>
          <cell r="D1246">
            <v>10</v>
          </cell>
          <cell r="E1246" t="str">
            <v>인</v>
          </cell>
          <cell r="G1246">
            <v>58906</v>
          </cell>
          <cell r="H1246">
            <v>589060</v>
          </cell>
        </row>
        <row r="1247">
          <cell r="A1247" t="str">
            <v>가 조 립,조 립</v>
          </cell>
          <cell r="C1247" t="str">
            <v>프랜트기계설치공</v>
          </cell>
          <cell r="D1247">
            <v>2</v>
          </cell>
          <cell r="E1247" t="str">
            <v>인</v>
          </cell>
          <cell r="G1247">
            <v>80805</v>
          </cell>
          <cell r="H1247">
            <v>161610</v>
          </cell>
        </row>
        <row r="1248">
          <cell r="A1248" t="str">
            <v xml:space="preserve"> </v>
          </cell>
          <cell r="B1248" t="str">
            <v>해    체</v>
          </cell>
          <cell r="C1248" t="str">
            <v>프랜트기계설치공</v>
          </cell>
          <cell r="D1248">
            <v>1</v>
          </cell>
          <cell r="E1248" t="str">
            <v>인</v>
          </cell>
          <cell r="G1248">
            <v>80805</v>
          </cell>
          <cell r="H1248">
            <v>80805</v>
          </cell>
        </row>
        <row r="1249">
          <cell r="A1249" t="str">
            <v>운 반 조 작</v>
          </cell>
          <cell r="C1249" t="str">
            <v>특수 비계공</v>
          </cell>
          <cell r="D1249">
            <v>5</v>
          </cell>
          <cell r="E1249" t="str">
            <v>인</v>
          </cell>
          <cell r="G1249">
            <v>85884</v>
          </cell>
          <cell r="H1249">
            <v>429420</v>
          </cell>
        </row>
        <row r="1250">
          <cell r="A1250" t="str">
            <v>동 력 조 작</v>
          </cell>
          <cell r="C1250" t="str">
            <v>프랜트 전공</v>
          </cell>
          <cell r="D1250">
            <v>2</v>
          </cell>
          <cell r="E1250" t="str">
            <v>인</v>
          </cell>
          <cell r="G1250">
            <v>64285</v>
          </cell>
          <cell r="H1250">
            <v>128570</v>
          </cell>
        </row>
        <row r="1252">
          <cell r="A1252" t="str">
            <v xml:space="preserve">      보 조</v>
          </cell>
          <cell r="C1252" t="str">
            <v>특 별 인 부</v>
          </cell>
          <cell r="D1252">
            <v>2.5</v>
          </cell>
          <cell r="E1252" t="str">
            <v>인</v>
          </cell>
          <cell r="G1252">
            <v>57379</v>
          </cell>
          <cell r="H1252">
            <v>143447</v>
          </cell>
        </row>
        <row r="1253">
          <cell r="A1253" t="str">
            <v>종       별</v>
          </cell>
          <cell r="C1253" t="str">
            <v>재 료 또 는</v>
          </cell>
          <cell r="D1253" t="str">
            <v xml:space="preserve">원 수 </v>
          </cell>
          <cell r="E1253" t="str">
            <v>단 위</v>
          </cell>
          <cell r="F1253" t="str">
            <v>총   액</v>
          </cell>
          <cell r="G1253" t="str">
            <v>노   무   비</v>
          </cell>
          <cell r="I1253" t="str">
            <v>재   료   비</v>
          </cell>
          <cell r="K1253" t="str">
            <v>경      비</v>
          </cell>
          <cell r="M1253" t="str">
            <v>비   고</v>
          </cell>
        </row>
        <row r="1254">
          <cell r="C1254" t="str">
            <v xml:space="preserve">규       격 </v>
          </cell>
          <cell r="F1254" t="str">
            <v>금   액</v>
          </cell>
          <cell r="G1254" t="str">
            <v>단  가</v>
          </cell>
          <cell r="H1254" t="str">
            <v>금   액</v>
          </cell>
          <cell r="I1254" t="str">
            <v>단  가</v>
          </cell>
          <cell r="J1254" t="str">
            <v>금   액</v>
          </cell>
          <cell r="K1254" t="str">
            <v>단  가</v>
          </cell>
          <cell r="L1254" t="str">
            <v>금   액</v>
          </cell>
        </row>
        <row r="1255">
          <cell r="A1255" t="str">
            <v>검      사</v>
          </cell>
          <cell r="C1255" t="str">
            <v>노무비의 7%</v>
          </cell>
          <cell r="D1255" t="str">
            <v>1</v>
          </cell>
          <cell r="E1255" t="str">
            <v>식</v>
          </cell>
          <cell r="H1255">
            <v>282346</v>
          </cell>
        </row>
        <row r="1256">
          <cell r="E1256" t="str">
            <v xml:space="preserve"> </v>
          </cell>
          <cell r="F1256" t="str">
            <v xml:space="preserve"> </v>
          </cell>
          <cell r="H1256" t="str">
            <v xml:space="preserve"> </v>
          </cell>
        </row>
        <row r="1257">
          <cell r="A1257" t="str">
            <v xml:space="preserve">       계</v>
          </cell>
          <cell r="F1257">
            <v>4315868</v>
          </cell>
          <cell r="H1257">
            <v>4315868</v>
          </cell>
        </row>
        <row r="1282">
          <cell r="E1282" t="str">
            <v xml:space="preserve"> </v>
          </cell>
          <cell r="F1282" t="str">
            <v>RADIAL GATE GUIDE FRAME 제작 소모 자재비</v>
          </cell>
        </row>
        <row r="1283">
          <cell r="E1283" t="str">
            <v xml:space="preserve"> </v>
          </cell>
        </row>
        <row r="1284">
          <cell r="A1284" t="str">
            <v>종       별</v>
          </cell>
          <cell r="C1284" t="str">
            <v>재 료 또 는</v>
          </cell>
          <cell r="D1284" t="str">
            <v xml:space="preserve">원 수 </v>
          </cell>
          <cell r="E1284" t="str">
            <v>단 위</v>
          </cell>
          <cell r="F1284" t="str">
            <v>총   액</v>
          </cell>
          <cell r="G1284" t="str">
            <v>노   무   비</v>
          </cell>
          <cell r="I1284" t="str">
            <v>재   료   비</v>
          </cell>
          <cell r="K1284" t="str">
            <v>경      비</v>
          </cell>
          <cell r="M1284" t="str">
            <v>비   고</v>
          </cell>
        </row>
        <row r="1285">
          <cell r="C1285" t="str">
            <v xml:space="preserve">규       격 </v>
          </cell>
          <cell r="F1285" t="str">
            <v>금   액</v>
          </cell>
          <cell r="G1285" t="str">
            <v>단  가</v>
          </cell>
          <cell r="H1285" t="str">
            <v>금   액</v>
          </cell>
          <cell r="I1285" t="str">
            <v>단  가</v>
          </cell>
          <cell r="J1285" t="str">
            <v>금   액</v>
          </cell>
          <cell r="K1285" t="str">
            <v>단  가</v>
          </cell>
          <cell r="L1285" t="str">
            <v>금   액</v>
          </cell>
        </row>
        <row r="1286">
          <cell r="A1286" t="str">
            <v>산       소</v>
          </cell>
          <cell r="C1286" t="str">
            <v>6,000L용</v>
          </cell>
          <cell r="D1286">
            <v>2.2000000000000002</v>
          </cell>
          <cell r="E1286" t="str">
            <v>병</v>
          </cell>
          <cell r="G1286" t="str">
            <v xml:space="preserve"> </v>
          </cell>
          <cell r="I1286">
            <v>12000</v>
          </cell>
          <cell r="J1286">
            <v>26400</v>
          </cell>
        </row>
        <row r="1287">
          <cell r="A1287" t="str">
            <v>아 세 치 렌</v>
          </cell>
          <cell r="C1287" t="str">
            <v>2,100L용</v>
          </cell>
          <cell r="D1287">
            <v>1.6</v>
          </cell>
          <cell r="E1287" t="str">
            <v>병</v>
          </cell>
          <cell r="I1287">
            <v>25849</v>
          </cell>
          <cell r="J1287">
            <v>41358</v>
          </cell>
        </row>
        <row r="1288">
          <cell r="A1288" t="str">
            <v>함       석</v>
          </cell>
          <cell r="C1288" t="str">
            <v>#32 x 3' x 6'</v>
          </cell>
          <cell r="D1288">
            <v>1.7</v>
          </cell>
          <cell r="E1288" t="str">
            <v>매</v>
          </cell>
          <cell r="I1288">
            <v>2597</v>
          </cell>
          <cell r="J1288">
            <v>4414</v>
          </cell>
        </row>
        <row r="1289">
          <cell r="A1289" t="str">
            <v>용   접  봉</v>
          </cell>
          <cell r="C1289" t="str">
            <v>SS41+STS304,4M/M</v>
          </cell>
          <cell r="D1289">
            <v>22.5</v>
          </cell>
          <cell r="E1289" t="str">
            <v>KG</v>
          </cell>
          <cell r="I1289">
            <v>3360</v>
          </cell>
          <cell r="J1289">
            <v>75600</v>
          </cell>
        </row>
        <row r="1290">
          <cell r="A1290" t="str">
            <v>전       력</v>
          </cell>
          <cell r="D1290">
            <v>595</v>
          </cell>
          <cell r="E1290" t="str">
            <v>KWH</v>
          </cell>
          <cell r="I1290" t="str">
            <v xml:space="preserve"> </v>
          </cell>
          <cell r="K1290">
            <v>61.6</v>
          </cell>
          <cell r="L1290">
            <v>36652</v>
          </cell>
        </row>
        <row r="1291">
          <cell r="A1291" t="str">
            <v xml:space="preserve"> </v>
          </cell>
          <cell r="C1291" t="str">
            <v xml:space="preserve"> </v>
          </cell>
          <cell r="D1291" t="str">
            <v xml:space="preserve"> </v>
          </cell>
          <cell r="E1291" t="str">
            <v xml:space="preserve"> </v>
          </cell>
          <cell r="I1291" t="str">
            <v xml:space="preserve">  </v>
          </cell>
          <cell r="K1291" t="str">
            <v xml:space="preserve"> </v>
          </cell>
        </row>
        <row r="1293">
          <cell r="L1293" t="str">
            <v xml:space="preserve"> </v>
          </cell>
        </row>
        <row r="1294">
          <cell r="B1294" t="str">
            <v>계</v>
          </cell>
          <cell r="F1294">
            <v>184424</v>
          </cell>
          <cell r="J1294">
            <v>147772</v>
          </cell>
          <cell r="L1294">
            <v>36652</v>
          </cell>
        </row>
        <row r="1295">
          <cell r="F1295" t="str">
            <v xml:space="preserve"> </v>
          </cell>
          <cell r="J1295" t="str">
            <v xml:space="preserve"> </v>
          </cell>
          <cell r="L1295" t="str">
            <v xml:space="preserve"> </v>
          </cell>
        </row>
        <row r="1296">
          <cell r="F1296" t="str">
            <v xml:space="preserve"> </v>
          </cell>
          <cell r="J1296" t="str">
            <v xml:space="preserve"> </v>
          </cell>
          <cell r="L1296" t="str">
            <v xml:space="preserve"> </v>
          </cell>
        </row>
        <row r="1297">
          <cell r="F1297" t="str">
            <v xml:space="preserve"> </v>
          </cell>
          <cell r="J1297" t="str">
            <v xml:space="preserve"> </v>
          </cell>
          <cell r="L1297" t="str">
            <v xml:space="preserve"> </v>
          </cell>
        </row>
        <row r="1298">
          <cell r="F1298" t="str">
            <v xml:space="preserve"> </v>
          </cell>
          <cell r="J1298" t="str">
            <v xml:space="preserve"> </v>
          </cell>
          <cell r="L1298" t="str">
            <v xml:space="preserve"> </v>
          </cell>
        </row>
        <row r="1299">
          <cell r="F1299" t="str">
            <v xml:space="preserve"> </v>
          </cell>
          <cell r="J1299" t="str">
            <v xml:space="preserve"> </v>
          </cell>
          <cell r="L1299" t="str">
            <v xml:space="preserve"> </v>
          </cell>
        </row>
        <row r="1300">
          <cell r="F1300" t="str">
            <v xml:space="preserve"> </v>
          </cell>
          <cell r="J1300" t="str">
            <v xml:space="preserve"> </v>
          </cell>
          <cell r="L1300" t="str">
            <v xml:space="preserve"> </v>
          </cell>
        </row>
        <row r="1301">
          <cell r="F1301" t="str">
            <v xml:space="preserve"> </v>
          </cell>
          <cell r="J1301" t="str">
            <v xml:space="preserve"> </v>
          </cell>
          <cell r="L1301" t="str">
            <v xml:space="preserve"> </v>
          </cell>
        </row>
        <row r="1302">
          <cell r="F1302" t="str">
            <v xml:space="preserve"> </v>
          </cell>
          <cell r="J1302" t="str">
            <v xml:space="preserve"> </v>
          </cell>
          <cell r="L1302" t="str">
            <v xml:space="preserve"> </v>
          </cell>
        </row>
        <row r="1303">
          <cell r="F1303" t="str">
            <v xml:space="preserve"> </v>
          </cell>
          <cell r="J1303" t="str">
            <v xml:space="preserve"> </v>
          </cell>
          <cell r="L1303" t="str">
            <v xml:space="preserve"> </v>
          </cell>
        </row>
        <row r="1304">
          <cell r="F1304" t="str">
            <v xml:space="preserve"> </v>
          </cell>
          <cell r="J1304" t="str">
            <v xml:space="preserve"> </v>
          </cell>
          <cell r="L1304" t="str">
            <v xml:space="preserve"> </v>
          </cell>
        </row>
        <row r="1305">
          <cell r="F1305" t="str">
            <v xml:space="preserve"> </v>
          </cell>
          <cell r="J1305" t="str">
            <v xml:space="preserve"> </v>
          </cell>
          <cell r="L1305" t="str">
            <v xml:space="preserve"> </v>
          </cell>
        </row>
        <row r="1306">
          <cell r="F1306" t="str">
            <v xml:space="preserve"> </v>
          </cell>
          <cell r="J1306" t="str">
            <v xml:space="preserve"> </v>
          </cell>
          <cell r="L1306" t="str">
            <v xml:space="preserve"> </v>
          </cell>
        </row>
        <row r="1307">
          <cell r="F1307" t="str">
            <v xml:space="preserve"> </v>
          </cell>
          <cell r="J1307" t="str">
            <v xml:space="preserve"> </v>
          </cell>
          <cell r="L1307" t="str">
            <v xml:space="preserve"> </v>
          </cell>
        </row>
        <row r="1308">
          <cell r="F1308" t="str">
            <v xml:space="preserve"> </v>
          </cell>
          <cell r="J1308" t="str">
            <v xml:space="preserve"> </v>
          </cell>
          <cell r="L1308" t="str">
            <v xml:space="preserve"> </v>
          </cell>
        </row>
        <row r="1309">
          <cell r="F1309" t="str">
            <v xml:space="preserve"> </v>
          </cell>
          <cell r="J1309" t="str">
            <v xml:space="preserve"> </v>
          </cell>
          <cell r="L1309" t="str">
            <v xml:space="preserve"> </v>
          </cell>
        </row>
        <row r="1310">
          <cell r="F1310" t="str">
            <v xml:space="preserve"> </v>
          </cell>
          <cell r="J1310" t="str">
            <v xml:space="preserve"> </v>
          </cell>
          <cell r="L1310" t="str">
            <v xml:space="preserve"> </v>
          </cell>
        </row>
        <row r="1311">
          <cell r="E1311" t="str">
            <v xml:space="preserve"> </v>
          </cell>
          <cell r="F1311" t="str">
            <v>RADIAL GATE ANCHORAGE 제작 인건비</v>
          </cell>
        </row>
        <row r="1312">
          <cell r="E1312" t="str">
            <v xml:space="preserve"> </v>
          </cell>
        </row>
        <row r="1313">
          <cell r="A1313" t="str">
            <v>종       별</v>
          </cell>
          <cell r="C1313" t="str">
            <v>재 료 또 는</v>
          </cell>
          <cell r="D1313" t="str">
            <v xml:space="preserve">원 수 </v>
          </cell>
          <cell r="E1313" t="str">
            <v>단 위</v>
          </cell>
          <cell r="F1313" t="str">
            <v>총   액</v>
          </cell>
          <cell r="G1313" t="str">
            <v>노   무   비</v>
          </cell>
          <cell r="I1313" t="str">
            <v>재   료   비</v>
          </cell>
          <cell r="K1313" t="str">
            <v>경      비</v>
          </cell>
          <cell r="M1313" t="str">
            <v>비   고</v>
          </cell>
        </row>
        <row r="1314">
          <cell r="C1314" t="str">
            <v xml:space="preserve">규       격 </v>
          </cell>
          <cell r="F1314" t="str">
            <v>금   액</v>
          </cell>
          <cell r="G1314" t="str">
            <v>단  가</v>
          </cell>
          <cell r="H1314" t="str">
            <v>금   액</v>
          </cell>
          <cell r="I1314" t="str">
            <v>단  가</v>
          </cell>
          <cell r="J1314" t="str">
            <v>금   액</v>
          </cell>
          <cell r="K1314" t="str">
            <v>단  가</v>
          </cell>
          <cell r="L1314" t="str">
            <v>금   액</v>
          </cell>
        </row>
        <row r="1315">
          <cell r="A1315" t="str">
            <v>기 술 관 리</v>
          </cell>
          <cell r="C1315" t="str">
            <v>기계기사1급</v>
          </cell>
          <cell r="D1315">
            <v>1.6</v>
          </cell>
          <cell r="E1315" t="str">
            <v>인</v>
          </cell>
          <cell r="G1315">
            <v>97488</v>
          </cell>
          <cell r="H1315">
            <v>155980</v>
          </cell>
        </row>
        <row r="1316">
          <cell r="A1316" t="str">
            <v>재료 절단 사도</v>
          </cell>
          <cell r="C1316" t="str">
            <v>제   도   공</v>
          </cell>
          <cell r="D1316">
            <v>0.5</v>
          </cell>
          <cell r="E1316" t="str">
            <v>인</v>
          </cell>
          <cell r="G1316">
            <v>32747</v>
          </cell>
          <cell r="H1316">
            <v>16373</v>
          </cell>
        </row>
        <row r="1317">
          <cell r="A1317" t="str">
            <v xml:space="preserve"> </v>
          </cell>
          <cell r="B1317" t="str">
            <v>현    도</v>
          </cell>
          <cell r="C1317" t="str">
            <v>현   도   공</v>
          </cell>
          <cell r="D1317">
            <v>0.2</v>
          </cell>
          <cell r="E1317" t="str">
            <v>인</v>
          </cell>
          <cell r="G1317">
            <v>28487</v>
          </cell>
          <cell r="H1317">
            <v>5697</v>
          </cell>
        </row>
        <row r="1318">
          <cell r="A1318" t="str">
            <v xml:space="preserve"> </v>
          </cell>
          <cell r="B1318" t="str">
            <v>괘    서</v>
          </cell>
          <cell r="C1318" t="str">
            <v>마   킹   공</v>
          </cell>
          <cell r="D1318">
            <v>1.3</v>
          </cell>
          <cell r="E1318" t="str">
            <v>인</v>
          </cell>
          <cell r="G1318">
            <v>26924</v>
          </cell>
          <cell r="H1318">
            <v>35001</v>
          </cell>
        </row>
        <row r="1319">
          <cell r="B1319" t="str">
            <v>절    단</v>
          </cell>
          <cell r="C1319" t="str">
            <v>절   단   공</v>
          </cell>
          <cell r="D1319">
            <v>0.28000000000000003</v>
          </cell>
          <cell r="E1319" t="str">
            <v>인</v>
          </cell>
          <cell r="G1319">
            <v>65881</v>
          </cell>
          <cell r="H1319">
            <v>18446</v>
          </cell>
        </row>
        <row r="1321">
          <cell r="A1321" t="str">
            <v xml:space="preserve"> </v>
          </cell>
          <cell r="B1321" t="str">
            <v>교    정</v>
          </cell>
          <cell r="C1321" t="str">
            <v>프랜트 제관공</v>
          </cell>
          <cell r="D1321">
            <v>0.5</v>
          </cell>
          <cell r="E1321" t="str">
            <v>인</v>
          </cell>
          <cell r="G1321">
            <v>81966</v>
          </cell>
          <cell r="H1321">
            <v>40983</v>
          </cell>
        </row>
        <row r="1322">
          <cell r="A1322" t="str">
            <v>단재가공 괘서</v>
          </cell>
          <cell r="C1322" t="str">
            <v>마   킹   공</v>
          </cell>
          <cell r="D1322">
            <v>1.3</v>
          </cell>
          <cell r="E1322" t="str">
            <v>인</v>
          </cell>
          <cell r="G1322">
            <v>26924</v>
          </cell>
          <cell r="H1322">
            <v>35001</v>
          </cell>
        </row>
        <row r="1323">
          <cell r="A1323" t="str">
            <v xml:space="preserve"> </v>
          </cell>
          <cell r="B1323" t="str">
            <v>절    단</v>
          </cell>
          <cell r="C1323" t="str">
            <v>절   단   공</v>
          </cell>
          <cell r="D1323">
            <v>0.14000000000000001</v>
          </cell>
          <cell r="E1323" t="str">
            <v>인</v>
          </cell>
          <cell r="G1323">
            <v>65881</v>
          </cell>
          <cell r="H1323">
            <v>9223</v>
          </cell>
        </row>
        <row r="1324">
          <cell r="A1324" t="str">
            <v>EDGE     가공</v>
          </cell>
          <cell r="C1324" t="str">
            <v>산 소 절 단 공</v>
          </cell>
          <cell r="D1324">
            <v>0.14000000000000001</v>
          </cell>
          <cell r="E1324" t="str">
            <v>인</v>
          </cell>
          <cell r="G1324">
            <v>31794</v>
          </cell>
          <cell r="H1324">
            <v>4451</v>
          </cell>
        </row>
        <row r="1325">
          <cell r="A1325" t="str">
            <v xml:space="preserve"> </v>
          </cell>
          <cell r="B1325" t="str">
            <v>용    접</v>
          </cell>
          <cell r="C1325" t="str">
            <v>프랜트 용접공</v>
          </cell>
          <cell r="D1325">
            <v>1</v>
          </cell>
          <cell r="E1325" t="str">
            <v>인</v>
          </cell>
          <cell r="G1325">
            <v>95379</v>
          </cell>
          <cell r="H1325">
            <v>95379</v>
          </cell>
        </row>
        <row r="1327">
          <cell r="B1327" t="str">
            <v>교    정</v>
          </cell>
          <cell r="C1327" t="str">
            <v>프랜트 제관공</v>
          </cell>
          <cell r="D1327">
            <v>0.75</v>
          </cell>
          <cell r="E1327" t="str">
            <v>인</v>
          </cell>
          <cell r="G1327">
            <v>81966</v>
          </cell>
          <cell r="H1327">
            <v>61474</v>
          </cell>
          <cell r="M1327" t="str">
            <v xml:space="preserve"> </v>
          </cell>
        </row>
        <row r="1328">
          <cell r="A1328" t="str">
            <v>HOLING</v>
          </cell>
          <cell r="C1328" t="str">
            <v>프랜트 제관공</v>
          </cell>
          <cell r="D1328">
            <v>0.37</v>
          </cell>
          <cell r="E1328" t="str">
            <v>인</v>
          </cell>
          <cell r="G1328">
            <v>81966</v>
          </cell>
          <cell r="H1328">
            <v>30327</v>
          </cell>
        </row>
        <row r="1329">
          <cell r="A1329" t="str">
            <v>부분조립취부조정</v>
          </cell>
          <cell r="C1329" t="str">
            <v>프랜트기계설치공</v>
          </cell>
          <cell r="D1329">
            <v>2.5</v>
          </cell>
          <cell r="E1329" t="str">
            <v>인</v>
          </cell>
          <cell r="G1329">
            <v>80805</v>
          </cell>
          <cell r="H1329">
            <v>202012</v>
          </cell>
        </row>
        <row r="1330">
          <cell r="B1330" t="str">
            <v>용    접</v>
          </cell>
          <cell r="C1330" t="str">
            <v>프랜트 용접공</v>
          </cell>
          <cell r="D1330">
            <v>6.8</v>
          </cell>
          <cell r="E1330" t="str">
            <v>인</v>
          </cell>
          <cell r="G1330">
            <v>95379</v>
          </cell>
          <cell r="H1330">
            <v>648577</v>
          </cell>
        </row>
        <row r="1331">
          <cell r="B1331" t="str">
            <v>절    단</v>
          </cell>
          <cell r="C1331" t="str">
            <v>산 소 절 단 공</v>
          </cell>
          <cell r="D1331">
            <v>0.08</v>
          </cell>
          <cell r="E1331" t="str">
            <v>인</v>
          </cell>
          <cell r="G1331">
            <v>31794</v>
          </cell>
          <cell r="H1331">
            <v>2543</v>
          </cell>
        </row>
        <row r="1332">
          <cell r="E1332" t="str">
            <v xml:space="preserve"> </v>
          </cell>
        </row>
        <row r="1333">
          <cell r="A1333" t="str">
            <v>부분조립 수정</v>
          </cell>
          <cell r="C1333" t="str">
            <v>프랜트 제관공</v>
          </cell>
          <cell r="D1333">
            <v>1.75</v>
          </cell>
          <cell r="E1333" t="str">
            <v>인</v>
          </cell>
          <cell r="G1333">
            <v>81966</v>
          </cell>
          <cell r="H1333">
            <v>143440</v>
          </cell>
        </row>
        <row r="1334">
          <cell r="A1334" t="str">
            <v>GRINDING</v>
          </cell>
          <cell r="C1334" t="str">
            <v>프랜트 제관공</v>
          </cell>
          <cell r="D1334">
            <v>1.5</v>
          </cell>
          <cell r="E1334" t="str">
            <v>인</v>
          </cell>
          <cell r="G1334">
            <v>81966</v>
          </cell>
          <cell r="H1334">
            <v>122949</v>
          </cell>
        </row>
        <row r="1335">
          <cell r="C1335" t="str">
            <v>연 마 공 (기계)</v>
          </cell>
          <cell r="D1335">
            <v>0.13</v>
          </cell>
          <cell r="E1335" t="str">
            <v>인</v>
          </cell>
          <cell r="G1335">
            <v>26032</v>
          </cell>
          <cell r="H1335">
            <v>3384</v>
          </cell>
        </row>
        <row r="1336">
          <cell r="A1336" t="str">
            <v>가 조 립 조립</v>
          </cell>
          <cell r="C1336" t="str">
            <v>프랜트기계설치공</v>
          </cell>
          <cell r="D1336">
            <v>2</v>
          </cell>
          <cell r="E1336" t="str">
            <v>인</v>
          </cell>
          <cell r="G1336">
            <v>80805</v>
          </cell>
          <cell r="H1336">
            <v>161610</v>
          </cell>
        </row>
        <row r="1337">
          <cell r="B1337" t="str">
            <v>해    체</v>
          </cell>
          <cell r="C1337" t="str">
            <v>프랜트기계설치공</v>
          </cell>
          <cell r="D1337">
            <v>1</v>
          </cell>
          <cell r="E1337" t="str">
            <v>인</v>
          </cell>
          <cell r="G1337">
            <v>80805</v>
          </cell>
          <cell r="H1337">
            <v>80805</v>
          </cell>
        </row>
        <row r="1338">
          <cell r="E1338" t="str">
            <v xml:space="preserve"> </v>
          </cell>
        </row>
        <row r="1339">
          <cell r="A1339" t="str">
            <v>운 반 조 작</v>
          </cell>
          <cell r="C1339" t="str">
            <v>특 수 비 계 공</v>
          </cell>
          <cell r="D1339">
            <v>3.3</v>
          </cell>
          <cell r="E1339" t="str">
            <v>인</v>
          </cell>
          <cell r="G1339">
            <v>85884</v>
          </cell>
          <cell r="H1339">
            <v>283417</v>
          </cell>
        </row>
        <row r="1340">
          <cell r="A1340" t="str">
            <v>종       별</v>
          </cell>
          <cell r="C1340" t="str">
            <v>재 료 또 는</v>
          </cell>
          <cell r="D1340" t="str">
            <v xml:space="preserve">원 수 </v>
          </cell>
          <cell r="E1340" t="str">
            <v>단 위</v>
          </cell>
          <cell r="F1340" t="str">
            <v>총   액</v>
          </cell>
          <cell r="G1340" t="str">
            <v>노   무   비</v>
          </cell>
          <cell r="I1340" t="str">
            <v>재   료   비</v>
          </cell>
          <cell r="K1340" t="str">
            <v>경      비</v>
          </cell>
          <cell r="M1340" t="str">
            <v>비   고</v>
          </cell>
        </row>
        <row r="1341">
          <cell r="C1341" t="str">
            <v xml:space="preserve">규       격 </v>
          </cell>
          <cell r="F1341" t="str">
            <v>금   액</v>
          </cell>
          <cell r="G1341" t="str">
            <v>단  가</v>
          </cell>
          <cell r="H1341" t="str">
            <v>금   액</v>
          </cell>
          <cell r="I1341" t="str">
            <v>단  가</v>
          </cell>
          <cell r="J1341" t="str">
            <v>금   액</v>
          </cell>
          <cell r="K1341" t="str">
            <v>단  가</v>
          </cell>
          <cell r="L1341" t="str">
            <v>금   액</v>
          </cell>
        </row>
        <row r="1342">
          <cell r="A1342" t="str">
            <v>동 력 조 작</v>
          </cell>
          <cell r="C1342" t="str">
            <v>프 랜 트 전 공</v>
          </cell>
          <cell r="D1342">
            <v>0.66</v>
          </cell>
          <cell r="E1342" t="str">
            <v>인</v>
          </cell>
          <cell r="G1342">
            <v>64285</v>
          </cell>
          <cell r="H1342">
            <v>42428</v>
          </cell>
        </row>
        <row r="1343">
          <cell r="B1343" t="str">
            <v xml:space="preserve">보    조  </v>
          </cell>
          <cell r="C1343" t="str">
            <v>특 별 인 부</v>
          </cell>
          <cell r="D1343">
            <v>14.3</v>
          </cell>
          <cell r="E1343" t="str">
            <v>인</v>
          </cell>
          <cell r="G1343">
            <v>57379</v>
          </cell>
          <cell r="H1343">
            <v>820519</v>
          </cell>
        </row>
        <row r="1344">
          <cell r="B1344" t="str">
            <v xml:space="preserve">검    사  </v>
          </cell>
          <cell r="C1344" t="str">
            <v>7 %</v>
          </cell>
          <cell r="D1344">
            <v>1</v>
          </cell>
          <cell r="E1344" t="str">
            <v>식</v>
          </cell>
          <cell r="H1344">
            <v>211401</v>
          </cell>
        </row>
        <row r="1346">
          <cell r="B1346" t="str">
            <v>계</v>
          </cell>
          <cell r="F1346">
            <v>3231420</v>
          </cell>
          <cell r="H1346">
            <v>3231420</v>
          </cell>
        </row>
        <row r="1369">
          <cell r="E1369" t="str">
            <v xml:space="preserve"> </v>
          </cell>
          <cell r="F1369" t="str">
            <v>RADIAL GATE ANCHORAGE 제작 소모 자재비</v>
          </cell>
        </row>
        <row r="1370">
          <cell r="E1370" t="str">
            <v xml:space="preserve"> </v>
          </cell>
        </row>
        <row r="1371">
          <cell r="A1371" t="str">
            <v>종       별</v>
          </cell>
          <cell r="C1371" t="str">
            <v>재 료 또 는</v>
          </cell>
          <cell r="D1371" t="str">
            <v xml:space="preserve">원 수 </v>
          </cell>
          <cell r="E1371" t="str">
            <v>단 위</v>
          </cell>
          <cell r="F1371" t="str">
            <v>총   액</v>
          </cell>
          <cell r="G1371" t="str">
            <v>노   무   비</v>
          </cell>
          <cell r="I1371" t="str">
            <v>재   료   비</v>
          </cell>
          <cell r="K1371" t="str">
            <v>경      비</v>
          </cell>
          <cell r="M1371" t="str">
            <v>비   고</v>
          </cell>
        </row>
        <row r="1372">
          <cell r="C1372" t="str">
            <v xml:space="preserve">규       격 </v>
          </cell>
          <cell r="F1372" t="str">
            <v>금   액</v>
          </cell>
          <cell r="G1372" t="str">
            <v>단  가</v>
          </cell>
          <cell r="H1372" t="str">
            <v>금   액</v>
          </cell>
          <cell r="I1372" t="str">
            <v>단  가</v>
          </cell>
          <cell r="J1372" t="str">
            <v>금   액</v>
          </cell>
          <cell r="K1372" t="str">
            <v>단  가</v>
          </cell>
          <cell r="L1372" t="str">
            <v>금   액</v>
          </cell>
        </row>
        <row r="1373">
          <cell r="A1373" t="str">
            <v>산       소</v>
          </cell>
          <cell r="C1373" t="str">
            <v>6,000L용</v>
          </cell>
          <cell r="D1373">
            <v>2.2000000000000002</v>
          </cell>
          <cell r="E1373" t="str">
            <v>병</v>
          </cell>
          <cell r="G1373" t="str">
            <v xml:space="preserve"> </v>
          </cell>
          <cell r="I1373">
            <v>12000</v>
          </cell>
          <cell r="J1373">
            <v>26400</v>
          </cell>
        </row>
        <row r="1374">
          <cell r="A1374" t="str">
            <v>아 세 치 렌</v>
          </cell>
          <cell r="C1374" t="str">
            <v>2,100L용</v>
          </cell>
          <cell r="D1374">
            <v>1.5</v>
          </cell>
          <cell r="E1374" t="str">
            <v>병</v>
          </cell>
          <cell r="I1374">
            <v>25849</v>
          </cell>
          <cell r="J1374">
            <v>38773</v>
          </cell>
        </row>
        <row r="1375">
          <cell r="A1375" t="str">
            <v>함       석</v>
          </cell>
          <cell r="C1375" t="str">
            <v>#32 x 3' x 6'</v>
          </cell>
          <cell r="D1375">
            <v>1.2</v>
          </cell>
          <cell r="E1375" t="str">
            <v>매</v>
          </cell>
          <cell r="I1375">
            <v>2597</v>
          </cell>
          <cell r="J1375">
            <v>3116</v>
          </cell>
        </row>
        <row r="1376">
          <cell r="A1376" t="str">
            <v>용   접  봉</v>
          </cell>
          <cell r="C1376" t="str">
            <v>SS400, 4M/Mx350L</v>
          </cell>
          <cell r="D1376">
            <v>30.5</v>
          </cell>
          <cell r="E1376" t="str">
            <v>KG</v>
          </cell>
          <cell r="I1376">
            <v>1260</v>
          </cell>
          <cell r="J1376">
            <v>38430</v>
          </cell>
        </row>
        <row r="1377">
          <cell r="A1377" t="str">
            <v>전       력</v>
          </cell>
          <cell r="D1377">
            <v>420</v>
          </cell>
          <cell r="E1377" t="str">
            <v>KWH</v>
          </cell>
          <cell r="K1377">
            <v>61.6</v>
          </cell>
          <cell r="L1377">
            <v>25872</v>
          </cell>
        </row>
        <row r="1378">
          <cell r="A1378" t="str">
            <v>그라인다돌</v>
          </cell>
          <cell r="C1378" t="str">
            <v>300m/mΦ</v>
          </cell>
          <cell r="D1378">
            <v>0.33</v>
          </cell>
          <cell r="E1378" t="str">
            <v>개</v>
          </cell>
          <cell r="I1378">
            <v>3380</v>
          </cell>
          <cell r="J1378">
            <v>1115</v>
          </cell>
          <cell r="K1378" t="str">
            <v xml:space="preserve"> </v>
          </cell>
        </row>
        <row r="1380">
          <cell r="B1380" t="str">
            <v>계</v>
          </cell>
          <cell r="F1380">
            <v>133706</v>
          </cell>
          <cell r="J1380">
            <v>107834</v>
          </cell>
          <cell r="L1380">
            <v>25872</v>
          </cell>
        </row>
        <row r="1398">
          <cell r="E1398" t="str">
            <v xml:space="preserve"> </v>
          </cell>
          <cell r="F1398" t="str">
            <v>RADIAL GATE LEAF 설치 인건비</v>
          </cell>
        </row>
        <row r="1399">
          <cell r="E1399" t="str">
            <v xml:space="preserve"> </v>
          </cell>
        </row>
        <row r="1400">
          <cell r="A1400" t="str">
            <v>종       별</v>
          </cell>
          <cell r="C1400" t="str">
            <v>재 료 또 는</v>
          </cell>
          <cell r="D1400" t="str">
            <v xml:space="preserve">원 수 </v>
          </cell>
          <cell r="E1400" t="str">
            <v>단 위</v>
          </cell>
          <cell r="F1400" t="str">
            <v>총   액</v>
          </cell>
          <cell r="G1400" t="str">
            <v>노   무   비</v>
          </cell>
          <cell r="I1400" t="str">
            <v>재   료   비</v>
          </cell>
          <cell r="K1400" t="str">
            <v>경      비</v>
          </cell>
          <cell r="M1400" t="str">
            <v>비   고</v>
          </cell>
        </row>
        <row r="1401">
          <cell r="C1401" t="str">
            <v xml:space="preserve">규       격 </v>
          </cell>
          <cell r="F1401" t="str">
            <v>금   액</v>
          </cell>
          <cell r="G1401" t="str">
            <v>단  가</v>
          </cell>
          <cell r="H1401" t="str">
            <v>금   액</v>
          </cell>
          <cell r="I1401" t="str">
            <v>단  가</v>
          </cell>
          <cell r="J1401" t="str">
            <v>금   액</v>
          </cell>
          <cell r="K1401" t="str">
            <v>단  가</v>
          </cell>
          <cell r="L1401" t="str">
            <v>금   액</v>
          </cell>
        </row>
        <row r="1402">
          <cell r="A1402" t="str">
            <v>기술관리</v>
          </cell>
          <cell r="C1402" t="str">
            <v>기계기사1급</v>
          </cell>
          <cell r="D1402">
            <v>0.5</v>
          </cell>
          <cell r="E1402" t="str">
            <v>인</v>
          </cell>
          <cell r="G1402">
            <v>97488</v>
          </cell>
          <cell r="H1402">
            <v>48744</v>
          </cell>
        </row>
        <row r="1403">
          <cell r="A1403" t="str">
            <v>현 장 교 정</v>
          </cell>
          <cell r="C1403" t="str">
            <v>프랜트 제관공</v>
          </cell>
          <cell r="D1403">
            <v>1.034</v>
          </cell>
          <cell r="E1403" t="str">
            <v>인</v>
          </cell>
          <cell r="G1403">
            <v>81966</v>
          </cell>
          <cell r="H1403">
            <v>84752</v>
          </cell>
        </row>
        <row r="1404">
          <cell r="A1404" t="str">
            <v xml:space="preserve"> </v>
          </cell>
          <cell r="C1404" t="str">
            <v>비   계   공</v>
          </cell>
          <cell r="D1404">
            <v>0.51700000000000002</v>
          </cell>
          <cell r="E1404" t="str">
            <v>인</v>
          </cell>
          <cell r="G1404">
            <v>79467</v>
          </cell>
          <cell r="H1404">
            <v>41084</v>
          </cell>
        </row>
        <row r="1405">
          <cell r="A1405" t="str">
            <v>소운반 조작</v>
          </cell>
          <cell r="C1405" t="str">
            <v>비   계   공</v>
          </cell>
          <cell r="D1405">
            <v>2.2999999999999998</v>
          </cell>
          <cell r="E1405" t="str">
            <v>인</v>
          </cell>
          <cell r="G1405">
            <v>79467</v>
          </cell>
          <cell r="H1405">
            <v>182774</v>
          </cell>
        </row>
        <row r="1406">
          <cell r="A1406" t="str">
            <v xml:space="preserve"> </v>
          </cell>
          <cell r="C1406" t="str">
            <v>프랜트기계설치공</v>
          </cell>
          <cell r="D1406">
            <v>0.91</v>
          </cell>
          <cell r="E1406" t="str">
            <v>인</v>
          </cell>
          <cell r="G1406">
            <v>80805</v>
          </cell>
          <cell r="H1406">
            <v>73532</v>
          </cell>
        </row>
        <row r="1408">
          <cell r="A1408" t="str">
            <v>조 립 조 정</v>
          </cell>
          <cell r="C1408" t="str">
            <v>비   계   공</v>
          </cell>
          <cell r="D1408">
            <v>1.46</v>
          </cell>
          <cell r="E1408" t="str">
            <v>인</v>
          </cell>
          <cell r="G1408">
            <v>79467</v>
          </cell>
          <cell r="H1408">
            <v>116021</v>
          </cell>
        </row>
        <row r="1409">
          <cell r="C1409" t="str">
            <v>프랜트 제관공</v>
          </cell>
          <cell r="D1409">
            <v>4.92</v>
          </cell>
          <cell r="E1409" t="str">
            <v>인</v>
          </cell>
          <cell r="G1409">
            <v>81966</v>
          </cell>
          <cell r="H1409">
            <v>403272</v>
          </cell>
        </row>
        <row r="1410">
          <cell r="C1410" t="str">
            <v>측   량   사</v>
          </cell>
          <cell r="D1410">
            <v>0.41</v>
          </cell>
          <cell r="E1410" t="str">
            <v>인</v>
          </cell>
          <cell r="G1410">
            <v>58506</v>
          </cell>
          <cell r="H1410">
            <v>23987</v>
          </cell>
        </row>
        <row r="1411">
          <cell r="A1411" t="str">
            <v>용      접</v>
          </cell>
          <cell r="C1411" t="str">
            <v>프랜트 용접공</v>
          </cell>
          <cell r="D1411">
            <v>0.81</v>
          </cell>
          <cell r="E1411" t="str">
            <v>인</v>
          </cell>
          <cell r="G1411">
            <v>95379</v>
          </cell>
          <cell r="H1411">
            <v>77256</v>
          </cell>
        </row>
        <row r="1412">
          <cell r="C1412" t="str">
            <v>프랜트 제관공</v>
          </cell>
          <cell r="D1412">
            <v>0.215</v>
          </cell>
          <cell r="E1412" t="str">
            <v>인</v>
          </cell>
          <cell r="G1412">
            <v>81966</v>
          </cell>
          <cell r="H1412">
            <v>17622</v>
          </cell>
        </row>
        <row r="1414">
          <cell r="A1414" t="str">
            <v>전 원 배 선</v>
          </cell>
          <cell r="C1414" t="str">
            <v>프랜트 전공</v>
          </cell>
          <cell r="D1414">
            <v>0.31</v>
          </cell>
          <cell r="E1414" t="str">
            <v>인</v>
          </cell>
          <cell r="G1414">
            <v>64285</v>
          </cell>
          <cell r="H1414">
            <v>19928</v>
          </cell>
        </row>
        <row r="1415">
          <cell r="A1415" t="str">
            <v>검사 및 교정</v>
          </cell>
          <cell r="C1415" t="str">
            <v>기술관리</v>
          </cell>
          <cell r="D1415" t="str">
            <v>1</v>
          </cell>
          <cell r="E1415" t="str">
            <v>식</v>
          </cell>
          <cell r="H1415">
            <v>104022</v>
          </cell>
        </row>
        <row r="1416">
          <cell r="C1416" t="str">
            <v>를 제외한 10%</v>
          </cell>
        </row>
        <row r="1419">
          <cell r="A1419" t="str">
            <v xml:space="preserve">      계  </v>
          </cell>
          <cell r="F1419">
            <v>1192994</v>
          </cell>
          <cell r="H1419">
            <v>1192994</v>
          </cell>
        </row>
        <row r="1427">
          <cell r="E1427" t="str">
            <v xml:space="preserve"> </v>
          </cell>
          <cell r="F1427" t="str">
            <v>RADIAL GATE 설치 사용장비 경비</v>
          </cell>
        </row>
        <row r="1428">
          <cell r="E1428" t="str">
            <v xml:space="preserve"> </v>
          </cell>
        </row>
        <row r="1429">
          <cell r="A1429" t="str">
            <v>종       별</v>
          </cell>
          <cell r="C1429" t="str">
            <v>재 료 또 는</v>
          </cell>
          <cell r="D1429" t="str">
            <v xml:space="preserve">원 수 </v>
          </cell>
          <cell r="E1429" t="str">
            <v>단 위</v>
          </cell>
          <cell r="F1429" t="str">
            <v>총   액</v>
          </cell>
          <cell r="G1429" t="str">
            <v>노   무   비</v>
          </cell>
          <cell r="I1429" t="str">
            <v>재   료   비</v>
          </cell>
          <cell r="K1429" t="str">
            <v>경      비</v>
          </cell>
          <cell r="M1429" t="str">
            <v>비   고</v>
          </cell>
        </row>
        <row r="1430">
          <cell r="C1430" t="str">
            <v xml:space="preserve">규       격 </v>
          </cell>
          <cell r="F1430" t="str">
            <v>금   액</v>
          </cell>
          <cell r="G1430" t="str">
            <v>단  가</v>
          </cell>
          <cell r="H1430" t="str">
            <v>금   액</v>
          </cell>
          <cell r="I1430" t="str">
            <v>단  가</v>
          </cell>
          <cell r="J1430" t="str">
            <v>금   액</v>
          </cell>
          <cell r="K1430" t="str">
            <v>단  가</v>
          </cell>
          <cell r="L1430" t="str">
            <v>금   액</v>
          </cell>
        </row>
        <row r="1432">
          <cell r="A1432" t="str">
            <v>A.C WELDER</v>
          </cell>
          <cell r="C1432" t="str">
            <v>10KVA</v>
          </cell>
          <cell r="D1432">
            <v>8</v>
          </cell>
          <cell r="E1432" t="str">
            <v>Hr</v>
          </cell>
          <cell r="K1432">
            <v>155</v>
          </cell>
          <cell r="L1432">
            <v>1240</v>
          </cell>
        </row>
        <row r="1433">
          <cell r="A1433" t="str">
            <v>GAS CUTTING M/C</v>
          </cell>
          <cell r="C1433" t="str">
            <v>중 형</v>
          </cell>
          <cell r="D1433">
            <v>48</v>
          </cell>
          <cell r="E1433" t="str">
            <v>Hr</v>
          </cell>
          <cell r="G1433">
            <v>3974</v>
          </cell>
          <cell r="H1433">
            <v>190752</v>
          </cell>
          <cell r="K1433">
            <v>115</v>
          </cell>
          <cell r="L1433">
            <v>5520</v>
          </cell>
        </row>
        <row r="1434">
          <cell r="A1434" t="str">
            <v>GAS WELDER</v>
          </cell>
          <cell r="C1434" t="str">
            <v>중 형</v>
          </cell>
          <cell r="D1434">
            <v>24</v>
          </cell>
          <cell r="E1434" t="str">
            <v>Hr</v>
          </cell>
          <cell r="K1434">
            <v>115</v>
          </cell>
          <cell r="L1434">
            <v>2760</v>
          </cell>
        </row>
        <row r="1435">
          <cell r="A1435" t="str">
            <v>PORTABLE DRILL</v>
          </cell>
          <cell r="C1435" t="str">
            <v>1.5 HP</v>
          </cell>
          <cell r="D1435">
            <v>16</v>
          </cell>
          <cell r="E1435" t="str">
            <v>Hr</v>
          </cell>
          <cell r="K1435">
            <v>14</v>
          </cell>
          <cell r="L1435">
            <v>224</v>
          </cell>
        </row>
        <row r="1436">
          <cell r="A1436" t="str">
            <v>PORTABLE GRINDER</v>
          </cell>
          <cell r="C1436" t="str">
            <v>0.5 HP</v>
          </cell>
          <cell r="D1436">
            <v>48</v>
          </cell>
          <cell r="E1436" t="str">
            <v>Hr</v>
          </cell>
          <cell r="K1436">
            <v>22</v>
          </cell>
          <cell r="L1436">
            <v>1056</v>
          </cell>
        </row>
        <row r="1438">
          <cell r="A1438" t="str">
            <v>COMPRESSOR</v>
          </cell>
          <cell r="C1438" t="str">
            <v>7.1㎥/min</v>
          </cell>
          <cell r="D1438">
            <v>16</v>
          </cell>
          <cell r="E1438" t="str">
            <v>Hr</v>
          </cell>
          <cell r="G1438">
            <v>9681</v>
          </cell>
          <cell r="H1438">
            <v>154896</v>
          </cell>
          <cell r="I1438">
            <v>8779</v>
          </cell>
          <cell r="J1438">
            <v>140464</v>
          </cell>
          <cell r="K1438">
            <v>6250</v>
          </cell>
          <cell r="L1438">
            <v>100000</v>
          </cell>
        </row>
        <row r="1439">
          <cell r="A1439" t="str">
            <v>리프트 트럭</v>
          </cell>
          <cell r="C1439" t="str">
            <v>5 TON</v>
          </cell>
          <cell r="D1439">
            <v>8</v>
          </cell>
          <cell r="E1439" t="str">
            <v>Hr</v>
          </cell>
          <cell r="G1439">
            <v>9681</v>
          </cell>
          <cell r="H1439">
            <v>77448</v>
          </cell>
          <cell r="I1439">
            <v>5116.08</v>
          </cell>
          <cell r="J1439">
            <v>40928</v>
          </cell>
          <cell r="K1439">
            <v>4863</v>
          </cell>
          <cell r="L1439">
            <v>38904</v>
          </cell>
        </row>
        <row r="1440">
          <cell r="A1440" t="str">
            <v>TRUCK CRANE</v>
          </cell>
          <cell r="C1440" t="str">
            <v>40 TON</v>
          </cell>
          <cell r="D1440">
            <v>16</v>
          </cell>
          <cell r="E1440" t="str">
            <v>Hr</v>
          </cell>
          <cell r="G1440">
            <v>18615</v>
          </cell>
          <cell r="H1440">
            <v>297840</v>
          </cell>
          <cell r="I1440">
            <v>8730</v>
          </cell>
          <cell r="J1440">
            <v>139680</v>
          </cell>
          <cell r="K1440">
            <v>55621</v>
          </cell>
          <cell r="L1440">
            <v>889936</v>
          </cell>
        </row>
        <row r="1441">
          <cell r="A1441" t="str">
            <v>WINCH</v>
          </cell>
          <cell r="C1441" t="str">
            <v>50 HP</v>
          </cell>
          <cell r="D1441">
            <v>16</v>
          </cell>
          <cell r="E1441" t="str">
            <v>Hr</v>
          </cell>
          <cell r="G1441">
            <v>9235</v>
          </cell>
          <cell r="H1441">
            <v>147760</v>
          </cell>
          <cell r="K1441">
            <v>5209</v>
          </cell>
          <cell r="L1441">
            <v>83344</v>
          </cell>
        </row>
        <row r="1445">
          <cell r="B1445" t="str">
            <v xml:space="preserve"> 계</v>
          </cell>
          <cell r="F1445">
            <v>2312752</v>
          </cell>
          <cell r="H1445">
            <v>868696</v>
          </cell>
          <cell r="J1445">
            <v>321072</v>
          </cell>
          <cell r="L1445">
            <v>1122984</v>
          </cell>
        </row>
        <row r="1456">
          <cell r="E1456" t="str">
            <v xml:space="preserve"> </v>
          </cell>
          <cell r="F1456" t="str">
            <v>RADIAL GATE LEAF 설치 소모 자재비</v>
          </cell>
        </row>
        <row r="1457">
          <cell r="E1457" t="str">
            <v xml:space="preserve"> </v>
          </cell>
        </row>
        <row r="1458">
          <cell r="A1458" t="str">
            <v>종       별</v>
          </cell>
          <cell r="C1458" t="str">
            <v>재 료 또 는</v>
          </cell>
          <cell r="D1458" t="str">
            <v xml:space="preserve">원 수 </v>
          </cell>
          <cell r="E1458" t="str">
            <v>단 위</v>
          </cell>
          <cell r="F1458" t="str">
            <v>총   액</v>
          </cell>
          <cell r="G1458" t="str">
            <v>노   무   비</v>
          </cell>
          <cell r="I1458" t="str">
            <v>재   료   비</v>
          </cell>
          <cell r="K1458" t="str">
            <v>경      비</v>
          </cell>
          <cell r="M1458" t="str">
            <v>비   고</v>
          </cell>
        </row>
        <row r="1459">
          <cell r="C1459" t="str">
            <v xml:space="preserve">규       격 </v>
          </cell>
          <cell r="F1459" t="str">
            <v>금   액</v>
          </cell>
          <cell r="G1459" t="str">
            <v>단  가</v>
          </cell>
          <cell r="H1459" t="str">
            <v>금   액</v>
          </cell>
          <cell r="I1459" t="str">
            <v>단  가</v>
          </cell>
          <cell r="J1459" t="str">
            <v>금   액</v>
          </cell>
          <cell r="K1459" t="str">
            <v>단  가</v>
          </cell>
          <cell r="L1459" t="str">
            <v>금   액</v>
          </cell>
        </row>
        <row r="1460">
          <cell r="A1460" t="str">
            <v>산       소</v>
          </cell>
          <cell r="C1460" t="str">
            <v>6,000L용</v>
          </cell>
          <cell r="D1460">
            <v>0.53</v>
          </cell>
          <cell r="E1460" t="str">
            <v>병</v>
          </cell>
          <cell r="G1460" t="str">
            <v xml:space="preserve"> </v>
          </cell>
          <cell r="I1460">
            <v>12000</v>
          </cell>
          <cell r="J1460">
            <v>6360</v>
          </cell>
        </row>
        <row r="1461">
          <cell r="A1461" t="str">
            <v>아 세 치 렌</v>
          </cell>
          <cell r="C1461" t="str">
            <v>4,500L용</v>
          </cell>
          <cell r="D1461">
            <v>0.45</v>
          </cell>
          <cell r="E1461" t="str">
            <v>병</v>
          </cell>
          <cell r="I1461">
            <v>55392</v>
          </cell>
          <cell r="J1461">
            <v>24926.400000000001</v>
          </cell>
        </row>
        <row r="1462">
          <cell r="A1462" t="str">
            <v>용   접  봉</v>
          </cell>
          <cell r="C1462" t="str">
            <v>SS400 , 4M/M</v>
          </cell>
          <cell r="D1462">
            <v>6.2</v>
          </cell>
          <cell r="E1462" t="str">
            <v>KG</v>
          </cell>
          <cell r="I1462">
            <v>1260</v>
          </cell>
          <cell r="J1462">
            <v>7812</v>
          </cell>
        </row>
        <row r="1463">
          <cell r="A1463" t="str">
            <v xml:space="preserve"> </v>
          </cell>
          <cell r="D1463" t="str">
            <v xml:space="preserve"> </v>
          </cell>
          <cell r="E1463" t="str">
            <v xml:space="preserve"> </v>
          </cell>
        </row>
        <row r="1466">
          <cell r="B1466" t="str">
            <v>계</v>
          </cell>
          <cell r="F1466">
            <v>39098.400000000001</v>
          </cell>
          <cell r="J1466">
            <v>39098.400000000001</v>
          </cell>
        </row>
        <row r="1485">
          <cell r="E1485" t="str">
            <v xml:space="preserve"> </v>
          </cell>
          <cell r="F1485" t="str">
            <v>RADIAL GATE GUIDE FRAME 설치 인건비</v>
          </cell>
        </row>
        <row r="1486">
          <cell r="E1486" t="str">
            <v xml:space="preserve"> </v>
          </cell>
        </row>
        <row r="1487">
          <cell r="A1487" t="str">
            <v>종       별</v>
          </cell>
          <cell r="C1487" t="str">
            <v>재 료 또 는</v>
          </cell>
          <cell r="D1487" t="str">
            <v xml:space="preserve">원 수 </v>
          </cell>
          <cell r="E1487" t="str">
            <v>단 위</v>
          </cell>
          <cell r="F1487" t="str">
            <v>총   액</v>
          </cell>
          <cell r="G1487" t="str">
            <v>노   무   비</v>
          </cell>
          <cell r="I1487" t="str">
            <v>재   료   비</v>
          </cell>
          <cell r="K1487" t="str">
            <v>경      비</v>
          </cell>
          <cell r="M1487" t="str">
            <v>비   고</v>
          </cell>
        </row>
        <row r="1488">
          <cell r="C1488" t="str">
            <v xml:space="preserve">규       격 </v>
          </cell>
          <cell r="F1488" t="str">
            <v>금   액</v>
          </cell>
          <cell r="G1488" t="str">
            <v>단  가</v>
          </cell>
          <cell r="H1488" t="str">
            <v>금   액</v>
          </cell>
          <cell r="I1488" t="str">
            <v>단  가</v>
          </cell>
          <cell r="J1488" t="str">
            <v>금   액</v>
          </cell>
          <cell r="K1488" t="str">
            <v>단  가</v>
          </cell>
          <cell r="L1488" t="str">
            <v>금   액</v>
          </cell>
        </row>
        <row r="1489">
          <cell r="A1489" t="str">
            <v>기 술 관 리</v>
          </cell>
          <cell r="C1489" t="str">
            <v>기계기사1급</v>
          </cell>
          <cell r="D1489">
            <v>12.882</v>
          </cell>
          <cell r="E1489" t="str">
            <v>인</v>
          </cell>
          <cell r="G1489">
            <v>97488</v>
          </cell>
          <cell r="H1489">
            <v>1255840</v>
          </cell>
        </row>
        <row r="1490">
          <cell r="A1490" t="str">
            <v>BOX 해 체 검 수</v>
          </cell>
          <cell r="C1490" t="str">
            <v>(해체) 목  공</v>
          </cell>
          <cell r="D1490">
            <v>4.7060000000000004</v>
          </cell>
          <cell r="E1490" t="str">
            <v>인</v>
          </cell>
          <cell r="G1490">
            <v>75306</v>
          </cell>
          <cell r="H1490">
            <v>354390</v>
          </cell>
        </row>
        <row r="1491">
          <cell r="B1491" t="str">
            <v xml:space="preserve">      검 수</v>
          </cell>
          <cell r="C1491" t="str">
            <v>프랜트기계설치공</v>
          </cell>
          <cell r="D1491">
            <v>4.7060000000000004</v>
          </cell>
          <cell r="E1491" t="str">
            <v>인</v>
          </cell>
          <cell r="G1491">
            <v>80805</v>
          </cell>
          <cell r="H1491">
            <v>380268</v>
          </cell>
        </row>
        <row r="1492">
          <cell r="B1492" t="str">
            <v xml:space="preserve">      보 조</v>
          </cell>
          <cell r="C1492" t="str">
            <v>특 별 인 부</v>
          </cell>
          <cell r="D1492">
            <v>4.7060000000000004</v>
          </cell>
          <cell r="E1492" t="str">
            <v>인</v>
          </cell>
          <cell r="G1492">
            <v>57379</v>
          </cell>
          <cell r="H1492">
            <v>270025</v>
          </cell>
        </row>
        <row r="1493">
          <cell r="A1493" t="str">
            <v>설치준비,CHIPPING</v>
          </cell>
          <cell r="C1493" t="str">
            <v>석      공</v>
          </cell>
          <cell r="D1493">
            <v>3.294</v>
          </cell>
          <cell r="E1493" t="str">
            <v>인</v>
          </cell>
          <cell r="G1493">
            <v>77005</v>
          </cell>
          <cell r="H1493">
            <v>253654</v>
          </cell>
        </row>
        <row r="1495">
          <cell r="A1495" t="str">
            <v xml:space="preserve"> </v>
          </cell>
          <cell r="C1495" t="str">
            <v>특 별 인 부</v>
          </cell>
          <cell r="D1495">
            <v>2.4700000000000002</v>
          </cell>
          <cell r="E1495" t="str">
            <v>인</v>
          </cell>
          <cell r="G1495">
            <v>57379</v>
          </cell>
          <cell r="H1495">
            <v>141726</v>
          </cell>
        </row>
        <row r="1496">
          <cell r="A1496" t="str">
            <v>가설비 Jig 및</v>
          </cell>
        </row>
        <row r="1497">
          <cell r="A1497" t="str">
            <v>Support  설  치</v>
          </cell>
          <cell r="C1497" t="str">
            <v>프랜트기계설치공</v>
          </cell>
          <cell r="D1497">
            <v>1.1759999999999999</v>
          </cell>
          <cell r="E1497" t="str">
            <v>인</v>
          </cell>
          <cell r="G1497">
            <v>80805</v>
          </cell>
          <cell r="H1497">
            <v>95026</v>
          </cell>
        </row>
        <row r="1498">
          <cell r="B1498" t="str">
            <v xml:space="preserve">     배  관</v>
          </cell>
          <cell r="C1498" t="str">
            <v>프랜트 배관공</v>
          </cell>
          <cell r="D1498">
            <v>1.1759999999999999</v>
          </cell>
          <cell r="E1498" t="str">
            <v>인</v>
          </cell>
          <cell r="G1498">
            <v>97219</v>
          </cell>
          <cell r="H1498">
            <v>114329</v>
          </cell>
        </row>
        <row r="1499">
          <cell r="B1499" t="str">
            <v xml:space="preserve">     절  단</v>
          </cell>
          <cell r="C1499" t="str">
            <v>산 소 절 단 공</v>
          </cell>
          <cell r="D1499">
            <v>0.94099999999999995</v>
          </cell>
          <cell r="E1499" t="str">
            <v>인</v>
          </cell>
          <cell r="G1499">
            <v>31794</v>
          </cell>
          <cell r="H1499">
            <v>29918</v>
          </cell>
        </row>
        <row r="1501">
          <cell r="B1501" t="str">
            <v xml:space="preserve">     용  접</v>
          </cell>
          <cell r="C1501" t="str">
            <v>프랜트 용접공</v>
          </cell>
          <cell r="D1501">
            <v>0.58799999999999997</v>
          </cell>
          <cell r="E1501" t="str">
            <v>인</v>
          </cell>
          <cell r="G1501">
            <v>95379</v>
          </cell>
          <cell r="H1501">
            <v>56082</v>
          </cell>
        </row>
        <row r="1502">
          <cell r="B1502" t="str">
            <v xml:space="preserve">     보  조</v>
          </cell>
          <cell r="C1502" t="str">
            <v>특 별 인 부</v>
          </cell>
          <cell r="D1502">
            <v>4.7060000000000004</v>
          </cell>
          <cell r="E1502" t="str">
            <v>인</v>
          </cell>
          <cell r="G1502">
            <v>57379</v>
          </cell>
          <cell r="H1502">
            <v>270025</v>
          </cell>
        </row>
        <row r="1503">
          <cell r="A1503" t="str">
            <v>조 립 및 조 작</v>
          </cell>
          <cell r="C1503" t="str">
            <v>특수 비계공</v>
          </cell>
          <cell r="D1503">
            <v>4.7060000000000004</v>
          </cell>
          <cell r="E1503" t="str">
            <v>인</v>
          </cell>
          <cell r="G1503">
            <v>85884</v>
          </cell>
          <cell r="H1503">
            <v>404170</v>
          </cell>
        </row>
        <row r="1504">
          <cell r="B1504" t="str">
            <v xml:space="preserve">     조  립</v>
          </cell>
          <cell r="C1504" t="str">
            <v>프랜트기계설치공</v>
          </cell>
          <cell r="D1504">
            <v>4.7060000000000004</v>
          </cell>
          <cell r="E1504" t="str">
            <v>인</v>
          </cell>
          <cell r="G1504">
            <v>80805</v>
          </cell>
          <cell r="H1504">
            <v>380268</v>
          </cell>
        </row>
        <row r="1505">
          <cell r="B1505" t="str">
            <v xml:space="preserve">     교  정</v>
          </cell>
          <cell r="C1505" t="str">
            <v>프랜트 제관공</v>
          </cell>
          <cell r="D1505">
            <v>2.3530000000000002</v>
          </cell>
          <cell r="E1505" t="str">
            <v>인</v>
          </cell>
          <cell r="G1505">
            <v>81966</v>
          </cell>
          <cell r="H1505">
            <v>192865</v>
          </cell>
        </row>
        <row r="1507">
          <cell r="B1507" t="str">
            <v xml:space="preserve">     측  량</v>
          </cell>
          <cell r="C1507" t="str">
            <v>시공측량기사</v>
          </cell>
          <cell r="D1507">
            <v>9.4120000000000008</v>
          </cell>
          <cell r="E1507" t="str">
            <v>인</v>
          </cell>
          <cell r="G1507">
            <v>58506</v>
          </cell>
          <cell r="H1507">
            <v>550658</v>
          </cell>
        </row>
        <row r="1508">
          <cell r="B1508" t="str">
            <v xml:space="preserve">   측량조수</v>
          </cell>
          <cell r="C1508" t="str">
            <v>시공측량조수</v>
          </cell>
          <cell r="D1508">
            <v>9.4120000000000008</v>
          </cell>
          <cell r="E1508" t="str">
            <v>인</v>
          </cell>
          <cell r="G1508">
            <v>38777</v>
          </cell>
          <cell r="H1508">
            <v>364969</v>
          </cell>
        </row>
        <row r="1509">
          <cell r="B1509" t="str">
            <v xml:space="preserve">     조  정</v>
          </cell>
          <cell r="C1509" t="str">
            <v>프랜트기계설치공</v>
          </cell>
          <cell r="D1509">
            <v>9.4120000000000008</v>
          </cell>
          <cell r="E1509" t="str">
            <v>인</v>
          </cell>
          <cell r="G1509">
            <v>80805</v>
          </cell>
          <cell r="H1509">
            <v>760536</v>
          </cell>
        </row>
        <row r="1510">
          <cell r="A1510" t="str">
            <v xml:space="preserve"> </v>
          </cell>
          <cell r="B1510" t="str">
            <v xml:space="preserve">     검  측</v>
          </cell>
          <cell r="C1510" t="str">
            <v>프랜트기계설치공</v>
          </cell>
          <cell r="D1510">
            <v>9.4120000000000008</v>
          </cell>
          <cell r="E1510" t="str">
            <v>인</v>
          </cell>
          <cell r="G1510">
            <v>80805</v>
          </cell>
          <cell r="H1510">
            <v>760536</v>
          </cell>
        </row>
        <row r="1511">
          <cell r="B1511" t="str">
            <v xml:space="preserve">     기  록</v>
          </cell>
          <cell r="C1511" t="str">
            <v>프랜트기계설치공</v>
          </cell>
          <cell r="D1511">
            <v>4.7060000000000004</v>
          </cell>
          <cell r="E1511" t="str">
            <v>인</v>
          </cell>
          <cell r="G1511">
            <v>80805</v>
          </cell>
          <cell r="H1511">
            <v>380268</v>
          </cell>
        </row>
        <row r="1513">
          <cell r="B1513" t="str">
            <v xml:space="preserve">     용  접</v>
          </cell>
          <cell r="C1513" t="str">
            <v>프랜트 용접공</v>
          </cell>
          <cell r="D1513">
            <v>4.7060000000000004</v>
          </cell>
          <cell r="E1513" t="str">
            <v>인</v>
          </cell>
          <cell r="G1513">
            <v>95379</v>
          </cell>
          <cell r="H1513">
            <v>448853</v>
          </cell>
          <cell r="I1513" t="str">
            <v xml:space="preserve"> </v>
          </cell>
        </row>
        <row r="1514">
          <cell r="A1514" t="str">
            <v>종       별</v>
          </cell>
          <cell r="C1514" t="str">
            <v>재 료 또 는</v>
          </cell>
          <cell r="D1514" t="str">
            <v xml:space="preserve">원 수 </v>
          </cell>
          <cell r="E1514" t="str">
            <v>단 위</v>
          </cell>
          <cell r="F1514" t="str">
            <v>총   액</v>
          </cell>
          <cell r="G1514" t="str">
            <v>노   무   비</v>
          </cell>
          <cell r="I1514" t="str">
            <v>재   료   비</v>
          </cell>
          <cell r="K1514" t="str">
            <v>경      비</v>
          </cell>
          <cell r="M1514" t="str">
            <v>비   고</v>
          </cell>
        </row>
        <row r="1515">
          <cell r="C1515" t="str">
            <v xml:space="preserve">규       격 </v>
          </cell>
          <cell r="F1515" t="str">
            <v>금   액</v>
          </cell>
          <cell r="G1515" t="str">
            <v>단  가</v>
          </cell>
          <cell r="H1515" t="str">
            <v>금   액</v>
          </cell>
          <cell r="I1515" t="str">
            <v>단  가</v>
          </cell>
          <cell r="J1515" t="str">
            <v>금   액</v>
          </cell>
          <cell r="K1515" t="str">
            <v>단  가</v>
          </cell>
          <cell r="L1515" t="str">
            <v>금   액</v>
          </cell>
        </row>
        <row r="1516">
          <cell r="B1516" t="str">
            <v xml:space="preserve">     보  조</v>
          </cell>
          <cell r="C1516" t="str">
            <v>특 별 인 부</v>
          </cell>
          <cell r="D1516">
            <v>14.118</v>
          </cell>
          <cell r="E1516" t="str">
            <v>인</v>
          </cell>
          <cell r="G1516">
            <v>57379</v>
          </cell>
          <cell r="H1516">
            <v>810076</v>
          </cell>
        </row>
        <row r="1517">
          <cell r="A1517" t="str">
            <v>검 사 및 기 록</v>
          </cell>
        </row>
        <row r="1518">
          <cell r="B1518" t="str">
            <v xml:space="preserve">     측  량</v>
          </cell>
          <cell r="C1518" t="str">
            <v>시공측량기사</v>
          </cell>
          <cell r="D1518">
            <v>2.3530000000000002</v>
          </cell>
          <cell r="E1518" t="str">
            <v>인</v>
          </cell>
          <cell r="G1518">
            <v>58506</v>
          </cell>
          <cell r="H1518">
            <v>137664</v>
          </cell>
        </row>
        <row r="1519">
          <cell r="B1519" t="str">
            <v xml:space="preserve">     측량조수</v>
          </cell>
          <cell r="C1519" t="str">
            <v>시공측량조수</v>
          </cell>
          <cell r="D1519">
            <v>2.3530000000000002</v>
          </cell>
          <cell r="E1519" t="str">
            <v>인</v>
          </cell>
          <cell r="G1519">
            <v>38777</v>
          </cell>
          <cell r="H1519">
            <v>91242</v>
          </cell>
        </row>
        <row r="1520">
          <cell r="B1520" t="str">
            <v xml:space="preserve">     검  측</v>
          </cell>
          <cell r="C1520" t="str">
            <v>프랜트기계설치공</v>
          </cell>
          <cell r="D1520">
            <v>2.3530000000000002</v>
          </cell>
          <cell r="E1520" t="str">
            <v>인</v>
          </cell>
          <cell r="G1520">
            <v>80805</v>
          </cell>
          <cell r="H1520">
            <v>190134</v>
          </cell>
        </row>
        <row r="1521">
          <cell r="A1521" t="str">
            <v>도면대조 및 기록</v>
          </cell>
          <cell r="C1521" t="str">
            <v>프랜트기계설치공</v>
          </cell>
          <cell r="D1521">
            <v>2.3530000000000002</v>
          </cell>
          <cell r="E1521" t="str">
            <v>인</v>
          </cell>
          <cell r="G1521">
            <v>80805</v>
          </cell>
          <cell r="H1521">
            <v>190134</v>
          </cell>
        </row>
        <row r="1522">
          <cell r="B1522" t="str">
            <v xml:space="preserve">     보  조</v>
          </cell>
          <cell r="C1522" t="str">
            <v>특 별 인 부</v>
          </cell>
          <cell r="D1522">
            <v>2.3530000000000002</v>
          </cell>
          <cell r="E1522" t="str">
            <v>인</v>
          </cell>
          <cell r="G1522">
            <v>57379</v>
          </cell>
          <cell r="H1522">
            <v>135012</v>
          </cell>
        </row>
        <row r="1523">
          <cell r="A1523" t="str">
            <v>뒷 정 리,조  작</v>
          </cell>
          <cell r="C1523" t="str">
            <v>특수 비계공</v>
          </cell>
          <cell r="D1523">
            <v>0.624</v>
          </cell>
          <cell r="E1523" t="str">
            <v>인</v>
          </cell>
          <cell r="G1523">
            <v>85884</v>
          </cell>
          <cell r="H1523">
            <v>53591</v>
          </cell>
        </row>
        <row r="1524">
          <cell r="B1524" t="str">
            <v xml:space="preserve">     철  거</v>
          </cell>
          <cell r="C1524" t="str">
            <v>프랜트기계설치공</v>
          </cell>
          <cell r="D1524">
            <v>1.4119999999999999</v>
          </cell>
          <cell r="E1524" t="str">
            <v>인</v>
          </cell>
          <cell r="G1524">
            <v>80805</v>
          </cell>
          <cell r="H1524">
            <v>114096</v>
          </cell>
        </row>
        <row r="1526">
          <cell r="B1526" t="str">
            <v xml:space="preserve">     절  단</v>
          </cell>
          <cell r="C1526" t="str">
            <v>산 소 절 단 공</v>
          </cell>
          <cell r="D1526">
            <v>0.94799999999999995</v>
          </cell>
          <cell r="E1526" t="str">
            <v>인</v>
          </cell>
          <cell r="G1526">
            <v>31794</v>
          </cell>
          <cell r="H1526">
            <v>30140</v>
          </cell>
        </row>
        <row r="1527">
          <cell r="B1527" t="str">
            <v xml:space="preserve">     보  조</v>
          </cell>
          <cell r="C1527" t="str">
            <v>특 별 인 부</v>
          </cell>
          <cell r="D1527">
            <v>2.3530000000000002</v>
          </cell>
          <cell r="E1527" t="str">
            <v>인</v>
          </cell>
          <cell r="G1527">
            <v>57379</v>
          </cell>
          <cell r="H1527">
            <v>135012</v>
          </cell>
        </row>
        <row r="1528">
          <cell r="A1528" t="str">
            <v>전기설비설치유지</v>
          </cell>
        </row>
        <row r="1529">
          <cell r="B1529" t="str">
            <v xml:space="preserve">     철  거</v>
          </cell>
          <cell r="C1529" t="str">
            <v>프 랜 트 전 공</v>
          </cell>
          <cell r="D1529">
            <v>3.5289999999999999</v>
          </cell>
          <cell r="E1529" t="str">
            <v>인</v>
          </cell>
          <cell r="G1529">
            <v>64285</v>
          </cell>
          <cell r="H1529">
            <v>226861</v>
          </cell>
        </row>
        <row r="1530">
          <cell r="B1530" t="str">
            <v xml:space="preserve">     보  조</v>
          </cell>
          <cell r="C1530" t="str">
            <v>특 별 인 부</v>
          </cell>
          <cell r="D1530">
            <v>3.5289999999999999</v>
          </cell>
          <cell r="E1530" t="str">
            <v>인</v>
          </cell>
          <cell r="G1530">
            <v>57379</v>
          </cell>
          <cell r="H1530">
            <v>202490</v>
          </cell>
        </row>
        <row r="1535">
          <cell r="A1535" t="str">
            <v xml:space="preserve">        계</v>
          </cell>
          <cell r="F1535">
            <v>9780858</v>
          </cell>
          <cell r="H1535">
            <v>9780858</v>
          </cell>
        </row>
        <row r="1543">
          <cell r="E1543" t="str">
            <v xml:space="preserve"> </v>
          </cell>
          <cell r="F1543" t="str">
            <v>RADIAL GATE GUIDE FRAME 설치 사용장비 경비</v>
          </cell>
        </row>
        <row r="1544">
          <cell r="E1544" t="str">
            <v xml:space="preserve"> </v>
          </cell>
        </row>
        <row r="1545">
          <cell r="A1545" t="str">
            <v>종       별</v>
          </cell>
          <cell r="C1545" t="str">
            <v>재 료 또 는</v>
          </cell>
          <cell r="D1545" t="str">
            <v xml:space="preserve">원 수 </v>
          </cell>
          <cell r="E1545" t="str">
            <v>단 위</v>
          </cell>
          <cell r="F1545" t="str">
            <v>총   액</v>
          </cell>
          <cell r="G1545" t="str">
            <v>노   무   비</v>
          </cell>
          <cell r="I1545" t="str">
            <v>재   료   비</v>
          </cell>
          <cell r="K1545" t="str">
            <v>경      비</v>
          </cell>
          <cell r="M1545" t="str">
            <v>비   고</v>
          </cell>
        </row>
        <row r="1546">
          <cell r="C1546" t="str">
            <v xml:space="preserve">규       격 </v>
          </cell>
          <cell r="F1546" t="str">
            <v>금   액</v>
          </cell>
          <cell r="G1546" t="str">
            <v>단  가</v>
          </cell>
          <cell r="H1546" t="str">
            <v>금   액</v>
          </cell>
          <cell r="I1546" t="str">
            <v>단  가</v>
          </cell>
          <cell r="J1546" t="str">
            <v>금   액</v>
          </cell>
          <cell r="K1546" t="str">
            <v>단  가</v>
          </cell>
          <cell r="L1546" t="str">
            <v>금   액</v>
          </cell>
        </row>
        <row r="1548">
          <cell r="A1548" t="str">
            <v>A.C WELDER</v>
          </cell>
          <cell r="C1548" t="str">
            <v>10KVA</v>
          </cell>
          <cell r="D1548">
            <v>8</v>
          </cell>
          <cell r="E1548" t="str">
            <v>Hr</v>
          </cell>
          <cell r="K1548">
            <v>155</v>
          </cell>
          <cell r="L1548">
            <v>1240</v>
          </cell>
        </row>
        <row r="1549">
          <cell r="A1549" t="str">
            <v>GAS CUTTING M/C</v>
          </cell>
          <cell r="C1549" t="str">
            <v>중 형</v>
          </cell>
          <cell r="D1549">
            <v>48</v>
          </cell>
          <cell r="E1549" t="str">
            <v>Hr</v>
          </cell>
          <cell r="G1549">
            <v>3974</v>
          </cell>
          <cell r="H1549">
            <v>190752</v>
          </cell>
          <cell r="K1549">
            <v>115</v>
          </cell>
          <cell r="L1549">
            <v>5520</v>
          </cell>
        </row>
        <row r="1550">
          <cell r="A1550" t="str">
            <v>GAS WELDER</v>
          </cell>
          <cell r="C1550" t="str">
            <v>중 형</v>
          </cell>
          <cell r="D1550">
            <v>24</v>
          </cell>
          <cell r="E1550" t="str">
            <v>Hr</v>
          </cell>
          <cell r="K1550">
            <v>115</v>
          </cell>
          <cell r="L1550">
            <v>2760</v>
          </cell>
        </row>
        <row r="1551">
          <cell r="A1551" t="str">
            <v>PORTABLE DRILL</v>
          </cell>
          <cell r="C1551" t="str">
            <v>1.5 HP</v>
          </cell>
          <cell r="D1551">
            <v>16</v>
          </cell>
          <cell r="E1551" t="str">
            <v>Hr</v>
          </cell>
          <cell r="K1551">
            <v>14</v>
          </cell>
          <cell r="L1551">
            <v>224</v>
          </cell>
        </row>
        <row r="1552">
          <cell r="A1552" t="str">
            <v>PORTABLE GRINDER</v>
          </cell>
          <cell r="C1552" t="str">
            <v>0.5 HP</v>
          </cell>
          <cell r="D1552">
            <v>48</v>
          </cell>
          <cell r="E1552" t="str">
            <v>Hr</v>
          </cell>
          <cell r="K1552">
            <v>22</v>
          </cell>
          <cell r="L1552">
            <v>1056</v>
          </cell>
        </row>
        <row r="1554">
          <cell r="A1554" t="str">
            <v>COMPRESSOR</v>
          </cell>
          <cell r="C1554" t="str">
            <v>7.1㎥/min</v>
          </cell>
          <cell r="D1554">
            <v>16</v>
          </cell>
          <cell r="E1554" t="str">
            <v>Hr</v>
          </cell>
          <cell r="G1554">
            <v>9681</v>
          </cell>
          <cell r="H1554">
            <v>154896</v>
          </cell>
          <cell r="I1554">
            <v>8779</v>
          </cell>
          <cell r="J1554">
            <v>140464</v>
          </cell>
          <cell r="K1554">
            <v>6250</v>
          </cell>
          <cell r="L1554">
            <v>100000</v>
          </cell>
        </row>
        <row r="1555">
          <cell r="A1555" t="str">
            <v>리프트 트럭</v>
          </cell>
          <cell r="C1555" t="str">
            <v>5 TON</v>
          </cell>
          <cell r="D1555">
            <v>8</v>
          </cell>
          <cell r="E1555" t="str">
            <v>Hr</v>
          </cell>
          <cell r="G1555">
            <v>9681</v>
          </cell>
          <cell r="H1555">
            <v>77448</v>
          </cell>
          <cell r="I1555">
            <v>5116.08</v>
          </cell>
          <cell r="J1555">
            <v>40928</v>
          </cell>
          <cell r="K1555">
            <v>4863</v>
          </cell>
          <cell r="L1555">
            <v>38904</v>
          </cell>
        </row>
        <row r="1556">
          <cell r="A1556" t="str">
            <v>TRUCK CRANE</v>
          </cell>
          <cell r="C1556" t="str">
            <v>40 TON</v>
          </cell>
          <cell r="D1556">
            <v>8</v>
          </cell>
          <cell r="E1556" t="str">
            <v>Hr</v>
          </cell>
          <cell r="G1556">
            <v>18615</v>
          </cell>
          <cell r="H1556">
            <v>148920</v>
          </cell>
          <cell r="I1556">
            <v>8730</v>
          </cell>
          <cell r="J1556">
            <v>69840</v>
          </cell>
          <cell r="K1556">
            <v>55621</v>
          </cell>
          <cell r="L1556">
            <v>444968</v>
          </cell>
        </row>
        <row r="1557">
          <cell r="A1557" t="str">
            <v>WINCH</v>
          </cell>
          <cell r="C1557" t="str">
            <v>50 HP</v>
          </cell>
          <cell r="D1557">
            <v>8</v>
          </cell>
          <cell r="E1557" t="str">
            <v>Hr</v>
          </cell>
          <cell r="G1557">
            <v>9235</v>
          </cell>
          <cell r="H1557">
            <v>73880</v>
          </cell>
          <cell r="K1557">
            <v>5209</v>
          </cell>
          <cell r="L1557">
            <v>41672</v>
          </cell>
        </row>
        <row r="1560">
          <cell r="B1560" t="str">
            <v xml:space="preserve"> 계</v>
          </cell>
          <cell r="F1560">
            <v>1533472</v>
          </cell>
          <cell r="H1560">
            <v>645896</v>
          </cell>
          <cell r="J1560">
            <v>251232</v>
          </cell>
          <cell r="L1560">
            <v>636344</v>
          </cell>
        </row>
        <row r="1572">
          <cell r="E1572" t="str">
            <v xml:space="preserve"> </v>
          </cell>
          <cell r="F1572" t="str">
            <v>RADIAL GATE GUIDE FRAME 설치 소모 자재비</v>
          </cell>
        </row>
        <row r="1573">
          <cell r="E1573" t="str">
            <v xml:space="preserve"> </v>
          </cell>
        </row>
        <row r="1574">
          <cell r="A1574" t="str">
            <v>종       별</v>
          </cell>
          <cell r="C1574" t="str">
            <v>재 료 또 는</v>
          </cell>
          <cell r="D1574" t="str">
            <v xml:space="preserve">원 수 </v>
          </cell>
          <cell r="E1574" t="str">
            <v>단 위</v>
          </cell>
          <cell r="F1574" t="str">
            <v>총   액</v>
          </cell>
          <cell r="G1574" t="str">
            <v>노   무   비</v>
          </cell>
          <cell r="I1574" t="str">
            <v>재   료   비</v>
          </cell>
          <cell r="K1574" t="str">
            <v>경      비</v>
          </cell>
          <cell r="M1574" t="str">
            <v>비   고</v>
          </cell>
        </row>
        <row r="1575">
          <cell r="C1575" t="str">
            <v xml:space="preserve">규       격 </v>
          </cell>
          <cell r="F1575" t="str">
            <v>금   액</v>
          </cell>
          <cell r="G1575" t="str">
            <v>단  가</v>
          </cell>
          <cell r="H1575" t="str">
            <v>금   액</v>
          </cell>
          <cell r="I1575" t="str">
            <v>단  가</v>
          </cell>
          <cell r="J1575" t="str">
            <v>금   액</v>
          </cell>
          <cell r="K1575" t="str">
            <v>단  가</v>
          </cell>
          <cell r="L1575" t="str">
            <v>금   액</v>
          </cell>
        </row>
        <row r="1576">
          <cell r="A1576" t="str">
            <v>산       소</v>
          </cell>
          <cell r="C1576" t="str">
            <v>6,000L용</v>
          </cell>
          <cell r="D1576">
            <v>0.5</v>
          </cell>
          <cell r="E1576" t="str">
            <v>병</v>
          </cell>
          <cell r="G1576" t="str">
            <v xml:space="preserve"> </v>
          </cell>
          <cell r="I1576">
            <v>12000</v>
          </cell>
          <cell r="J1576">
            <v>6000</v>
          </cell>
        </row>
        <row r="1577">
          <cell r="A1577" t="str">
            <v>아 세 치 렌</v>
          </cell>
          <cell r="C1577" t="str">
            <v>2,100L용</v>
          </cell>
          <cell r="D1577">
            <v>0.05</v>
          </cell>
          <cell r="E1577" t="str">
            <v>병</v>
          </cell>
          <cell r="I1577">
            <v>25849</v>
          </cell>
          <cell r="J1577">
            <v>1292</v>
          </cell>
        </row>
        <row r="1578">
          <cell r="A1578" t="str">
            <v>용   접  봉</v>
          </cell>
          <cell r="C1578" t="str">
            <v>SS41+STS304,4M/M</v>
          </cell>
          <cell r="D1578">
            <v>7</v>
          </cell>
          <cell r="E1578" t="str">
            <v>KG</v>
          </cell>
          <cell r="I1578">
            <v>3360</v>
          </cell>
          <cell r="J1578">
            <v>23520</v>
          </cell>
        </row>
        <row r="1579">
          <cell r="A1579" t="str">
            <v xml:space="preserve"> </v>
          </cell>
          <cell r="D1579" t="str">
            <v xml:space="preserve"> </v>
          </cell>
          <cell r="E1579" t="str">
            <v xml:space="preserve"> </v>
          </cell>
          <cell r="I1579" t="str">
            <v xml:space="preserve"> </v>
          </cell>
          <cell r="J1579" t="str">
            <v xml:space="preserve"> </v>
          </cell>
        </row>
        <row r="1582">
          <cell r="B1582" t="str">
            <v>계</v>
          </cell>
          <cell r="F1582">
            <v>30812</v>
          </cell>
          <cell r="J1582">
            <v>30812</v>
          </cell>
          <cell r="L1582" t="str">
            <v xml:space="preserve"> </v>
          </cell>
        </row>
        <row r="1601">
          <cell r="E1601" t="str">
            <v xml:space="preserve"> </v>
          </cell>
          <cell r="F1601" t="str">
            <v>RADIAL GATE HOIST 설치 사용장비 경비</v>
          </cell>
        </row>
        <row r="1602">
          <cell r="E1602" t="str">
            <v xml:space="preserve"> </v>
          </cell>
        </row>
        <row r="1603">
          <cell r="A1603" t="str">
            <v>종       별</v>
          </cell>
          <cell r="C1603" t="str">
            <v>재 료 또 는</v>
          </cell>
          <cell r="D1603" t="str">
            <v xml:space="preserve">원 수 </v>
          </cell>
          <cell r="E1603" t="str">
            <v>단 위</v>
          </cell>
          <cell r="F1603" t="str">
            <v>총   액</v>
          </cell>
          <cell r="G1603" t="str">
            <v>노   무   비</v>
          </cell>
          <cell r="I1603" t="str">
            <v>재   료   비</v>
          </cell>
          <cell r="K1603" t="str">
            <v>경      비</v>
          </cell>
          <cell r="M1603" t="str">
            <v>비   고</v>
          </cell>
        </row>
        <row r="1604">
          <cell r="C1604" t="str">
            <v xml:space="preserve">규       격 </v>
          </cell>
          <cell r="F1604" t="str">
            <v>금   액</v>
          </cell>
          <cell r="G1604" t="str">
            <v>단  가</v>
          </cell>
          <cell r="H1604" t="str">
            <v>금   액</v>
          </cell>
          <cell r="I1604" t="str">
            <v>단  가</v>
          </cell>
          <cell r="J1604" t="str">
            <v>금   액</v>
          </cell>
          <cell r="K1604" t="str">
            <v>단  가</v>
          </cell>
          <cell r="L1604" t="str">
            <v>금   액</v>
          </cell>
        </row>
        <row r="1607">
          <cell r="A1607" t="str">
            <v>A.C WELDER</v>
          </cell>
          <cell r="C1607" t="str">
            <v>10KVA</v>
          </cell>
          <cell r="D1607">
            <v>8</v>
          </cell>
          <cell r="E1607" t="str">
            <v>Hr</v>
          </cell>
          <cell r="K1607">
            <v>155</v>
          </cell>
          <cell r="L1607">
            <v>1240</v>
          </cell>
        </row>
        <row r="1608">
          <cell r="A1608" t="str">
            <v>GAS CUTTING M/C</v>
          </cell>
          <cell r="C1608" t="str">
            <v>중 형</v>
          </cell>
          <cell r="D1608">
            <v>16</v>
          </cell>
          <cell r="E1608" t="str">
            <v>Hr</v>
          </cell>
          <cell r="G1608">
            <v>3974</v>
          </cell>
          <cell r="H1608">
            <v>63584</v>
          </cell>
          <cell r="K1608">
            <v>115</v>
          </cell>
          <cell r="L1608">
            <v>1840</v>
          </cell>
        </row>
        <row r="1609">
          <cell r="A1609" t="str">
            <v>PORTABLE DRILL</v>
          </cell>
          <cell r="C1609" t="str">
            <v>1.5 HP</v>
          </cell>
          <cell r="D1609">
            <v>8</v>
          </cell>
          <cell r="E1609" t="str">
            <v>Hr</v>
          </cell>
          <cell r="K1609">
            <v>14</v>
          </cell>
          <cell r="L1609">
            <v>112</v>
          </cell>
        </row>
        <row r="1610">
          <cell r="A1610" t="str">
            <v>PORTABLE GRINDER</v>
          </cell>
          <cell r="C1610" t="str">
            <v>0.5 HP</v>
          </cell>
          <cell r="D1610">
            <v>16</v>
          </cell>
          <cell r="E1610" t="str">
            <v>Hr</v>
          </cell>
          <cell r="K1610">
            <v>22</v>
          </cell>
          <cell r="L1610">
            <v>352</v>
          </cell>
        </row>
        <row r="1611">
          <cell r="A1611" t="str">
            <v>TRUCK CRANE</v>
          </cell>
          <cell r="C1611" t="str">
            <v>30 TON</v>
          </cell>
          <cell r="D1611">
            <v>8</v>
          </cell>
          <cell r="E1611" t="str">
            <v>Hr</v>
          </cell>
          <cell r="G1611">
            <v>18615</v>
          </cell>
          <cell r="H1611">
            <v>148920</v>
          </cell>
          <cell r="I1611">
            <v>7046</v>
          </cell>
          <cell r="J1611">
            <v>56368</v>
          </cell>
          <cell r="K1611">
            <v>44939</v>
          </cell>
          <cell r="L1611">
            <v>359512</v>
          </cell>
        </row>
        <row r="1612">
          <cell r="E1612" t="str">
            <v xml:space="preserve"> </v>
          </cell>
          <cell r="G1612" t="str">
            <v xml:space="preserve"> </v>
          </cell>
          <cell r="I1612" t="str">
            <v xml:space="preserve"> </v>
          </cell>
          <cell r="J1612" t="str">
            <v xml:space="preserve"> </v>
          </cell>
          <cell r="K1612" t="str">
            <v xml:space="preserve"> </v>
          </cell>
        </row>
        <row r="1613">
          <cell r="A1613" t="str">
            <v>WINCH</v>
          </cell>
          <cell r="C1613" t="str">
            <v>10 HP</v>
          </cell>
          <cell r="D1613">
            <v>16</v>
          </cell>
          <cell r="E1613" t="str">
            <v>Hr</v>
          </cell>
          <cell r="G1613">
            <v>9235</v>
          </cell>
          <cell r="H1613">
            <v>147760</v>
          </cell>
          <cell r="I1613" t="str">
            <v xml:space="preserve"> </v>
          </cell>
          <cell r="J1613" t="str">
            <v xml:space="preserve"> </v>
          </cell>
          <cell r="K1613">
            <v>850</v>
          </cell>
          <cell r="L1613">
            <v>13600</v>
          </cell>
        </row>
        <row r="1618">
          <cell r="B1618" t="str">
            <v xml:space="preserve"> 계</v>
          </cell>
          <cell r="F1618">
            <v>793288</v>
          </cell>
          <cell r="H1618">
            <v>360264</v>
          </cell>
          <cell r="J1618">
            <v>56368</v>
          </cell>
          <cell r="L1618">
            <v>376656</v>
          </cell>
        </row>
        <row r="1630">
          <cell r="E1630" t="str">
            <v xml:space="preserve"> </v>
          </cell>
          <cell r="F1630" t="str">
            <v>TRASH RACK 제작 인건비</v>
          </cell>
        </row>
        <row r="1631">
          <cell r="E1631" t="str">
            <v xml:space="preserve"> </v>
          </cell>
        </row>
        <row r="1632">
          <cell r="A1632" t="str">
            <v>종       별</v>
          </cell>
          <cell r="C1632" t="str">
            <v>재 료 또 는</v>
          </cell>
          <cell r="D1632" t="str">
            <v xml:space="preserve">원 수 </v>
          </cell>
          <cell r="E1632" t="str">
            <v>단 위</v>
          </cell>
          <cell r="F1632" t="str">
            <v>총   액</v>
          </cell>
          <cell r="G1632" t="str">
            <v>노   무   비</v>
          </cell>
          <cell r="I1632" t="str">
            <v>재   료   비</v>
          </cell>
          <cell r="K1632" t="str">
            <v>경      비</v>
          </cell>
          <cell r="M1632" t="str">
            <v>비   고</v>
          </cell>
        </row>
        <row r="1633">
          <cell r="C1633" t="str">
            <v xml:space="preserve">규       격 </v>
          </cell>
          <cell r="F1633" t="str">
            <v>금   액</v>
          </cell>
          <cell r="G1633" t="str">
            <v>단  가</v>
          </cell>
          <cell r="H1633" t="str">
            <v>금   액</v>
          </cell>
          <cell r="I1633" t="str">
            <v>단  가</v>
          </cell>
          <cell r="J1633" t="str">
            <v>금   액</v>
          </cell>
          <cell r="K1633" t="str">
            <v>단  가</v>
          </cell>
          <cell r="L1633" t="str">
            <v>금   액</v>
          </cell>
        </row>
        <row r="1634">
          <cell r="A1634" t="str">
            <v>기 술 관 리</v>
          </cell>
          <cell r="C1634" t="str">
            <v>기계기사1급</v>
          </cell>
          <cell r="D1634">
            <v>5.2</v>
          </cell>
          <cell r="E1634" t="str">
            <v>인</v>
          </cell>
          <cell r="G1634">
            <v>97488</v>
          </cell>
          <cell r="H1634">
            <v>506937</v>
          </cell>
        </row>
        <row r="1635">
          <cell r="A1635" t="str">
            <v>제 작 정 리</v>
          </cell>
          <cell r="C1635" t="str">
            <v>프랜트 제관공</v>
          </cell>
          <cell r="D1635">
            <v>1.25</v>
          </cell>
          <cell r="E1635" t="str">
            <v>인</v>
          </cell>
          <cell r="G1635">
            <v>81966</v>
          </cell>
          <cell r="H1635">
            <v>102457</v>
          </cell>
        </row>
        <row r="1636">
          <cell r="A1636" t="str">
            <v xml:space="preserve"> </v>
          </cell>
          <cell r="B1636" t="str">
            <v>절    단</v>
          </cell>
          <cell r="C1636" t="str">
            <v>산소 절단공</v>
          </cell>
          <cell r="D1636">
            <v>0.65600000000000003</v>
          </cell>
          <cell r="E1636" t="str">
            <v>인</v>
          </cell>
          <cell r="G1636">
            <v>31794</v>
          </cell>
          <cell r="H1636">
            <v>20856</v>
          </cell>
        </row>
        <row r="1637">
          <cell r="B1637" t="str">
            <v>절    단</v>
          </cell>
          <cell r="C1637" t="str">
            <v>프랜트 제관공</v>
          </cell>
          <cell r="D1637">
            <v>36.902000000000001</v>
          </cell>
          <cell r="E1637" t="str">
            <v>인</v>
          </cell>
          <cell r="G1637">
            <v>81966</v>
          </cell>
          <cell r="H1637">
            <v>3024709</v>
          </cell>
        </row>
        <row r="1638">
          <cell r="A1638" t="str">
            <v>HOLING</v>
          </cell>
          <cell r="C1638" t="str">
            <v>프랜트 제관공</v>
          </cell>
          <cell r="D1638">
            <v>3.22</v>
          </cell>
          <cell r="E1638" t="str">
            <v>인</v>
          </cell>
          <cell r="G1638">
            <v>81966</v>
          </cell>
          <cell r="H1638">
            <v>263930</v>
          </cell>
        </row>
        <row r="1640">
          <cell r="A1640" t="str">
            <v>THREADING</v>
          </cell>
          <cell r="C1640" t="str">
            <v>프랜트 제관공</v>
          </cell>
          <cell r="D1640">
            <v>4.3</v>
          </cell>
          <cell r="E1640" t="str">
            <v>인</v>
          </cell>
          <cell r="G1640">
            <v>81966</v>
          </cell>
          <cell r="H1640">
            <v>352453</v>
          </cell>
        </row>
        <row r="1641">
          <cell r="B1641" t="str">
            <v>끝   손   질</v>
          </cell>
          <cell r="C1641" t="str">
            <v>기계 연마공</v>
          </cell>
          <cell r="D1641">
            <v>18.66</v>
          </cell>
          <cell r="E1641" t="str">
            <v>인</v>
          </cell>
          <cell r="G1641">
            <v>26032</v>
          </cell>
          <cell r="H1641">
            <v>485757</v>
          </cell>
        </row>
        <row r="1642">
          <cell r="B1642" t="str">
            <v>사    도</v>
          </cell>
          <cell r="C1642" t="str">
            <v>제   도   공</v>
          </cell>
          <cell r="D1642">
            <v>0.3</v>
          </cell>
          <cell r="E1642" t="str">
            <v>인</v>
          </cell>
          <cell r="G1642">
            <v>32747</v>
          </cell>
          <cell r="H1642">
            <v>9824</v>
          </cell>
        </row>
        <row r="1643">
          <cell r="B1643" t="str">
            <v>현    도</v>
          </cell>
          <cell r="C1643" t="str">
            <v>현   도   공</v>
          </cell>
          <cell r="D1643">
            <v>8.5999999999999993E-2</v>
          </cell>
          <cell r="E1643" t="str">
            <v>인</v>
          </cell>
          <cell r="G1643">
            <v>28487</v>
          </cell>
          <cell r="H1643">
            <v>2449</v>
          </cell>
        </row>
        <row r="1644">
          <cell r="B1644" t="str">
            <v>괘    서</v>
          </cell>
          <cell r="C1644" t="str">
            <v>마   킹   공</v>
          </cell>
          <cell r="D1644">
            <v>2</v>
          </cell>
          <cell r="E1644" t="str">
            <v>인</v>
          </cell>
          <cell r="G1644">
            <v>26924</v>
          </cell>
          <cell r="H1644">
            <v>53848</v>
          </cell>
        </row>
        <row r="1646">
          <cell r="A1646" t="str">
            <v xml:space="preserve"> </v>
          </cell>
          <cell r="B1646" t="str">
            <v>교    정</v>
          </cell>
          <cell r="C1646" t="str">
            <v>프랜트 제관공</v>
          </cell>
          <cell r="D1646">
            <v>0.5</v>
          </cell>
          <cell r="E1646" t="str">
            <v>인</v>
          </cell>
          <cell r="G1646">
            <v>81966</v>
          </cell>
          <cell r="H1646">
            <v>40983</v>
          </cell>
        </row>
        <row r="1647">
          <cell r="A1647" t="str">
            <v>용        접</v>
          </cell>
          <cell r="C1647" t="str">
            <v>프랜트 용접공</v>
          </cell>
          <cell r="D1647">
            <v>4.46</v>
          </cell>
          <cell r="E1647" t="str">
            <v>인</v>
          </cell>
          <cell r="G1647">
            <v>95379</v>
          </cell>
          <cell r="H1647">
            <v>425390</v>
          </cell>
        </row>
        <row r="1648">
          <cell r="B1648" t="str">
            <v>교    정</v>
          </cell>
          <cell r="C1648" t="str">
            <v>프랜트 제관공</v>
          </cell>
          <cell r="D1648">
            <v>0.75</v>
          </cell>
          <cell r="E1648" t="str">
            <v>인</v>
          </cell>
          <cell r="G1648">
            <v>81966</v>
          </cell>
          <cell r="H1648">
            <v>61474</v>
          </cell>
        </row>
        <row r="1649">
          <cell r="B1649" t="str">
            <v>조    작</v>
          </cell>
          <cell r="C1649" t="str">
            <v>특수 비계공</v>
          </cell>
          <cell r="D1649">
            <v>3.3</v>
          </cell>
          <cell r="E1649" t="str">
            <v>인</v>
          </cell>
          <cell r="G1649">
            <v>85884</v>
          </cell>
          <cell r="H1649">
            <v>283417</v>
          </cell>
        </row>
        <row r="1650">
          <cell r="B1650" t="str">
            <v>소  운  반</v>
          </cell>
          <cell r="C1650" t="str">
            <v>보 통 인 부</v>
          </cell>
          <cell r="D1650">
            <v>1</v>
          </cell>
          <cell r="E1650" t="str">
            <v>인</v>
          </cell>
          <cell r="G1650">
            <v>37736</v>
          </cell>
          <cell r="H1650">
            <v>37736</v>
          </cell>
        </row>
        <row r="1652">
          <cell r="B1652" t="str">
            <v>보  조(기 능)</v>
          </cell>
          <cell r="C1652" t="str">
            <v>특 별 인 부</v>
          </cell>
          <cell r="D1652">
            <v>37.68</v>
          </cell>
          <cell r="G1652">
            <v>57379</v>
          </cell>
          <cell r="H1652">
            <v>2162040</v>
          </cell>
        </row>
        <row r="1656">
          <cell r="B1656" t="str">
            <v xml:space="preserve">    계</v>
          </cell>
          <cell r="F1656">
            <v>7834260</v>
          </cell>
          <cell r="H1656">
            <v>7834260</v>
          </cell>
        </row>
        <row r="1659">
          <cell r="E1659" t="str">
            <v xml:space="preserve"> </v>
          </cell>
          <cell r="F1659" t="str">
            <v>TRASH RACK 제작 소모 자재비</v>
          </cell>
        </row>
        <row r="1660">
          <cell r="E1660" t="str">
            <v xml:space="preserve"> </v>
          </cell>
        </row>
        <row r="1661">
          <cell r="A1661" t="str">
            <v>종       별</v>
          </cell>
          <cell r="C1661" t="str">
            <v>재 료 또 는</v>
          </cell>
          <cell r="D1661" t="str">
            <v xml:space="preserve">원 수 </v>
          </cell>
          <cell r="E1661" t="str">
            <v>단 위</v>
          </cell>
          <cell r="F1661" t="str">
            <v>총   액</v>
          </cell>
          <cell r="G1661" t="str">
            <v>노   무   비</v>
          </cell>
          <cell r="I1661" t="str">
            <v>재   료   비</v>
          </cell>
          <cell r="K1661" t="str">
            <v>경      비</v>
          </cell>
          <cell r="M1661" t="str">
            <v>비   고</v>
          </cell>
        </row>
        <row r="1662">
          <cell r="C1662" t="str">
            <v xml:space="preserve">규       격 </v>
          </cell>
          <cell r="F1662" t="str">
            <v>금   액</v>
          </cell>
          <cell r="G1662" t="str">
            <v>단  가</v>
          </cell>
          <cell r="H1662" t="str">
            <v>금   액</v>
          </cell>
          <cell r="I1662" t="str">
            <v>단  가</v>
          </cell>
          <cell r="J1662" t="str">
            <v>금   액</v>
          </cell>
          <cell r="K1662" t="str">
            <v>단  가</v>
          </cell>
          <cell r="L1662" t="str">
            <v>금   액</v>
          </cell>
        </row>
        <row r="1663">
          <cell r="A1663" t="str">
            <v>산       소</v>
          </cell>
          <cell r="C1663" t="str">
            <v>6,000L용</v>
          </cell>
          <cell r="D1663">
            <v>1.8049999999999999</v>
          </cell>
          <cell r="E1663" t="str">
            <v>병</v>
          </cell>
          <cell r="G1663" t="str">
            <v xml:space="preserve"> </v>
          </cell>
          <cell r="I1663">
            <v>12000</v>
          </cell>
          <cell r="J1663">
            <v>21660</v>
          </cell>
        </row>
        <row r="1664">
          <cell r="A1664" t="str">
            <v>아 세 치 렌</v>
          </cell>
          <cell r="C1664" t="str">
            <v>2,100L용</v>
          </cell>
          <cell r="D1664">
            <v>1.2749999999999999</v>
          </cell>
          <cell r="E1664" t="str">
            <v>병</v>
          </cell>
          <cell r="I1664">
            <v>25849</v>
          </cell>
          <cell r="J1664">
            <v>32957</v>
          </cell>
        </row>
        <row r="1665">
          <cell r="A1665" t="str">
            <v>함       석</v>
          </cell>
          <cell r="C1665" t="str">
            <v>#32 x 3' x 6'</v>
          </cell>
          <cell r="D1665">
            <v>0.53</v>
          </cell>
          <cell r="E1665" t="str">
            <v>매</v>
          </cell>
          <cell r="I1665">
            <v>2597</v>
          </cell>
          <cell r="J1665">
            <v>1376</v>
          </cell>
        </row>
        <row r="1666">
          <cell r="A1666" t="str">
            <v>용   접  봉</v>
          </cell>
          <cell r="C1666" t="str">
            <v>SS400, 4M/Mx350L</v>
          </cell>
          <cell r="D1666">
            <v>20.7</v>
          </cell>
          <cell r="E1666" t="str">
            <v>KG</v>
          </cell>
          <cell r="I1666">
            <v>1260</v>
          </cell>
          <cell r="J1666">
            <v>26082</v>
          </cell>
        </row>
        <row r="1667">
          <cell r="A1667" t="str">
            <v xml:space="preserve"> </v>
          </cell>
          <cell r="D1667" t="str">
            <v xml:space="preserve"> </v>
          </cell>
          <cell r="E1667" t="str">
            <v xml:space="preserve"> </v>
          </cell>
          <cell r="K1667" t="str">
            <v xml:space="preserve"> </v>
          </cell>
          <cell r="L1667" t="str">
            <v xml:space="preserve"> </v>
          </cell>
        </row>
        <row r="1668">
          <cell r="A1668" t="str">
            <v>그라인다돌</v>
          </cell>
          <cell r="C1668" t="str">
            <v>300m/mΦ</v>
          </cell>
          <cell r="D1668">
            <v>1.55</v>
          </cell>
          <cell r="E1668" t="str">
            <v>개</v>
          </cell>
          <cell r="I1668">
            <v>3380</v>
          </cell>
          <cell r="J1668">
            <v>5239</v>
          </cell>
          <cell r="K1668" t="str">
            <v xml:space="preserve"> </v>
          </cell>
        </row>
        <row r="1670">
          <cell r="B1670" t="str">
            <v>계</v>
          </cell>
          <cell r="F1670">
            <v>87314</v>
          </cell>
          <cell r="J1670">
            <v>87314</v>
          </cell>
          <cell r="L1670" t="str">
            <v xml:space="preserve"> </v>
          </cell>
        </row>
        <row r="1672">
          <cell r="M1672" t="str">
            <v xml:space="preserve"> </v>
          </cell>
        </row>
        <row r="1673">
          <cell r="M1673" t="str">
            <v xml:space="preserve"> </v>
          </cell>
        </row>
        <row r="1674">
          <cell r="M1674" t="str">
            <v xml:space="preserve"> </v>
          </cell>
        </row>
        <row r="1675">
          <cell r="M1675" t="str">
            <v xml:space="preserve"> </v>
          </cell>
        </row>
        <row r="1676">
          <cell r="M1676" t="str">
            <v xml:space="preserve"> </v>
          </cell>
        </row>
        <row r="1677">
          <cell r="M1677" t="str">
            <v xml:space="preserve"> </v>
          </cell>
        </row>
        <row r="1678">
          <cell r="M1678" t="str">
            <v xml:space="preserve"> </v>
          </cell>
        </row>
        <row r="1679">
          <cell r="M1679" t="str">
            <v xml:space="preserve"> </v>
          </cell>
        </row>
        <row r="1680">
          <cell r="M1680" t="str">
            <v xml:space="preserve"> </v>
          </cell>
        </row>
        <row r="1681">
          <cell r="M1681" t="str">
            <v xml:space="preserve"> </v>
          </cell>
        </row>
        <row r="1682">
          <cell r="M1682" t="str">
            <v xml:space="preserve"> </v>
          </cell>
        </row>
        <row r="1683">
          <cell r="M1683" t="str">
            <v xml:space="preserve"> </v>
          </cell>
        </row>
        <row r="1684">
          <cell r="M1684" t="str">
            <v xml:space="preserve"> </v>
          </cell>
        </row>
        <row r="1685">
          <cell r="M1685" t="str">
            <v xml:space="preserve"> </v>
          </cell>
        </row>
        <row r="1686">
          <cell r="M1686" t="str">
            <v xml:space="preserve"> </v>
          </cell>
        </row>
        <row r="1687">
          <cell r="M1687" t="str">
            <v xml:space="preserve"> </v>
          </cell>
        </row>
        <row r="1688">
          <cell r="E1688" t="str">
            <v xml:space="preserve"> </v>
          </cell>
          <cell r="F1688" t="str">
            <v>TRASH RACK 설치 인건비</v>
          </cell>
        </row>
        <row r="1689">
          <cell r="E1689" t="str">
            <v xml:space="preserve"> </v>
          </cell>
        </row>
        <row r="1690">
          <cell r="A1690" t="str">
            <v>종       별</v>
          </cell>
          <cell r="C1690" t="str">
            <v>재 료 또 는</v>
          </cell>
          <cell r="D1690" t="str">
            <v xml:space="preserve">원 수 </v>
          </cell>
          <cell r="E1690" t="str">
            <v>단 위</v>
          </cell>
          <cell r="F1690" t="str">
            <v>총   액</v>
          </cell>
          <cell r="G1690" t="str">
            <v>노   무   비</v>
          </cell>
          <cell r="I1690" t="str">
            <v>재   료   비</v>
          </cell>
          <cell r="K1690" t="str">
            <v>경      비</v>
          </cell>
          <cell r="M1690" t="str">
            <v>비   고</v>
          </cell>
        </row>
        <row r="1691">
          <cell r="C1691" t="str">
            <v xml:space="preserve">규       격 </v>
          </cell>
          <cell r="F1691" t="str">
            <v>금   액</v>
          </cell>
          <cell r="G1691" t="str">
            <v>단  가</v>
          </cell>
          <cell r="H1691" t="str">
            <v>금   액</v>
          </cell>
          <cell r="I1691" t="str">
            <v>단  가</v>
          </cell>
          <cell r="J1691" t="str">
            <v>금   액</v>
          </cell>
          <cell r="K1691" t="str">
            <v>단  가</v>
          </cell>
          <cell r="L1691" t="str">
            <v>금   액</v>
          </cell>
        </row>
        <row r="1692">
          <cell r="A1692" t="str">
            <v>기 술 관 리</v>
          </cell>
          <cell r="C1692" t="str">
            <v>기계기사1급</v>
          </cell>
          <cell r="D1692">
            <v>1.66</v>
          </cell>
          <cell r="E1692" t="str">
            <v>인</v>
          </cell>
          <cell r="G1692">
            <v>97488</v>
          </cell>
          <cell r="H1692">
            <v>161830</v>
          </cell>
        </row>
        <row r="1693">
          <cell r="A1693" t="str">
            <v>운 반 검 측</v>
          </cell>
          <cell r="C1693" t="str">
            <v>프랜트기계설치공</v>
          </cell>
          <cell r="D1693">
            <v>0.05</v>
          </cell>
          <cell r="E1693" t="str">
            <v>인</v>
          </cell>
          <cell r="G1693">
            <v>80805</v>
          </cell>
          <cell r="H1693">
            <v>4040</v>
          </cell>
        </row>
        <row r="1694">
          <cell r="C1694" t="str">
            <v>특 별 인 부</v>
          </cell>
          <cell r="D1694">
            <v>0.05</v>
          </cell>
          <cell r="E1694" t="str">
            <v>인</v>
          </cell>
          <cell r="G1694">
            <v>57379</v>
          </cell>
          <cell r="H1694">
            <v>2868</v>
          </cell>
        </row>
        <row r="1695">
          <cell r="A1695" t="str">
            <v>수      정</v>
          </cell>
          <cell r="C1695" t="str">
            <v>산소 절단공</v>
          </cell>
          <cell r="D1695">
            <v>0.05</v>
          </cell>
          <cell r="E1695" t="str">
            <v>인</v>
          </cell>
          <cell r="G1695">
            <v>31794</v>
          </cell>
          <cell r="H1695">
            <v>1589</v>
          </cell>
        </row>
        <row r="1696">
          <cell r="A1696" t="str">
            <v xml:space="preserve"> </v>
          </cell>
          <cell r="C1696" t="str">
            <v>프랜트기계설치공</v>
          </cell>
          <cell r="D1696">
            <v>0.05</v>
          </cell>
          <cell r="E1696" t="str">
            <v>인</v>
          </cell>
          <cell r="G1696">
            <v>80805</v>
          </cell>
          <cell r="H1696">
            <v>4040</v>
          </cell>
        </row>
        <row r="1698">
          <cell r="A1698" t="str">
            <v xml:space="preserve"> </v>
          </cell>
          <cell r="C1698" t="str">
            <v>특 별 인 부</v>
          </cell>
          <cell r="D1698">
            <v>0.1</v>
          </cell>
          <cell r="E1698" t="str">
            <v>인</v>
          </cell>
          <cell r="G1698">
            <v>57379</v>
          </cell>
          <cell r="H1698">
            <v>5737</v>
          </cell>
        </row>
        <row r="1699">
          <cell r="A1699" t="str">
            <v>설치준비 철근정리</v>
          </cell>
          <cell r="C1699" t="str">
            <v>산 소 절 단 공</v>
          </cell>
          <cell r="D1699">
            <v>4.7E-2</v>
          </cell>
          <cell r="E1699" t="str">
            <v>인</v>
          </cell>
          <cell r="G1699">
            <v>31794</v>
          </cell>
          <cell r="H1699">
            <v>1494</v>
          </cell>
        </row>
        <row r="1700">
          <cell r="C1700" t="str">
            <v>특 별 인 부</v>
          </cell>
          <cell r="D1700">
            <v>4.7E-2</v>
          </cell>
          <cell r="E1700" t="str">
            <v>인</v>
          </cell>
          <cell r="G1700">
            <v>57379</v>
          </cell>
          <cell r="H1700">
            <v>2696</v>
          </cell>
        </row>
        <row r="1701">
          <cell r="A1701" t="str">
            <v>CHIPPING</v>
          </cell>
          <cell r="C1701" t="str">
            <v>석      공</v>
          </cell>
          <cell r="D1701">
            <v>0.1</v>
          </cell>
          <cell r="E1701" t="str">
            <v>인</v>
          </cell>
          <cell r="G1701">
            <v>77005</v>
          </cell>
          <cell r="H1701">
            <v>7700</v>
          </cell>
        </row>
        <row r="1702">
          <cell r="C1702" t="str">
            <v>특 별 인 부</v>
          </cell>
          <cell r="D1702">
            <v>0.05</v>
          </cell>
          <cell r="E1702" t="str">
            <v>인</v>
          </cell>
          <cell r="G1702">
            <v>57379</v>
          </cell>
          <cell r="H1702">
            <v>2868</v>
          </cell>
        </row>
        <row r="1704">
          <cell r="A1704" t="str">
            <v>BEAM설치,CRANE</v>
          </cell>
          <cell r="C1704" t="str">
            <v>특 별 인 부</v>
          </cell>
          <cell r="D1704">
            <v>0.17499999999999999</v>
          </cell>
          <cell r="E1704" t="str">
            <v>인</v>
          </cell>
          <cell r="G1704">
            <v>57379</v>
          </cell>
          <cell r="H1704">
            <v>10041</v>
          </cell>
        </row>
        <row r="1705">
          <cell r="A1705" t="str">
            <v xml:space="preserve"> </v>
          </cell>
          <cell r="B1705" t="str">
            <v>작업</v>
          </cell>
          <cell r="C1705" t="str">
            <v>특수 비계공</v>
          </cell>
          <cell r="D1705">
            <v>0.18</v>
          </cell>
          <cell r="E1705" t="str">
            <v>인</v>
          </cell>
          <cell r="G1705">
            <v>85884</v>
          </cell>
          <cell r="H1705">
            <v>15459</v>
          </cell>
        </row>
        <row r="1706">
          <cell r="A1706" t="str">
            <v>BEAM설치,CRANE</v>
          </cell>
          <cell r="C1706" t="str">
            <v>측   량   사</v>
          </cell>
          <cell r="D1706">
            <v>0.14000000000000001</v>
          </cell>
          <cell r="E1706" t="str">
            <v>인</v>
          </cell>
          <cell r="G1706">
            <v>58506</v>
          </cell>
          <cell r="H1706">
            <v>8190</v>
          </cell>
        </row>
        <row r="1707">
          <cell r="A1707" t="str">
            <v>작업,1차 쎈타링</v>
          </cell>
          <cell r="C1707" t="str">
            <v>측 량 조 수</v>
          </cell>
          <cell r="D1707">
            <v>0.14000000000000001</v>
          </cell>
          <cell r="E1707" t="str">
            <v>인</v>
          </cell>
          <cell r="G1707">
            <v>38777</v>
          </cell>
          <cell r="H1707">
            <v>5428</v>
          </cell>
        </row>
        <row r="1708">
          <cell r="C1708" t="str">
            <v>특수 비계공</v>
          </cell>
          <cell r="D1708">
            <v>0.14000000000000001</v>
          </cell>
          <cell r="E1708" t="str">
            <v>인</v>
          </cell>
          <cell r="G1708">
            <v>85884</v>
          </cell>
          <cell r="H1708">
            <v>12023</v>
          </cell>
        </row>
        <row r="1709">
          <cell r="A1709" t="str">
            <v xml:space="preserve"> </v>
          </cell>
          <cell r="B1709" t="str">
            <v xml:space="preserve"> </v>
          </cell>
        </row>
        <row r="1710">
          <cell r="A1710" t="str">
            <v xml:space="preserve"> </v>
          </cell>
          <cell r="B1710" t="str">
            <v xml:space="preserve"> </v>
          </cell>
          <cell r="C1710" t="str">
            <v>특 별 인 부</v>
          </cell>
          <cell r="D1710">
            <v>0.28000000000000003</v>
          </cell>
          <cell r="E1710" t="str">
            <v>인</v>
          </cell>
          <cell r="G1710">
            <v>57379</v>
          </cell>
          <cell r="H1710">
            <v>16066</v>
          </cell>
        </row>
        <row r="1711">
          <cell r="A1711" t="str">
            <v xml:space="preserve"> </v>
          </cell>
          <cell r="B1711" t="str">
            <v xml:space="preserve"> </v>
          </cell>
          <cell r="C1711" t="str">
            <v>프랜트기계설치공</v>
          </cell>
          <cell r="D1711">
            <v>0.14000000000000001</v>
          </cell>
          <cell r="E1711" t="str">
            <v>인</v>
          </cell>
          <cell r="G1711">
            <v>80805</v>
          </cell>
          <cell r="H1711">
            <v>11312</v>
          </cell>
        </row>
        <row r="1712">
          <cell r="A1712" t="str">
            <v>턴 바 클 용 접</v>
          </cell>
          <cell r="C1712" t="str">
            <v xml:space="preserve">프랜트 용접공 </v>
          </cell>
          <cell r="D1712">
            <v>0.21</v>
          </cell>
          <cell r="E1712" t="str">
            <v>인</v>
          </cell>
          <cell r="G1712">
            <v>95379</v>
          </cell>
          <cell r="H1712">
            <v>20029</v>
          </cell>
        </row>
        <row r="1713">
          <cell r="A1713" t="str">
            <v xml:space="preserve"> </v>
          </cell>
          <cell r="B1713" t="str">
            <v xml:space="preserve"> </v>
          </cell>
          <cell r="C1713" t="str">
            <v>특 별 인 부</v>
          </cell>
          <cell r="D1713">
            <v>0.21</v>
          </cell>
          <cell r="E1713" t="str">
            <v>인</v>
          </cell>
          <cell r="G1713">
            <v>57379</v>
          </cell>
          <cell r="H1713">
            <v>12049</v>
          </cell>
        </row>
        <row r="1714">
          <cell r="A1714" t="str">
            <v>BEAM 완전고정</v>
          </cell>
          <cell r="C1714" t="str">
            <v>산소 절단공</v>
          </cell>
          <cell r="D1714">
            <v>1.4999999999999999E-2</v>
          </cell>
          <cell r="E1714" t="str">
            <v>인</v>
          </cell>
          <cell r="G1714">
            <v>31794</v>
          </cell>
          <cell r="H1714">
            <v>476</v>
          </cell>
        </row>
        <row r="1717">
          <cell r="A1717" t="str">
            <v>종       별</v>
          </cell>
          <cell r="C1717" t="str">
            <v>재 료 또 는</v>
          </cell>
          <cell r="D1717" t="str">
            <v xml:space="preserve">원 수 </v>
          </cell>
          <cell r="E1717" t="str">
            <v>단 위</v>
          </cell>
          <cell r="F1717" t="str">
            <v>총   액</v>
          </cell>
          <cell r="G1717" t="str">
            <v>노   무   비</v>
          </cell>
          <cell r="I1717" t="str">
            <v>재   료   비</v>
          </cell>
          <cell r="K1717" t="str">
            <v>경      비</v>
          </cell>
          <cell r="M1717" t="str">
            <v>비   고</v>
          </cell>
        </row>
        <row r="1718">
          <cell r="C1718" t="str">
            <v xml:space="preserve">규       격 </v>
          </cell>
          <cell r="F1718" t="str">
            <v>금   액</v>
          </cell>
          <cell r="G1718" t="str">
            <v>단  가</v>
          </cell>
          <cell r="H1718" t="str">
            <v>금   액</v>
          </cell>
          <cell r="I1718" t="str">
            <v>단  가</v>
          </cell>
          <cell r="J1718" t="str">
            <v>금   액</v>
          </cell>
          <cell r="K1718" t="str">
            <v>단  가</v>
          </cell>
          <cell r="L1718" t="str">
            <v>금   액</v>
          </cell>
        </row>
        <row r="1719">
          <cell r="C1719" t="str">
            <v>프랜트 용접공</v>
          </cell>
          <cell r="D1719">
            <v>2.7</v>
          </cell>
          <cell r="E1719" t="str">
            <v>인</v>
          </cell>
          <cell r="G1719">
            <v>95379</v>
          </cell>
          <cell r="H1719">
            <v>257523</v>
          </cell>
        </row>
        <row r="1720">
          <cell r="A1720" t="str">
            <v xml:space="preserve"> </v>
          </cell>
          <cell r="C1720" t="str">
            <v>특 별 인 부</v>
          </cell>
          <cell r="D1720">
            <v>2.7</v>
          </cell>
          <cell r="E1720" t="str">
            <v>인</v>
          </cell>
          <cell r="G1720">
            <v>57379</v>
          </cell>
          <cell r="H1720">
            <v>154923</v>
          </cell>
        </row>
        <row r="1721">
          <cell r="A1721" t="str">
            <v>TRASH RACK 설치</v>
          </cell>
          <cell r="C1721" t="str">
            <v>특 별 인 부</v>
          </cell>
          <cell r="D1721">
            <v>0.67</v>
          </cell>
          <cell r="E1721" t="str">
            <v>인</v>
          </cell>
          <cell r="G1721">
            <v>57379</v>
          </cell>
          <cell r="H1721">
            <v>38443</v>
          </cell>
        </row>
        <row r="1722">
          <cell r="A1722" t="str">
            <v>1 차 조 립</v>
          </cell>
          <cell r="C1722" t="str">
            <v>특수 비계공</v>
          </cell>
          <cell r="D1722">
            <v>0.59</v>
          </cell>
          <cell r="E1722" t="str">
            <v>인</v>
          </cell>
          <cell r="G1722">
            <v>85884</v>
          </cell>
          <cell r="H1722">
            <v>50671</v>
          </cell>
        </row>
        <row r="1723">
          <cell r="B1723" t="str">
            <v xml:space="preserve"> </v>
          </cell>
          <cell r="C1723" t="str">
            <v>프랜트기계설치공</v>
          </cell>
          <cell r="D1723">
            <v>0.45</v>
          </cell>
          <cell r="E1723" t="str">
            <v>인</v>
          </cell>
          <cell r="G1723">
            <v>80805</v>
          </cell>
          <cell r="H1723">
            <v>36362</v>
          </cell>
        </row>
        <row r="1724">
          <cell r="A1724" t="str">
            <v>2차 쎈 타 링</v>
          </cell>
          <cell r="C1724" t="str">
            <v>측   량   사</v>
          </cell>
          <cell r="D1724">
            <v>8.6999999999999994E-2</v>
          </cell>
          <cell r="E1724" t="str">
            <v>인</v>
          </cell>
          <cell r="G1724">
            <v>58506</v>
          </cell>
          <cell r="H1724">
            <v>5090</v>
          </cell>
        </row>
        <row r="1725">
          <cell r="B1725" t="str">
            <v xml:space="preserve"> </v>
          </cell>
          <cell r="C1725" t="str">
            <v>측 량 조 수</v>
          </cell>
          <cell r="D1725">
            <v>8.6999999999999994E-2</v>
          </cell>
          <cell r="E1725" t="str">
            <v>인</v>
          </cell>
          <cell r="G1725">
            <v>38777</v>
          </cell>
          <cell r="H1725">
            <v>3373</v>
          </cell>
        </row>
        <row r="1726">
          <cell r="C1726" t="str">
            <v>프랜트기계설치공</v>
          </cell>
          <cell r="D1726">
            <v>8.6999999999999994E-2</v>
          </cell>
          <cell r="E1726" t="str">
            <v>인</v>
          </cell>
          <cell r="G1726">
            <v>80805</v>
          </cell>
          <cell r="H1726">
            <v>7030</v>
          </cell>
        </row>
        <row r="1727">
          <cell r="C1727" t="str">
            <v>특 별 인 부</v>
          </cell>
          <cell r="D1727">
            <v>0.16600000000000001</v>
          </cell>
          <cell r="E1727" t="str">
            <v>인</v>
          </cell>
          <cell r="G1727">
            <v>57379</v>
          </cell>
          <cell r="H1727">
            <v>9524</v>
          </cell>
        </row>
        <row r="1728">
          <cell r="C1728" t="str">
            <v>프랜트 용접공</v>
          </cell>
          <cell r="D1728">
            <v>0.79</v>
          </cell>
          <cell r="E1728" t="str">
            <v>인</v>
          </cell>
          <cell r="G1728">
            <v>95379</v>
          </cell>
          <cell r="H1728">
            <v>75349</v>
          </cell>
        </row>
        <row r="1729">
          <cell r="B1729" t="str">
            <v xml:space="preserve"> </v>
          </cell>
        </row>
        <row r="1730">
          <cell r="A1730" t="str">
            <v>검        사</v>
          </cell>
          <cell r="C1730" t="str">
            <v>프랜트기계설치공</v>
          </cell>
          <cell r="D1730">
            <v>3.5000000000000003E-2</v>
          </cell>
          <cell r="E1730" t="str">
            <v>인</v>
          </cell>
          <cell r="G1730">
            <v>80805</v>
          </cell>
          <cell r="H1730">
            <v>2828</v>
          </cell>
        </row>
        <row r="1731">
          <cell r="A1731" t="str">
            <v xml:space="preserve"> </v>
          </cell>
          <cell r="C1731" t="str">
            <v>특 별 인 부</v>
          </cell>
          <cell r="D1731">
            <v>3.5000000000000003E-2</v>
          </cell>
          <cell r="E1731" t="str">
            <v>인</v>
          </cell>
          <cell r="G1731">
            <v>57379</v>
          </cell>
          <cell r="H1731">
            <v>2008</v>
          </cell>
        </row>
        <row r="1732">
          <cell r="A1732" t="str">
            <v>강제거푸집철거</v>
          </cell>
          <cell r="C1732" t="str">
            <v>프랜트 용접공</v>
          </cell>
          <cell r="D1732">
            <v>1.7000000000000001E-2</v>
          </cell>
          <cell r="E1732" t="str">
            <v>인</v>
          </cell>
          <cell r="G1732">
            <v>95379</v>
          </cell>
          <cell r="H1732">
            <v>1621</v>
          </cell>
        </row>
        <row r="1733">
          <cell r="B1733" t="str">
            <v xml:space="preserve"> </v>
          </cell>
          <cell r="C1733" t="str">
            <v>특 별 인 부</v>
          </cell>
          <cell r="D1733">
            <v>1.7000000000000001E-2</v>
          </cell>
          <cell r="E1733" t="str">
            <v>인</v>
          </cell>
          <cell r="G1733">
            <v>57379</v>
          </cell>
          <cell r="H1733">
            <v>975</v>
          </cell>
        </row>
        <row r="1734">
          <cell r="A1734" t="str">
            <v>뒷    정    리</v>
          </cell>
          <cell r="C1734" t="str">
            <v>프랜트기계설치공</v>
          </cell>
          <cell r="D1734">
            <v>3.5000000000000003E-2</v>
          </cell>
          <cell r="E1734" t="str">
            <v>인</v>
          </cell>
          <cell r="G1734">
            <v>80805</v>
          </cell>
          <cell r="H1734">
            <v>2828</v>
          </cell>
        </row>
        <row r="1735">
          <cell r="B1735" t="str">
            <v xml:space="preserve"> </v>
          </cell>
        </row>
        <row r="1736">
          <cell r="C1736" t="str">
            <v>산소 절단공</v>
          </cell>
          <cell r="D1736">
            <v>1.7000000000000001E-2</v>
          </cell>
          <cell r="E1736" t="str">
            <v>인</v>
          </cell>
          <cell r="G1736">
            <v>31794</v>
          </cell>
          <cell r="H1736">
            <v>540</v>
          </cell>
        </row>
        <row r="1737">
          <cell r="C1737" t="str">
            <v>특 별 인 부</v>
          </cell>
          <cell r="D1737">
            <v>3.5000000000000003E-2</v>
          </cell>
          <cell r="E1737" t="str">
            <v>인</v>
          </cell>
          <cell r="G1737">
            <v>57379</v>
          </cell>
          <cell r="H1737">
            <v>2008</v>
          </cell>
        </row>
        <row r="1738">
          <cell r="A1738" t="str">
            <v>전 원 조 작</v>
          </cell>
          <cell r="C1738" t="str">
            <v>프랜트 전공</v>
          </cell>
          <cell r="D1738">
            <v>0.52</v>
          </cell>
          <cell r="E1738" t="str">
            <v>인</v>
          </cell>
          <cell r="G1738">
            <v>64285</v>
          </cell>
          <cell r="H1738">
            <v>33428</v>
          </cell>
        </row>
        <row r="1739">
          <cell r="C1739" t="str">
            <v>특 별 인 부</v>
          </cell>
          <cell r="D1739">
            <v>0.52</v>
          </cell>
          <cell r="E1739" t="str">
            <v>인</v>
          </cell>
          <cell r="G1739">
            <v>57379</v>
          </cell>
          <cell r="H1739">
            <v>29837</v>
          </cell>
        </row>
        <row r="1743">
          <cell r="B1743" t="str">
            <v xml:space="preserve">    계</v>
          </cell>
          <cell r="F1743">
            <v>1020296</v>
          </cell>
          <cell r="H1743">
            <v>1020296</v>
          </cell>
        </row>
        <row r="1746">
          <cell r="E1746" t="str">
            <v xml:space="preserve"> </v>
          </cell>
          <cell r="F1746" t="str">
            <v>TRASH RACK 설치 소모 자재비</v>
          </cell>
        </row>
        <row r="1747">
          <cell r="E1747" t="str">
            <v xml:space="preserve"> </v>
          </cell>
        </row>
        <row r="1748">
          <cell r="A1748" t="str">
            <v>종       별</v>
          </cell>
          <cell r="C1748" t="str">
            <v>재 료 또 는</v>
          </cell>
          <cell r="D1748" t="str">
            <v xml:space="preserve">원 수 </v>
          </cell>
          <cell r="E1748" t="str">
            <v>단 위</v>
          </cell>
          <cell r="F1748" t="str">
            <v>총   액</v>
          </cell>
          <cell r="G1748" t="str">
            <v>노   무   비</v>
          </cell>
          <cell r="I1748" t="str">
            <v>재   료   비</v>
          </cell>
          <cell r="K1748" t="str">
            <v>경      비</v>
          </cell>
          <cell r="M1748" t="str">
            <v>비   고</v>
          </cell>
        </row>
        <row r="1749">
          <cell r="C1749" t="str">
            <v xml:space="preserve">규       격 </v>
          </cell>
          <cell r="F1749" t="str">
            <v>금   액</v>
          </cell>
          <cell r="G1749" t="str">
            <v>단  가</v>
          </cell>
          <cell r="H1749" t="str">
            <v>금   액</v>
          </cell>
          <cell r="I1749" t="str">
            <v>단  가</v>
          </cell>
          <cell r="J1749" t="str">
            <v>금   액</v>
          </cell>
          <cell r="K1749" t="str">
            <v>단  가</v>
          </cell>
          <cell r="L1749" t="str">
            <v>금   액</v>
          </cell>
        </row>
        <row r="1750">
          <cell r="A1750" t="str">
            <v>산       소</v>
          </cell>
          <cell r="C1750" t="str">
            <v>6,000L용</v>
          </cell>
          <cell r="D1750">
            <v>2.9000000000000001E-2</v>
          </cell>
          <cell r="E1750" t="str">
            <v>병</v>
          </cell>
          <cell r="G1750" t="str">
            <v xml:space="preserve"> </v>
          </cell>
          <cell r="I1750">
            <v>12000</v>
          </cell>
          <cell r="J1750">
            <v>348</v>
          </cell>
        </row>
        <row r="1751">
          <cell r="A1751" t="str">
            <v>아 세 치 렌</v>
          </cell>
          <cell r="C1751" t="str">
            <v>2,100L용</v>
          </cell>
          <cell r="D1751">
            <v>1.2E-2</v>
          </cell>
          <cell r="E1751" t="str">
            <v>병</v>
          </cell>
          <cell r="I1751">
            <v>25849</v>
          </cell>
          <cell r="J1751">
            <v>310</v>
          </cell>
        </row>
        <row r="1752">
          <cell r="A1752" t="str">
            <v>용   접  봉</v>
          </cell>
          <cell r="C1752" t="str">
            <v>SS400, 4M/Mx350L</v>
          </cell>
          <cell r="D1752">
            <v>5.95</v>
          </cell>
          <cell r="E1752" t="str">
            <v>KG</v>
          </cell>
          <cell r="I1752">
            <v>1260</v>
          </cell>
          <cell r="J1752">
            <v>7497</v>
          </cell>
        </row>
        <row r="1754">
          <cell r="A1754" t="str">
            <v xml:space="preserve"> </v>
          </cell>
          <cell r="D1754" t="str">
            <v xml:space="preserve"> </v>
          </cell>
          <cell r="E1754" t="str">
            <v xml:space="preserve"> </v>
          </cell>
        </row>
        <row r="1755">
          <cell r="B1755" t="str">
            <v>계</v>
          </cell>
          <cell r="F1755">
            <v>8155</v>
          </cell>
          <cell r="J1755">
            <v>8155</v>
          </cell>
        </row>
        <row r="1757">
          <cell r="A1757" t="str">
            <v xml:space="preserve"> </v>
          </cell>
          <cell r="D1757" t="str">
            <v xml:space="preserve"> </v>
          </cell>
          <cell r="E1757" t="str">
            <v xml:space="preserve"> </v>
          </cell>
        </row>
        <row r="1758">
          <cell r="A1758" t="str">
            <v xml:space="preserve"> </v>
          </cell>
          <cell r="D1758" t="str">
            <v xml:space="preserve"> </v>
          </cell>
          <cell r="E1758" t="str">
            <v xml:space="preserve"> </v>
          </cell>
        </row>
        <row r="1759">
          <cell r="A1759" t="str">
            <v xml:space="preserve"> </v>
          </cell>
          <cell r="D1759" t="str">
            <v xml:space="preserve"> </v>
          </cell>
          <cell r="E1759" t="str">
            <v xml:space="preserve"> </v>
          </cell>
        </row>
        <row r="1760">
          <cell r="A1760" t="str">
            <v xml:space="preserve"> </v>
          </cell>
          <cell r="D1760" t="str">
            <v xml:space="preserve"> </v>
          </cell>
          <cell r="E1760" t="str">
            <v xml:space="preserve"> </v>
          </cell>
        </row>
        <row r="1761">
          <cell r="A1761" t="str">
            <v xml:space="preserve"> </v>
          </cell>
          <cell r="D1761" t="str">
            <v xml:space="preserve"> </v>
          </cell>
          <cell r="E1761" t="str">
            <v xml:space="preserve"> </v>
          </cell>
        </row>
        <row r="1762">
          <cell r="A1762" t="str">
            <v xml:space="preserve"> </v>
          </cell>
          <cell r="D1762" t="str">
            <v xml:space="preserve"> </v>
          </cell>
          <cell r="E1762" t="str">
            <v xml:space="preserve"> </v>
          </cell>
        </row>
        <row r="1763">
          <cell r="A1763" t="str">
            <v xml:space="preserve"> </v>
          </cell>
          <cell r="D1763" t="str">
            <v xml:space="preserve"> </v>
          </cell>
          <cell r="E1763" t="str">
            <v xml:space="preserve"> </v>
          </cell>
        </row>
        <row r="1764">
          <cell r="A1764" t="str">
            <v xml:space="preserve"> </v>
          </cell>
          <cell r="D1764" t="str">
            <v xml:space="preserve"> </v>
          </cell>
          <cell r="E1764" t="str">
            <v xml:space="preserve"> </v>
          </cell>
        </row>
        <row r="1765">
          <cell r="A1765" t="str">
            <v xml:space="preserve"> </v>
          </cell>
          <cell r="D1765" t="str">
            <v xml:space="preserve"> </v>
          </cell>
          <cell r="E1765" t="str">
            <v xml:space="preserve"> </v>
          </cell>
        </row>
        <row r="1766">
          <cell r="A1766" t="str">
            <v xml:space="preserve"> </v>
          </cell>
          <cell r="D1766" t="str">
            <v xml:space="preserve"> </v>
          </cell>
          <cell r="E1766" t="str">
            <v xml:space="preserve"> </v>
          </cell>
        </row>
        <row r="1767">
          <cell r="A1767" t="str">
            <v xml:space="preserve"> </v>
          </cell>
          <cell r="D1767" t="str">
            <v xml:space="preserve"> </v>
          </cell>
          <cell r="E1767" t="str">
            <v xml:space="preserve"> </v>
          </cell>
        </row>
        <row r="1768">
          <cell r="A1768" t="str">
            <v xml:space="preserve"> </v>
          </cell>
          <cell r="D1768" t="str">
            <v xml:space="preserve"> </v>
          </cell>
          <cell r="E1768" t="str">
            <v xml:space="preserve"> </v>
          </cell>
        </row>
        <row r="1769">
          <cell r="A1769" t="str">
            <v xml:space="preserve"> </v>
          </cell>
          <cell r="D1769" t="str">
            <v xml:space="preserve"> </v>
          </cell>
          <cell r="E1769" t="str">
            <v xml:space="preserve"> </v>
          </cell>
        </row>
        <row r="1770">
          <cell r="A1770" t="str">
            <v xml:space="preserve"> </v>
          </cell>
          <cell r="D1770" t="str">
            <v xml:space="preserve"> </v>
          </cell>
          <cell r="E1770" t="str">
            <v xml:space="preserve"> </v>
          </cell>
        </row>
        <row r="1771">
          <cell r="A1771" t="str">
            <v xml:space="preserve"> </v>
          </cell>
          <cell r="D1771" t="str">
            <v xml:space="preserve"> </v>
          </cell>
          <cell r="E1771" t="str">
            <v xml:space="preserve"> </v>
          </cell>
        </row>
        <row r="1772">
          <cell r="A1772" t="str">
            <v xml:space="preserve"> </v>
          </cell>
          <cell r="D1772" t="str">
            <v xml:space="preserve"> </v>
          </cell>
          <cell r="E1772" t="str">
            <v xml:space="preserve"> </v>
          </cell>
        </row>
        <row r="1773">
          <cell r="A1773" t="str">
            <v xml:space="preserve"> </v>
          </cell>
          <cell r="D1773" t="str">
            <v xml:space="preserve"> </v>
          </cell>
          <cell r="E1773" t="str">
            <v xml:space="preserve"> </v>
          </cell>
        </row>
        <row r="1774">
          <cell r="A1774" t="str">
            <v xml:space="preserve"> </v>
          </cell>
          <cell r="D1774" t="str">
            <v xml:space="preserve"> </v>
          </cell>
          <cell r="E1774" t="str">
            <v xml:space="preserve"> </v>
          </cell>
        </row>
        <row r="1775">
          <cell r="A1775" t="str">
            <v>잡철물 제작,설치(SCREEN등)</v>
          </cell>
        </row>
        <row r="1776">
          <cell r="E1776" t="str">
            <v xml:space="preserve"> </v>
          </cell>
        </row>
        <row r="1777">
          <cell r="A1777" t="str">
            <v>종       별</v>
          </cell>
          <cell r="C1777" t="str">
            <v>재 료 또 는</v>
          </cell>
          <cell r="D1777" t="str">
            <v xml:space="preserve">원 수 </v>
          </cell>
          <cell r="E1777" t="str">
            <v>단 위</v>
          </cell>
          <cell r="F1777" t="str">
            <v>총   액</v>
          </cell>
          <cell r="G1777" t="str">
            <v>노   무   비</v>
          </cell>
          <cell r="I1777" t="str">
            <v>재   료   비</v>
          </cell>
          <cell r="K1777" t="str">
            <v>경      비</v>
          </cell>
          <cell r="M1777" t="str">
            <v>비   고</v>
          </cell>
        </row>
        <row r="1778">
          <cell r="C1778" t="str">
            <v xml:space="preserve">규       격 </v>
          </cell>
          <cell r="F1778" t="str">
            <v>금   액</v>
          </cell>
          <cell r="G1778" t="str">
            <v>단  가</v>
          </cell>
          <cell r="H1778" t="str">
            <v>금   액</v>
          </cell>
          <cell r="I1778" t="str">
            <v>단  가</v>
          </cell>
          <cell r="J1778" t="str">
            <v>금   액</v>
          </cell>
          <cell r="K1778" t="str">
            <v>단  가</v>
          </cell>
          <cell r="L1778" t="str">
            <v>금   액</v>
          </cell>
        </row>
        <row r="1779">
          <cell r="A1779" t="str">
            <v>용  접  봉</v>
          </cell>
          <cell r="C1779" t="str">
            <v>KSE4301  3.2Φ</v>
          </cell>
          <cell r="D1779">
            <v>18.48</v>
          </cell>
          <cell r="E1779" t="str">
            <v>KG</v>
          </cell>
          <cell r="I1779">
            <v>1260</v>
          </cell>
          <cell r="J1779">
            <v>23284</v>
          </cell>
        </row>
        <row r="1780">
          <cell r="A1780" t="str">
            <v>산      소</v>
          </cell>
          <cell r="C1780" t="str">
            <v>6,000L</v>
          </cell>
          <cell r="D1780">
            <v>1.05</v>
          </cell>
          <cell r="E1780" t="str">
            <v>병</v>
          </cell>
          <cell r="I1780">
            <v>12000</v>
          </cell>
          <cell r="J1780">
            <v>12600</v>
          </cell>
        </row>
        <row r="1781">
          <cell r="A1781" t="str">
            <v>아 세 치 렌</v>
          </cell>
          <cell r="C1781" t="str">
            <v>4,500L</v>
          </cell>
          <cell r="D1781">
            <v>2.8</v>
          </cell>
          <cell r="E1781" t="str">
            <v>KG</v>
          </cell>
          <cell r="I1781">
            <v>10500</v>
          </cell>
          <cell r="J1781">
            <v>29400</v>
          </cell>
        </row>
        <row r="1782">
          <cell r="A1782" t="str">
            <v>철      공</v>
          </cell>
          <cell r="D1782">
            <v>27.65</v>
          </cell>
          <cell r="E1782" t="str">
            <v>인</v>
          </cell>
          <cell r="G1782">
            <v>72430</v>
          </cell>
          <cell r="H1782">
            <v>2002689</v>
          </cell>
        </row>
        <row r="1783">
          <cell r="A1783" t="str">
            <v>비  계   공</v>
          </cell>
          <cell r="D1783">
            <v>4.71</v>
          </cell>
          <cell r="E1783" t="str">
            <v>인</v>
          </cell>
          <cell r="G1783">
            <v>79467</v>
          </cell>
          <cell r="H1783">
            <v>374289</v>
          </cell>
        </row>
        <row r="1785">
          <cell r="A1785" t="str">
            <v>보 통 인 부</v>
          </cell>
          <cell r="D1785">
            <v>0.66</v>
          </cell>
          <cell r="E1785" t="str">
            <v>인</v>
          </cell>
          <cell r="G1785">
            <v>37736</v>
          </cell>
          <cell r="H1785">
            <v>24905</v>
          </cell>
        </row>
        <row r="1786">
          <cell r="A1786" t="str">
            <v>용  접  공</v>
          </cell>
          <cell r="D1786">
            <v>2.6</v>
          </cell>
          <cell r="E1786" t="str">
            <v>인</v>
          </cell>
          <cell r="G1786">
            <v>74016</v>
          </cell>
          <cell r="H1786">
            <v>192441</v>
          </cell>
        </row>
        <row r="1787">
          <cell r="A1787" t="str">
            <v>특 별 인 부</v>
          </cell>
          <cell r="D1787">
            <v>0.74</v>
          </cell>
          <cell r="E1787" t="str">
            <v>인</v>
          </cell>
          <cell r="G1787">
            <v>57379</v>
          </cell>
          <cell r="H1787">
            <v>42460</v>
          </cell>
        </row>
        <row r="1788">
          <cell r="A1788" t="str">
            <v>용접기 손료</v>
          </cell>
          <cell r="D1788">
            <v>20.83</v>
          </cell>
          <cell r="E1788" t="str">
            <v>Hr</v>
          </cell>
          <cell r="K1788">
            <v>155</v>
          </cell>
          <cell r="L1788">
            <v>3228</v>
          </cell>
        </row>
        <row r="1789">
          <cell r="A1789" t="str">
            <v>전력 소요량</v>
          </cell>
          <cell r="D1789">
            <v>126</v>
          </cell>
          <cell r="E1789" t="str">
            <v>KWH</v>
          </cell>
          <cell r="K1789">
            <v>61.6</v>
          </cell>
          <cell r="L1789">
            <v>7761</v>
          </cell>
        </row>
        <row r="1790">
          <cell r="A1790" t="str">
            <v>공 구 손 료</v>
          </cell>
          <cell r="C1790" t="str">
            <v>인건비의 3%</v>
          </cell>
          <cell r="L1790">
            <v>79103</v>
          </cell>
        </row>
        <row r="1792">
          <cell r="A1792" t="str">
            <v>소    계</v>
          </cell>
          <cell r="F1792">
            <v>2792160</v>
          </cell>
          <cell r="H1792">
            <v>2636784</v>
          </cell>
          <cell r="J1792">
            <v>65284</v>
          </cell>
          <cell r="L1792">
            <v>90092</v>
          </cell>
        </row>
        <row r="1794">
          <cell r="A1794" t="str">
            <v>계 ( 간단한구조 )</v>
          </cell>
          <cell r="C1794" t="str">
            <v>100 %</v>
          </cell>
          <cell r="F1794">
            <v>2792160</v>
          </cell>
          <cell r="H1794">
            <v>2636784</v>
          </cell>
          <cell r="J1794">
            <v>65284</v>
          </cell>
          <cell r="L1794">
            <v>90092</v>
          </cell>
        </row>
        <row r="1796">
          <cell r="A1796" t="str">
            <v>계 ( 복잡한구조 )</v>
          </cell>
          <cell r="C1796" t="str">
            <v>140 %</v>
          </cell>
          <cell r="F1796">
            <v>3909022</v>
          </cell>
          <cell r="H1796">
            <v>3691497</v>
          </cell>
          <cell r="J1796">
            <v>91397</v>
          </cell>
          <cell r="L1796">
            <v>126128</v>
          </cell>
        </row>
        <row r="1799">
          <cell r="F1799" t="str">
            <v xml:space="preserve"> </v>
          </cell>
        </row>
        <row r="1800">
          <cell r="F1800" t="str">
            <v xml:space="preserve"> </v>
          </cell>
        </row>
        <row r="1801">
          <cell r="F1801" t="str">
            <v xml:space="preserve"> </v>
          </cell>
        </row>
        <row r="1802">
          <cell r="F1802" t="str">
            <v xml:space="preserve"> </v>
          </cell>
        </row>
        <row r="1803">
          <cell r="B1803" t="str">
            <v>기존도장 방식을 채택할 경우</v>
          </cell>
          <cell r="E1803" t="str">
            <v xml:space="preserve"> </v>
          </cell>
          <cell r="F1803" t="str">
            <v>도 장 비 (M²당) 일 위 대 가</v>
          </cell>
        </row>
        <row r="1805">
          <cell r="A1805" t="str">
            <v>종       별</v>
          </cell>
          <cell r="C1805" t="str">
            <v>재 료 또 는</v>
          </cell>
          <cell r="D1805" t="str">
            <v xml:space="preserve">원 수 </v>
          </cell>
          <cell r="E1805" t="str">
            <v>단 위</v>
          </cell>
          <cell r="F1805" t="str">
            <v>총   액</v>
          </cell>
          <cell r="G1805" t="str">
            <v>노   무   비</v>
          </cell>
          <cell r="I1805" t="str">
            <v>재   료   비</v>
          </cell>
          <cell r="K1805" t="str">
            <v>경      비</v>
          </cell>
          <cell r="M1805" t="str">
            <v>비   고</v>
          </cell>
        </row>
        <row r="1806">
          <cell r="C1806" t="str">
            <v xml:space="preserve">규       격 </v>
          </cell>
          <cell r="F1806" t="str">
            <v>금   액</v>
          </cell>
          <cell r="G1806" t="str">
            <v>단  가</v>
          </cell>
          <cell r="H1806" t="str">
            <v>금   액</v>
          </cell>
          <cell r="I1806" t="str">
            <v>단  가</v>
          </cell>
          <cell r="J1806" t="str">
            <v>금   액</v>
          </cell>
          <cell r="K1806" t="str">
            <v>단  가</v>
          </cell>
          <cell r="L1806" t="str">
            <v>금   액</v>
          </cell>
        </row>
        <row r="1807">
          <cell r="A1807" t="str">
            <v>1. SAND BLASTING</v>
          </cell>
        </row>
        <row r="1808">
          <cell r="B1808" t="str">
            <v>모      래</v>
          </cell>
          <cell r="D1808">
            <v>5.0799999999999998E-2</v>
          </cell>
          <cell r="E1808" t="str">
            <v>㎥</v>
          </cell>
          <cell r="G1808">
            <v>17799.248685199098</v>
          </cell>
          <cell r="H1808">
            <v>904</v>
          </cell>
          <cell r="I1808">
            <v>10845.529676934633</v>
          </cell>
          <cell r="J1808">
            <v>550</v>
          </cell>
          <cell r="K1808">
            <v>13551.915852742301</v>
          </cell>
          <cell r="L1808">
            <v>688</v>
          </cell>
        </row>
        <row r="1809">
          <cell r="B1809" t="str">
            <v>계  령  공</v>
          </cell>
          <cell r="D1809">
            <v>3.2899999999999999E-2</v>
          </cell>
          <cell r="E1809" t="str">
            <v>인</v>
          </cell>
          <cell r="G1809">
            <v>41937</v>
          </cell>
          <cell r="H1809">
            <v>1379</v>
          </cell>
        </row>
        <row r="1810">
          <cell r="B1810" t="str">
            <v>보 통 인 부</v>
          </cell>
          <cell r="D1810">
            <v>3.5999999999999997E-2</v>
          </cell>
          <cell r="E1810" t="str">
            <v>인</v>
          </cell>
          <cell r="G1810">
            <v>37736</v>
          </cell>
          <cell r="H1810">
            <v>1358</v>
          </cell>
        </row>
        <row r="1811">
          <cell r="B1811" t="str">
            <v>COMPRESSOR</v>
          </cell>
          <cell r="C1811" t="str">
            <v>7.1㎥/min</v>
          </cell>
          <cell r="D1811">
            <v>0.13300000000000001</v>
          </cell>
          <cell r="E1811" t="str">
            <v>Hr</v>
          </cell>
          <cell r="G1811">
            <v>9681</v>
          </cell>
          <cell r="H1811">
            <v>1287</v>
          </cell>
          <cell r="I1811">
            <v>8779</v>
          </cell>
          <cell r="J1811">
            <v>1167</v>
          </cell>
          <cell r="K1811">
            <v>6250</v>
          </cell>
          <cell r="L1811">
            <v>831</v>
          </cell>
        </row>
        <row r="1812">
          <cell r="B1812" t="str">
            <v>AIR HOSE</v>
          </cell>
          <cell r="C1812" t="str">
            <v>3/4" ,1"</v>
          </cell>
          <cell r="D1812">
            <v>0.13300000000000001</v>
          </cell>
          <cell r="E1812" t="str">
            <v>Hr</v>
          </cell>
          <cell r="K1812">
            <v>48</v>
          </cell>
          <cell r="L1812">
            <v>6</v>
          </cell>
        </row>
        <row r="1813">
          <cell r="B1813" t="str">
            <v>브라스트기</v>
          </cell>
          <cell r="D1813">
            <v>0.13300000000000001</v>
          </cell>
          <cell r="E1813" t="str">
            <v>Hr</v>
          </cell>
          <cell r="K1813">
            <v>659</v>
          </cell>
          <cell r="L1813">
            <v>87</v>
          </cell>
        </row>
        <row r="1814">
          <cell r="B1814" t="str">
            <v>건  조  기</v>
          </cell>
          <cell r="D1814">
            <v>0.13300000000000001</v>
          </cell>
          <cell r="E1814" t="str">
            <v>Hr</v>
          </cell>
          <cell r="K1814">
            <v>211</v>
          </cell>
          <cell r="L1814">
            <v>28</v>
          </cell>
        </row>
        <row r="1815">
          <cell r="B1815" t="str">
            <v>방  진  복</v>
          </cell>
          <cell r="D1815">
            <v>0.13300000000000001</v>
          </cell>
          <cell r="E1815" t="str">
            <v>Hr</v>
          </cell>
          <cell r="K1815">
            <v>107</v>
          </cell>
          <cell r="L1815">
            <v>14</v>
          </cell>
        </row>
        <row r="1816">
          <cell r="B1816" t="str">
            <v>방  진  모</v>
          </cell>
          <cell r="D1816">
            <v>0.13300000000000001</v>
          </cell>
          <cell r="E1816" t="str">
            <v>Hr</v>
          </cell>
          <cell r="K1816">
            <v>21</v>
          </cell>
          <cell r="L1816">
            <v>2</v>
          </cell>
        </row>
        <row r="1817">
          <cell r="B1817" t="str">
            <v>건  조  유</v>
          </cell>
          <cell r="D1817">
            <v>0.33300000000000002</v>
          </cell>
          <cell r="E1817" t="str">
            <v>L</v>
          </cell>
          <cell r="I1817">
            <v>526.4</v>
          </cell>
          <cell r="J1817">
            <v>175</v>
          </cell>
        </row>
        <row r="1818">
          <cell r="B1818" t="str">
            <v>노      즐</v>
          </cell>
          <cell r="D1818">
            <v>0.03</v>
          </cell>
          <cell r="E1818" t="str">
            <v>개</v>
          </cell>
          <cell r="I1818">
            <v>32000</v>
          </cell>
          <cell r="J1818">
            <v>960</v>
          </cell>
        </row>
        <row r="1819">
          <cell r="B1819" t="str">
            <v>소      계</v>
          </cell>
          <cell r="F1819">
            <v>9436</v>
          </cell>
          <cell r="H1819">
            <v>4928</v>
          </cell>
          <cell r="J1819">
            <v>2852</v>
          </cell>
          <cell r="L1819">
            <v>1656</v>
          </cell>
        </row>
        <row r="1821">
          <cell r="A1821" t="str">
            <v>2. PRIMERY COATING (20μ)</v>
          </cell>
        </row>
        <row r="1822">
          <cell r="B1822" t="str">
            <v>ZINC RICH PRIMER</v>
          </cell>
          <cell r="D1822">
            <v>8.1000000000000003E-2</v>
          </cell>
          <cell r="E1822" t="str">
            <v>Liter</v>
          </cell>
          <cell r="I1822">
            <v>7945</v>
          </cell>
          <cell r="J1822">
            <v>643</v>
          </cell>
        </row>
        <row r="1823">
          <cell r="B1823" t="str">
            <v>신      나</v>
          </cell>
          <cell r="D1823">
            <v>0.01</v>
          </cell>
          <cell r="E1823" t="str">
            <v>Liter</v>
          </cell>
          <cell r="I1823">
            <v>2111</v>
          </cell>
          <cell r="J1823">
            <v>21</v>
          </cell>
        </row>
        <row r="1824">
          <cell r="B1824" t="str">
            <v>도  장  공</v>
          </cell>
          <cell r="D1824">
            <v>1.4999999999999999E-2</v>
          </cell>
          <cell r="E1824" t="str">
            <v>인</v>
          </cell>
          <cell r="G1824">
            <v>63038</v>
          </cell>
          <cell r="H1824">
            <v>945</v>
          </cell>
        </row>
        <row r="1825">
          <cell r="B1825" t="str">
            <v>공 구 손 료</v>
          </cell>
          <cell r="C1825" t="str">
            <v>2%</v>
          </cell>
          <cell r="D1825" t="str">
            <v>1</v>
          </cell>
          <cell r="E1825" t="str">
            <v>식</v>
          </cell>
          <cell r="L1825">
            <v>18</v>
          </cell>
        </row>
        <row r="1826">
          <cell r="B1826" t="str">
            <v>소      계</v>
          </cell>
          <cell r="F1826">
            <v>1627</v>
          </cell>
          <cell r="H1826">
            <v>945</v>
          </cell>
          <cell r="J1826">
            <v>664</v>
          </cell>
          <cell r="L1826">
            <v>18</v>
          </cell>
        </row>
        <row r="1828">
          <cell r="A1828" t="str">
            <v>3. COVER COATING (280μ)</v>
          </cell>
        </row>
        <row r="1829">
          <cell r="B1829" t="str">
            <v>PURE EPOXY</v>
          </cell>
          <cell r="D1829">
            <v>0.48299999999999998</v>
          </cell>
          <cell r="E1829" t="str">
            <v>Liter</v>
          </cell>
          <cell r="I1829">
            <v>4010</v>
          </cell>
          <cell r="J1829">
            <v>1936</v>
          </cell>
        </row>
        <row r="1830">
          <cell r="B1830" t="str">
            <v>신      나</v>
          </cell>
          <cell r="D1830">
            <v>4.8000000000000001E-2</v>
          </cell>
          <cell r="E1830" t="str">
            <v>Liter</v>
          </cell>
          <cell r="I1830">
            <v>2111</v>
          </cell>
          <cell r="J1830">
            <v>101</v>
          </cell>
        </row>
        <row r="1831">
          <cell r="B1831" t="str">
            <v>도  장  공</v>
          </cell>
          <cell r="D1831">
            <v>0.108</v>
          </cell>
          <cell r="E1831" t="str">
            <v>인</v>
          </cell>
          <cell r="G1831">
            <v>63038</v>
          </cell>
          <cell r="H1831">
            <v>6808</v>
          </cell>
        </row>
        <row r="1832">
          <cell r="A1832" t="str">
            <v>종       별</v>
          </cell>
          <cell r="C1832" t="str">
            <v>재 료 또 는</v>
          </cell>
          <cell r="D1832" t="str">
            <v xml:space="preserve">원 수 </v>
          </cell>
          <cell r="E1832" t="str">
            <v>단 위</v>
          </cell>
          <cell r="F1832" t="str">
            <v>총   액</v>
          </cell>
          <cell r="G1832" t="str">
            <v>노   무   비</v>
          </cell>
          <cell r="I1832" t="str">
            <v>재   료   비</v>
          </cell>
          <cell r="K1832" t="str">
            <v>경      비</v>
          </cell>
          <cell r="M1832" t="str">
            <v>비   고</v>
          </cell>
        </row>
        <row r="1833">
          <cell r="C1833" t="str">
            <v xml:space="preserve">규       격 </v>
          </cell>
          <cell r="F1833" t="str">
            <v>금   액</v>
          </cell>
          <cell r="G1833" t="str">
            <v>단  가</v>
          </cell>
          <cell r="H1833" t="str">
            <v>금   액</v>
          </cell>
          <cell r="I1833" t="str">
            <v>단  가</v>
          </cell>
          <cell r="J1833" t="str">
            <v>금   액</v>
          </cell>
          <cell r="K1833" t="str">
            <v>단  가</v>
          </cell>
          <cell r="L1833" t="str">
            <v>금   액</v>
          </cell>
        </row>
        <row r="1834">
          <cell r="B1834" t="str">
            <v>공 구 손 료</v>
          </cell>
          <cell r="C1834" t="str">
            <v>2%</v>
          </cell>
          <cell r="D1834" t="str">
            <v>1</v>
          </cell>
          <cell r="E1834" t="str">
            <v>식</v>
          </cell>
          <cell r="L1834">
            <v>136</v>
          </cell>
        </row>
        <row r="1835">
          <cell r="B1835" t="str">
            <v>소      계</v>
          </cell>
          <cell r="F1835">
            <v>8981</v>
          </cell>
          <cell r="H1835">
            <v>6808</v>
          </cell>
          <cell r="J1835">
            <v>2037</v>
          </cell>
          <cell r="L1835">
            <v>136</v>
          </cell>
        </row>
        <row r="1837">
          <cell r="A1837" t="str">
            <v>4. COVER COATING (280μ)</v>
          </cell>
        </row>
        <row r="1838">
          <cell r="B1838" t="str">
            <v>TAL  EPOXY</v>
          </cell>
          <cell r="D1838">
            <v>0.48299999999999998</v>
          </cell>
          <cell r="E1838" t="str">
            <v>Liter</v>
          </cell>
          <cell r="I1838">
            <v>3570</v>
          </cell>
          <cell r="J1838">
            <v>1724</v>
          </cell>
        </row>
        <row r="1839">
          <cell r="B1839" t="str">
            <v>신      나</v>
          </cell>
          <cell r="D1839">
            <v>4.8000000000000001E-2</v>
          </cell>
          <cell r="E1839" t="str">
            <v>Liter</v>
          </cell>
          <cell r="I1839">
            <v>2111</v>
          </cell>
          <cell r="J1839">
            <v>101</v>
          </cell>
        </row>
        <row r="1840">
          <cell r="B1840" t="str">
            <v>도  장  공</v>
          </cell>
          <cell r="D1840">
            <v>0.108</v>
          </cell>
          <cell r="E1840" t="str">
            <v>인</v>
          </cell>
          <cell r="G1840">
            <v>63038</v>
          </cell>
          <cell r="H1840">
            <v>6808</v>
          </cell>
        </row>
        <row r="1841">
          <cell r="B1841" t="str">
            <v>공 구 손 료</v>
          </cell>
          <cell r="C1841" t="str">
            <v>2%</v>
          </cell>
          <cell r="D1841" t="str">
            <v>1</v>
          </cell>
          <cell r="E1841" t="str">
            <v>식</v>
          </cell>
          <cell r="L1841">
            <v>136</v>
          </cell>
        </row>
        <row r="1843">
          <cell r="B1843" t="str">
            <v>소      계</v>
          </cell>
          <cell r="F1843">
            <v>8769</v>
          </cell>
          <cell r="H1843">
            <v>6808</v>
          </cell>
          <cell r="J1843">
            <v>1825</v>
          </cell>
          <cell r="L1843">
            <v>136</v>
          </cell>
        </row>
        <row r="1845">
          <cell r="A1845" t="str">
            <v>5. 방 오 도 료</v>
          </cell>
        </row>
        <row r="1846">
          <cell r="B1846" t="str">
            <v>방 오 도 료</v>
          </cell>
          <cell r="D1846">
            <v>0.154</v>
          </cell>
          <cell r="E1846" t="str">
            <v>Liter</v>
          </cell>
          <cell r="I1846">
            <v>9231</v>
          </cell>
          <cell r="J1846">
            <v>1421</v>
          </cell>
        </row>
        <row r="1847">
          <cell r="B1847" t="str">
            <v>신      나(ANTI FOULING)</v>
          </cell>
          <cell r="D1847">
            <v>8.0000000000000002E-3</v>
          </cell>
          <cell r="E1847" t="str">
            <v>Liter</v>
          </cell>
          <cell r="I1847">
            <v>1530</v>
          </cell>
          <cell r="J1847">
            <v>12</v>
          </cell>
        </row>
        <row r="1848">
          <cell r="B1848" t="str">
            <v>도  장  공</v>
          </cell>
          <cell r="D1848">
            <v>0.3</v>
          </cell>
          <cell r="E1848" t="str">
            <v>인</v>
          </cell>
          <cell r="G1848">
            <v>63038</v>
          </cell>
          <cell r="H1848">
            <v>18911</v>
          </cell>
        </row>
        <row r="1849">
          <cell r="B1849" t="str">
            <v>공 구 손 료</v>
          </cell>
          <cell r="C1849" t="str">
            <v>2%</v>
          </cell>
          <cell r="D1849" t="str">
            <v>1</v>
          </cell>
          <cell r="E1849" t="str">
            <v>식</v>
          </cell>
          <cell r="L1849">
            <v>378</v>
          </cell>
        </row>
        <row r="1850">
          <cell r="B1850" t="str">
            <v>소      계</v>
          </cell>
          <cell r="F1850">
            <v>20722</v>
          </cell>
          <cell r="H1850">
            <v>18911</v>
          </cell>
          <cell r="J1850">
            <v>1433</v>
          </cell>
          <cell r="L1850">
            <v>378</v>
          </cell>
        </row>
        <row r="1861">
          <cell r="B1861" t="str">
            <v>신공법 도장방식을 채택할 경우</v>
          </cell>
          <cell r="F1861" t="str">
            <v>도 장 비 (M²당) 일 위 대 가</v>
          </cell>
        </row>
        <row r="1862">
          <cell r="E1862" t="str">
            <v xml:space="preserve"> </v>
          </cell>
        </row>
        <row r="1863">
          <cell r="A1863" t="str">
            <v>종       별</v>
          </cell>
          <cell r="C1863" t="str">
            <v>재 료 또 는</v>
          </cell>
          <cell r="D1863" t="str">
            <v xml:space="preserve">원 수 </v>
          </cell>
          <cell r="E1863" t="str">
            <v>단 위</v>
          </cell>
          <cell r="F1863" t="str">
            <v>총   액</v>
          </cell>
          <cell r="G1863" t="str">
            <v>노   무   비</v>
          </cell>
          <cell r="I1863" t="str">
            <v>재   료   비</v>
          </cell>
          <cell r="K1863" t="str">
            <v>경      비</v>
          </cell>
          <cell r="M1863" t="str">
            <v>비   고</v>
          </cell>
        </row>
        <row r="1864">
          <cell r="C1864" t="str">
            <v xml:space="preserve">규       격 </v>
          </cell>
          <cell r="F1864" t="str">
            <v>금   액</v>
          </cell>
          <cell r="G1864" t="str">
            <v>단  가</v>
          </cell>
          <cell r="H1864" t="str">
            <v>금   액</v>
          </cell>
          <cell r="I1864" t="str">
            <v>단  가</v>
          </cell>
          <cell r="J1864" t="str">
            <v>금   액</v>
          </cell>
          <cell r="K1864" t="str">
            <v>단  가</v>
          </cell>
          <cell r="L1864" t="str">
            <v>금   액</v>
          </cell>
        </row>
        <row r="1865">
          <cell r="A1865" t="str">
            <v>1. 전처리 ( 육상용 ) (WATER SAND JET 공법) : BLAST CLEANINING  SA 2½</v>
          </cell>
        </row>
        <row r="1866">
          <cell r="B1866" t="str">
            <v>WATER JET</v>
          </cell>
          <cell r="C1866" t="str">
            <v>500 KG/㎡</v>
          </cell>
          <cell r="D1866">
            <v>1</v>
          </cell>
          <cell r="E1866" t="str">
            <v>㎡</v>
          </cell>
          <cell r="K1866">
            <v>1400</v>
          </cell>
          <cell r="L1866">
            <v>1400</v>
          </cell>
        </row>
        <row r="1867">
          <cell r="B1867" t="str">
            <v>시 리 카</v>
          </cell>
          <cell r="D1867">
            <v>10</v>
          </cell>
          <cell r="E1867" t="str">
            <v>kg</v>
          </cell>
          <cell r="I1867">
            <v>130</v>
          </cell>
          <cell r="J1867">
            <v>1300</v>
          </cell>
        </row>
        <row r="1868">
          <cell r="B1868" t="str">
            <v>경    유</v>
          </cell>
          <cell r="D1868">
            <v>4</v>
          </cell>
          <cell r="E1868" t="str">
            <v>L</v>
          </cell>
          <cell r="I1868">
            <v>526.4</v>
          </cell>
          <cell r="J1868">
            <v>2105</v>
          </cell>
        </row>
        <row r="1869">
          <cell r="B1869" t="str">
            <v>특별인부</v>
          </cell>
          <cell r="D1869">
            <v>0.1</v>
          </cell>
          <cell r="E1869" t="str">
            <v>인</v>
          </cell>
          <cell r="G1869">
            <v>57379</v>
          </cell>
          <cell r="H1869">
            <v>5737</v>
          </cell>
        </row>
        <row r="1870">
          <cell r="B1870" t="str">
            <v>보통인부</v>
          </cell>
          <cell r="D1870">
            <v>0.08</v>
          </cell>
          <cell r="E1870" t="str">
            <v>"</v>
          </cell>
          <cell r="G1870">
            <v>37736</v>
          </cell>
          <cell r="H1870">
            <v>3018</v>
          </cell>
        </row>
        <row r="1871">
          <cell r="B1871" t="str">
            <v>공구손료</v>
          </cell>
          <cell r="C1871" t="str">
            <v>10 %</v>
          </cell>
          <cell r="D1871" t="str">
            <v>1</v>
          </cell>
          <cell r="E1871" t="str">
            <v>식</v>
          </cell>
          <cell r="L1871">
            <v>875</v>
          </cell>
          <cell r="M1871" t="str">
            <v>열풍기,발청억</v>
          </cell>
        </row>
        <row r="1872">
          <cell r="B1872" t="str">
            <v>소      계</v>
          </cell>
          <cell r="F1872">
            <v>14435</v>
          </cell>
          <cell r="H1872">
            <v>8755</v>
          </cell>
          <cell r="J1872">
            <v>3405</v>
          </cell>
          <cell r="L1872">
            <v>2275</v>
          </cell>
        </row>
        <row r="1874">
          <cell r="A1874" t="str">
            <v>2. 전처리 ( 수중용 ) (WATER SAND JET 공법) : BLAST CLEANINING  ST 2</v>
          </cell>
        </row>
        <row r="1875">
          <cell r="B1875" t="str">
            <v>WATER JET</v>
          </cell>
          <cell r="C1875" t="str">
            <v>500 KG/㎡</v>
          </cell>
          <cell r="D1875">
            <v>1</v>
          </cell>
          <cell r="E1875" t="str">
            <v>㎡</v>
          </cell>
          <cell r="K1875">
            <v>2000</v>
          </cell>
          <cell r="L1875">
            <v>2000</v>
          </cell>
        </row>
        <row r="1876">
          <cell r="B1876" t="str">
            <v>시 리 카</v>
          </cell>
          <cell r="D1876">
            <v>10</v>
          </cell>
          <cell r="E1876" t="str">
            <v>kg</v>
          </cell>
          <cell r="I1876">
            <v>130</v>
          </cell>
          <cell r="J1876">
            <v>1300</v>
          </cell>
        </row>
        <row r="1877">
          <cell r="B1877" t="str">
            <v>경    유</v>
          </cell>
          <cell r="D1877">
            <v>6</v>
          </cell>
          <cell r="E1877" t="str">
            <v>L</v>
          </cell>
          <cell r="I1877">
            <v>526.4</v>
          </cell>
          <cell r="J1877">
            <v>3158</v>
          </cell>
        </row>
        <row r="1878">
          <cell r="B1878" t="str">
            <v>잠 수 부</v>
          </cell>
          <cell r="D1878">
            <v>0.7</v>
          </cell>
          <cell r="E1878" t="str">
            <v>인</v>
          </cell>
          <cell r="G1878">
            <v>81832</v>
          </cell>
          <cell r="H1878">
            <v>57282</v>
          </cell>
        </row>
        <row r="1879">
          <cell r="B1879" t="str">
            <v>보통인부</v>
          </cell>
          <cell r="D1879">
            <v>0.7</v>
          </cell>
          <cell r="E1879" t="str">
            <v>"</v>
          </cell>
          <cell r="G1879">
            <v>37736</v>
          </cell>
          <cell r="H1879">
            <v>26415</v>
          </cell>
        </row>
        <row r="1880">
          <cell r="B1880" t="str">
            <v>선    부</v>
          </cell>
          <cell r="D1880">
            <v>0.7</v>
          </cell>
          <cell r="E1880" t="str">
            <v>"</v>
          </cell>
          <cell r="G1880">
            <v>40088</v>
          </cell>
          <cell r="H1880">
            <v>28061</v>
          </cell>
        </row>
        <row r="1881">
          <cell r="B1881" t="str">
            <v>도선임대료</v>
          </cell>
          <cell r="D1881" t="str">
            <v>1</v>
          </cell>
          <cell r="E1881" t="str">
            <v>식</v>
          </cell>
          <cell r="L1881">
            <v>12000</v>
          </cell>
        </row>
        <row r="1882">
          <cell r="B1882" t="str">
            <v>공구손료</v>
          </cell>
          <cell r="C1882" t="str">
            <v>10 %</v>
          </cell>
          <cell r="D1882" t="str">
            <v>1</v>
          </cell>
          <cell r="E1882" t="str">
            <v>식</v>
          </cell>
          <cell r="L1882">
            <v>11175</v>
          </cell>
          <cell r="M1882" t="str">
            <v>열풍기,발청억</v>
          </cell>
        </row>
        <row r="1883">
          <cell r="B1883" t="str">
            <v>소      계</v>
          </cell>
          <cell r="F1883">
            <v>141391</v>
          </cell>
          <cell r="H1883">
            <v>111758</v>
          </cell>
          <cell r="J1883">
            <v>4458</v>
          </cell>
          <cell r="L1883">
            <v>25175</v>
          </cell>
        </row>
        <row r="1884">
          <cell r="F1884" t="str">
            <v xml:space="preserve"> </v>
          </cell>
        </row>
        <row r="1885">
          <cell r="A1885" t="str">
            <v>3. 도장 SYSTEM 1 : 상시 물속에 잠기는 구조물</v>
          </cell>
        </row>
        <row r="1886">
          <cell r="B1886" t="str">
            <v xml:space="preserve">소지처리 </v>
          </cell>
          <cell r="C1886" t="str">
            <v>BLASTING 작업으로서 SIS Sa2½ 이상</v>
          </cell>
        </row>
        <row r="1887">
          <cell r="B1887" t="str">
            <v>하    도</v>
          </cell>
          <cell r="C1887" t="str">
            <v>무기질 징크리치 푸라이머</v>
          </cell>
          <cell r="F1887" t="str">
            <v xml:space="preserve"> 75 μ</v>
          </cell>
        </row>
        <row r="1888">
          <cell r="B1888" t="str">
            <v>중    도</v>
          </cell>
          <cell r="C1888" t="str">
            <v>중도용 엑폭시 수지도료</v>
          </cell>
          <cell r="F1888" t="str">
            <v xml:space="preserve"> 45 μ</v>
          </cell>
        </row>
        <row r="1889">
          <cell r="B1889" t="str">
            <v>상    도</v>
          </cell>
          <cell r="C1889" t="str">
            <v>상도용 엑폭시</v>
          </cell>
          <cell r="F1889" t="str">
            <v>400 μ</v>
          </cell>
        </row>
        <row r="1890">
          <cell r="A1890" t="str">
            <v>종       별</v>
          </cell>
          <cell r="C1890" t="str">
            <v>재 료 또 는</v>
          </cell>
          <cell r="D1890" t="str">
            <v xml:space="preserve">원 수 </v>
          </cell>
          <cell r="E1890" t="str">
            <v>단 위</v>
          </cell>
          <cell r="F1890" t="str">
            <v>총   액</v>
          </cell>
          <cell r="G1890" t="str">
            <v>노   무   비</v>
          </cell>
          <cell r="I1890" t="str">
            <v>재   료   비</v>
          </cell>
          <cell r="K1890" t="str">
            <v>경      비</v>
          </cell>
          <cell r="M1890" t="str">
            <v>비   고</v>
          </cell>
        </row>
        <row r="1891">
          <cell r="C1891" t="str">
            <v xml:space="preserve">규       격 </v>
          </cell>
          <cell r="F1891" t="str">
            <v>금   액</v>
          </cell>
          <cell r="G1891" t="str">
            <v>단  가</v>
          </cell>
          <cell r="H1891" t="str">
            <v>금   액</v>
          </cell>
          <cell r="I1891" t="str">
            <v>단  가</v>
          </cell>
          <cell r="J1891" t="str">
            <v>금   액</v>
          </cell>
          <cell r="K1891" t="str">
            <v>단  가</v>
          </cell>
          <cell r="L1891" t="str">
            <v>금   액</v>
          </cell>
        </row>
        <row r="1892">
          <cell r="A1892" t="str">
            <v>공사비 산출</v>
          </cell>
          <cell r="F1892" t="str">
            <v xml:space="preserve"> </v>
          </cell>
        </row>
        <row r="1893">
          <cell r="B1893" t="str">
            <v>무기질 징크리치 푸라이머</v>
          </cell>
          <cell r="D1893">
            <v>0.2</v>
          </cell>
          <cell r="E1893" t="str">
            <v>L</v>
          </cell>
          <cell r="F1893" t="str">
            <v xml:space="preserve"> </v>
          </cell>
          <cell r="I1893">
            <v>7945</v>
          </cell>
          <cell r="J1893">
            <v>1589</v>
          </cell>
        </row>
        <row r="1894">
          <cell r="B1894" t="str">
            <v>중도용 엑폭시 수지도료</v>
          </cell>
          <cell r="D1894">
            <v>0.2</v>
          </cell>
          <cell r="E1894" t="str">
            <v>L</v>
          </cell>
          <cell r="F1894" t="str">
            <v xml:space="preserve"> </v>
          </cell>
          <cell r="I1894">
            <v>7500</v>
          </cell>
          <cell r="J1894">
            <v>1500</v>
          </cell>
        </row>
        <row r="1895">
          <cell r="B1895" t="str">
            <v>상도용 엑폭시</v>
          </cell>
          <cell r="D1895">
            <v>0.68</v>
          </cell>
          <cell r="E1895" t="str">
            <v>L</v>
          </cell>
          <cell r="F1895" t="str">
            <v xml:space="preserve"> </v>
          </cell>
          <cell r="I1895">
            <v>18000</v>
          </cell>
          <cell r="J1895">
            <v>12240</v>
          </cell>
        </row>
        <row r="1896">
          <cell r="B1896" t="str">
            <v>희 석 제</v>
          </cell>
          <cell r="D1896">
            <v>0.3</v>
          </cell>
          <cell r="E1896" t="str">
            <v>L</v>
          </cell>
          <cell r="F1896" t="str">
            <v xml:space="preserve"> </v>
          </cell>
          <cell r="I1896">
            <v>2111</v>
          </cell>
          <cell r="J1896">
            <v>633</v>
          </cell>
        </row>
        <row r="1897">
          <cell r="B1897" t="str">
            <v>도  장  공</v>
          </cell>
          <cell r="D1897">
            <v>0.1</v>
          </cell>
          <cell r="E1897" t="str">
            <v>인</v>
          </cell>
          <cell r="F1897" t="str">
            <v xml:space="preserve"> </v>
          </cell>
          <cell r="G1897">
            <v>63038</v>
          </cell>
          <cell r="H1897">
            <v>6303</v>
          </cell>
        </row>
        <row r="1898">
          <cell r="B1898" t="str">
            <v>보 통 인 부</v>
          </cell>
          <cell r="D1898">
            <v>0.1</v>
          </cell>
          <cell r="E1898" t="str">
            <v>인</v>
          </cell>
          <cell r="F1898" t="str">
            <v xml:space="preserve"> </v>
          </cell>
          <cell r="G1898">
            <v>37736</v>
          </cell>
          <cell r="H1898">
            <v>3773</v>
          </cell>
        </row>
        <row r="1899">
          <cell r="B1899" t="str">
            <v>공 구 손 료</v>
          </cell>
          <cell r="C1899" t="str">
            <v>노임의 2%</v>
          </cell>
          <cell r="D1899" t="str">
            <v>1</v>
          </cell>
          <cell r="E1899" t="str">
            <v>식</v>
          </cell>
          <cell r="F1899" t="str">
            <v xml:space="preserve"> </v>
          </cell>
          <cell r="L1899">
            <v>201</v>
          </cell>
        </row>
        <row r="1900">
          <cell r="B1900" t="str">
            <v>소      계</v>
          </cell>
          <cell r="F1900">
            <v>26239</v>
          </cell>
          <cell r="H1900">
            <v>10076</v>
          </cell>
          <cell r="J1900">
            <v>15962</v>
          </cell>
          <cell r="L1900">
            <v>201</v>
          </cell>
        </row>
        <row r="1901">
          <cell r="F1901" t="str">
            <v xml:space="preserve"> </v>
          </cell>
        </row>
        <row r="1902">
          <cell r="A1902" t="str">
            <v>4. 도장 SYSTEM 2 : 해수 가까이 상시 노출되어있는 구조물</v>
          </cell>
        </row>
        <row r="1903">
          <cell r="B1903" t="str">
            <v xml:space="preserve">소지처리 </v>
          </cell>
          <cell r="C1903" t="str">
            <v>BLASTING 작업으로서 SIS Sa2½ 이상</v>
          </cell>
        </row>
        <row r="1904">
          <cell r="B1904" t="str">
            <v>하    도</v>
          </cell>
          <cell r="C1904" t="str">
            <v>무기질 징크리치 푸라이머</v>
          </cell>
          <cell r="F1904" t="str">
            <v xml:space="preserve"> 75 μ</v>
          </cell>
        </row>
        <row r="1905">
          <cell r="B1905" t="str">
            <v>중    도 1</v>
          </cell>
          <cell r="C1905" t="str">
            <v>중도용 엑폭시 수지도료</v>
          </cell>
          <cell r="F1905" t="str">
            <v xml:space="preserve"> 45 μ</v>
          </cell>
        </row>
        <row r="1906">
          <cell r="B1906" t="str">
            <v>중    도 2</v>
          </cell>
          <cell r="C1906" t="str">
            <v>중도용 엑폭시 수지도료</v>
          </cell>
          <cell r="F1906" t="str">
            <v>355 μ</v>
          </cell>
        </row>
        <row r="1907">
          <cell r="B1907" t="str">
            <v>상    도</v>
          </cell>
          <cell r="C1907" t="str">
            <v>상도용 엑폭시</v>
          </cell>
          <cell r="F1907" t="str">
            <v xml:space="preserve"> 45 μ</v>
          </cell>
        </row>
        <row r="1908">
          <cell r="F1908" t="str">
            <v xml:space="preserve"> </v>
          </cell>
        </row>
        <row r="1909">
          <cell r="A1909" t="str">
            <v>공사비 산출</v>
          </cell>
          <cell r="F1909" t="str">
            <v xml:space="preserve"> </v>
          </cell>
        </row>
        <row r="1910">
          <cell r="B1910" t="str">
            <v>무기질 징크리치 푸라이머</v>
          </cell>
          <cell r="D1910">
            <v>0.2</v>
          </cell>
          <cell r="E1910" t="str">
            <v>L</v>
          </cell>
          <cell r="F1910" t="str">
            <v xml:space="preserve"> </v>
          </cell>
          <cell r="I1910">
            <v>7945</v>
          </cell>
          <cell r="J1910">
            <v>1589</v>
          </cell>
        </row>
        <row r="1911">
          <cell r="B1911" t="str">
            <v>중도용 엑폭시 수지도료 1</v>
          </cell>
          <cell r="D1911">
            <v>0.2</v>
          </cell>
          <cell r="E1911" t="str">
            <v>L</v>
          </cell>
          <cell r="F1911" t="str">
            <v xml:space="preserve"> </v>
          </cell>
          <cell r="I1911">
            <v>7500</v>
          </cell>
          <cell r="J1911">
            <v>1500</v>
          </cell>
        </row>
        <row r="1912">
          <cell r="B1912" t="str">
            <v>중도용 엑폭시 수지도료 2</v>
          </cell>
          <cell r="D1912">
            <v>0.6</v>
          </cell>
          <cell r="E1912" t="str">
            <v>L</v>
          </cell>
          <cell r="F1912" t="str">
            <v xml:space="preserve"> </v>
          </cell>
          <cell r="I1912">
            <v>18000</v>
          </cell>
          <cell r="J1912">
            <v>10800</v>
          </cell>
        </row>
        <row r="1913">
          <cell r="B1913" t="str">
            <v>상도용 엑폭시</v>
          </cell>
          <cell r="D1913">
            <v>0.2</v>
          </cell>
          <cell r="E1913" t="str">
            <v>L</v>
          </cell>
          <cell r="F1913" t="str">
            <v xml:space="preserve"> </v>
          </cell>
          <cell r="I1913">
            <v>5900</v>
          </cell>
          <cell r="J1913">
            <v>1180</v>
          </cell>
        </row>
        <row r="1914">
          <cell r="B1914" t="str">
            <v>희 석 제</v>
          </cell>
          <cell r="D1914">
            <v>0.36</v>
          </cell>
          <cell r="E1914" t="str">
            <v>L</v>
          </cell>
          <cell r="F1914" t="str">
            <v xml:space="preserve"> </v>
          </cell>
          <cell r="I1914">
            <v>2111</v>
          </cell>
          <cell r="J1914">
            <v>759</v>
          </cell>
        </row>
        <row r="1915">
          <cell r="B1915" t="str">
            <v>도  장  공</v>
          </cell>
          <cell r="D1915">
            <v>0.13</v>
          </cell>
          <cell r="E1915" t="str">
            <v>인</v>
          </cell>
          <cell r="F1915" t="str">
            <v xml:space="preserve"> </v>
          </cell>
          <cell r="G1915">
            <v>63038</v>
          </cell>
          <cell r="H1915">
            <v>8194</v>
          </cell>
        </row>
        <row r="1916">
          <cell r="B1916" t="str">
            <v>보 통 인 부</v>
          </cell>
          <cell r="D1916">
            <v>0.13</v>
          </cell>
          <cell r="E1916" t="str">
            <v>인</v>
          </cell>
          <cell r="F1916" t="str">
            <v xml:space="preserve"> </v>
          </cell>
          <cell r="G1916">
            <v>37736</v>
          </cell>
          <cell r="H1916">
            <v>4905</v>
          </cell>
        </row>
        <row r="1917">
          <cell r="B1917" t="str">
            <v>공 구 손 료</v>
          </cell>
          <cell r="C1917" t="str">
            <v>노임의 2%</v>
          </cell>
          <cell r="D1917" t="str">
            <v>1</v>
          </cell>
          <cell r="E1917" t="str">
            <v>식</v>
          </cell>
          <cell r="F1917" t="str">
            <v xml:space="preserve"> </v>
          </cell>
          <cell r="L1917">
            <v>261</v>
          </cell>
        </row>
        <row r="1918">
          <cell r="B1918" t="str">
            <v>소      계</v>
          </cell>
          <cell r="F1918">
            <v>29188</v>
          </cell>
          <cell r="H1918">
            <v>13099</v>
          </cell>
          <cell r="J1918">
            <v>15828</v>
          </cell>
          <cell r="L1918">
            <v>261</v>
          </cell>
        </row>
        <row r="1919">
          <cell r="A1919" t="str">
            <v>종       별</v>
          </cell>
          <cell r="C1919" t="str">
            <v>재 료 또 는</v>
          </cell>
          <cell r="D1919" t="str">
            <v xml:space="preserve">원 수 </v>
          </cell>
          <cell r="E1919" t="str">
            <v>단 위</v>
          </cell>
          <cell r="F1919" t="str">
            <v>총   액</v>
          </cell>
          <cell r="G1919" t="str">
            <v>노   무   비</v>
          </cell>
          <cell r="I1919" t="str">
            <v>재   료   비</v>
          </cell>
          <cell r="K1919" t="str">
            <v>경      비</v>
          </cell>
          <cell r="M1919" t="str">
            <v>비   고</v>
          </cell>
        </row>
        <row r="1920">
          <cell r="C1920" t="str">
            <v xml:space="preserve">규       격 </v>
          </cell>
          <cell r="F1920" t="str">
            <v>금   액</v>
          </cell>
          <cell r="G1920" t="str">
            <v>단  가</v>
          </cell>
          <cell r="H1920" t="str">
            <v>금   액</v>
          </cell>
          <cell r="I1920" t="str">
            <v>단  가</v>
          </cell>
          <cell r="J1920" t="str">
            <v>금   액</v>
          </cell>
          <cell r="K1920" t="str">
            <v>단  가</v>
          </cell>
          <cell r="L1920" t="str">
            <v>금   액</v>
          </cell>
        </row>
        <row r="1921">
          <cell r="A1921" t="str">
            <v>5. 도장 SYSTEM 3 : 해중에서 작업해야하는 구조물</v>
          </cell>
        </row>
        <row r="1922">
          <cell r="B1922" t="str">
            <v xml:space="preserve">소지처리 </v>
          </cell>
          <cell r="C1922" t="str">
            <v>WATER SAND JET나 WATER JET로써 피도면의 밀스케일등 이물질을 완전 제거하여 SIS ST 2 이상되게 할것.</v>
          </cell>
        </row>
        <row r="1923">
          <cell r="B1923" t="str">
            <v>하    도</v>
          </cell>
          <cell r="C1923" t="str">
            <v>수중용 엑폭시</v>
          </cell>
          <cell r="F1923" t="str">
            <v>1,000 μ</v>
          </cell>
        </row>
        <row r="1924">
          <cell r="F1924" t="str">
            <v xml:space="preserve"> </v>
          </cell>
        </row>
        <row r="1925">
          <cell r="A1925" t="str">
            <v>공사비 산출</v>
          </cell>
          <cell r="F1925" t="str">
            <v xml:space="preserve"> </v>
          </cell>
        </row>
        <row r="1926">
          <cell r="B1926" t="str">
            <v>상도용 엑폭시</v>
          </cell>
          <cell r="D1926">
            <v>1.74</v>
          </cell>
          <cell r="E1926" t="str">
            <v>L</v>
          </cell>
          <cell r="F1926" t="str">
            <v xml:space="preserve"> </v>
          </cell>
          <cell r="I1926">
            <v>26000</v>
          </cell>
          <cell r="J1926">
            <v>45240</v>
          </cell>
        </row>
        <row r="1927">
          <cell r="B1927" t="str">
            <v>잠  수  부</v>
          </cell>
          <cell r="D1927">
            <v>0.5</v>
          </cell>
          <cell r="E1927" t="str">
            <v>인</v>
          </cell>
          <cell r="F1927" t="str">
            <v xml:space="preserve"> </v>
          </cell>
          <cell r="G1927">
            <v>81832</v>
          </cell>
          <cell r="H1927">
            <v>40916</v>
          </cell>
        </row>
        <row r="1928">
          <cell r="B1928" t="str">
            <v>공 구 손 료</v>
          </cell>
          <cell r="C1928" t="str">
            <v>노임의 2%</v>
          </cell>
          <cell r="D1928" t="str">
            <v>1</v>
          </cell>
          <cell r="E1928" t="str">
            <v>식</v>
          </cell>
          <cell r="F1928" t="str">
            <v xml:space="preserve"> </v>
          </cell>
          <cell r="L1928">
            <v>818</v>
          </cell>
        </row>
        <row r="1929">
          <cell r="B1929" t="str">
            <v>소      계</v>
          </cell>
          <cell r="F1929">
            <v>86974</v>
          </cell>
          <cell r="H1929">
            <v>40916</v>
          </cell>
          <cell r="J1929">
            <v>45240</v>
          </cell>
          <cell r="L1929">
            <v>818</v>
          </cell>
        </row>
        <row r="1930">
          <cell r="F1930" t="str">
            <v xml:space="preserve"> </v>
          </cell>
        </row>
        <row r="1931">
          <cell r="A1931" t="str">
            <v>6. CERAMIC COATING (ATO) 200μ</v>
          </cell>
        </row>
        <row r="1932">
          <cell r="B1932" t="str">
            <v>6-1. 바탕만들기</v>
          </cell>
        </row>
        <row r="1933">
          <cell r="B1933" t="str">
            <v>SNAD</v>
          </cell>
          <cell r="D1933">
            <v>5.0799999999999998E-2</v>
          </cell>
          <cell r="E1933" t="str">
            <v>㎥</v>
          </cell>
          <cell r="F1933">
            <v>355</v>
          </cell>
          <cell r="I1933">
            <v>7000</v>
          </cell>
          <cell r="J1933">
            <v>355</v>
          </cell>
        </row>
        <row r="1934">
          <cell r="B1934" t="str">
            <v>계 령 공</v>
          </cell>
          <cell r="D1934">
            <v>0.05</v>
          </cell>
          <cell r="E1934" t="str">
            <v>인</v>
          </cell>
          <cell r="F1934">
            <v>2096</v>
          </cell>
          <cell r="G1934">
            <v>41937</v>
          </cell>
          <cell r="H1934">
            <v>2096</v>
          </cell>
        </row>
        <row r="1935">
          <cell r="B1935" t="str">
            <v>보 통 인 부</v>
          </cell>
          <cell r="D1935">
            <v>0.1</v>
          </cell>
          <cell r="E1935" t="str">
            <v>인</v>
          </cell>
          <cell r="F1935">
            <v>3773</v>
          </cell>
          <cell r="G1935">
            <v>37736</v>
          </cell>
          <cell r="H1935">
            <v>3773</v>
          </cell>
        </row>
        <row r="1936">
          <cell r="B1936" t="str">
            <v>POWER BRUSH</v>
          </cell>
          <cell r="D1936">
            <v>0.03</v>
          </cell>
          <cell r="E1936" t="str">
            <v>KG</v>
          </cell>
          <cell r="F1936">
            <v>150</v>
          </cell>
          <cell r="I1936">
            <v>5000</v>
          </cell>
          <cell r="J1936">
            <v>150</v>
          </cell>
        </row>
        <row r="1937">
          <cell r="B1937" t="str">
            <v>WIRE BRUSH</v>
          </cell>
          <cell r="D1937">
            <v>1.6E-2</v>
          </cell>
          <cell r="E1937" t="str">
            <v>KG</v>
          </cell>
          <cell r="F1937">
            <v>32</v>
          </cell>
          <cell r="I1937">
            <v>2000</v>
          </cell>
          <cell r="J1937">
            <v>32</v>
          </cell>
        </row>
        <row r="1938">
          <cell r="B1938" t="str">
            <v>기 계 공</v>
          </cell>
          <cell r="D1938">
            <v>0.13300000000000001</v>
          </cell>
          <cell r="E1938" t="str">
            <v>인</v>
          </cell>
          <cell r="F1938">
            <v>7834</v>
          </cell>
          <cell r="G1938">
            <v>58906</v>
          </cell>
          <cell r="H1938">
            <v>7834</v>
          </cell>
        </row>
        <row r="1939">
          <cell r="B1939" t="str">
            <v>조 력 공</v>
          </cell>
          <cell r="D1939">
            <v>0.05</v>
          </cell>
          <cell r="E1939" t="str">
            <v>인</v>
          </cell>
          <cell r="F1939">
            <v>2445</v>
          </cell>
          <cell r="G1939">
            <v>48912</v>
          </cell>
          <cell r="H1939">
            <v>2445</v>
          </cell>
        </row>
        <row r="1940">
          <cell r="B1940" t="str">
            <v>품질관리공(시험사1급)</v>
          </cell>
          <cell r="D1940">
            <v>1.6E-2</v>
          </cell>
          <cell r="E1940" t="str">
            <v>인</v>
          </cell>
          <cell r="F1940">
            <v>765</v>
          </cell>
          <cell r="G1940">
            <v>47867</v>
          </cell>
          <cell r="H1940">
            <v>765</v>
          </cell>
        </row>
        <row r="1941">
          <cell r="B1941" t="str">
            <v>공 구 손 료</v>
          </cell>
          <cell r="C1941" t="str">
            <v>노임의 2%</v>
          </cell>
          <cell r="D1941" t="str">
            <v>1</v>
          </cell>
          <cell r="E1941" t="str">
            <v>식</v>
          </cell>
          <cell r="F1941">
            <v>338</v>
          </cell>
          <cell r="L1941">
            <v>338</v>
          </cell>
        </row>
        <row r="1942">
          <cell r="B1942" t="str">
            <v>소      계</v>
          </cell>
          <cell r="F1942">
            <v>17788</v>
          </cell>
          <cell r="H1942">
            <v>16913</v>
          </cell>
          <cell r="J1942">
            <v>537</v>
          </cell>
          <cell r="L1942">
            <v>338</v>
          </cell>
        </row>
        <row r="1943">
          <cell r="F1943" t="str">
            <v xml:space="preserve"> </v>
          </cell>
        </row>
        <row r="1944">
          <cell r="B1944" t="str">
            <v>6-2. CERAMIC COATING (200μ)</v>
          </cell>
        </row>
        <row r="1945">
          <cell r="B1945" t="str">
            <v>세 척 제</v>
          </cell>
          <cell r="D1945">
            <v>0.05</v>
          </cell>
          <cell r="E1945" t="str">
            <v>통</v>
          </cell>
          <cell r="F1945">
            <v>525</v>
          </cell>
          <cell r="I1945">
            <v>10500</v>
          </cell>
          <cell r="J1945">
            <v>525</v>
          </cell>
        </row>
        <row r="1946">
          <cell r="B1946" t="str">
            <v>세 척 공(보통인부)</v>
          </cell>
          <cell r="D1946">
            <v>1.6E-2</v>
          </cell>
          <cell r="E1946" t="str">
            <v>인</v>
          </cell>
          <cell r="F1946">
            <v>603</v>
          </cell>
          <cell r="G1946">
            <v>37736</v>
          </cell>
          <cell r="H1946">
            <v>603</v>
          </cell>
        </row>
        <row r="1947">
          <cell r="B1947" t="str">
            <v>넝    마</v>
          </cell>
          <cell r="D1947">
            <v>0.01</v>
          </cell>
          <cell r="E1947" t="str">
            <v>KG</v>
          </cell>
          <cell r="F1947">
            <v>13</v>
          </cell>
          <cell r="I1947">
            <v>1363</v>
          </cell>
          <cell r="J1947">
            <v>13</v>
          </cell>
        </row>
        <row r="1948">
          <cell r="A1948" t="str">
            <v>종       별</v>
          </cell>
          <cell r="C1948" t="str">
            <v>재 료 또 는</v>
          </cell>
          <cell r="D1948" t="str">
            <v xml:space="preserve">원 수 </v>
          </cell>
          <cell r="E1948" t="str">
            <v>단 위</v>
          </cell>
          <cell r="F1948" t="str">
            <v>총   액</v>
          </cell>
          <cell r="G1948" t="str">
            <v>노   무   비</v>
          </cell>
          <cell r="I1948" t="str">
            <v>재   료   비</v>
          </cell>
          <cell r="K1948" t="str">
            <v>경      비</v>
          </cell>
          <cell r="M1948" t="str">
            <v>비   고</v>
          </cell>
        </row>
        <row r="1949">
          <cell r="C1949" t="str">
            <v xml:space="preserve">규       격 </v>
          </cell>
          <cell r="F1949" t="str">
            <v>금   액</v>
          </cell>
          <cell r="G1949" t="str">
            <v>단  가</v>
          </cell>
          <cell r="H1949" t="str">
            <v>금   액</v>
          </cell>
          <cell r="I1949" t="str">
            <v>단  가</v>
          </cell>
          <cell r="J1949" t="str">
            <v>금   액</v>
          </cell>
          <cell r="K1949" t="str">
            <v>단  가</v>
          </cell>
          <cell r="L1949" t="str">
            <v>금   액</v>
          </cell>
        </row>
        <row r="1950">
          <cell r="B1950" t="str">
            <v>세라믹코팅제</v>
          </cell>
          <cell r="D1950">
            <v>0.36</v>
          </cell>
          <cell r="E1950" t="str">
            <v>KG</v>
          </cell>
          <cell r="F1950">
            <v>60588</v>
          </cell>
          <cell r="I1950">
            <v>168300</v>
          </cell>
          <cell r="J1950">
            <v>60588</v>
          </cell>
        </row>
        <row r="1951">
          <cell r="B1951" t="str">
            <v>희 석 제</v>
          </cell>
          <cell r="D1951">
            <v>0.188</v>
          </cell>
          <cell r="E1951" t="str">
            <v>통</v>
          </cell>
          <cell r="F1951">
            <v>962</v>
          </cell>
          <cell r="I1951">
            <v>5120</v>
          </cell>
          <cell r="J1951">
            <v>962</v>
          </cell>
        </row>
        <row r="1952">
          <cell r="B1952" t="str">
            <v>도 장 공</v>
          </cell>
          <cell r="D1952">
            <v>6.6000000000000003E-2</v>
          </cell>
          <cell r="E1952" t="str">
            <v>인</v>
          </cell>
          <cell r="F1952">
            <v>4160</v>
          </cell>
          <cell r="G1952">
            <v>63038</v>
          </cell>
          <cell r="H1952">
            <v>4160</v>
          </cell>
        </row>
        <row r="1953">
          <cell r="B1953" t="str">
            <v>규    사</v>
          </cell>
          <cell r="D1953">
            <v>3.5999999999999997E-2</v>
          </cell>
          <cell r="E1953" t="str">
            <v>㎥</v>
          </cell>
          <cell r="F1953">
            <v>900</v>
          </cell>
          <cell r="I1953">
            <v>25000</v>
          </cell>
          <cell r="J1953">
            <v>900</v>
          </cell>
        </row>
        <row r="1954">
          <cell r="B1954" t="str">
            <v>장비사용료</v>
          </cell>
          <cell r="C1954" t="str">
            <v>TRUCK CRANE 
40TON x 2대</v>
          </cell>
          <cell r="D1954">
            <v>0.02</v>
          </cell>
          <cell r="E1954" t="str">
            <v>HR</v>
          </cell>
          <cell r="F1954">
            <v>3317</v>
          </cell>
          <cell r="G1954">
            <v>37230</v>
          </cell>
          <cell r="H1954">
            <v>744</v>
          </cell>
          <cell r="I1954">
            <v>17460</v>
          </cell>
          <cell r="J1954">
            <v>349</v>
          </cell>
          <cell r="K1954">
            <v>111242</v>
          </cell>
          <cell r="L1954">
            <v>2224</v>
          </cell>
        </row>
        <row r="1955">
          <cell r="B1955" t="str">
            <v>공 구 손 료</v>
          </cell>
          <cell r="C1955" t="str">
            <v>노임의 2%</v>
          </cell>
          <cell r="D1955">
            <v>1</v>
          </cell>
          <cell r="E1955" t="str">
            <v>식</v>
          </cell>
          <cell r="F1955">
            <v>110</v>
          </cell>
          <cell r="L1955">
            <v>110</v>
          </cell>
        </row>
        <row r="1956">
          <cell r="B1956" t="str">
            <v>소     계</v>
          </cell>
          <cell r="F1956">
            <v>71178</v>
          </cell>
          <cell r="H1956">
            <v>5507</v>
          </cell>
          <cell r="J1956">
            <v>63337</v>
          </cell>
          <cell r="L1956">
            <v>2334</v>
          </cell>
        </row>
        <row r="1958">
          <cell r="B1958" t="str">
            <v>합     계</v>
          </cell>
          <cell r="F1958">
            <v>88966</v>
          </cell>
          <cell r="H1958">
            <v>22420</v>
          </cell>
          <cell r="J1958">
            <v>63874</v>
          </cell>
          <cell r="L1958">
            <v>2672</v>
          </cell>
        </row>
        <row r="1971">
          <cell r="F1971" t="str">
            <v xml:space="preserve"> </v>
          </cell>
        </row>
        <row r="1976">
          <cell r="E1976" t="str">
            <v xml:space="preserve"> </v>
          </cell>
          <cell r="F1976" t="str">
            <v>S.T.S 잡철물 제작,설치(SCREEN등)</v>
          </cell>
        </row>
        <row r="1977">
          <cell r="E1977" t="str">
            <v xml:space="preserve"> </v>
          </cell>
        </row>
        <row r="1978">
          <cell r="A1978" t="str">
            <v>종       별</v>
          </cell>
          <cell r="C1978" t="str">
            <v>재 료 또 는</v>
          </cell>
          <cell r="D1978" t="str">
            <v xml:space="preserve">원 수 </v>
          </cell>
          <cell r="E1978" t="str">
            <v>단 위</v>
          </cell>
          <cell r="F1978" t="str">
            <v>총   액</v>
          </cell>
          <cell r="G1978" t="str">
            <v>노   무   비</v>
          </cell>
          <cell r="I1978" t="str">
            <v>재   료   비</v>
          </cell>
          <cell r="K1978" t="str">
            <v>경      비</v>
          </cell>
          <cell r="M1978" t="str">
            <v>비   고</v>
          </cell>
        </row>
        <row r="1979">
          <cell r="C1979" t="str">
            <v xml:space="preserve">규       격 </v>
          </cell>
          <cell r="F1979" t="str">
            <v>금   액</v>
          </cell>
          <cell r="G1979" t="str">
            <v>단  가</v>
          </cell>
          <cell r="H1979" t="str">
            <v>금   액</v>
          </cell>
          <cell r="I1979" t="str">
            <v>단  가</v>
          </cell>
          <cell r="J1979" t="str">
            <v>금   액</v>
          </cell>
          <cell r="K1979" t="str">
            <v>단  가</v>
          </cell>
          <cell r="L1979" t="str">
            <v>금   액</v>
          </cell>
        </row>
        <row r="1980">
          <cell r="A1980" t="str">
            <v>용  접  봉</v>
          </cell>
          <cell r="C1980" t="str">
            <v>AWSE 306-16 4Φ</v>
          </cell>
          <cell r="D1980">
            <v>18.48</v>
          </cell>
          <cell r="E1980" t="str">
            <v>KG</v>
          </cell>
          <cell r="I1980">
            <v>5460</v>
          </cell>
          <cell r="J1980">
            <v>100900</v>
          </cell>
        </row>
        <row r="1981">
          <cell r="A1981" t="str">
            <v>산      소</v>
          </cell>
          <cell r="C1981" t="str">
            <v>6,000L</v>
          </cell>
          <cell r="D1981">
            <v>1.05</v>
          </cell>
          <cell r="E1981" t="str">
            <v>병</v>
          </cell>
          <cell r="I1981">
            <v>12000</v>
          </cell>
          <cell r="J1981">
            <v>12600</v>
          </cell>
        </row>
        <row r="1982">
          <cell r="A1982" t="str">
            <v>아 세 치 렌</v>
          </cell>
          <cell r="C1982" t="str">
            <v>4,500L</v>
          </cell>
          <cell r="D1982">
            <v>2.8</v>
          </cell>
          <cell r="E1982" t="str">
            <v>KG</v>
          </cell>
          <cell r="I1982">
            <v>10500</v>
          </cell>
          <cell r="J1982">
            <v>29400</v>
          </cell>
        </row>
        <row r="1983">
          <cell r="A1983" t="str">
            <v>철      공</v>
          </cell>
          <cell r="D1983">
            <v>27.65</v>
          </cell>
          <cell r="E1983" t="str">
            <v>인</v>
          </cell>
          <cell r="G1983">
            <v>72430</v>
          </cell>
          <cell r="H1983">
            <v>2002689</v>
          </cell>
        </row>
        <row r="1984">
          <cell r="A1984" t="str">
            <v>비  계   공</v>
          </cell>
          <cell r="D1984">
            <v>4.71</v>
          </cell>
          <cell r="E1984" t="str">
            <v>인</v>
          </cell>
          <cell r="G1984">
            <v>79467</v>
          </cell>
          <cell r="H1984">
            <v>374289</v>
          </cell>
        </row>
        <row r="1986">
          <cell r="A1986" t="str">
            <v>보 통 인 부</v>
          </cell>
          <cell r="D1986">
            <v>0.66</v>
          </cell>
          <cell r="E1986" t="str">
            <v>인</v>
          </cell>
          <cell r="G1986">
            <v>37736</v>
          </cell>
          <cell r="H1986">
            <v>24905</v>
          </cell>
        </row>
        <row r="1987">
          <cell r="A1987" t="str">
            <v>용  접  공</v>
          </cell>
          <cell r="D1987">
            <v>2.6</v>
          </cell>
          <cell r="E1987" t="str">
            <v>인</v>
          </cell>
          <cell r="G1987">
            <v>74016</v>
          </cell>
          <cell r="H1987">
            <v>192441</v>
          </cell>
        </row>
        <row r="1988">
          <cell r="A1988" t="str">
            <v>특 별 인 부</v>
          </cell>
          <cell r="D1988">
            <v>0.74</v>
          </cell>
          <cell r="E1988" t="str">
            <v>인</v>
          </cell>
          <cell r="G1988">
            <v>57379</v>
          </cell>
          <cell r="H1988">
            <v>42460</v>
          </cell>
        </row>
        <row r="1989">
          <cell r="A1989" t="str">
            <v>용접기 손료</v>
          </cell>
          <cell r="D1989">
            <v>20.83</v>
          </cell>
          <cell r="E1989" t="str">
            <v>Hr</v>
          </cell>
          <cell r="K1989">
            <v>155</v>
          </cell>
          <cell r="L1989">
            <v>3228</v>
          </cell>
        </row>
        <row r="1990">
          <cell r="A1990" t="str">
            <v>전력 소요량</v>
          </cell>
          <cell r="D1990">
            <v>126</v>
          </cell>
          <cell r="E1990" t="str">
            <v>KWH</v>
          </cell>
          <cell r="K1990">
            <v>61.6</v>
          </cell>
          <cell r="L1990">
            <v>7761</v>
          </cell>
        </row>
        <row r="1991">
          <cell r="A1991" t="str">
            <v>공 구 손 료</v>
          </cell>
          <cell r="C1991" t="str">
            <v>인건비의 3%</v>
          </cell>
          <cell r="L1991">
            <v>79103</v>
          </cell>
        </row>
        <row r="1993">
          <cell r="A1993" t="str">
            <v>소    계</v>
          </cell>
          <cell r="F1993">
            <v>2869776</v>
          </cell>
          <cell r="H1993">
            <v>2636784</v>
          </cell>
          <cell r="J1993">
            <v>142900</v>
          </cell>
          <cell r="L1993">
            <v>90092</v>
          </cell>
        </row>
        <row r="1995">
          <cell r="A1995" t="str">
            <v>계 ( 간단한구조 )</v>
          </cell>
          <cell r="C1995" t="str">
            <v>100 %</v>
          </cell>
          <cell r="F1995">
            <v>2869776</v>
          </cell>
          <cell r="H1995">
            <v>2636784</v>
          </cell>
          <cell r="J1995">
            <v>142900</v>
          </cell>
          <cell r="L1995">
            <v>90092</v>
          </cell>
        </row>
        <row r="1997">
          <cell r="A1997" t="str">
            <v>계 ( 복잡한구조 )</v>
          </cell>
          <cell r="C1997" t="str">
            <v>140 %</v>
          </cell>
          <cell r="F1997">
            <v>4017685</v>
          </cell>
          <cell r="H1997">
            <v>3691497</v>
          </cell>
          <cell r="J1997">
            <v>200060</v>
          </cell>
          <cell r="L1997">
            <v>126128</v>
          </cell>
        </row>
        <row r="2000">
          <cell r="F2000" t="str">
            <v xml:space="preserve"> </v>
          </cell>
        </row>
        <row r="2001">
          <cell r="F2001" t="str">
            <v xml:space="preserve"> </v>
          </cell>
        </row>
        <row r="2002">
          <cell r="F2002" t="str">
            <v xml:space="preserve"> </v>
          </cell>
        </row>
        <row r="2004">
          <cell r="F2004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총괄"/>
      <sheetName val="갑,을"/>
      <sheetName val="노임단가"/>
      <sheetName val="98수문일위"/>
      <sheetName val="방수"/>
      <sheetName val="한전납입금"/>
      <sheetName val="수문일1"/>
      <sheetName val="일위집계표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Q47"/>
  <sheetViews>
    <sheetView tabSelected="1" view="pageBreakPreview" zoomScaleNormal="100" zoomScaleSheetLayoutView="100" workbookViewId="0">
      <selection activeCell="H24" sqref="H24:K24"/>
    </sheetView>
  </sheetViews>
  <sheetFormatPr defaultRowHeight="13.5" x14ac:dyDescent="0.15"/>
  <cols>
    <col min="1" max="2" width="6.5546875" style="1" customWidth="1"/>
    <col min="3" max="3" width="3" style="1" customWidth="1"/>
    <col min="4" max="4" width="10.21875" style="1" customWidth="1"/>
    <col min="5" max="5" width="8.88671875" style="1"/>
    <col min="6" max="6" width="2.6640625" style="1" customWidth="1"/>
    <col min="7" max="7" width="8.88671875" style="1"/>
    <col min="8" max="10" width="4.44140625" style="1" customWidth="1"/>
    <col min="11" max="11" width="2.88671875" style="1" customWidth="1"/>
    <col min="12" max="12" width="6.33203125" style="1" bestFit="1" customWidth="1"/>
    <col min="13" max="13" width="18.21875" style="1" customWidth="1"/>
    <col min="14" max="16" width="8.88671875" style="1"/>
    <col min="17" max="17" width="10.44140625" style="1" bestFit="1" customWidth="1"/>
    <col min="18" max="256" width="8.88671875" style="1"/>
    <col min="257" max="258" width="6.5546875" style="1" customWidth="1"/>
    <col min="259" max="259" width="3" style="1" customWidth="1"/>
    <col min="260" max="260" width="10.21875" style="1" customWidth="1"/>
    <col min="261" max="261" width="8.88671875" style="1"/>
    <col min="262" max="262" width="2.6640625" style="1" customWidth="1"/>
    <col min="263" max="263" width="8.88671875" style="1"/>
    <col min="264" max="266" width="4.44140625" style="1" customWidth="1"/>
    <col min="267" max="267" width="2.88671875" style="1" customWidth="1"/>
    <col min="268" max="268" width="6.33203125" style="1" bestFit="1" customWidth="1"/>
    <col min="269" max="269" width="10.33203125" style="1" customWidth="1"/>
    <col min="270" max="512" width="8.88671875" style="1"/>
    <col min="513" max="514" width="6.5546875" style="1" customWidth="1"/>
    <col min="515" max="515" width="3" style="1" customWidth="1"/>
    <col min="516" max="516" width="10.21875" style="1" customWidth="1"/>
    <col min="517" max="517" width="8.88671875" style="1"/>
    <col min="518" max="518" width="2.6640625" style="1" customWidth="1"/>
    <col min="519" max="519" width="8.88671875" style="1"/>
    <col min="520" max="522" width="4.44140625" style="1" customWidth="1"/>
    <col min="523" max="523" width="2.88671875" style="1" customWidth="1"/>
    <col min="524" max="524" width="6.33203125" style="1" bestFit="1" customWidth="1"/>
    <col min="525" max="525" width="10.33203125" style="1" customWidth="1"/>
    <col min="526" max="768" width="8.88671875" style="1"/>
    <col min="769" max="770" width="6.5546875" style="1" customWidth="1"/>
    <col min="771" max="771" width="3" style="1" customWidth="1"/>
    <col min="772" max="772" width="10.21875" style="1" customWidth="1"/>
    <col min="773" max="773" width="8.88671875" style="1"/>
    <col min="774" max="774" width="2.6640625" style="1" customWidth="1"/>
    <col min="775" max="775" width="8.88671875" style="1"/>
    <col min="776" max="778" width="4.44140625" style="1" customWidth="1"/>
    <col min="779" max="779" width="2.88671875" style="1" customWidth="1"/>
    <col min="780" max="780" width="6.33203125" style="1" bestFit="1" customWidth="1"/>
    <col min="781" max="781" width="10.33203125" style="1" customWidth="1"/>
    <col min="782" max="1024" width="8.88671875" style="1"/>
    <col min="1025" max="1026" width="6.5546875" style="1" customWidth="1"/>
    <col min="1027" max="1027" width="3" style="1" customWidth="1"/>
    <col min="1028" max="1028" width="10.21875" style="1" customWidth="1"/>
    <col min="1029" max="1029" width="8.88671875" style="1"/>
    <col min="1030" max="1030" width="2.6640625" style="1" customWidth="1"/>
    <col min="1031" max="1031" width="8.88671875" style="1"/>
    <col min="1032" max="1034" width="4.44140625" style="1" customWidth="1"/>
    <col min="1035" max="1035" width="2.88671875" style="1" customWidth="1"/>
    <col min="1036" max="1036" width="6.33203125" style="1" bestFit="1" customWidth="1"/>
    <col min="1037" max="1037" width="10.33203125" style="1" customWidth="1"/>
    <col min="1038" max="1280" width="8.88671875" style="1"/>
    <col min="1281" max="1282" width="6.5546875" style="1" customWidth="1"/>
    <col min="1283" max="1283" width="3" style="1" customWidth="1"/>
    <col min="1284" max="1284" width="10.21875" style="1" customWidth="1"/>
    <col min="1285" max="1285" width="8.88671875" style="1"/>
    <col min="1286" max="1286" width="2.6640625" style="1" customWidth="1"/>
    <col min="1287" max="1287" width="8.88671875" style="1"/>
    <col min="1288" max="1290" width="4.44140625" style="1" customWidth="1"/>
    <col min="1291" max="1291" width="2.88671875" style="1" customWidth="1"/>
    <col min="1292" max="1292" width="6.33203125" style="1" bestFit="1" customWidth="1"/>
    <col min="1293" max="1293" width="10.33203125" style="1" customWidth="1"/>
    <col min="1294" max="1536" width="8.88671875" style="1"/>
    <col min="1537" max="1538" width="6.5546875" style="1" customWidth="1"/>
    <col min="1539" max="1539" width="3" style="1" customWidth="1"/>
    <col min="1540" max="1540" width="10.21875" style="1" customWidth="1"/>
    <col min="1541" max="1541" width="8.88671875" style="1"/>
    <col min="1542" max="1542" width="2.6640625" style="1" customWidth="1"/>
    <col min="1543" max="1543" width="8.88671875" style="1"/>
    <col min="1544" max="1546" width="4.44140625" style="1" customWidth="1"/>
    <col min="1547" max="1547" width="2.88671875" style="1" customWidth="1"/>
    <col min="1548" max="1548" width="6.33203125" style="1" bestFit="1" customWidth="1"/>
    <col min="1549" max="1549" width="10.33203125" style="1" customWidth="1"/>
    <col min="1550" max="1792" width="8.88671875" style="1"/>
    <col min="1793" max="1794" width="6.5546875" style="1" customWidth="1"/>
    <col min="1795" max="1795" width="3" style="1" customWidth="1"/>
    <col min="1796" max="1796" width="10.21875" style="1" customWidth="1"/>
    <col min="1797" max="1797" width="8.88671875" style="1"/>
    <col min="1798" max="1798" width="2.6640625" style="1" customWidth="1"/>
    <col min="1799" max="1799" width="8.88671875" style="1"/>
    <col min="1800" max="1802" width="4.44140625" style="1" customWidth="1"/>
    <col min="1803" max="1803" width="2.88671875" style="1" customWidth="1"/>
    <col min="1804" max="1804" width="6.33203125" style="1" bestFit="1" customWidth="1"/>
    <col min="1805" max="1805" width="10.33203125" style="1" customWidth="1"/>
    <col min="1806" max="2048" width="8.88671875" style="1"/>
    <col min="2049" max="2050" width="6.5546875" style="1" customWidth="1"/>
    <col min="2051" max="2051" width="3" style="1" customWidth="1"/>
    <col min="2052" max="2052" width="10.21875" style="1" customWidth="1"/>
    <col min="2053" max="2053" width="8.88671875" style="1"/>
    <col min="2054" max="2054" width="2.6640625" style="1" customWidth="1"/>
    <col min="2055" max="2055" width="8.88671875" style="1"/>
    <col min="2056" max="2058" width="4.44140625" style="1" customWidth="1"/>
    <col min="2059" max="2059" width="2.88671875" style="1" customWidth="1"/>
    <col min="2060" max="2060" width="6.33203125" style="1" bestFit="1" customWidth="1"/>
    <col min="2061" max="2061" width="10.33203125" style="1" customWidth="1"/>
    <col min="2062" max="2304" width="8.88671875" style="1"/>
    <col min="2305" max="2306" width="6.5546875" style="1" customWidth="1"/>
    <col min="2307" max="2307" width="3" style="1" customWidth="1"/>
    <col min="2308" max="2308" width="10.21875" style="1" customWidth="1"/>
    <col min="2309" max="2309" width="8.88671875" style="1"/>
    <col min="2310" max="2310" width="2.6640625" style="1" customWidth="1"/>
    <col min="2311" max="2311" width="8.88671875" style="1"/>
    <col min="2312" max="2314" width="4.44140625" style="1" customWidth="1"/>
    <col min="2315" max="2315" width="2.88671875" style="1" customWidth="1"/>
    <col min="2316" max="2316" width="6.33203125" style="1" bestFit="1" customWidth="1"/>
    <col min="2317" max="2317" width="10.33203125" style="1" customWidth="1"/>
    <col min="2318" max="2560" width="8.88671875" style="1"/>
    <col min="2561" max="2562" width="6.5546875" style="1" customWidth="1"/>
    <col min="2563" max="2563" width="3" style="1" customWidth="1"/>
    <col min="2564" max="2564" width="10.21875" style="1" customWidth="1"/>
    <col min="2565" max="2565" width="8.88671875" style="1"/>
    <col min="2566" max="2566" width="2.6640625" style="1" customWidth="1"/>
    <col min="2567" max="2567" width="8.88671875" style="1"/>
    <col min="2568" max="2570" width="4.44140625" style="1" customWidth="1"/>
    <col min="2571" max="2571" width="2.88671875" style="1" customWidth="1"/>
    <col min="2572" max="2572" width="6.33203125" style="1" bestFit="1" customWidth="1"/>
    <col min="2573" max="2573" width="10.33203125" style="1" customWidth="1"/>
    <col min="2574" max="2816" width="8.88671875" style="1"/>
    <col min="2817" max="2818" width="6.5546875" style="1" customWidth="1"/>
    <col min="2819" max="2819" width="3" style="1" customWidth="1"/>
    <col min="2820" max="2820" width="10.21875" style="1" customWidth="1"/>
    <col min="2821" max="2821" width="8.88671875" style="1"/>
    <col min="2822" max="2822" width="2.6640625" style="1" customWidth="1"/>
    <col min="2823" max="2823" width="8.88671875" style="1"/>
    <col min="2824" max="2826" width="4.44140625" style="1" customWidth="1"/>
    <col min="2827" max="2827" width="2.88671875" style="1" customWidth="1"/>
    <col min="2828" max="2828" width="6.33203125" style="1" bestFit="1" customWidth="1"/>
    <col min="2829" max="2829" width="10.33203125" style="1" customWidth="1"/>
    <col min="2830" max="3072" width="8.88671875" style="1"/>
    <col min="3073" max="3074" width="6.5546875" style="1" customWidth="1"/>
    <col min="3075" max="3075" width="3" style="1" customWidth="1"/>
    <col min="3076" max="3076" width="10.21875" style="1" customWidth="1"/>
    <col min="3077" max="3077" width="8.88671875" style="1"/>
    <col min="3078" max="3078" width="2.6640625" style="1" customWidth="1"/>
    <col min="3079" max="3079" width="8.88671875" style="1"/>
    <col min="3080" max="3082" width="4.44140625" style="1" customWidth="1"/>
    <col min="3083" max="3083" width="2.88671875" style="1" customWidth="1"/>
    <col min="3084" max="3084" width="6.33203125" style="1" bestFit="1" customWidth="1"/>
    <col min="3085" max="3085" width="10.33203125" style="1" customWidth="1"/>
    <col min="3086" max="3328" width="8.88671875" style="1"/>
    <col min="3329" max="3330" width="6.5546875" style="1" customWidth="1"/>
    <col min="3331" max="3331" width="3" style="1" customWidth="1"/>
    <col min="3332" max="3332" width="10.21875" style="1" customWidth="1"/>
    <col min="3333" max="3333" width="8.88671875" style="1"/>
    <col min="3334" max="3334" width="2.6640625" style="1" customWidth="1"/>
    <col min="3335" max="3335" width="8.88671875" style="1"/>
    <col min="3336" max="3338" width="4.44140625" style="1" customWidth="1"/>
    <col min="3339" max="3339" width="2.88671875" style="1" customWidth="1"/>
    <col min="3340" max="3340" width="6.33203125" style="1" bestFit="1" customWidth="1"/>
    <col min="3341" max="3341" width="10.33203125" style="1" customWidth="1"/>
    <col min="3342" max="3584" width="8.88671875" style="1"/>
    <col min="3585" max="3586" width="6.5546875" style="1" customWidth="1"/>
    <col min="3587" max="3587" width="3" style="1" customWidth="1"/>
    <col min="3588" max="3588" width="10.21875" style="1" customWidth="1"/>
    <col min="3589" max="3589" width="8.88671875" style="1"/>
    <col min="3590" max="3590" width="2.6640625" style="1" customWidth="1"/>
    <col min="3591" max="3591" width="8.88671875" style="1"/>
    <col min="3592" max="3594" width="4.44140625" style="1" customWidth="1"/>
    <col min="3595" max="3595" width="2.88671875" style="1" customWidth="1"/>
    <col min="3596" max="3596" width="6.33203125" style="1" bestFit="1" customWidth="1"/>
    <col min="3597" max="3597" width="10.33203125" style="1" customWidth="1"/>
    <col min="3598" max="3840" width="8.88671875" style="1"/>
    <col min="3841" max="3842" width="6.5546875" style="1" customWidth="1"/>
    <col min="3843" max="3843" width="3" style="1" customWidth="1"/>
    <col min="3844" max="3844" width="10.21875" style="1" customWidth="1"/>
    <col min="3845" max="3845" width="8.88671875" style="1"/>
    <col min="3846" max="3846" width="2.6640625" style="1" customWidth="1"/>
    <col min="3847" max="3847" width="8.88671875" style="1"/>
    <col min="3848" max="3850" width="4.44140625" style="1" customWidth="1"/>
    <col min="3851" max="3851" width="2.88671875" style="1" customWidth="1"/>
    <col min="3852" max="3852" width="6.33203125" style="1" bestFit="1" customWidth="1"/>
    <col min="3853" max="3853" width="10.33203125" style="1" customWidth="1"/>
    <col min="3854" max="4096" width="8.88671875" style="1"/>
    <col min="4097" max="4098" width="6.5546875" style="1" customWidth="1"/>
    <col min="4099" max="4099" width="3" style="1" customWidth="1"/>
    <col min="4100" max="4100" width="10.21875" style="1" customWidth="1"/>
    <col min="4101" max="4101" width="8.88671875" style="1"/>
    <col min="4102" max="4102" width="2.6640625" style="1" customWidth="1"/>
    <col min="4103" max="4103" width="8.88671875" style="1"/>
    <col min="4104" max="4106" width="4.44140625" style="1" customWidth="1"/>
    <col min="4107" max="4107" width="2.88671875" style="1" customWidth="1"/>
    <col min="4108" max="4108" width="6.33203125" style="1" bestFit="1" customWidth="1"/>
    <col min="4109" max="4109" width="10.33203125" style="1" customWidth="1"/>
    <col min="4110" max="4352" width="8.88671875" style="1"/>
    <col min="4353" max="4354" width="6.5546875" style="1" customWidth="1"/>
    <col min="4355" max="4355" width="3" style="1" customWidth="1"/>
    <col min="4356" max="4356" width="10.21875" style="1" customWidth="1"/>
    <col min="4357" max="4357" width="8.88671875" style="1"/>
    <col min="4358" max="4358" width="2.6640625" style="1" customWidth="1"/>
    <col min="4359" max="4359" width="8.88671875" style="1"/>
    <col min="4360" max="4362" width="4.44140625" style="1" customWidth="1"/>
    <col min="4363" max="4363" width="2.88671875" style="1" customWidth="1"/>
    <col min="4364" max="4364" width="6.33203125" style="1" bestFit="1" customWidth="1"/>
    <col min="4365" max="4365" width="10.33203125" style="1" customWidth="1"/>
    <col min="4366" max="4608" width="8.88671875" style="1"/>
    <col min="4609" max="4610" width="6.5546875" style="1" customWidth="1"/>
    <col min="4611" max="4611" width="3" style="1" customWidth="1"/>
    <col min="4612" max="4612" width="10.21875" style="1" customWidth="1"/>
    <col min="4613" max="4613" width="8.88671875" style="1"/>
    <col min="4614" max="4614" width="2.6640625" style="1" customWidth="1"/>
    <col min="4615" max="4615" width="8.88671875" style="1"/>
    <col min="4616" max="4618" width="4.44140625" style="1" customWidth="1"/>
    <col min="4619" max="4619" width="2.88671875" style="1" customWidth="1"/>
    <col min="4620" max="4620" width="6.33203125" style="1" bestFit="1" customWidth="1"/>
    <col min="4621" max="4621" width="10.33203125" style="1" customWidth="1"/>
    <col min="4622" max="4864" width="8.88671875" style="1"/>
    <col min="4865" max="4866" width="6.5546875" style="1" customWidth="1"/>
    <col min="4867" max="4867" width="3" style="1" customWidth="1"/>
    <col min="4868" max="4868" width="10.21875" style="1" customWidth="1"/>
    <col min="4869" max="4869" width="8.88671875" style="1"/>
    <col min="4870" max="4870" width="2.6640625" style="1" customWidth="1"/>
    <col min="4871" max="4871" width="8.88671875" style="1"/>
    <col min="4872" max="4874" width="4.44140625" style="1" customWidth="1"/>
    <col min="4875" max="4875" width="2.88671875" style="1" customWidth="1"/>
    <col min="4876" max="4876" width="6.33203125" style="1" bestFit="1" customWidth="1"/>
    <col min="4877" max="4877" width="10.33203125" style="1" customWidth="1"/>
    <col min="4878" max="5120" width="8.88671875" style="1"/>
    <col min="5121" max="5122" width="6.5546875" style="1" customWidth="1"/>
    <col min="5123" max="5123" width="3" style="1" customWidth="1"/>
    <col min="5124" max="5124" width="10.21875" style="1" customWidth="1"/>
    <col min="5125" max="5125" width="8.88671875" style="1"/>
    <col min="5126" max="5126" width="2.6640625" style="1" customWidth="1"/>
    <col min="5127" max="5127" width="8.88671875" style="1"/>
    <col min="5128" max="5130" width="4.44140625" style="1" customWidth="1"/>
    <col min="5131" max="5131" width="2.88671875" style="1" customWidth="1"/>
    <col min="5132" max="5132" width="6.33203125" style="1" bestFit="1" customWidth="1"/>
    <col min="5133" max="5133" width="10.33203125" style="1" customWidth="1"/>
    <col min="5134" max="5376" width="8.88671875" style="1"/>
    <col min="5377" max="5378" width="6.5546875" style="1" customWidth="1"/>
    <col min="5379" max="5379" width="3" style="1" customWidth="1"/>
    <col min="5380" max="5380" width="10.21875" style="1" customWidth="1"/>
    <col min="5381" max="5381" width="8.88671875" style="1"/>
    <col min="5382" max="5382" width="2.6640625" style="1" customWidth="1"/>
    <col min="5383" max="5383" width="8.88671875" style="1"/>
    <col min="5384" max="5386" width="4.44140625" style="1" customWidth="1"/>
    <col min="5387" max="5387" width="2.88671875" style="1" customWidth="1"/>
    <col min="5388" max="5388" width="6.33203125" style="1" bestFit="1" customWidth="1"/>
    <col min="5389" max="5389" width="10.33203125" style="1" customWidth="1"/>
    <col min="5390" max="5632" width="8.88671875" style="1"/>
    <col min="5633" max="5634" width="6.5546875" style="1" customWidth="1"/>
    <col min="5635" max="5635" width="3" style="1" customWidth="1"/>
    <col min="5636" max="5636" width="10.21875" style="1" customWidth="1"/>
    <col min="5637" max="5637" width="8.88671875" style="1"/>
    <col min="5638" max="5638" width="2.6640625" style="1" customWidth="1"/>
    <col min="5639" max="5639" width="8.88671875" style="1"/>
    <col min="5640" max="5642" width="4.44140625" style="1" customWidth="1"/>
    <col min="5643" max="5643" width="2.88671875" style="1" customWidth="1"/>
    <col min="5644" max="5644" width="6.33203125" style="1" bestFit="1" customWidth="1"/>
    <col min="5645" max="5645" width="10.33203125" style="1" customWidth="1"/>
    <col min="5646" max="5888" width="8.88671875" style="1"/>
    <col min="5889" max="5890" width="6.5546875" style="1" customWidth="1"/>
    <col min="5891" max="5891" width="3" style="1" customWidth="1"/>
    <col min="5892" max="5892" width="10.21875" style="1" customWidth="1"/>
    <col min="5893" max="5893" width="8.88671875" style="1"/>
    <col min="5894" max="5894" width="2.6640625" style="1" customWidth="1"/>
    <col min="5895" max="5895" width="8.88671875" style="1"/>
    <col min="5896" max="5898" width="4.44140625" style="1" customWidth="1"/>
    <col min="5899" max="5899" width="2.88671875" style="1" customWidth="1"/>
    <col min="5900" max="5900" width="6.33203125" style="1" bestFit="1" customWidth="1"/>
    <col min="5901" max="5901" width="10.33203125" style="1" customWidth="1"/>
    <col min="5902" max="6144" width="8.88671875" style="1"/>
    <col min="6145" max="6146" width="6.5546875" style="1" customWidth="1"/>
    <col min="6147" max="6147" width="3" style="1" customWidth="1"/>
    <col min="6148" max="6148" width="10.21875" style="1" customWidth="1"/>
    <col min="6149" max="6149" width="8.88671875" style="1"/>
    <col min="6150" max="6150" width="2.6640625" style="1" customWidth="1"/>
    <col min="6151" max="6151" width="8.88671875" style="1"/>
    <col min="6152" max="6154" width="4.44140625" style="1" customWidth="1"/>
    <col min="6155" max="6155" width="2.88671875" style="1" customWidth="1"/>
    <col min="6156" max="6156" width="6.33203125" style="1" bestFit="1" customWidth="1"/>
    <col min="6157" max="6157" width="10.33203125" style="1" customWidth="1"/>
    <col min="6158" max="6400" width="8.88671875" style="1"/>
    <col min="6401" max="6402" width="6.5546875" style="1" customWidth="1"/>
    <col min="6403" max="6403" width="3" style="1" customWidth="1"/>
    <col min="6404" max="6404" width="10.21875" style="1" customWidth="1"/>
    <col min="6405" max="6405" width="8.88671875" style="1"/>
    <col min="6406" max="6406" width="2.6640625" style="1" customWidth="1"/>
    <col min="6407" max="6407" width="8.88671875" style="1"/>
    <col min="6408" max="6410" width="4.44140625" style="1" customWidth="1"/>
    <col min="6411" max="6411" width="2.88671875" style="1" customWidth="1"/>
    <col min="6412" max="6412" width="6.33203125" style="1" bestFit="1" customWidth="1"/>
    <col min="6413" max="6413" width="10.33203125" style="1" customWidth="1"/>
    <col min="6414" max="6656" width="8.88671875" style="1"/>
    <col min="6657" max="6658" width="6.5546875" style="1" customWidth="1"/>
    <col min="6659" max="6659" width="3" style="1" customWidth="1"/>
    <col min="6660" max="6660" width="10.21875" style="1" customWidth="1"/>
    <col min="6661" max="6661" width="8.88671875" style="1"/>
    <col min="6662" max="6662" width="2.6640625" style="1" customWidth="1"/>
    <col min="6663" max="6663" width="8.88671875" style="1"/>
    <col min="6664" max="6666" width="4.44140625" style="1" customWidth="1"/>
    <col min="6667" max="6667" width="2.88671875" style="1" customWidth="1"/>
    <col min="6668" max="6668" width="6.33203125" style="1" bestFit="1" customWidth="1"/>
    <col min="6669" max="6669" width="10.33203125" style="1" customWidth="1"/>
    <col min="6670" max="6912" width="8.88671875" style="1"/>
    <col min="6913" max="6914" width="6.5546875" style="1" customWidth="1"/>
    <col min="6915" max="6915" width="3" style="1" customWidth="1"/>
    <col min="6916" max="6916" width="10.21875" style="1" customWidth="1"/>
    <col min="6917" max="6917" width="8.88671875" style="1"/>
    <col min="6918" max="6918" width="2.6640625" style="1" customWidth="1"/>
    <col min="6919" max="6919" width="8.88671875" style="1"/>
    <col min="6920" max="6922" width="4.44140625" style="1" customWidth="1"/>
    <col min="6923" max="6923" width="2.88671875" style="1" customWidth="1"/>
    <col min="6924" max="6924" width="6.33203125" style="1" bestFit="1" customWidth="1"/>
    <col min="6925" max="6925" width="10.33203125" style="1" customWidth="1"/>
    <col min="6926" max="7168" width="8.88671875" style="1"/>
    <col min="7169" max="7170" width="6.5546875" style="1" customWidth="1"/>
    <col min="7171" max="7171" width="3" style="1" customWidth="1"/>
    <col min="7172" max="7172" width="10.21875" style="1" customWidth="1"/>
    <col min="7173" max="7173" width="8.88671875" style="1"/>
    <col min="7174" max="7174" width="2.6640625" style="1" customWidth="1"/>
    <col min="7175" max="7175" width="8.88671875" style="1"/>
    <col min="7176" max="7178" width="4.44140625" style="1" customWidth="1"/>
    <col min="7179" max="7179" width="2.88671875" style="1" customWidth="1"/>
    <col min="7180" max="7180" width="6.33203125" style="1" bestFit="1" customWidth="1"/>
    <col min="7181" max="7181" width="10.33203125" style="1" customWidth="1"/>
    <col min="7182" max="7424" width="8.88671875" style="1"/>
    <col min="7425" max="7426" width="6.5546875" style="1" customWidth="1"/>
    <col min="7427" max="7427" width="3" style="1" customWidth="1"/>
    <col min="7428" max="7428" width="10.21875" style="1" customWidth="1"/>
    <col min="7429" max="7429" width="8.88671875" style="1"/>
    <col min="7430" max="7430" width="2.6640625" style="1" customWidth="1"/>
    <col min="7431" max="7431" width="8.88671875" style="1"/>
    <col min="7432" max="7434" width="4.44140625" style="1" customWidth="1"/>
    <col min="7435" max="7435" width="2.88671875" style="1" customWidth="1"/>
    <col min="7436" max="7436" width="6.33203125" style="1" bestFit="1" customWidth="1"/>
    <col min="7437" max="7437" width="10.33203125" style="1" customWidth="1"/>
    <col min="7438" max="7680" width="8.88671875" style="1"/>
    <col min="7681" max="7682" width="6.5546875" style="1" customWidth="1"/>
    <col min="7683" max="7683" width="3" style="1" customWidth="1"/>
    <col min="7684" max="7684" width="10.21875" style="1" customWidth="1"/>
    <col min="7685" max="7685" width="8.88671875" style="1"/>
    <col min="7686" max="7686" width="2.6640625" style="1" customWidth="1"/>
    <col min="7687" max="7687" width="8.88671875" style="1"/>
    <col min="7688" max="7690" width="4.44140625" style="1" customWidth="1"/>
    <col min="7691" max="7691" width="2.88671875" style="1" customWidth="1"/>
    <col min="7692" max="7692" width="6.33203125" style="1" bestFit="1" customWidth="1"/>
    <col min="7693" max="7693" width="10.33203125" style="1" customWidth="1"/>
    <col min="7694" max="7936" width="8.88671875" style="1"/>
    <col min="7937" max="7938" width="6.5546875" style="1" customWidth="1"/>
    <col min="7939" max="7939" width="3" style="1" customWidth="1"/>
    <col min="7940" max="7940" width="10.21875" style="1" customWidth="1"/>
    <col min="7941" max="7941" width="8.88671875" style="1"/>
    <col min="7942" max="7942" width="2.6640625" style="1" customWidth="1"/>
    <col min="7943" max="7943" width="8.88671875" style="1"/>
    <col min="7944" max="7946" width="4.44140625" style="1" customWidth="1"/>
    <col min="7947" max="7947" width="2.88671875" style="1" customWidth="1"/>
    <col min="7948" max="7948" width="6.33203125" style="1" bestFit="1" customWidth="1"/>
    <col min="7949" max="7949" width="10.33203125" style="1" customWidth="1"/>
    <col min="7950" max="8192" width="8.88671875" style="1"/>
    <col min="8193" max="8194" width="6.5546875" style="1" customWidth="1"/>
    <col min="8195" max="8195" width="3" style="1" customWidth="1"/>
    <col min="8196" max="8196" width="10.21875" style="1" customWidth="1"/>
    <col min="8197" max="8197" width="8.88671875" style="1"/>
    <col min="8198" max="8198" width="2.6640625" style="1" customWidth="1"/>
    <col min="8199" max="8199" width="8.88671875" style="1"/>
    <col min="8200" max="8202" width="4.44140625" style="1" customWidth="1"/>
    <col min="8203" max="8203" width="2.88671875" style="1" customWidth="1"/>
    <col min="8204" max="8204" width="6.33203125" style="1" bestFit="1" customWidth="1"/>
    <col min="8205" max="8205" width="10.33203125" style="1" customWidth="1"/>
    <col min="8206" max="8448" width="8.88671875" style="1"/>
    <col min="8449" max="8450" width="6.5546875" style="1" customWidth="1"/>
    <col min="8451" max="8451" width="3" style="1" customWidth="1"/>
    <col min="8452" max="8452" width="10.21875" style="1" customWidth="1"/>
    <col min="8453" max="8453" width="8.88671875" style="1"/>
    <col min="8454" max="8454" width="2.6640625" style="1" customWidth="1"/>
    <col min="8455" max="8455" width="8.88671875" style="1"/>
    <col min="8456" max="8458" width="4.44140625" style="1" customWidth="1"/>
    <col min="8459" max="8459" width="2.88671875" style="1" customWidth="1"/>
    <col min="8460" max="8460" width="6.33203125" style="1" bestFit="1" customWidth="1"/>
    <col min="8461" max="8461" width="10.33203125" style="1" customWidth="1"/>
    <col min="8462" max="8704" width="8.88671875" style="1"/>
    <col min="8705" max="8706" width="6.5546875" style="1" customWidth="1"/>
    <col min="8707" max="8707" width="3" style="1" customWidth="1"/>
    <col min="8708" max="8708" width="10.21875" style="1" customWidth="1"/>
    <col min="8709" max="8709" width="8.88671875" style="1"/>
    <col min="8710" max="8710" width="2.6640625" style="1" customWidth="1"/>
    <col min="8711" max="8711" width="8.88671875" style="1"/>
    <col min="8712" max="8714" width="4.44140625" style="1" customWidth="1"/>
    <col min="8715" max="8715" width="2.88671875" style="1" customWidth="1"/>
    <col min="8716" max="8716" width="6.33203125" style="1" bestFit="1" customWidth="1"/>
    <col min="8717" max="8717" width="10.33203125" style="1" customWidth="1"/>
    <col min="8718" max="8960" width="8.88671875" style="1"/>
    <col min="8961" max="8962" width="6.5546875" style="1" customWidth="1"/>
    <col min="8963" max="8963" width="3" style="1" customWidth="1"/>
    <col min="8964" max="8964" width="10.21875" style="1" customWidth="1"/>
    <col min="8965" max="8965" width="8.88671875" style="1"/>
    <col min="8966" max="8966" width="2.6640625" style="1" customWidth="1"/>
    <col min="8967" max="8967" width="8.88671875" style="1"/>
    <col min="8968" max="8970" width="4.44140625" style="1" customWidth="1"/>
    <col min="8971" max="8971" width="2.88671875" style="1" customWidth="1"/>
    <col min="8972" max="8972" width="6.33203125" style="1" bestFit="1" customWidth="1"/>
    <col min="8973" max="8973" width="10.33203125" style="1" customWidth="1"/>
    <col min="8974" max="9216" width="8.88671875" style="1"/>
    <col min="9217" max="9218" width="6.5546875" style="1" customWidth="1"/>
    <col min="9219" max="9219" width="3" style="1" customWidth="1"/>
    <col min="9220" max="9220" width="10.21875" style="1" customWidth="1"/>
    <col min="9221" max="9221" width="8.88671875" style="1"/>
    <col min="9222" max="9222" width="2.6640625" style="1" customWidth="1"/>
    <col min="9223" max="9223" width="8.88671875" style="1"/>
    <col min="9224" max="9226" width="4.44140625" style="1" customWidth="1"/>
    <col min="9227" max="9227" width="2.88671875" style="1" customWidth="1"/>
    <col min="9228" max="9228" width="6.33203125" style="1" bestFit="1" customWidth="1"/>
    <col min="9229" max="9229" width="10.33203125" style="1" customWidth="1"/>
    <col min="9230" max="9472" width="8.88671875" style="1"/>
    <col min="9473" max="9474" width="6.5546875" style="1" customWidth="1"/>
    <col min="9475" max="9475" width="3" style="1" customWidth="1"/>
    <col min="9476" max="9476" width="10.21875" style="1" customWidth="1"/>
    <col min="9477" max="9477" width="8.88671875" style="1"/>
    <col min="9478" max="9478" width="2.6640625" style="1" customWidth="1"/>
    <col min="9479" max="9479" width="8.88671875" style="1"/>
    <col min="9480" max="9482" width="4.44140625" style="1" customWidth="1"/>
    <col min="9483" max="9483" width="2.88671875" style="1" customWidth="1"/>
    <col min="9484" max="9484" width="6.33203125" style="1" bestFit="1" customWidth="1"/>
    <col min="9485" max="9485" width="10.33203125" style="1" customWidth="1"/>
    <col min="9486" max="9728" width="8.88671875" style="1"/>
    <col min="9729" max="9730" width="6.5546875" style="1" customWidth="1"/>
    <col min="9731" max="9731" width="3" style="1" customWidth="1"/>
    <col min="9732" max="9732" width="10.21875" style="1" customWidth="1"/>
    <col min="9733" max="9733" width="8.88671875" style="1"/>
    <col min="9734" max="9734" width="2.6640625" style="1" customWidth="1"/>
    <col min="9735" max="9735" width="8.88671875" style="1"/>
    <col min="9736" max="9738" width="4.44140625" style="1" customWidth="1"/>
    <col min="9739" max="9739" width="2.88671875" style="1" customWidth="1"/>
    <col min="9740" max="9740" width="6.33203125" style="1" bestFit="1" customWidth="1"/>
    <col min="9741" max="9741" width="10.33203125" style="1" customWidth="1"/>
    <col min="9742" max="9984" width="8.88671875" style="1"/>
    <col min="9985" max="9986" width="6.5546875" style="1" customWidth="1"/>
    <col min="9987" max="9987" width="3" style="1" customWidth="1"/>
    <col min="9988" max="9988" width="10.21875" style="1" customWidth="1"/>
    <col min="9989" max="9989" width="8.88671875" style="1"/>
    <col min="9990" max="9990" width="2.6640625" style="1" customWidth="1"/>
    <col min="9991" max="9991" width="8.88671875" style="1"/>
    <col min="9992" max="9994" width="4.44140625" style="1" customWidth="1"/>
    <col min="9995" max="9995" width="2.88671875" style="1" customWidth="1"/>
    <col min="9996" max="9996" width="6.33203125" style="1" bestFit="1" customWidth="1"/>
    <col min="9997" max="9997" width="10.33203125" style="1" customWidth="1"/>
    <col min="9998" max="10240" width="8.88671875" style="1"/>
    <col min="10241" max="10242" width="6.5546875" style="1" customWidth="1"/>
    <col min="10243" max="10243" width="3" style="1" customWidth="1"/>
    <col min="10244" max="10244" width="10.21875" style="1" customWidth="1"/>
    <col min="10245" max="10245" width="8.88671875" style="1"/>
    <col min="10246" max="10246" width="2.6640625" style="1" customWidth="1"/>
    <col min="10247" max="10247" width="8.88671875" style="1"/>
    <col min="10248" max="10250" width="4.44140625" style="1" customWidth="1"/>
    <col min="10251" max="10251" width="2.88671875" style="1" customWidth="1"/>
    <col min="10252" max="10252" width="6.33203125" style="1" bestFit="1" customWidth="1"/>
    <col min="10253" max="10253" width="10.33203125" style="1" customWidth="1"/>
    <col min="10254" max="10496" width="8.88671875" style="1"/>
    <col min="10497" max="10498" width="6.5546875" style="1" customWidth="1"/>
    <col min="10499" max="10499" width="3" style="1" customWidth="1"/>
    <col min="10500" max="10500" width="10.21875" style="1" customWidth="1"/>
    <col min="10501" max="10501" width="8.88671875" style="1"/>
    <col min="10502" max="10502" width="2.6640625" style="1" customWidth="1"/>
    <col min="10503" max="10503" width="8.88671875" style="1"/>
    <col min="10504" max="10506" width="4.44140625" style="1" customWidth="1"/>
    <col min="10507" max="10507" width="2.88671875" style="1" customWidth="1"/>
    <col min="10508" max="10508" width="6.33203125" style="1" bestFit="1" customWidth="1"/>
    <col min="10509" max="10509" width="10.33203125" style="1" customWidth="1"/>
    <col min="10510" max="10752" width="8.88671875" style="1"/>
    <col min="10753" max="10754" width="6.5546875" style="1" customWidth="1"/>
    <col min="10755" max="10755" width="3" style="1" customWidth="1"/>
    <col min="10756" max="10756" width="10.21875" style="1" customWidth="1"/>
    <col min="10757" max="10757" width="8.88671875" style="1"/>
    <col min="10758" max="10758" width="2.6640625" style="1" customWidth="1"/>
    <col min="10759" max="10759" width="8.88671875" style="1"/>
    <col min="10760" max="10762" width="4.44140625" style="1" customWidth="1"/>
    <col min="10763" max="10763" width="2.88671875" style="1" customWidth="1"/>
    <col min="10764" max="10764" width="6.33203125" style="1" bestFit="1" customWidth="1"/>
    <col min="10765" max="10765" width="10.33203125" style="1" customWidth="1"/>
    <col min="10766" max="11008" width="8.88671875" style="1"/>
    <col min="11009" max="11010" width="6.5546875" style="1" customWidth="1"/>
    <col min="11011" max="11011" width="3" style="1" customWidth="1"/>
    <col min="11012" max="11012" width="10.21875" style="1" customWidth="1"/>
    <col min="11013" max="11013" width="8.88671875" style="1"/>
    <col min="11014" max="11014" width="2.6640625" style="1" customWidth="1"/>
    <col min="11015" max="11015" width="8.88671875" style="1"/>
    <col min="11016" max="11018" width="4.44140625" style="1" customWidth="1"/>
    <col min="11019" max="11019" width="2.88671875" style="1" customWidth="1"/>
    <col min="11020" max="11020" width="6.33203125" style="1" bestFit="1" customWidth="1"/>
    <col min="11021" max="11021" width="10.33203125" style="1" customWidth="1"/>
    <col min="11022" max="11264" width="8.88671875" style="1"/>
    <col min="11265" max="11266" width="6.5546875" style="1" customWidth="1"/>
    <col min="11267" max="11267" width="3" style="1" customWidth="1"/>
    <col min="11268" max="11268" width="10.21875" style="1" customWidth="1"/>
    <col min="11269" max="11269" width="8.88671875" style="1"/>
    <col min="11270" max="11270" width="2.6640625" style="1" customWidth="1"/>
    <col min="11271" max="11271" width="8.88671875" style="1"/>
    <col min="11272" max="11274" width="4.44140625" style="1" customWidth="1"/>
    <col min="11275" max="11275" width="2.88671875" style="1" customWidth="1"/>
    <col min="11276" max="11276" width="6.33203125" style="1" bestFit="1" customWidth="1"/>
    <col min="11277" max="11277" width="10.33203125" style="1" customWidth="1"/>
    <col min="11278" max="11520" width="8.88671875" style="1"/>
    <col min="11521" max="11522" width="6.5546875" style="1" customWidth="1"/>
    <col min="11523" max="11523" width="3" style="1" customWidth="1"/>
    <col min="11524" max="11524" width="10.21875" style="1" customWidth="1"/>
    <col min="11525" max="11525" width="8.88671875" style="1"/>
    <col min="11526" max="11526" width="2.6640625" style="1" customWidth="1"/>
    <col min="11527" max="11527" width="8.88671875" style="1"/>
    <col min="11528" max="11530" width="4.44140625" style="1" customWidth="1"/>
    <col min="11531" max="11531" width="2.88671875" style="1" customWidth="1"/>
    <col min="11532" max="11532" width="6.33203125" style="1" bestFit="1" customWidth="1"/>
    <col min="11533" max="11533" width="10.33203125" style="1" customWidth="1"/>
    <col min="11534" max="11776" width="8.88671875" style="1"/>
    <col min="11777" max="11778" width="6.5546875" style="1" customWidth="1"/>
    <col min="11779" max="11779" width="3" style="1" customWidth="1"/>
    <col min="11780" max="11780" width="10.21875" style="1" customWidth="1"/>
    <col min="11781" max="11781" width="8.88671875" style="1"/>
    <col min="11782" max="11782" width="2.6640625" style="1" customWidth="1"/>
    <col min="11783" max="11783" width="8.88671875" style="1"/>
    <col min="11784" max="11786" width="4.44140625" style="1" customWidth="1"/>
    <col min="11787" max="11787" width="2.88671875" style="1" customWidth="1"/>
    <col min="11788" max="11788" width="6.33203125" style="1" bestFit="1" customWidth="1"/>
    <col min="11789" max="11789" width="10.33203125" style="1" customWidth="1"/>
    <col min="11790" max="12032" width="8.88671875" style="1"/>
    <col min="12033" max="12034" width="6.5546875" style="1" customWidth="1"/>
    <col min="12035" max="12035" width="3" style="1" customWidth="1"/>
    <col min="12036" max="12036" width="10.21875" style="1" customWidth="1"/>
    <col min="12037" max="12037" width="8.88671875" style="1"/>
    <col min="12038" max="12038" width="2.6640625" style="1" customWidth="1"/>
    <col min="12039" max="12039" width="8.88671875" style="1"/>
    <col min="12040" max="12042" width="4.44140625" style="1" customWidth="1"/>
    <col min="12043" max="12043" width="2.88671875" style="1" customWidth="1"/>
    <col min="12044" max="12044" width="6.33203125" style="1" bestFit="1" customWidth="1"/>
    <col min="12045" max="12045" width="10.33203125" style="1" customWidth="1"/>
    <col min="12046" max="12288" width="8.88671875" style="1"/>
    <col min="12289" max="12290" width="6.5546875" style="1" customWidth="1"/>
    <col min="12291" max="12291" width="3" style="1" customWidth="1"/>
    <col min="12292" max="12292" width="10.21875" style="1" customWidth="1"/>
    <col min="12293" max="12293" width="8.88671875" style="1"/>
    <col min="12294" max="12294" width="2.6640625" style="1" customWidth="1"/>
    <col min="12295" max="12295" width="8.88671875" style="1"/>
    <col min="12296" max="12298" width="4.44140625" style="1" customWidth="1"/>
    <col min="12299" max="12299" width="2.88671875" style="1" customWidth="1"/>
    <col min="12300" max="12300" width="6.33203125" style="1" bestFit="1" customWidth="1"/>
    <col min="12301" max="12301" width="10.33203125" style="1" customWidth="1"/>
    <col min="12302" max="12544" width="8.88671875" style="1"/>
    <col min="12545" max="12546" width="6.5546875" style="1" customWidth="1"/>
    <col min="12547" max="12547" width="3" style="1" customWidth="1"/>
    <col min="12548" max="12548" width="10.21875" style="1" customWidth="1"/>
    <col min="12549" max="12549" width="8.88671875" style="1"/>
    <col min="12550" max="12550" width="2.6640625" style="1" customWidth="1"/>
    <col min="12551" max="12551" width="8.88671875" style="1"/>
    <col min="12552" max="12554" width="4.44140625" style="1" customWidth="1"/>
    <col min="12555" max="12555" width="2.88671875" style="1" customWidth="1"/>
    <col min="12556" max="12556" width="6.33203125" style="1" bestFit="1" customWidth="1"/>
    <col min="12557" max="12557" width="10.33203125" style="1" customWidth="1"/>
    <col min="12558" max="12800" width="8.88671875" style="1"/>
    <col min="12801" max="12802" width="6.5546875" style="1" customWidth="1"/>
    <col min="12803" max="12803" width="3" style="1" customWidth="1"/>
    <col min="12804" max="12804" width="10.21875" style="1" customWidth="1"/>
    <col min="12805" max="12805" width="8.88671875" style="1"/>
    <col min="12806" max="12806" width="2.6640625" style="1" customWidth="1"/>
    <col min="12807" max="12807" width="8.88671875" style="1"/>
    <col min="12808" max="12810" width="4.44140625" style="1" customWidth="1"/>
    <col min="12811" max="12811" width="2.88671875" style="1" customWidth="1"/>
    <col min="12812" max="12812" width="6.33203125" style="1" bestFit="1" customWidth="1"/>
    <col min="12813" max="12813" width="10.33203125" style="1" customWidth="1"/>
    <col min="12814" max="13056" width="8.88671875" style="1"/>
    <col min="13057" max="13058" width="6.5546875" style="1" customWidth="1"/>
    <col min="13059" max="13059" width="3" style="1" customWidth="1"/>
    <col min="13060" max="13060" width="10.21875" style="1" customWidth="1"/>
    <col min="13061" max="13061" width="8.88671875" style="1"/>
    <col min="13062" max="13062" width="2.6640625" style="1" customWidth="1"/>
    <col min="13063" max="13063" width="8.88671875" style="1"/>
    <col min="13064" max="13066" width="4.44140625" style="1" customWidth="1"/>
    <col min="13067" max="13067" width="2.88671875" style="1" customWidth="1"/>
    <col min="13068" max="13068" width="6.33203125" style="1" bestFit="1" customWidth="1"/>
    <col min="13069" max="13069" width="10.33203125" style="1" customWidth="1"/>
    <col min="13070" max="13312" width="8.88671875" style="1"/>
    <col min="13313" max="13314" width="6.5546875" style="1" customWidth="1"/>
    <col min="13315" max="13315" width="3" style="1" customWidth="1"/>
    <col min="13316" max="13316" width="10.21875" style="1" customWidth="1"/>
    <col min="13317" max="13317" width="8.88671875" style="1"/>
    <col min="13318" max="13318" width="2.6640625" style="1" customWidth="1"/>
    <col min="13319" max="13319" width="8.88671875" style="1"/>
    <col min="13320" max="13322" width="4.44140625" style="1" customWidth="1"/>
    <col min="13323" max="13323" width="2.88671875" style="1" customWidth="1"/>
    <col min="13324" max="13324" width="6.33203125" style="1" bestFit="1" customWidth="1"/>
    <col min="13325" max="13325" width="10.33203125" style="1" customWidth="1"/>
    <col min="13326" max="13568" width="8.88671875" style="1"/>
    <col min="13569" max="13570" width="6.5546875" style="1" customWidth="1"/>
    <col min="13571" max="13571" width="3" style="1" customWidth="1"/>
    <col min="13572" max="13572" width="10.21875" style="1" customWidth="1"/>
    <col min="13573" max="13573" width="8.88671875" style="1"/>
    <col min="13574" max="13574" width="2.6640625" style="1" customWidth="1"/>
    <col min="13575" max="13575" width="8.88671875" style="1"/>
    <col min="13576" max="13578" width="4.44140625" style="1" customWidth="1"/>
    <col min="13579" max="13579" width="2.88671875" style="1" customWidth="1"/>
    <col min="13580" max="13580" width="6.33203125" style="1" bestFit="1" customWidth="1"/>
    <col min="13581" max="13581" width="10.33203125" style="1" customWidth="1"/>
    <col min="13582" max="13824" width="8.88671875" style="1"/>
    <col min="13825" max="13826" width="6.5546875" style="1" customWidth="1"/>
    <col min="13827" max="13827" width="3" style="1" customWidth="1"/>
    <col min="13828" max="13828" width="10.21875" style="1" customWidth="1"/>
    <col min="13829" max="13829" width="8.88671875" style="1"/>
    <col min="13830" max="13830" width="2.6640625" style="1" customWidth="1"/>
    <col min="13831" max="13831" width="8.88671875" style="1"/>
    <col min="13832" max="13834" width="4.44140625" style="1" customWidth="1"/>
    <col min="13835" max="13835" width="2.88671875" style="1" customWidth="1"/>
    <col min="13836" max="13836" width="6.33203125" style="1" bestFit="1" customWidth="1"/>
    <col min="13837" max="13837" width="10.33203125" style="1" customWidth="1"/>
    <col min="13838" max="14080" width="8.88671875" style="1"/>
    <col min="14081" max="14082" width="6.5546875" style="1" customWidth="1"/>
    <col min="14083" max="14083" width="3" style="1" customWidth="1"/>
    <col min="14084" max="14084" width="10.21875" style="1" customWidth="1"/>
    <col min="14085" max="14085" width="8.88671875" style="1"/>
    <col min="14086" max="14086" width="2.6640625" style="1" customWidth="1"/>
    <col min="14087" max="14087" width="8.88671875" style="1"/>
    <col min="14088" max="14090" width="4.44140625" style="1" customWidth="1"/>
    <col min="14091" max="14091" width="2.88671875" style="1" customWidth="1"/>
    <col min="14092" max="14092" width="6.33203125" style="1" bestFit="1" customWidth="1"/>
    <col min="14093" max="14093" width="10.33203125" style="1" customWidth="1"/>
    <col min="14094" max="14336" width="8.88671875" style="1"/>
    <col min="14337" max="14338" width="6.5546875" style="1" customWidth="1"/>
    <col min="14339" max="14339" width="3" style="1" customWidth="1"/>
    <col min="14340" max="14340" width="10.21875" style="1" customWidth="1"/>
    <col min="14341" max="14341" width="8.88671875" style="1"/>
    <col min="14342" max="14342" width="2.6640625" style="1" customWidth="1"/>
    <col min="14343" max="14343" width="8.88671875" style="1"/>
    <col min="14344" max="14346" width="4.44140625" style="1" customWidth="1"/>
    <col min="14347" max="14347" width="2.88671875" style="1" customWidth="1"/>
    <col min="14348" max="14348" width="6.33203125" style="1" bestFit="1" customWidth="1"/>
    <col min="14349" max="14349" width="10.33203125" style="1" customWidth="1"/>
    <col min="14350" max="14592" width="8.88671875" style="1"/>
    <col min="14593" max="14594" width="6.5546875" style="1" customWidth="1"/>
    <col min="14595" max="14595" width="3" style="1" customWidth="1"/>
    <col min="14596" max="14596" width="10.21875" style="1" customWidth="1"/>
    <col min="14597" max="14597" width="8.88671875" style="1"/>
    <col min="14598" max="14598" width="2.6640625" style="1" customWidth="1"/>
    <col min="14599" max="14599" width="8.88671875" style="1"/>
    <col min="14600" max="14602" width="4.44140625" style="1" customWidth="1"/>
    <col min="14603" max="14603" width="2.88671875" style="1" customWidth="1"/>
    <col min="14604" max="14604" width="6.33203125" style="1" bestFit="1" customWidth="1"/>
    <col min="14605" max="14605" width="10.33203125" style="1" customWidth="1"/>
    <col min="14606" max="14848" width="8.88671875" style="1"/>
    <col min="14849" max="14850" width="6.5546875" style="1" customWidth="1"/>
    <col min="14851" max="14851" width="3" style="1" customWidth="1"/>
    <col min="14852" max="14852" width="10.21875" style="1" customWidth="1"/>
    <col min="14853" max="14853" width="8.88671875" style="1"/>
    <col min="14854" max="14854" width="2.6640625" style="1" customWidth="1"/>
    <col min="14855" max="14855" width="8.88671875" style="1"/>
    <col min="14856" max="14858" width="4.44140625" style="1" customWidth="1"/>
    <col min="14859" max="14859" width="2.88671875" style="1" customWidth="1"/>
    <col min="14860" max="14860" width="6.33203125" style="1" bestFit="1" customWidth="1"/>
    <col min="14861" max="14861" width="10.33203125" style="1" customWidth="1"/>
    <col min="14862" max="15104" width="8.88671875" style="1"/>
    <col min="15105" max="15106" width="6.5546875" style="1" customWidth="1"/>
    <col min="15107" max="15107" width="3" style="1" customWidth="1"/>
    <col min="15108" max="15108" width="10.21875" style="1" customWidth="1"/>
    <col min="15109" max="15109" width="8.88671875" style="1"/>
    <col min="15110" max="15110" width="2.6640625" style="1" customWidth="1"/>
    <col min="15111" max="15111" width="8.88671875" style="1"/>
    <col min="15112" max="15114" width="4.44140625" style="1" customWidth="1"/>
    <col min="15115" max="15115" width="2.88671875" style="1" customWidth="1"/>
    <col min="15116" max="15116" width="6.33203125" style="1" bestFit="1" customWidth="1"/>
    <col min="15117" max="15117" width="10.33203125" style="1" customWidth="1"/>
    <col min="15118" max="15360" width="8.88671875" style="1"/>
    <col min="15361" max="15362" width="6.5546875" style="1" customWidth="1"/>
    <col min="15363" max="15363" width="3" style="1" customWidth="1"/>
    <col min="15364" max="15364" width="10.21875" style="1" customWidth="1"/>
    <col min="15365" max="15365" width="8.88671875" style="1"/>
    <col min="15366" max="15366" width="2.6640625" style="1" customWidth="1"/>
    <col min="15367" max="15367" width="8.88671875" style="1"/>
    <col min="15368" max="15370" width="4.44140625" style="1" customWidth="1"/>
    <col min="15371" max="15371" width="2.88671875" style="1" customWidth="1"/>
    <col min="15372" max="15372" width="6.33203125" style="1" bestFit="1" customWidth="1"/>
    <col min="15373" max="15373" width="10.33203125" style="1" customWidth="1"/>
    <col min="15374" max="15616" width="8.88671875" style="1"/>
    <col min="15617" max="15618" width="6.5546875" style="1" customWidth="1"/>
    <col min="15619" max="15619" width="3" style="1" customWidth="1"/>
    <col min="15620" max="15620" width="10.21875" style="1" customWidth="1"/>
    <col min="15621" max="15621" width="8.88671875" style="1"/>
    <col min="15622" max="15622" width="2.6640625" style="1" customWidth="1"/>
    <col min="15623" max="15623" width="8.88671875" style="1"/>
    <col min="15624" max="15626" width="4.44140625" style="1" customWidth="1"/>
    <col min="15627" max="15627" width="2.88671875" style="1" customWidth="1"/>
    <col min="15628" max="15628" width="6.33203125" style="1" bestFit="1" customWidth="1"/>
    <col min="15629" max="15629" width="10.33203125" style="1" customWidth="1"/>
    <col min="15630" max="15872" width="8.88671875" style="1"/>
    <col min="15873" max="15874" width="6.5546875" style="1" customWidth="1"/>
    <col min="15875" max="15875" width="3" style="1" customWidth="1"/>
    <col min="15876" max="15876" width="10.21875" style="1" customWidth="1"/>
    <col min="15877" max="15877" width="8.88671875" style="1"/>
    <col min="15878" max="15878" width="2.6640625" style="1" customWidth="1"/>
    <col min="15879" max="15879" width="8.88671875" style="1"/>
    <col min="15880" max="15882" width="4.44140625" style="1" customWidth="1"/>
    <col min="15883" max="15883" width="2.88671875" style="1" customWidth="1"/>
    <col min="15884" max="15884" width="6.33203125" style="1" bestFit="1" customWidth="1"/>
    <col min="15885" max="15885" width="10.33203125" style="1" customWidth="1"/>
    <col min="15886" max="16128" width="8.88671875" style="1"/>
    <col min="16129" max="16130" width="6.5546875" style="1" customWidth="1"/>
    <col min="16131" max="16131" width="3" style="1" customWidth="1"/>
    <col min="16132" max="16132" width="10.21875" style="1" customWidth="1"/>
    <col min="16133" max="16133" width="8.88671875" style="1"/>
    <col min="16134" max="16134" width="2.6640625" style="1" customWidth="1"/>
    <col min="16135" max="16135" width="8.88671875" style="1"/>
    <col min="16136" max="16138" width="4.44140625" style="1" customWidth="1"/>
    <col min="16139" max="16139" width="2.88671875" style="1" customWidth="1"/>
    <col min="16140" max="16140" width="6.33203125" style="1" bestFit="1" customWidth="1"/>
    <col min="16141" max="16141" width="10.33203125" style="1" customWidth="1"/>
    <col min="16142" max="16384" width="8.88671875" style="1"/>
  </cols>
  <sheetData>
    <row r="1" spans="1:13" x14ac:dyDescent="0.15">
      <c r="A1" s="139" t="s">
        <v>0</v>
      </c>
      <c r="B1" s="139"/>
      <c r="C1" s="139"/>
      <c r="D1" s="139"/>
      <c r="E1" s="139"/>
      <c r="F1" s="139"/>
      <c r="G1" s="139"/>
      <c r="H1" s="139"/>
      <c r="I1" s="139"/>
      <c r="J1" s="139"/>
      <c r="K1" s="140"/>
      <c r="L1" s="140"/>
      <c r="M1" s="140"/>
    </row>
    <row r="2" spans="1:13" ht="33" customHeight="1" x14ac:dyDescent="0.15">
      <c r="A2" s="141" t="s">
        <v>39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</row>
    <row r="3" spans="1:13" ht="5.25" customHeight="1" x14ac:dyDescent="0.15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</row>
    <row r="4" spans="1:13" ht="19.5" customHeight="1" x14ac:dyDescent="0.15">
      <c r="A4" s="81" t="s">
        <v>1</v>
      </c>
      <c r="B4" s="143"/>
      <c r="C4" s="144"/>
      <c r="D4" s="145"/>
      <c r="E4" s="145"/>
      <c r="F4" s="145"/>
      <c r="G4" s="145"/>
      <c r="H4" s="145"/>
      <c r="I4" s="145"/>
      <c r="J4" s="145"/>
      <c r="K4" s="145"/>
      <c r="L4" s="145"/>
      <c r="M4" s="146"/>
    </row>
    <row r="5" spans="1:13" ht="16.5" customHeight="1" x14ac:dyDescent="0.15">
      <c r="A5" s="89" t="s">
        <v>2</v>
      </c>
      <c r="B5" s="90"/>
      <c r="C5" s="131" t="s">
        <v>40</v>
      </c>
      <c r="D5" s="132"/>
      <c r="E5" s="132"/>
      <c r="F5" s="132"/>
      <c r="G5" s="132"/>
      <c r="H5" s="132"/>
      <c r="I5" s="133"/>
      <c r="J5" s="131" t="s">
        <v>3</v>
      </c>
      <c r="K5" s="132"/>
      <c r="L5" s="132"/>
      <c r="M5" s="2"/>
    </row>
    <row r="6" spans="1:13" ht="16.5" customHeight="1" x14ac:dyDescent="0.15">
      <c r="A6" s="100"/>
      <c r="B6" s="101"/>
      <c r="C6" s="126"/>
      <c r="D6" s="127"/>
      <c r="E6" s="127"/>
      <c r="F6" s="127"/>
      <c r="G6" s="127"/>
      <c r="H6" s="127"/>
      <c r="I6" s="138"/>
      <c r="J6" s="147"/>
      <c r="K6" s="148"/>
      <c r="L6" s="148"/>
      <c r="M6" s="149"/>
    </row>
    <row r="7" spans="1:13" ht="16.5" customHeight="1" x14ac:dyDescent="0.15">
      <c r="A7" s="89" t="s">
        <v>4</v>
      </c>
      <c r="B7" s="90"/>
      <c r="C7" s="131" t="s">
        <v>5</v>
      </c>
      <c r="D7" s="132"/>
      <c r="E7" s="133"/>
      <c r="F7" s="131" t="s">
        <v>6</v>
      </c>
      <c r="G7" s="132"/>
      <c r="H7" s="132"/>
      <c r="I7" s="133"/>
      <c r="J7" s="131" t="s">
        <v>7</v>
      </c>
      <c r="K7" s="132"/>
      <c r="L7" s="132"/>
      <c r="M7" s="134"/>
    </row>
    <row r="8" spans="1:13" ht="16.5" customHeight="1" x14ac:dyDescent="0.15">
      <c r="A8" s="129"/>
      <c r="B8" s="130"/>
      <c r="C8" s="135"/>
      <c r="D8" s="136"/>
      <c r="E8" s="137"/>
      <c r="F8" s="126" t="s">
        <v>8</v>
      </c>
      <c r="G8" s="127"/>
      <c r="H8" s="127"/>
      <c r="I8" s="138"/>
      <c r="J8" s="126"/>
      <c r="K8" s="127"/>
      <c r="L8" s="127"/>
      <c r="M8" s="128"/>
    </row>
    <row r="9" spans="1:13" ht="16.5" customHeight="1" x14ac:dyDescent="0.15">
      <c r="A9" s="100"/>
      <c r="B9" s="101"/>
      <c r="C9" s="93" t="s">
        <v>9</v>
      </c>
      <c r="D9" s="94"/>
      <c r="E9" s="94"/>
      <c r="F9" s="94"/>
      <c r="G9" s="94"/>
      <c r="H9" s="94"/>
      <c r="I9" s="94"/>
      <c r="J9" s="94"/>
      <c r="K9" s="94"/>
      <c r="L9" s="94"/>
      <c r="M9" s="96"/>
    </row>
    <row r="10" spans="1:13" ht="19.5" customHeight="1" x14ac:dyDescent="0.15">
      <c r="A10" s="89" t="s">
        <v>10</v>
      </c>
      <c r="B10" s="90"/>
      <c r="C10" s="93" t="s">
        <v>11</v>
      </c>
      <c r="D10" s="94"/>
      <c r="E10" s="94"/>
      <c r="F10" s="94"/>
      <c r="G10" s="94"/>
      <c r="H10" s="95"/>
      <c r="I10" s="93" t="s">
        <v>12</v>
      </c>
      <c r="J10" s="94"/>
      <c r="K10" s="94"/>
      <c r="L10" s="94"/>
      <c r="M10" s="96"/>
    </row>
    <row r="11" spans="1:13" ht="19.5" customHeight="1" x14ac:dyDescent="0.15">
      <c r="A11" s="91"/>
      <c r="B11" s="92"/>
      <c r="C11" s="97" t="s">
        <v>13</v>
      </c>
      <c r="D11" s="98"/>
      <c r="E11" s="98"/>
      <c r="F11" s="98"/>
      <c r="G11" s="98"/>
      <c r="H11" s="98"/>
      <c r="I11" s="98"/>
      <c r="J11" s="98"/>
      <c r="K11" s="98"/>
      <c r="L11" s="98"/>
      <c r="M11" s="99"/>
    </row>
    <row r="12" spans="1:13" ht="8.25" customHeight="1" x14ac:dyDescent="0.15">
      <c r="A12" s="118"/>
      <c r="B12" s="119"/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20"/>
    </row>
    <row r="13" spans="1:13" ht="19.5" customHeight="1" x14ac:dyDescent="0.15">
      <c r="A13" s="121" t="s">
        <v>14</v>
      </c>
      <c r="B13" s="122"/>
      <c r="C13" s="123" t="s">
        <v>15</v>
      </c>
      <c r="D13" s="124"/>
      <c r="E13" s="124"/>
      <c r="F13" s="124"/>
      <c r="G13" s="124"/>
      <c r="H13" s="124"/>
      <c r="I13" s="124"/>
      <c r="J13" s="124"/>
      <c r="K13" s="124"/>
      <c r="L13" s="124"/>
      <c r="M13" s="125"/>
    </row>
    <row r="14" spans="1:13" ht="19.5" customHeight="1" x14ac:dyDescent="0.15">
      <c r="A14" s="100"/>
      <c r="B14" s="101"/>
      <c r="C14" s="126" t="s">
        <v>16</v>
      </c>
      <c r="D14" s="127"/>
      <c r="E14" s="127"/>
      <c r="F14" s="127"/>
      <c r="G14" s="127"/>
      <c r="H14" s="127"/>
      <c r="I14" s="127"/>
      <c r="J14" s="127"/>
      <c r="K14" s="127"/>
      <c r="L14" s="127"/>
      <c r="M14" s="128"/>
    </row>
    <row r="15" spans="1:13" ht="19.5" customHeight="1" x14ac:dyDescent="0.15">
      <c r="A15" s="84" t="s">
        <v>17</v>
      </c>
      <c r="B15" s="86"/>
      <c r="C15" s="93" t="s">
        <v>18</v>
      </c>
      <c r="D15" s="94"/>
      <c r="E15" s="94"/>
      <c r="F15" s="94"/>
      <c r="G15" s="94"/>
      <c r="H15" s="94"/>
      <c r="I15" s="94"/>
      <c r="J15" s="94"/>
      <c r="K15" s="94"/>
      <c r="L15" s="94"/>
      <c r="M15" s="96"/>
    </row>
    <row r="16" spans="1:13" ht="15" customHeight="1" x14ac:dyDescent="0.15">
      <c r="A16" s="89" t="s">
        <v>19</v>
      </c>
      <c r="B16" s="90"/>
      <c r="C16" s="102"/>
      <c r="D16" s="103"/>
      <c r="E16" s="106" t="s">
        <v>20</v>
      </c>
      <c r="F16" s="106"/>
      <c r="G16" s="102"/>
      <c r="H16" s="103"/>
      <c r="I16" s="108" t="s">
        <v>21</v>
      </c>
      <c r="J16" s="109"/>
      <c r="K16" s="110"/>
      <c r="L16" s="111"/>
      <c r="M16" s="112"/>
    </row>
    <row r="17" spans="1:17" ht="15" customHeight="1" x14ac:dyDescent="0.15">
      <c r="A17" s="100"/>
      <c r="B17" s="101"/>
      <c r="C17" s="104"/>
      <c r="D17" s="105"/>
      <c r="E17" s="107"/>
      <c r="F17" s="107"/>
      <c r="G17" s="104"/>
      <c r="H17" s="105"/>
      <c r="I17" s="115" t="s">
        <v>22</v>
      </c>
      <c r="J17" s="116"/>
      <c r="K17" s="117"/>
      <c r="L17" s="113"/>
      <c r="M17" s="114"/>
    </row>
    <row r="18" spans="1:17" ht="19.5" customHeight="1" x14ac:dyDescent="0.15">
      <c r="A18" s="72" t="s">
        <v>23</v>
      </c>
      <c r="B18" s="73"/>
      <c r="C18" s="74" t="str">
        <f>IFERROR(NUMBERSTRING(H18,1),"")</f>
        <v>삼억칠천팔백이십이만팔천구백칠</v>
      </c>
      <c r="D18" s="75"/>
      <c r="E18" s="75"/>
      <c r="F18" s="75"/>
      <c r="G18" s="75"/>
      <c r="H18" s="76">
        <f>IFERROR(D37,"")</f>
      </c>
      <c r="I18" s="76"/>
      <c r="J18" s="76"/>
      <c r="K18" s="76"/>
      <c r="L18" s="76"/>
      <c r="M18" s="77"/>
    </row>
    <row r="19" spans="1:17" ht="8.25" customHeight="1" x14ac:dyDescent="0.15">
      <c r="A19" s="78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80"/>
    </row>
    <row r="20" spans="1:17" ht="20.25" customHeight="1" x14ac:dyDescent="0.15">
      <c r="A20" s="81" t="s">
        <v>24</v>
      </c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3"/>
    </row>
    <row r="21" spans="1:17" ht="20.25" customHeight="1" thickBot="1" x14ac:dyDescent="0.2">
      <c r="A21" s="84" t="inlineStr">
        <is>
          <t xml:space="preserve">직접시공 공종(기능인력 투입예정 인원 : </t>
        </is>
      </c>
      <c r="B21" s="85"/>
      <c r="C21" s="85"/>
      <c r="D21" s="85"/>
      <c r="E21" s="85"/>
      <c r="F21" s="85"/>
      <c r="G21" s="86"/>
      <c r="H21" s="87" t="s">
        <v>25</v>
      </c>
      <c r="I21" s="85"/>
      <c r="J21" s="85"/>
      <c r="K21" s="85"/>
      <c r="L21" s="85"/>
      <c r="M21" s="88"/>
    </row>
    <row r="22" spans="1:17" ht="20.25" customHeight="1" x14ac:dyDescent="0.15">
      <c r="A22" s="67" t="s">
        <v>26</v>
      </c>
      <c r="B22" s="68"/>
      <c r="C22" s="68"/>
      <c r="D22" s="68" t="s">
        <v>27</v>
      </c>
      <c r="E22" s="68"/>
      <c r="F22" s="68"/>
      <c r="G22" s="69"/>
      <c r="H22" s="70" t="s">
        <v>26</v>
      </c>
      <c r="I22" s="68"/>
      <c r="J22" s="68"/>
      <c r="K22" s="68"/>
      <c r="L22" s="68" t="s">
        <v>27</v>
      </c>
      <c r="M22" s="71"/>
      <c r="O22" s="7" t="s">
        <v>37</v>
      </c>
    </row>
    <row r="23" spans="1:17" ht="20.25" customHeight="1" thickBot="1" x14ac:dyDescent="0.2">
      <c r="A23" s="59" t="s">
        <v>52</v>
      </c>
      <c r="B23" s="60"/>
      <c r="C23" s="60"/>
      <c r="D23" s="61"/>
      <c r="E23" s="61"/>
      <c r="F23" s="61"/>
      <c r="G23" s="62"/>
      <c r="H23" s="63"/>
      <c r="I23" s="64"/>
      <c r="J23" s="64"/>
      <c r="K23" s="64"/>
      <c r="L23" s="65"/>
      <c r="M23" s="66"/>
      <c r="O23" s="8">
        <f>IFERROR(H18=D37+L37,"")</f>
      </c>
      <c r="Q23" s="3">
        <f>IFERROR(H18/170000,"")</f>
      </c>
    </row>
    <row r="24" spans="1:17" ht="20.25" customHeight="1" x14ac:dyDescent="0.15">
      <c r="A24" s="59" t="s">
        <v>51</v>
      </c>
      <c r="B24" s="60"/>
      <c r="C24" s="60"/>
      <c r="D24" s="61"/>
      <c r="E24" s="61"/>
      <c r="F24" s="61"/>
      <c r="G24" s="62"/>
      <c r="H24" s="63"/>
      <c r="I24" s="64"/>
      <c r="J24" s="64"/>
      <c r="K24" s="64"/>
      <c r="L24" s="65"/>
      <c r="M24" s="66"/>
    </row>
    <row r="25" spans="1:17" ht="20.25" customHeight="1" x14ac:dyDescent="0.15">
      <c r="A25" s="59" t="s">
        <v>53</v>
      </c>
      <c r="B25" s="60"/>
      <c r="C25" s="60"/>
      <c r="D25" s="61"/>
      <c r="E25" s="61"/>
      <c r="F25" s="61"/>
      <c r="G25" s="62"/>
      <c r="H25" s="63"/>
      <c r="I25" s="64"/>
      <c r="J25" s="64"/>
      <c r="K25" s="64"/>
      <c r="L25" s="65"/>
      <c r="M25" s="66"/>
    </row>
    <row r="26" spans="1:17" ht="20.25" customHeight="1" x14ac:dyDescent="0.15">
      <c r="A26" s="59" t="s">
        <v>54</v>
      </c>
      <c r="B26" s="60"/>
      <c r="C26" s="60"/>
      <c r="D26" s="61"/>
      <c r="E26" s="61"/>
      <c r="F26" s="61"/>
      <c r="G26" s="62"/>
      <c r="H26" s="63"/>
      <c r="I26" s="64"/>
      <c r="J26" s="64"/>
      <c r="K26" s="64"/>
      <c r="L26" s="65"/>
      <c r="M26" s="66"/>
    </row>
    <row r="27" spans="1:17" ht="20.25" customHeight="1" x14ac:dyDescent="0.15">
      <c r="A27" s="59" t="s">
        <v>55</v>
      </c>
      <c r="B27" s="60"/>
      <c r="C27" s="60"/>
      <c r="D27" s="61"/>
      <c r="E27" s="61"/>
      <c r="F27" s="61"/>
      <c r="G27" s="62"/>
      <c r="H27" s="63"/>
      <c r="I27" s="64"/>
      <c r="J27" s="64"/>
      <c r="K27" s="64"/>
      <c r="L27" s="65"/>
      <c r="M27" s="66"/>
    </row>
    <row r="28" spans="1:17" ht="20.25" customHeight="1" x14ac:dyDescent="0.15">
      <c r="A28" s="59"/>
      <c r="B28" s="60"/>
      <c r="C28" s="60"/>
      <c r="D28" s="61"/>
      <c r="E28" s="61"/>
      <c r="F28" s="61"/>
      <c r="G28" s="62"/>
      <c r="H28" s="63"/>
      <c r="I28" s="64"/>
      <c r="J28" s="64"/>
      <c r="K28" s="64"/>
      <c r="L28" s="65"/>
      <c r="M28" s="66"/>
    </row>
    <row r="29" spans="1:17" ht="20.25" customHeight="1" x14ac:dyDescent="0.15">
      <c r="A29" s="59"/>
      <c r="B29" s="60"/>
      <c r="C29" s="60"/>
      <c r="D29" s="61"/>
      <c r="E29" s="61"/>
      <c r="F29" s="61"/>
      <c r="G29" s="62"/>
      <c r="H29" s="63"/>
      <c r="I29" s="64"/>
      <c r="J29" s="64"/>
      <c r="K29" s="64"/>
      <c r="L29" s="65"/>
      <c r="M29" s="66"/>
    </row>
    <row r="30" spans="1:17" ht="20.25" customHeight="1" x14ac:dyDescent="0.15">
      <c r="A30" s="59"/>
      <c r="B30" s="60"/>
      <c r="C30" s="60"/>
      <c r="D30" s="61"/>
      <c r="E30" s="61"/>
      <c r="F30" s="61"/>
      <c r="G30" s="62"/>
      <c r="H30" s="63"/>
      <c r="I30" s="64"/>
      <c r="J30" s="64"/>
      <c r="K30" s="64"/>
      <c r="L30" s="65"/>
      <c r="M30" s="66"/>
    </row>
    <row r="31" spans="1:17" ht="20.25" customHeight="1" x14ac:dyDescent="0.15">
      <c r="A31" s="59"/>
      <c r="B31" s="60"/>
      <c r="C31" s="60"/>
      <c r="D31" s="61"/>
      <c r="E31" s="61"/>
      <c r="F31" s="61"/>
      <c r="G31" s="62"/>
      <c r="H31" s="63"/>
      <c r="I31" s="64"/>
      <c r="J31" s="64"/>
      <c r="K31" s="64"/>
      <c r="L31" s="65"/>
      <c r="M31" s="66"/>
    </row>
    <row r="32" spans="1:17" ht="20.25" customHeight="1" x14ac:dyDescent="0.15">
      <c r="A32" s="59"/>
      <c r="B32" s="60"/>
      <c r="C32" s="60"/>
      <c r="D32" s="61"/>
      <c r="E32" s="61"/>
      <c r="F32" s="61"/>
      <c r="G32" s="62"/>
      <c r="H32" s="63"/>
      <c r="I32" s="64"/>
      <c r="J32" s="64"/>
      <c r="K32" s="64"/>
      <c r="L32" s="65"/>
      <c r="M32" s="66"/>
    </row>
    <row r="33" spans="1:15" ht="20.25" customHeight="1" x14ac:dyDescent="0.15">
      <c r="A33" s="34"/>
      <c r="B33" s="35"/>
      <c r="C33" s="35"/>
      <c r="D33" s="55"/>
      <c r="E33" s="55"/>
      <c r="F33" s="55"/>
      <c r="G33" s="56"/>
      <c r="H33" s="38"/>
      <c r="I33" s="39"/>
      <c r="J33" s="39"/>
      <c r="K33" s="39"/>
      <c r="L33" s="57"/>
      <c r="M33" s="58"/>
    </row>
    <row r="34" spans="1:15" ht="20.25" customHeight="1" x14ac:dyDescent="0.15">
      <c r="A34" s="34"/>
      <c r="B34" s="35"/>
      <c r="C34" s="35"/>
      <c r="D34" s="55"/>
      <c r="E34" s="55"/>
      <c r="F34" s="55"/>
      <c r="G34" s="56"/>
      <c r="H34" s="38"/>
      <c r="I34" s="39"/>
      <c r="J34" s="39"/>
      <c r="K34" s="39"/>
      <c r="L34" s="57"/>
      <c r="M34" s="58"/>
    </row>
    <row r="35" spans="1:15" ht="20.25" customHeight="1" x14ac:dyDescent="0.15">
      <c r="A35" s="34"/>
      <c r="B35" s="35"/>
      <c r="C35" s="35"/>
      <c r="D35" s="55"/>
      <c r="E35" s="55"/>
      <c r="F35" s="55"/>
      <c r="G35" s="56"/>
      <c r="H35" s="38"/>
      <c r="I35" s="39"/>
      <c r="J35" s="39"/>
      <c r="K35" s="39"/>
      <c r="L35" s="39"/>
      <c r="M35" s="40"/>
    </row>
    <row r="36" spans="1:15" ht="20.25" customHeight="1" x14ac:dyDescent="0.15">
      <c r="A36" s="34"/>
      <c r="B36" s="35"/>
      <c r="C36" s="35"/>
      <c r="D36" s="36"/>
      <c r="E36" s="36"/>
      <c r="F36" s="36"/>
      <c r="G36" s="37"/>
      <c r="H36" s="38"/>
      <c r="I36" s="39"/>
      <c r="J36" s="39"/>
      <c r="K36" s="39"/>
      <c r="L36" s="39"/>
      <c r="M36" s="40"/>
      <c r="O36" s="1" t="s">
        <v>28</v>
      </c>
    </row>
    <row r="37" spans="1:15" ht="18.75" customHeight="1" x14ac:dyDescent="0.15">
      <c r="A37" s="41" t="s">
        <v>29</v>
      </c>
      <c r="B37" s="42"/>
      <c r="C37" s="42"/>
      <c r="D37" s="43">
        <f>IFERROR(D23+D24+D25+D26+D27+D28,"")</f>
      </c>
      <c r="E37" s="43"/>
      <c r="F37" s="43"/>
      <c r="G37" s="44"/>
      <c r="H37" s="47" t="s">
        <v>30</v>
      </c>
      <c r="I37" s="48"/>
      <c r="J37" s="48"/>
      <c r="K37" s="48"/>
      <c r="L37" s="43">
        <f>IFERROR(SUM(L23:M36),"")</f>
      </c>
      <c r="M37" s="51"/>
      <c r="O37" s="4">
        <f>IFERROR(D37/H18,"")</f>
      </c>
    </row>
    <row r="38" spans="1:15" ht="18.75" customHeight="1" x14ac:dyDescent="0.15">
      <c r="A38" s="53" t="s">
        <v>31</v>
      </c>
      <c r="B38" s="54"/>
      <c r="C38" s="54"/>
      <c r="D38" s="45"/>
      <c r="E38" s="45"/>
      <c r="F38" s="45"/>
      <c r="G38" s="46"/>
      <c r="H38" s="49"/>
      <c r="I38" s="50"/>
      <c r="J38" s="50"/>
      <c r="K38" s="50"/>
      <c r="L38" s="45"/>
      <c r="M38" s="52"/>
    </row>
    <row r="39" spans="1:15" ht="19.5" customHeight="1" x14ac:dyDescent="0.15">
      <c r="A39" s="20" t="s">
        <v>32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2"/>
    </row>
    <row r="40" spans="1:15" ht="16.5" customHeight="1" x14ac:dyDescent="0.15">
      <c r="A40" s="23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5"/>
    </row>
    <row r="41" spans="1:15" ht="5.25" customHeight="1" x14ac:dyDescent="0.15">
      <c r="A41" s="26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8"/>
    </row>
    <row r="42" spans="1:15" ht="27" customHeight="1" x14ac:dyDescent="0.15">
      <c r="A42" s="26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8"/>
    </row>
    <row r="43" spans="1:15" ht="16.5" customHeight="1" thickBot="1" x14ac:dyDescent="0.2">
      <c r="A43" s="29">
        <f>IFERROR(J8,"")</f>
      </c>
      <c r="B43" s="30"/>
      <c r="C43" s="30"/>
      <c r="D43" s="30"/>
      <c r="E43" s="5" t="s">
        <v>33</v>
      </c>
      <c r="F43" s="5"/>
      <c r="G43" s="5"/>
      <c r="H43" s="5"/>
      <c r="I43" s="5"/>
      <c r="J43" s="5"/>
      <c r="K43" s="5"/>
      <c r="L43" s="5"/>
      <c r="M43" s="6"/>
    </row>
    <row r="44" spans="1:15" ht="3" customHeight="1" thickTop="1" x14ac:dyDescent="0.15">
      <c r="A44" s="31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3"/>
    </row>
    <row r="45" spans="1:15" ht="13.5" customHeight="1" x14ac:dyDescent="0.15">
      <c r="A45" s="9" t="s">
        <v>34</v>
      </c>
      <c r="B45" s="11" t="s">
        <v>35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3"/>
    </row>
    <row r="46" spans="1:15" ht="13.5" customHeight="1" x14ac:dyDescent="0.15">
      <c r="A46" s="10"/>
      <c r="B46" s="14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6"/>
    </row>
    <row r="47" spans="1:15" ht="16.5" customHeight="1" x14ac:dyDescent="0.15">
      <c r="A47" s="17" t="s">
        <v>36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9"/>
    </row>
  </sheetData>
  <mergeCells count="121">
    <mergeCell ref="A1:J1"/>
    <mergeCell ref="K1:M1"/>
    <mergeCell ref="A2:M2"/>
    <mergeCell ref="A3:M3"/>
    <mergeCell ref="A4:B4"/>
    <mergeCell ref="C4:M4"/>
    <mergeCell ref="A5:B6"/>
    <mergeCell ref="C5:I6"/>
    <mergeCell ref="J5:L5"/>
    <mergeCell ref="J6:M6"/>
    <mergeCell ref="A7:B9"/>
    <mergeCell ref="C7:E7"/>
    <mergeCell ref="F7:I7"/>
    <mergeCell ref="J7:M7"/>
    <mergeCell ref="C8:E8"/>
    <mergeCell ref="F8:I8"/>
    <mergeCell ref="J8:M8"/>
    <mergeCell ref="C9:D9"/>
    <mergeCell ref="E9:M9"/>
    <mergeCell ref="A10:B11"/>
    <mergeCell ref="C10:D10"/>
    <mergeCell ref="E10:H10"/>
    <mergeCell ref="I10:J10"/>
    <mergeCell ref="K10:M10"/>
    <mergeCell ref="C11:D11"/>
    <mergeCell ref="E11:M11"/>
    <mergeCell ref="A16:B17"/>
    <mergeCell ref="C16:D17"/>
    <mergeCell ref="E16:F17"/>
    <mergeCell ref="G16:H17"/>
    <mergeCell ref="I16:K16"/>
    <mergeCell ref="L16:M17"/>
    <mergeCell ref="I17:K17"/>
    <mergeCell ref="A12:M12"/>
    <mergeCell ref="A13:B14"/>
    <mergeCell ref="C13:M13"/>
    <mergeCell ref="C14:M14"/>
    <mergeCell ref="A15:B15"/>
    <mergeCell ref="C15:M15"/>
    <mergeCell ref="A22:C22"/>
    <mergeCell ref="D22:G22"/>
    <mergeCell ref="H22:K22"/>
    <mergeCell ref="L22:M22"/>
    <mergeCell ref="A23:C23"/>
    <mergeCell ref="D23:G23"/>
    <mergeCell ref="H23:K23"/>
    <mergeCell ref="L23:M23"/>
    <mergeCell ref="A18:B18"/>
    <mergeCell ref="C18:G18"/>
    <mergeCell ref="H18:M18"/>
    <mergeCell ref="A19:M19"/>
    <mergeCell ref="A20:M20"/>
    <mergeCell ref="A21:G21"/>
    <mergeCell ref="H21:M21"/>
    <mergeCell ref="A26:C26"/>
    <mergeCell ref="D26:G26"/>
    <mergeCell ref="H26:K26"/>
    <mergeCell ref="L26:M26"/>
    <mergeCell ref="A27:C27"/>
    <mergeCell ref="D27:G27"/>
    <mergeCell ref="H27:K27"/>
    <mergeCell ref="L27:M27"/>
    <mergeCell ref="A24:C24"/>
    <mergeCell ref="D24:G24"/>
    <mergeCell ref="H24:K24"/>
    <mergeCell ref="L24:M24"/>
    <mergeCell ref="A25:C25"/>
    <mergeCell ref="D25:G25"/>
    <mergeCell ref="H25:K25"/>
    <mergeCell ref="L25:M25"/>
    <mergeCell ref="A30:C30"/>
    <mergeCell ref="D30:G30"/>
    <mergeCell ref="H30:K30"/>
    <mergeCell ref="L30:M30"/>
    <mergeCell ref="A31:C31"/>
    <mergeCell ref="D31:G31"/>
    <mergeCell ref="H31:K31"/>
    <mergeCell ref="L31:M31"/>
    <mergeCell ref="A28:C28"/>
    <mergeCell ref="D28:G28"/>
    <mergeCell ref="H28:K28"/>
    <mergeCell ref="L28:M28"/>
    <mergeCell ref="A29:C29"/>
    <mergeCell ref="D29:G29"/>
    <mergeCell ref="H29:K29"/>
    <mergeCell ref="L29:M29"/>
    <mergeCell ref="A34:C34"/>
    <mergeCell ref="D34:G34"/>
    <mergeCell ref="H34:K34"/>
    <mergeCell ref="L34:M34"/>
    <mergeCell ref="A35:C35"/>
    <mergeCell ref="D35:G35"/>
    <mergeCell ref="H35:K35"/>
    <mergeCell ref="L35:M35"/>
    <mergeCell ref="A32:C32"/>
    <mergeCell ref="D32:G32"/>
    <mergeCell ref="H32:K32"/>
    <mergeCell ref="L32:M32"/>
    <mergeCell ref="A33:C33"/>
    <mergeCell ref="D33:G33"/>
    <mergeCell ref="H33:K33"/>
    <mergeCell ref="L33:M33"/>
    <mergeCell ref="A36:C36"/>
    <mergeCell ref="D36:G36"/>
    <mergeCell ref="H36:K36"/>
    <mergeCell ref="L36:M36"/>
    <mergeCell ref="A37:C37"/>
    <mergeCell ref="D37:G38"/>
    <mergeCell ref="H37:K38"/>
    <mergeCell ref="L37:M38"/>
    <mergeCell ref="A38:C38"/>
    <mergeCell ref="A45:A46"/>
    <mergeCell ref="B45:M45"/>
    <mergeCell ref="B46:M46"/>
    <mergeCell ref="A47:M47"/>
    <mergeCell ref="A39:M39"/>
    <mergeCell ref="A40:M40"/>
    <mergeCell ref="A41:M41"/>
    <mergeCell ref="A42:M42"/>
    <mergeCell ref="A43:D43"/>
    <mergeCell ref="A44:M44"/>
  </mergeCells>
  <phoneticPr fontId="4" type="noConversion"/>
  <pageMargins left="0.46" right="0.36" top="0.37" bottom="0.17" header="0.3" footer="0.17"/>
  <pageSetup paperSize="9" scale="9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직접시공계획서(변경양식)</vt:lpstr>
      <vt:lpstr>'직접시공계획서(변경양식)'!Print_Area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Registered User</dc:creator>
  <cp:lastModifiedBy>OS</cp:lastModifiedBy>
  <cp:lastPrinted>2025-06-06T00:06:13Z</cp:lastPrinted>
  <dcterms:created xsi:type="dcterms:W3CDTF">2020-01-17T02:54:30Z</dcterms:created>
  <dcterms:modified xsi:type="dcterms:W3CDTF">2025-06-26T23:46:04Z</dcterms:modified>
</cp:coreProperties>
</file>