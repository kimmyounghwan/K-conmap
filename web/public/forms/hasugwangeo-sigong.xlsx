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위치도" sheetId="4" state="visible" r:id="rId4"/>
    <sheet xmlns:r="http://schemas.openxmlformats.org/officeDocument/2006/relationships" name="4.예정공정표" sheetId="5" state="visible" r:id="rId5"/>
    <sheet xmlns:r="http://schemas.openxmlformats.org/officeDocument/2006/relationships" name="5.시공절차(일반·토공·기초)" sheetId="6" state="visible" r:id="rId6"/>
    <sheet xmlns:r="http://schemas.openxmlformats.org/officeDocument/2006/relationships" name="5.시공절차(가시설)" sheetId="7" state="visible" r:id="rId7"/>
    <sheet xmlns:r="http://schemas.openxmlformats.org/officeDocument/2006/relationships" name="5.시공절차(콘크리트)" sheetId="8" state="visible" r:id="rId8"/>
    <sheet xmlns:r="http://schemas.openxmlformats.org/officeDocument/2006/relationships" name="5.시공절차(관거·맨홀·배수설비)" sheetId="9" state="visible" r:id="rId9"/>
    <sheet xmlns:r="http://schemas.openxmlformats.org/officeDocument/2006/relationships" name="5.시공절차(포장·기타)" sheetId="10" state="visible" r:id="rId10"/>
    <sheet xmlns:r="http://schemas.openxmlformats.org/officeDocument/2006/relationships" name="6.일일시공일정" sheetId="11" state="visible" r:id="rId11"/>
    <sheet xmlns:r="http://schemas.openxmlformats.org/officeDocument/2006/relationships" name="7.장비인력투입" sheetId="12" state="visible" r:id="rId12"/>
    <sheet xmlns:r="http://schemas.openxmlformats.org/officeDocument/2006/relationships" name="8.안전환경관리" sheetId="13" state="visible" r:id="rId13"/>
    <sheet xmlns:r="http://schemas.openxmlformats.org/officeDocument/2006/relationships" name="예시-표지" sheetId="14" state="visible" r:id="rId14"/>
    <sheet xmlns:r="http://schemas.openxmlformats.org/officeDocument/2006/relationships" name="예시-1.공사개요" sheetId="15" state="visible" r:id="rId15"/>
    <sheet xmlns:r="http://schemas.openxmlformats.org/officeDocument/2006/relationships" name="예시-2.위치도" sheetId="16" state="visible" r:id="rId16"/>
    <sheet xmlns:r="http://schemas.openxmlformats.org/officeDocument/2006/relationships" name="예시-4.예정공정표" sheetId="17" state="visible" r:id="rId17"/>
    <sheet xmlns:r="http://schemas.openxmlformats.org/officeDocument/2006/relationships" name="예시-6.일일시공일정" sheetId="18" state="visible" r:id="rId18"/>
    <sheet xmlns:r="http://schemas.openxmlformats.org/officeDocument/2006/relationships" name="예시-7.장비인력투입" sheetId="19" state="visible" r:id="rId19"/>
  </sheets>
  <definedNames>
    <definedName name="_xlnm.Print_Area" localSheetId="0">'표지'!$A$1:$L$8</definedName>
    <definedName name="_xlnm.Print_Area" localSheetId="1">'목차'!$A$1:$L$12</definedName>
    <definedName name="_xlnm.Print_Area" localSheetId="2">'1.공사개요'!$A$1:$L$28</definedName>
    <definedName name="_xlnm.Print_Area" localSheetId="3">'2.위치도'!$A$1:$L$40</definedName>
    <definedName name="_xlnm.Print_Area" localSheetId="4">'4.예정공정표'!$A$1:$AC$19</definedName>
    <definedName name="_xlnm.Print_Area" localSheetId="5">'5.시공절차(일반·토공·기초)'!$A$1:$L$134</definedName>
    <definedName name="_xlnm.Print_Area" localSheetId="6">'5.시공절차(가시설)'!$A$1:$L$74</definedName>
    <definedName name="_xlnm.Print_Area" localSheetId="7">'5.시공절차(콘크리트)'!$A$1:$L$117</definedName>
    <definedName name="_xlnm.Print_Area" localSheetId="8">'5.시공절차(관거·맨홀·배수설비)'!$A$1:$L$160</definedName>
    <definedName name="_xlnm.Print_Area" localSheetId="9">'5.시공절차(포장·기타)'!$A$1:$L$57</definedName>
    <definedName name="_xlnm.Print_Area" localSheetId="10">'6.일일시공일정'!$A$1:$L$23</definedName>
    <definedName name="_xlnm.Print_Area" localSheetId="11">'7.장비인력투입'!$A$1:$L$38</definedName>
    <definedName name="_xlnm.Print_Area" localSheetId="12">'8.안전환경관리'!$A$1:$L$63</definedName>
    <definedName name="_xlnm.Print_Area" localSheetId="13">'예시-표지'!$A$1:$L$8</definedName>
    <definedName name="_xlnm.Print_Area" localSheetId="14">'예시-1.공사개요'!$A$1:$L$28</definedName>
    <definedName name="_xlnm.Print_Area" localSheetId="15">'예시-2.위치도'!$A$1:$L$40</definedName>
    <definedName name="_xlnm.Print_Area" localSheetId="16">'예시-4.예정공정표'!$A$1:$AC$19</definedName>
    <definedName name="_xlnm.Print_Area" localSheetId="17">'예시-6.일일시공일정'!$A$1:$L$23</definedName>
    <definedName name="_xlnm.Print_Area" localSheetId="18">'예시-7.장비인력투입'!$A$1:$L$38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&quot;₩&quot;#,##0;;&quot;&quot;"/>
    <numFmt numFmtId="166" formatCode="yyyy. m. d."/>
    <numFmt numFmtId="167" formatCode="&quot;~ &quot;yyyy. m. d."/>
    <numFmt numFmtId="168" formatCode="&quot;(총 &quot;#,##0&quot;일)&quot;;;&quot;&quot;"/>
    <numFmt numFmtId="169" formatCode="#,##0.##;;&quot;&quot;"/>
    <numFmt numFmtId="170" formatCode="#,##0.##&quot; m&quot;;;&quot;&quot;"/>
    <numFmt numFmtId="171" formatCode="yy&quot;.&quot;m;;&quot;&quot;"/>
    <numFmt numFmtId="172" formatCode="yyyy-mm-dd"/>
    <numFmt numFmtId="173" formatCode="#,##0;;&quot;&quot;"/>
    <numFmt numFmtId="174" formatCode="hh:mm"/>
    <numFmt numFmtId="175" formatCode="#,##0&quot;분&quot;;;&quot;&quot;"/>
    <numFmt numFmtId="176" formatCode="0.0#&quot;시간&quot;;;&quot;&quot;"/>
    <numFmt numFmtId="177" formatCode="#,##0.#&quot; m/일&quot;;;&quot;&quot;"/>
    <numFmt numFmtId="178" formatCode="#,##0&quot; 조&quot;;;&quot;&quot;"/>
    <numFmt numFmtId="179" formatCode="#,##0&quot; 일&quot;;;&quot;&quot;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10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b val="1"/>
      <color rgb="00111827"/>
      <sz val="16"/>
    </font>
    <font>
      <name val="맑은 고딕"/>
      <color rgb="001F2937"/>
      <sz val="8"/>
    </font>
    <font>
      <name val="맑은 고딕"/>
      <b val="1"/>
      <color rgb="001F2937"/>
      <sz val="7.5"/>
    </font>
    <font>
      <name val="맑은 고딕"/>
      <color rgb="001F2937"/>
      <sz val="7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1F2937"/>
      <sz val="9.5"/>
    </font>
    <font>
      <name val="맑은 고딕"/>
      <b val="1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5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5B6573"/>
      </left>
    </border>
    <border>
      <bottom style="thin">
        <color rgb="005B6573"/>
      </bottom>
    </border>
    <border>
      <left style="thin">
        <color rgb="005B6573"/>
      </left>
      <bottom style="thin">
        <color rgb="005B6573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166" fontId="6" fillId="0" borderId="1" applyAlignment="1" pivotButton="0" quotePrefix="0" xfId="0">
      <alignment horizontal="center" vertical="center" shrinkToFit="1"/>
    </xf>
    <xf numFmtId="167" fontId="6" fillId="0" borderId="1" applyAlignment="1" pivotButton="0" quotePrefix="0" xfId="0">
      <alignment horizontal="center" vertical="center" shrinkToFit="1"/>
    </xf>
    <xf numFmtId="168" fontId="4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right" vertical="center" shrinkToFit="1"/>
    </xf>
    <xf numFmtId="0" fontId="13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3" borderId="1" applyAlignment="1" pivotButton="0" quotePrefix="0" xfId="0">
      <alignment horizontal="right" vertical="center" shrinkToFit="1"/>
    </xf>
    <xf numFmtId="0" fontId="14" fillId="0" borderId="0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17" fillId="0" borderId="0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71" fontId="18" fillId="4" borderId="1" applyAlignment="1" pivotButton="0" quotePrefix="0" xfId="0">
      <alignment horizontal="center" vertical="center" shrinkToFit="1"/>
    </xf>
    <xf numFmtId="0" fontId="19" fillId="4" borderId="1" applyAlignment="1" pivotButton="0" quotePrefix="0" xfId="0">
      <alignment horizontal="center" vertical="center" wrapText="1"/>
    </xf>
    <xf numFmtId="172" fontId="20" fillId="0" borderId="0" applyAlignment="1" pivotButton="0" quotePrefix="0" xfId="0">
      <alignment horizontal="left" vertical="center" wrapText="1"/>
    </xf>
    <xf numFmtId="166" fontId="21" fillId="0" borderId="1" applyAlignment="1" pivotButton="0" quotePrefix="0" xfId="0">
      <alignment horizontal="center" vertical="center" shrinkToFit="1"/>
    </xf>
    <xf numFmtId="173" fontId="22" fillId="3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 indent="2"/>
    </xf>
    <xf numFmtId="0" fontId="25" fillId="0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74" fontId="6" fillId="0" borderId="1" applyAlignment="1" pivotButton="0" quotePrefix="0" xfId="0">
      <alignment horizontal="center" vertical="center" shrinkToFit="1"/>
    </xf>
    <xf numFmtId="175" fontId="4" fillId="3" borderId="1" applyAlignment="1" pivotButton="0" quotePrefix="0" xfId="0">
      <alignment horizontal="center" vertical="center" shrinkToFit="1"/>
    </xf>
    <xf numFmtId="176" fontId="5" fillId="3" borderId="1" applyAlignment="1" pivotButton="0" quotePrefix="0" xfId="0">
      <alignment horizontal="center" vertical="center" shrinkToFit="1"/>
    </xf>
    <xf numFmtId="170" fontId="4" fillId="3" borderId="1" applyAlignment="1" pivotButton="0" quotePrefix="0" xfId="0">
      <alignment horizontal="center" vertical="center" shrinkToFit="1"/>
    </xf>
    <xf numFmtId="177" fontId="6" fillId="6" borderId="1" applyAlignment="1" pivotButton="0" quotePrefix="0" xfId="0">
      <alignment horizontal="center" vertical="center" shrinkToFit="1"/>
    </xf>
    <xf numFmtId="178" fontId="6" fillId="0" borderId="1" applyAlignment="1" pivotButton="0" quotePrefix="0" xfId="0">
      <alignment horizontal="center" vertical="center" shrinkToFit="1"/>
    </xf>
    <xf numFmtId="179" fontId="5" fillId="3" borderId="1" applyAlignment="1" pivotButton="0" quotePrefix="0" xfId="0">
      <alignment horizontal="center" vertical="center" shrinkToFit="1"/>
    </xf>
    <xf numFmtId="173" fontId="6" fillId="0" borderId="1" applyAlignment="1" pivotButton="0" quotePrefix="0" xfId="0">
      <alignment horizontal="center" vertical="center" shrinkToFit="1"/>
    </xf>
    <xf numFmtId="173" fontId="4" fillId="3" borderId="1" applyAlignment="1" pivotButton="0" quotePrefix="0" xfId="0">
      <alignment horizontal="center" vertical="center" shrinkToFit="1"/>
    </xf>
    <xf numFmtId="173" fontId="5" fillId="3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numFmt numFmtId="300" formatCode="#,##0;;&quot;&quot;"/>
    </dxf>
    <dxf>
      <numFmt numFmtId="301" formatCode="#,##0&quot; m&quot;;;&quot;&quot;"/>
    </dxf>
    <dxf>
      <fill>
        <patternFill patternType="solid">
          <fgColor rgb="002F5597"/>
          <bgColor rgb="002F5597"/>
        </patternFill>
      </fill>
    </dxf>
    <dxf>
      <numFmt numFmtId="302" formatCode="#,##0&quot; m/일&quot;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/Relationships>
</file>

<file path=xl/drawings/_rels/drawing3.xml.rels><Relationships xmlns="http://schemas.openxmlformats.org/package/2006/relationships"><Relationship Type="http://schemas.openxmlformats.org/officeDocument/2006/relationships/image" Target="/xl/media/image12.png" Id="rId1"/><Relationship Type="http://schemas.openxmlformats.org/officeDocument/2006/relationships/image" Target="/xl/media/image13.png" Id="rId2"/><Relationship Type="http://schemas.openxmlformats.org/officeDocument/2006/relationships/image" Target="/xl/media/image14.png" Id="rId3"/></Relationships>
</file>

<file path=xl/drawings/drawing1.xml><?xml version="1.0" encoding="utf-8"?>
<wsDr xmlns="http://schemas.openxmlformats.org/drawingml/2006/spreadsheetDrawing">
  <oneCellAnchor>
    <from>
      <col>0</col>
      <colOff>47625</colOff>
      <row>113</row>
      <rowOff>142875</rowOff>
    </from>
    <ext cx="2933700" cy="3257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113</row>
      <rowOff>47625</rowOff>
    </from>
    <ext cx="2924175" cy="3457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476250</colOff>
      <row>20</row>
      <rowOff>38100</rowOff>
    </from>
    <ext cx="1562100" cy="1419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22</row>
      <rowOff>38100</rowOff>
    </from>
    <ext cx="1562100" cy="1419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24</row>
      <rowOff>38100</rowOff>
    </from>
    <ext cx="1562100" cy="14192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466725</colOff>
      <row>26</row>
      <rowOff>38100</rowOff>
    </from>
    <ext cx="1571625" cy="14192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28</row>
      <rowOff>38100</rowOff>
    </from>
    <ext cx="1562100" cy="14192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30</row>
      <rowOff>38100</rowOff>
    </from>
    <ext cx="1562100" cy="14192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466725</colOff>
      <row>32</row>
      <rowOff>38100</rowOff>
    </from>
    <ext cx="1571625" cy="14192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34</row>
      <rowOff>38100</rowOff>
    </from>
    <ext cx="1562100" cy="14192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36</row>
      <rowOff>38100</rowOff>
    </from>
    <ext cx="1562100" cy="14192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</col>
      <colOff>133350</colOff>
      <row>30</row>
      <rowOff>47625</rowOff>
    </from>
    <ext cx="2752725" cy="142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352425</colOff>
      <row>36</row>
      <rowOff>47625</rowOff>
    </from>
    <ext cx="2305050" cy="1676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495300</colOff>
      <row>36</row>
      <rowOff>47625</rowOff>
    </from>
    <ext cx="2028825" cy="1676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3" t="inlineStr">
        <is>
          <t>하 수 관 거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n"/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(회 사 명)</t>
        </is>
      </c>
    </row>
    <row r="10" ht="19.5" customHeight="1">
      <c r="A10" s="10" t="inlineStr">
        <is>
          <t>공사명을 여기 한 번만 적으면 뒤 장(공사개요)에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1" t="inlineStr">
        <is>
          <t>목          차</t>
        </is>
      </c>
    </row>
    <row r="4" ht="30" customHeight="1"/>
    <row r="5" ht="34" customHeight="1">
      <c r="A5" s="4" t="inlineStr"/>
      <c r="C5" s="12" t="inlineStr">
        <is>
          <t>1.</t>
        </is>
      </c>
      <c r="D5" s="12" t="inlineStr">
        <is>
          <t>공 사 개 요</t>
        </is>
      </c>
      <c r="L5" s="4" t="inlineStr"/>
    </row>
    <row r="6" ht="34" customHeight="1">
      <c r="A6" s="4" t="inlineStr"/>
      <c r="C6" s="12" t="inlineStr">
        <is>
          <t>2.</t>
        </is>
      </c>
      <c r="D6" s="12" t="inlineStr">
        <is>
          <t>위  치  도</t>
        </is>
      </c>
      <c r="L6" s="4" t="inlineStr"/>
    </row>
    <row r="7" ht="34" customHeight="1">
      <c r="A7" s="4" t="inlineStr"/>
      <c r="C7" s="12" t="inlineStr">
        <is>
          <t>3.</t>
        </is>
      </c>
      <c r="D7" s="12" t="inlineStr">
        <is>
          <t>현 장 조 직 도</t>
        </is>
      </c>
      <c r="L7" s="4" t="inlineStr"/>
    </row>
    <row r="8" ht="34" customHeight="1">
      <c r="A8" s="4" t="inlineStr"/>
      <c r="C8" s="12" t="inlineStr">
        <is>
          <t>4.</t>
        </is>
      </c>
      <c r="D8" s="12" t="inlineStr">
        <is>
          <t>예 정 공 정 표</t>
        </is>
      </c>
      <c r="L8" s="4" t="inlineStr"/>
    </row>
    <row r="9" ht="34" customHeight="1">
      <c r="A9" s="4" t="inlineStr"/>
      <c r="C9" s="12" t="inlineStr">
        <is>
          <t>5.</t>
        </is>
      </c>
      <c r="D9" s="12" t="inlineStr">
        <is>
          <t>주요 공정의 시공절차 및 방법</t>
        </is>
      </c>
      <c r="L9" s="4" t="inlineStr"/>
    </row>
    <row r="10" ht="34" customHeight="1">
      <c r="A10" s="4" t="inlineStr"/>
      <c r="C10" s="12" t="inlineStr">
        <is>
          <t>6.</t>
        </is>
      </c>
      <c r="D10" s="12" t="inlineStr">
        <is>
          <t>일일 시공 일정</t>
        </is>
      </c>
      <c r="L10" s="4" t="inlineStr"/>
    </row>
    <row r="11" ht="34" customHeight="1">
      <c r="A11" s="4" t="inlineStr"/>
      <c r="C11" s="12" t="inlineStr">
        <is>
          <t>7.</t>
        </is>
      </c>
      <c r="D11" s="12" t="inlineStr">
        <is>
          <t>주요 장비 및 인력 투입 계획</t>
        </is>
      </c>
      <c r="L11" s="4" t="inlineStr"/>
    </row>
    <row r="12" ht="34" customHeight="1">
      <c r="A12" s="4" t="inlineStr"/>
      <c r="C12" s="12" t="inlineStr">
        <is>
          <t>8.</t>
        </is>
      </c>
      <c r="D12" s="12" t="inlineStr">
        <is>
          <t>안전 및 환경관리 계획</t>
        </is>
      </c>
      <c r="L12" s="4" t="inlineStr"/>
    </row>
  </sheetData>
  <mergeCells count="19">
    <mergeCell ref="A11:B11"/>
    <mergeCell ref="D10:K10"/>
    <mergeCell ref="A3:L3"/>
    <mergeCell ref="A6:B6"/>
    <mergeCell ref="A7:B7"/>
    <mergeCell ref="D6:K6"/>
    <mergeCell ref="D11:K11"/>
    <mergeCell ref="A12:B12"/>
    <mergeCell ref="G1:L1"/>
    <mergeCell ref="D7:K7"/>
    <mergeCell ref="A5:B5"/>
    <mergeCell ref="A8:B8"/>
    <mergeCell ref="D12:K12"/>
    <mergeCell ref="D9:K9"/>
    <mergeCell ref="D8:K8"/>
    <mergeCell ref="A1:F1"/>
    <mergeCell ref="A10:B10"/>
    <mergeCell ref="D5:K5"/>
    <mergeCell ref="A9:B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1.  공 사 개 요</t>
        </is>
      </c>
    </row>
    <row r="4" ht="26" customHeight="1">
      <c r="A4" s="5" t="inlineStr">
        <is>
          <t>공 사 명</t>
        </is>
      </c>
      <c r="B4" s="6" t="n"/>
      <c r="C4" s="14">
        <f>IF('표지'!E5="","",'표지'!E5)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6" customHeight="1">
      <c r="A5" s="5" t="inlineStr">
        <is>
          <t>공사 금액</t>
        </is>
      </c>
      <c r="B5" s="6" t="n"/>
      <c r="C5" s="15" t="n"/>
      <c r="D5" s="6" t="n"/>
      <c r="E5" s="6" t="n"/>
      <c r="F5" s="6" t="n"/>
      <c r="G5" s="5" t="inlineStr">
        <is>
          <t>발 주 처</t>
        </is>
      </c>
      <c r="H5" s="6" t="n"/>
      <c r="I5" s="16" t="n"/>
      <c r="J5" s="6" t="n"/>
      <c r="K5" s="6" t="n"/>
      <c r="L5" s="6" t="n"/>
    </row>
    <row r="6" ht="26" customHeight="1">
      <c r="A6" s="5" t="inlineStr">
        <is>
          <t>현장 위치</t>
        </is>
      </c>
      <c r="B6" s="6" t="n"/>
      <c r="C6" s="16" t="n"/>
      <c r="D6" s="6" t="n"/>
      <c r="E6" s="6" t="n"/>
      <c r="F6" s="6" t="n"/>
      <c r="G6" s="5" t="inlineStr">
        <is>
          <t>도급 형태</t>
        </is>
      </c>
      <c r="H6" s="6" t="n"/>
      <c r="I6" s="16" t="n"/>
      <c r="J6" s="6" t="n"/>
      <c r="K6" s="6" t="n"/>
      <c r="L6" s="6" t="n"/>
    </row>
    <row r="7" ht="26" customHeight="1">
      <c r="A7" s="5" t="inlineStr">
        <is>
          <t>관할 행정기관</t>
        </is>
      </c>
      <c r="B7" s="6" t="n"/>
      <c r="C7" s="16" t="n"/>
      <c r="D7" s="6" t="n"/>
      <c r="E7" s="6" t="n"/>
      <c r="F7" s="6" t="n"/>
      <c r="G7" s="5" t="inlineStr">
        <is>
          <t>공사 기간</t>
        </is>
      </c>
      <c r="H7" s="6" t="n"/>
      <c r="I7" s="17" t="n"/>
      <c r="J7" s="6" t="n"/>
      <c r="K7" s="18" t="n"/>
      <c r="L7" s="6" t="n"/>
    </row>
    <row r="8" ht="18" customHeight="1">
      <c r="A8" s="4" t="inlineStr"/>
      <c r="I8" s="19">
        <f>IF(OR(N(I7)=0,N(K7)=0),"",IF(K7&lt;I7,"⚠ 준공일이 착공일보다 빠름",K7-I7+1))</f>
        <v/>
      </c>
    </row>
    <row r="9" ht="6" customHeight="1"/>
    <row r="10" ht="3" customHeight="1"/>
    <row r="11" ht="21" customHeight="1">
      <c r="A11" s="20" t="inlineStr">
        <is>
          <t>공사 개요 (주요 물량)</t>
        </is>
      </c>
    </row>
    <row r="12" ht="24" customHeight="1">
      <c r="A12" s="21" t="inlineStr">
        <is>
          <t>공  종</t>
        </is>
      </c>
      <c r="B12" s="6" t="n"/>
      <c r="C12" s="6" t="n"/>
      <c r="D12" s="21" t="inlineStr">
        <is>
          <t>규  격</t>
        </is>
      </c>
      <c r="E12" s="6" t="n"/>
      <c r="F12" s="6" t="n"/>
      <c r="G12" s="6" t="n"/>
      <c r="H12" s="21" t="inlineStr">
        <is>
          <t>단위</t>
        </is>
      </c>
      <c r="I12" s="21" t="inlineStr">
        <is>
          <t>수  량</t>
        </is>
      </c>
      <c r="J12" s="6" t="n"/>
      <c r="K12" s="21" t="inlineStr">
        <is>
          <t>비  고</t>
        </is>
      </c>
      <c r="L12" s="6" t="n"/>
    </row>
    <row r="13" ht="24" customHeight="1">
      <c r="A13" s="7" t="inlineStr">
        <is>
          <t>오수관로</t>
        </is>
      </c>
      <c r="B13" s="6" t="n"/>
      <c r="C13" s="6" t="n"/>
      <c r="D13" s="22" t="n"/>
      <c r="E13" s="6" t="n"/>
      <c r="F13" s="6" t="n"/>
      <c r="G13" s="6" t="n"/>
      <c r="H13" s="7" t="inlineStr">
        <is>
          <t>m</t>
        </is>
      </c>
      <c r="I13" s="23" t="n"/>
      <c r="J13" s="6" t="n"/>
      <c r="K13" s="24" t="n"/>
      <c r="L13" s="6" t="n"/>
    </row>
    <row r="14" ht="24" customHeight="1">
      <c r="A14" s="7" t="inlineStr">
        <is>
          <t>오수관로</t>
        </is>
      </c>
      <c r="B14" s="6" t="n"/>
      <c r="C14" s="6" t="n"/>
      <c r="D14" s="22" t="n"/>
      <c r="E14" s="6" t="n"/>
      <c r="F14" s="6" t="n"/>
      <c r="G14" s="6" t="n"/>
      <c r="H14" s="7" t="inlineStr">
        <is>
          <t>m</t>
        </is>
      </c>
      <c r="I14" s="23" t="n"/>
      <c r="J14" s="6" t="n"/>
      <c r="K14" s="24" t="n"/>
      <c r="L14" s="6" t="n"/>
    </row>
    <row r="15" ht="24" customHeight="1">
      <c r="A15" s="7" t="inlineStr">
        <is>
          <t>오수관로</t>
        </is>
      </c>
      <c r="B15" s="6" t="n"/>
      <c r="C15" s="6" t="n"/>
      <c r="D15" s="22" t="n"/>
      <c r="E15" s="6" t="n"/>
      <c r="F15" s="6" t="n"/>
      <c r="G15" s="6" t="n"/>
      <c r="H15" s="7" t="inlineStr">
        <is>
          <t>m</t>
        </is>
      </c>
      <c r="I15" s="23" t="n"/>
      <c r="J15" s="6" t="n"/>
      <c r="K15" s="24" t="n"/>
      <c r="L15" s="6" t="n"/>
    </row>
    <row r="16" ht="24" customHeight="1">
      <c r="A16" s="7" t="inlineStr">
        <is>
          <t>오수맨홀</t>
        </is>
      </c>
      <c r="B16" s="6" t="n"/>
      <c r="C16" s="6" t="n"/>
      <c r="D16" s="22" t="n"/>
      <c r="E16" s="6" t="n"/>
      <c r="F16" s="6" t="n"/>
      <c r="G16" s="6" t="n"/>
      <c r="H16" s="7" t="inlineStr">
        <is>
          <t>개소</t>
        </is>
      </c>
      <c r="I16" s="23" t="n"/>
      <c r="J16" s="6" t="n"/>
      <c r="K16" s="24" t="n"/>
      <c r="L16" s="6" t="n"/>
    </row>
    <row r="17" ht="24" customHeight="1">
      <c r="A17" s="7" t="inlineStr">
        <is>
          <t>배수설비</t>
        </is>
      </c>
      <c r="B17" s="6" t="n"/>
      <c r="C17" s="6" t="n"/>
      <c r="D17" s="22" t="n"/>
      <c r="E17" s="6" t="n"/>
      <c r="F17" s="6" t="n"/>
      <c r="G17" s="6" t="n"/>
      <c r="H17" s="7" t="inlineStr">
        <is>
          <t>가구</t>
        </is>
      </c>
      <c r="I17" s="23" t="n"/>
      <c r="J17" s="6" t="n"/>
      <c r="K17" s="24" t="n"/>
      <c r="L17" s="6" t="n"/>
    </row>
    <row r="18" ht="24" customHeight="1">
      <c r="A18" s="7" t="inlineStr">
        <is>
          <t>오수맨홀 펌프장</t>
        </is>
      </c>
      <c r="B18" s="6" t="n"/>
      <c r="C18" s="6" t="n"/>
      <c r="D18" s="22" t="n"/>
      <c r="E18" s="6" t="n"/>
      <c r="F18" s="6" t="n"/>
      <c r="G18" s="6" t="n"/>
      <c r="H18" s="7" t="inlineStr">
        <is>
          <t>개소</t>
        </is>
      </c>
      <c r="I18" s="23" t="n"/>
      <c r="J18" s="6" t="n"/>
      <c r="K18" s="24" t="n"/>
      <c r="L18" s="6" t="n"/>
    </row>
    <row r="19" ht="24" customHeight="1">
      <c r="A19" s="7" t="n"/>
      <c r="B19" s="6" t="n"/>
      <c r="C19" s="6" t="n"/>
      <c r="D19" s="22" t="n"/>
      <c r="E19" s="6" t="n"/>
      <c r="F19" s="6" t="n"/>
      <c r="G19" s="6" t="n"/>
      <c r="H19" s="7" t="n"/>
      <c r="I19" s="23" t="n"/>
      <c r="J19" s="6" t="n"/>
      <c r="K19" s="24" t="n"/>
      <c r="L19" s="6" t="n"/>
    </row>
    <row r="20" ht="24" customHeight="1">
      <c r="A20" s="7" t="n"/>
      <c r="B20" s="6" t="n"/>
      <c r="C20" s="6" t="n"/>
      <c r="D20" s="22" t="n"/>
      <c r="E20" s="6" t="n"/>
      <c r="F20" s="6" t="n"/>
      <c r="G20" s="6" t="n"/>
      <c r="H20" s="7" t="n"/>
      <c r="I20" s="23" t="n"/>
      <c r="J20" s="6" t="n"/>
      <c r="K20" s="24" t="n"/>
      <c r="L20" s="6" t="n"/>
    </row>
    <row r="21" ht="24" customHeight="1">
      <c r="A21" s="25" t="inlineStr">
        <is>
          <t>관로 연장 합계 (단위가 m 인 줄)</t>
        </is>
      </c>
      <c r="B21" s="6" t="n"/>
      <c r="C21" s="6" t="n"/>
      <c r="D21" s="6" t="n"/>
      <c r="E21" s="6" t="n"/>
      <c r="F21" s="6" t="n"/>
      <c r="G21" s="6" t="n"/>
      <c r="H21" s="6" t="n"/>
      <c r="I21" s="26">
        <f>IF(SUMIF(H13:H20,"m",I13:I20)=0,"",SUMIF(H13:H20,"m",I13:I20))</f>
        <v/>
      </c>
      <c r="J21" s="6" t="n"/>
      <c r="K21" s="25" t="inlineStr"/>
      <c r="L21" s="6" t="n"/>
    </row>
    <row r="22" ht="6" customHeight="1"/>
    <row r="23" ht="3" customHeight="1"/>
    <row r="24" ht="21" customHeight="1">
      <c r="A24" s="20" t="inlineStr">
        <is>
          <t>공사 목적</t>
        </is>
      </c>
    </row>
    <row r="25" ht="64" customHeight="1">
      <c r="A25" s="27">
        <f>"    "&amp;IF(C6="","대상 지역",C6)&amp;"의 합류식 하수관로를 분류식으로 바꾸고 하수관로를 체계적으로 정비하여 마을에서 생기는 오수를 모두 차집 · 처리함으로써, 하수처리 효율을 높이고 위생적인 생활환경을 만들며 방류 수역의 수질을 지키는 데 목적이 있습니다."</f>
        <v/>
      </c>
    </row>
    <row r="26" ht="3" customHeight="1"/>
    <row r="27" ht="21" customHeight="1">
      <c r="A27" s="20" t="inlineStr">
        <is>
          <t>특이 사항</t>
        </is>
      </c>
    </row>
    <row r="28" ht="40" customHeight="1">
      <c r="A28" s="28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30" ht="19.5" customHeight="1">
      <c r="A30" s="10" t="inlineStr">
        <is>
          <t>하늘색 칸 = 자동(공사명 · 공사 일수 · 관로 연장 합계 · 목적 글).</t>
        </is>
      </c>
    </row>
  </sheetData>
  <mergeCells count="65">
    <mergeCell ref="K16:L16"/>
    <mergeCell ref="D18:G18"/>
    <mergeCell ref="A25:L25"/>
    <mergeCell ref="I8:L8"/>
    <mergeCell ref="D12:G12"/>
    <mergeCell ref="I15:J15"/>
    <mergeCell ref="K15:L15"/>
    <mergeCell ref="C7:F7"/>
    <mergeCell ref="A18:C18"/>
    <mergeCell ref="D15:G15"/>
    <mergeCell ref="A27:L27"/>
    <mergeCell ref="A12:C12"/>
    <mergeCell ref="A3:L3"/>
    <mergeCell ref="A6:B6"/>
    <mergeCell ref="D14:G14"/>
    <mergeCell ref="K21:L21"/>
    <mergeCell ref="K20:L20"/>
    <mergeCell ref="A7:B7"/>
    <mergeCell ref="G7:H7"/>
    <mergeCell ref="I16:J16"/>
    <mergeCell ref="I7:J7"/>
    <mergeCell ref="A14:C14"/>
    <mergeCell ref="D20:G20"/>
    <mergeCell ref="C6:F6"/>
    <mergeCell ref="I6:L6"/>
    <mergeCell ref="A17:C17"/>
    <mergeCell ref="D19:G19"/>
    <mergeCell ref="G6:H6"/>
    <mergeCell ref="C5:F5"/>
    <mergeCell ref="A20:C20"/>
    <mergeCell ref="I18:J18"/>
    <mergeCell ref="I21:J21"/>
    <mergeCell ref="G1:L1"/>
    <mergeCell ref="I12:J12"/>
    <mergeCell ref="A13:C13"/>
    <mergeCell ref="A19:C19"/>
    <mergeCell ref="K12:L12"/>
    <mergeCell ref="A21:H21"/>
    <mergeCell ref="C4:L4"/>
    <mergeCell ref="A28:L28"/>
    <mergeCell ref="A5:B5"/>
    <mergeCell ref="G5:H5"/>
    <mergeCell ref="D13:G13"/>
    <mergeCell ref="I14:J14"/>
    <mergeCell ref="A15:C15"/>
    <mergeCell ref="K14:L14"/>
    <mergeCell ref="A8:H8"/>
    <mergeCell ref="I17:J17"/>
    <mergeCell ref="K17:L17"/>
    <mergeCell ref="A4:B4"/>
    <mergeCell ref="A24:L24"/>
    <mergeCell ref="A30:L30"/>
    <mergeCell ref="K7:L7"/>
    <mergeCell ref="D17:G17"/>
    <mergeCell ref="I20:J20"/>
    <mergeCell ref="A11:L11"/>
    <mergeCell ref="A1:F1"/>
    <mergeCell ref="D16:G16"/>
    <mergeCell ref="I19:J19"/>
    <mergeCell ref="K19:L19"/>
    <mergeCell ref="I13:J13"/>
    <mergeCell ref="K13:L13"/>
    <mergeCell ref="K18:L18"/>
    <mergeCell ref="A16:C16"/>
    <mergeCell ref="I5:L5"/>
  </mergeCells>
  <conditionalFormatting sqref="I13:I20">
    <cfRule type="expression" priority="1" dxfId="0">
      <formula>AND(ISNUMBER(I13),MOD(I13,1)=0)</formula>
    </cfRule>
  </conditionalFormatting>
  <conditionalFormatting sqref="I21">
    <cfRule type="expression" priority="2" dxfId="1">
      <formula>AND(ISNUMBER(I21),MOD(I21,1)=0)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2.  위  치  도</t>
        </is>
      </c>
    </row>
    <row r="4" ht="20" customHeight="1">
      <c r="A4" s="29" t="inlineStr">
        <is>
          <t>(위치도를 붙이는 곳 — 현장 위치 · 공사 구간을 표시한 지도)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0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0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20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20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0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0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0" customHeight="1"/>
    <row r="19" ht="6" customHeight="1"/>
    <row r="20" ht="28" customHeight="1">
      <c r="A20" s="13" t="inlineStr">
        <is>
          <t>3.  현 장 조 직 도</t>
        </is>
      </c>
    </row>
    <row r="21" ht="8" customHeight="1"/>
    <row r="22" ht="20" customHeight="1">
      <c r="F22" s="5" t="inlineStr">
        <is>
          <t>현 장 소 장</t>
        </is>
      </c>
      <c r="G22" s="6" t="n"/>
    </row>
    <row r="23" ht="22" customHeight="1">
      <c r="F23" s="7" t="n"/>
      <c r="G23" s="6" t="n"/>
    </row>
    <row r="24" ht="20" customHeight="1">
      <c r="F24" s="30" t="n"/>
      <c r="G24" s="6" t="n"/>
    </row>
    <row r="25" ht="12" customHeight="1">
      <c r="G25" s="31" t="n"/>
    </row>
    <row r="26" ht="20" customHeight="1">
      <c r="G26" s="32" t="n"/>
      <c r="H26" s="33" t="n"/>
      <c r="I26" s="5" t="inlineStr">
        <is>
          <t>안 전 담 당</t>
        </is>
      </c>
      <c r="J26" s="6" t="n"/>
    </row>
    <row r="27" ht="22" customHeight="1">
      <c r="G27" s="31" t="n"/>
      <c r="I27" s="7" t="n"/>
      <c r="J27" s="6" t="n"/>
    </row>
    <row r="28" ht="20" customHeight="1">
      <c r="G28" s="31" t="n"/>
      <c r="I28" s="30" t="n"/>
      <c r="J28" s="6" t="n"/>
    </row>
    <row r="29" ht="12" customHeight="1">
      <c r="G29" s="31" t="n"/>
    </row>
    <row r="30" ht="12" customHeight="1">
      <c r="D30" s="33" t="n"/>
      <c r="E30" s="33" t="n"/>
      <c r="F30" s="33" t="n"/>
      <c r="G30" s="32" t="n"/>
      <c r="H30" s="33" t="n"/>
      <c r="I30" s="33" t="n"/>
    </row>
    <row r="31" ht="12" customHeight="1">
      <c r="D31" s="31" t="n"/>
      <c r="J31" s="31" t="n"/>
    </row>
    <row r="32" ht="20" customHeight="1">
      <c r="C32" s="5" t="inlineStr">
        <is>
          <t>공 사 과 장</t>
        </is>
      </c>
      <c r="D32" s="6" t="n"/>
      <c r="I32" s="5" t="inlineStr">
        <is>
          <t>공 사 대 리</t>
        </is>
      </c>
      <c r="J32" s="6" t="n"/>
    </row>
    <row r="33" ht="22" customHeight="1">
      <c r="C33" s="7" t="n"/>
      <c r="D33" s="6" t="n"/>
      <c r="I33" s="7" t="n"/>
      <c r="J33" s="6" t="n"/>
    </row>
    <row r="34" ht="20" customHeight="1">
      <c r="C34" s="30" t="n"/>
      <c r="D34" s="6" t="n"/>
      <c r="I34" s="30" t="n"/>
      <c r="J34" s="6" t="n"/>
    </row>
    <row r="35" ht="14" customHeight="1">
      <c r="J35" s="31" t="n"/>
    </row>
    <row r="36" ht="20" customHeight="1">
      <c r="I36" s="5" t="inlineStr">
        <is>
          <t>작 업 반 장</t>
        </is>
      </c>
      <c r="J36" s="6" t="n"/>
    </row>
    <row r="37" ht="22" customHeight="1">
      <c r="I37" s="7" t="n"/>
      <c r="J37" s="6" t="n"/>
    </row>
    <row r="38" ht="20" customHeight="1">
      <c r="I38" s="30" t="n"/>
      <c r="J38" s="6" t="n"/>
    </row>
    <row r="39" ht="8" customHeight="1"/>
    <row r="40" ht="16" customHeight="1">
      <c r="A40" s="10" t="inlineStr">
        <is>
          <t>※ 칸마다 성명 · 연락처를 적습니다. 안전담당은 현장소장 직속으로 둡니다.</t>
        </is>
      </c>
    </row>
  </sheetData>
  <mergeCells count="21">
    <mergeCell ref="C34:D34"/>
    <mergeCell ref="I34:J34"/>
    <mergeCell ref="C33:D33"/>
    <mergeCell ref="I27:J27"/>
    <mergeCell ref="I36:J36"/>
    <mergeCell ref="A3:L3"/>
    <mergeCell ref="I26:J26"/>
    <mergeCell ref="F24:G24"/>
    <mergeCell ref="I32:J32"/>
    <mergeCell ref="I37:J37"/>
    <mergeCell ref="I28:J28"/>
    <mergeCell ref="A20:L20"/>
    <mergeCell ref="G1:L1"/>
    <mergeCell ref="A4:L17"/>
    <mergeCell ref="F23:G23"/>
    <mergeCell ref="I33:J33"/>
    <mergeCell ref="F22:G22"/>
    <mergeCell ref="A40:L40"/>
    <mergeCell ref="C32:D32"/>
    <mergeCell ref="I38:J38"/>
    <mergeCell ref="A1:F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9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8" customWidth="1" min="29" max="29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4" t="inlineStr">
        <is>
          <t>4.  예 정 공 정 표</t>
        </is>
      </c>
    </row>
    <row r="3" ht="22" customHeight="1">
      <c r="A3" s="5" t="inlineStr">
        <is>
          <t>착 공 일</t>
        </is>
      </c>
      <c r="B3" s="35">
        <f>IF(N('1.공사개요'!I7)=0,"",'1.공사개요'!I7)</f>
        <v/>
      </c>
      <c r="C3" s="6" t="n"/>
      <c r="D3" s="10" t="inlineStr">
        <is>
          <t>※ 착공일은 1. 공사개요에서 따라옵니다. 공종마다 착수 · 완료일을 적으면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6">
        <f>IF(N(B3)=0,"",EDATE(DATE(YEAR(B3),MONTH(B3),1),0))</f>
        <v/>
      </c>
      <c r="F4" s="6" t="n"/>
      <c r="G4" s="36">
        <f>IF(N(B3)=0,"",EDATE(DATE(YEAR(B3),MONTH(B3),1),1))</f>
        <v/>
      </c>
      <c r="H4" s="6" t="n"/>
      <c r="I4" s="36">
        <f>IF(N(B3)=0,"",EDATE(DATE(YEAR(B3),MONTH(B3),1),2))</f>
        <v/>
      </c>
      <c r="J4" s="6" t="n"/>
      <c r="K4" s="36">
        <f>IF(N(B3)=0,"",EDATE(DATE(YEAR(B3),MONTH(B3),1),3))</f>
        <v/>
      </c>
      <c r="L4" s="6" t="n"/>
      <c r="M4" s="36">
        <f>IF(N(B3)=0,"",EDATE(DATE(YEAR(B3),MONTH(B3),1),4))</f>
        <v/>
      </c>
      <c r="N4" s="6" t="n"/>
      <c r="O4" s="36">
        <f>IF(N(B3)=0,"",EDATE(DATE(YEAR(B3),MONTH(B3),1),5))</f>
        <v/>
      </c>
      <c r="P4" s="6" t="n"/>
      <c r="Q4" s="36">
        <f>IF(N(B3)=0,"",EDATE(DATE(YEAR(B3),MONTH(B3),1),6))</f>
        <v/>
      </c>
      <c r="R4" s="6" t="n"/>
      <c r="S4" s="36">
        <f>IF(N(B3)=0,"",EDATE(DATE(YEAR(B3),MONTH(B3),1),7))</f>
        <v/>
      </c>
      <c r="T4" s="6" t="n"/>
      <c r="U4" s="36">
        <f>IF(N(B3)=0,"",EDATE(DATE(YEAR(B3),MONTH(B3),1),8))</f>
        <v/>
      </c>
      <c r="V4" s="6" t="n"/>
      <c r="W4" s="36">
        <f>IF(N(B3)=0,"",EDATE(DATE(YEAR(B3),MONTH(B3),1),9))</f>
        <v/>
      </c>
      <c r="X4" s="6" t="n"/>
      <c r="Y4" s="36">
        <f>IF(N(B3)=0,"",EDATE(DATE(YEAR(B3),MONTH(B3),1),10))</f>
        <v/>
      </c>
      <c r="Z4" s="6" t="n"/>
      <c r="AA4" s="36">
        <f>IF(N(B3)=0,"",EDATE(DATE(YEAR(B3),MONTH(B3),1),11))</f>
        <v/>
      </c>
      <c r="AB4" s="6" t="n"/>
      <c r="AC4" s="21" t="inlineStr">
        <is>
          <t>비 고</t>
        </is>
      </c>
    </row>
    <row r="5" ht="15" customHeight="1">
      <c r="A5" s="6" t="n"/>
      <c r="B5" s="6" t="n"/>
      <c r="C5" s="6" t="n"/>
      <c r="D5" s="6" t="n"/>
      <c r="E5" s="37" t="inlineStr">
        <is>
          <t>상</t>
        </is>
      </c>
      <c r="F5" s="37" t="inlineStr">
        <is>
          <t>하</t>
        </is>
      </c>
      <c r="G5" s="37" t="inlineStr">
        <is>
          <t>상</t>
        </is>
      </c>
      <c r="H5" s="37" t="inlineStr">
        <is>
          <t>하</t>
        </is>
      </c>
      <c r="I5" s="37" t="inlineStr">
        <is>
          <t>상</t>
        </is>
      </c>
      <c r="J5" s="37" t="inlineStr">
        <is>
          <t>하</t>
        </is>
      </c>
      <c r="K5" s="37" t="inlineStr">
        <is>
          <t>상</t>
        </is>
      </c>
      <c r="L5" s="37" t="inlineStr">
        <is>
          <t>하</t>
        </is>
      </c>
      <c r="M5" s="37" t="inlineStr">
        <is>
          <t>상</t>
        </is>
      </c>
      <c r="N5" s="37" t="inlineStr">
        <is>
          <t>하</t>
        </is>
      </c>
      <c r="O5" s="37" t="inlineStr">
        <is>
          <t>상</t>
        </is>
      </c>
      <c r="P5" s="37" t="inlineStr">
        <is>
          <t>하</t>
        </is>
      </c>
      <c r="Q5" s="37" t="inlineStr">
        <is>
          <t>상</t>
        </is>
      </c>
      <c r="R5" s="37" t="inlineStr">
        <is>
          <t>하</t>
        </is>
      </c>
      <c r="S5" s="37" t="inlineStr">
        <is>
          <t>상</t>
        </is>
      </c>
      <c r="T5" s="37" t="inlineStr">
        <is>
          <t>하</t>
        </is>
      </c>
      <c r="U5" s="37" t="inlineStr">
        <is>
          <t>상</t>
        </is>
      </c>
      <c r="V5" s="37" t="inlineStr">
        <is>
          <t>하</t>
        </is>
      </c>
      <c r="W5" s="37" t="inlineStr">
        <is>
          <t>상</t>
        </is>
      </c>
      <c r="X5" s="37" t="inlineStr">
        <is>
          <t>하</t>
        </is>
      </c>
      <c r="Y5" s="37" t="inlineStr">
        <is>
          <t>상</t>
        </is>
      </c>
      <c r="Z5" s="37" t="inlineStr">
        <is>
          <t>하</t>
        </is>
      </c>
      <c r="AA5" s="37" t="inlineStr">
        <is>
          <t>상</t>
        </is>
      </c>
      <c r="AB5" s="37" t="inlineStr">
        <is>
          <t>하</t>
        </is>
      </c>
      <c r="AC5" s="6" t="n"/>
    </row>
    <row r="6" hidden="1" ht="12" customHeight="1">
      <c r="E6" s="38">
        <f>IF(N(B3)=0,"",EDATE(DATE(YEAR(B3),MONTH(B3),1),0))</f>
        <v/>
      </c>
      <c r="F6" s="38">
        <f>IF(N(B3)=0,"",EDATE(DATE(YEAR(B3),MONTH(B3),1),0)+15)</f>
        <v/>
      </c>
      <c r="G6" s="38">
        <f>IF(N(B3)=0,"",EDATE(DATE(YEAR(B3),MONTH(B3),1),1))</f>
        <v/>
      </c>
      <c r="H6" s="38">
        <f>IF(N(B3)=0,"",EDATE(DATE(YEAR(B3),MONTH(B3),1),1)+15)</f>
        <v/>
      </c>
      <c r="I6" s="38">
        <f>IF(N(B3)=0,"",EDATE(DATE(YEAR(B3),MONTH(B3),1),2))</f>
        <v/>
      </c>
      <c r="J6" s="38">
        <f>IF(N(B3)=0,"",EDATE(DATE(YEAR(B3),MONTH(B3),1),2)+15)</f>
        <v/>
      </c>
      <c r="K6" s="38">
        <f>IF(N(B3)=0,"",EDATE(DATE(YEAR(B3),MONTH(B3),1),3))</f>
        <v/>
      </c>
      <c r="L6" s="38">
        <f>IF(N(B3)=0,"",EDATE(DATE(YEAR(B3),MONTH(B3),1),3)+15)</f>
        <v/>
      </c>
      <c r="M6" s="38">
        <f>IF(N(B3)=0,"",EDATE(DATE(YEAR(B3),MONTH(B3),1),4))</f>
        <v/>
      </c>
      <c r="N6" s="38">
        <f>IF(N(B3)=0,"",EDATE(DATE(YEAR(B3),MONTH(B3),1),4)+15)</f>
        <v/>
      </c>
      <c r="O6" s="38">
        <f>IF(N(B3)=0,"",EDATE(DATE(YEAR(B3),MONTH(B3),1),5))</f>
        <v/>
      </c>
      <c r="P6" s="38">
        <f>IF(N(B3)=0,"",EDATE(DATE(YEAR(B3),MONTH(B3),1),5)+15)</f>
        <v/>
      </c>
      <c r="Q6" s="38">
        <f>IF(N(B3)=0,"",EDATE(DATE(YEAR(B3),MONTH(B3),1),6))</f>
        <v/>
      </c>
      <c r="R6" s="38">
        <f>IF(N(B3)=0,"",EDATE(DATE(YEAR(B3),MONTH(B3),1),6)+15)</f>
        <v/>
      </c>
      <c r="S6" s="38">
        <f>IF(N(B3)=0,"",EDATE(DATE(YEAR(B3),MONTH(B3),1),7))</f>
        <v/>
      </c>
      <c r="T6" s="38">
        <f>IF(N(B3)=0,"",EDATE(DATE(YEAR(B3),MONTH(B3),1),7)+15)</f>
        <v/>
      </c>
      <c r="U6" s="38">
        <f>IF(N(B3)=0,"",EDATE(DATE(YEAR(B3),MONTH(B3),1),8))</f>
        <v/>
      </c>
      <c r="V6" s="38">
        <f>IF(N(B3)=0,"",EDATE(DATE(YEAR(B3),MONTH(B3),1),8)+15)</f>
        <v/>
      </c>
      <c r="W6" s="38">
        <f>IF(N(B3)=0,"",EDATE(DATE(YEAR(B3),MONTH(B3),1),9))</f>
        <v/>
      </c>
      <c r="X6" s="38">
        <f>IF(N(B3)=0,"",EDATE(DATE(YEAR(B3),MONTH(B3),1),9)+15)</f>
        <v/>
      </c>
      <c r="Y6" s="38">
        <f>IF(N(B3)=0,"",EDATE(DATE(YEAR(B3),MONTH(B3),1),10))</f>
        <v/>
      </c>
      <c r="Z6" s="38">
        <f>IF(N(B3)=0,"",EDATE(DATE(YEAR(B3),MONTH(B3),1),10)+15)</f>
        <v/>
      </c>
      <c r="AA6" s="38">
        <f>IF(N(B3)=0,"",EDATE(DATE(YEAR(B3),MONTH(B3),1),11))</f>
        <v/>
      </c>
      <c r="AB6" s="38">
        <f>IF(N(B3)=0,"",EDATE(DATE(YEAR(B3),MONTH(B3),1),11)+15)</f>
        <v/>
      </c>
    </row>
    <row r="7" hidden="1" ht="12" customHeight="1">
      <c r="E7" s="38">
        <f>IF(N(B3)=0,"",EDATE(DATE(YEAR(B3),MONTH(B3),1),0)+14)</f>
        <v/>
      </c>
      <c r="F7" s="38">
        <f>IF(N(B3)=0,"",EDATE(DATE(YEAR(B3),MONTH(B3),1),1)-1)</f>
        <v/>
      </c>
      <c r="G7" s="38">
        <f>IF(N(B3)=0,"",EDATE(DATE(YEAR(B3),MONTH(B3),1),1)+14)</f>
        <v/>
      </c>
      <c r="H7" s="38">
        <f>IF(N(B3)=0,"",EDATE(DATE(YEAR(B3),MONTH(B3),1),2)-1)</f>
        <v/>
      </c>
      <c r="I7" s="38">
        <f>IF(N(B3)=0,"",EDATE(DATE(YEAR(B3),MONTH(B3),1),2)+14)</f>
        <v/>
      </c>
      <c r="J7" s="38">
        <f>IF(N(B3)=0,"",EDATE(DATE(YEAR(B3),MONTH(B3),1),3)-1)</f>
        <v/>
      </c>
      <c r="K7" s="38">
        <f>IF(N(B3)=0,"",EDATE(DATE(YEAR(B3),MONTH(B3),1),3)+14)</f>
        <v/>
      </c>
      <c r="L7" s="38">
        <f>IF(N(B3)=0,"",EDATE(DATE(YEAR(B3),MONTH(B3),1),4)-1)</f>
        <v/>
      </c>
      <c r="M7" s="38">
        <f>IF(N(B3)=0,"",EDATE(DATE(YEAR(B3),MONTH(B3),1),4)+14)</f>
        <v/>
      </c>
      <c r="N7" s="38">
        <f>IF(N(B3)=0,"",EDATE(DATE(YEAR(B3),MONTH(B3),1),5)-1)</f>
        <v/>
      </c>
      <c r="O7" s="38">
        <f>IF(N(B3)=0,"",EDATE(DATE(YEAR(B3),MONTH(B3),1),5)+14)</f>
        <v/>
      </c>
      <c r="P7" s="38">
        <f>IF(N(B3)=0,"",EDATE(DATE(YEAR(B3),MONTH(B3),1),6)-1)</f>
        <v/>
      </c>
      <c r="Q7" s="38">
        <f>IF(N(B3)=0,"",EDATE(DATE(YEAR(B3),MONTH(B3),1),6)+14)</f>
        <v/>
      </c>
      <c r="R7" s="38">
        <f>IF(N(B3)=0,"",EDATE(DATE(YEAR(B3),MONTH(B3),1),7)-1)</f>
        <v/>
      </c>
      <c r="S7" s="38">
        <f>IF(N(B3)=0,"",EDATE(DATE(YEAR(B3),MONTH(B3),1),7)+14)</f>
        <v/>
      </c>
      <c r="T7" s="38">
        <f>IF(N(B3)=0,"",EDATE(DATE(YEAR(B3),MONTH(B3),1),8)-1)</f>
        <v/>
      </c>
      <c r="U7" s="38">
        <f>IF(N(B3)=0,"",EDATE(DATE(YEAR(B3),MONTH(B3),1),8)+14)</f>
        <v/>
      </c>
      <c r="V7" s="38">
        <f>IF(N(B3)=0,"",EDATE(DATE(YEAR(B3),MONTH(B3),1),9)-1)</f>
        <v/>
      </c>
      <c r="W7" s="38">
        <f>IF(N(B3)=0,"",EDATE(DATE(YEAR(B3),MONTH(B3),1),9)+14)</f>
        <v/>
      </c>
      <c r="X7" s="38">
        <f>IF(N(B3)=0,"",EDATE(DATE(YEAR(B3),MONTH(B3),1),10)-1)</f>
        <v/>
      </c>
      <c r="Y7" s="38">
        <f>IF(N(B3)=0,"",EDATE(DATE(YEAR(B3),MONTH(B3),1),10)+14)</f>
        <v/>
      </c>
      <c r="Z7" s="38">
        <f>IF(N(B3)=0,"",EDATE(DATE(YEAR(B3),MONTH(B3),1),11)-1)</f>
        <v/>
      </c>
      <c r="AA7" s="38">
        <f>IF(N(B3)=0,"",EDATE(DATE(YEAR(B3),MONTH(B3),1),11)+14)</f>
        <v/>
      </c>
      <c r="AB7" s="38">
        <f>IF(N(B3)=0,"",EDATE(DATE(YEAR(B3),MONTH(B3),1),12)-1)</f>
        <v/>
      </c>
    </row>
    <row r="8" ht="24" customHeight="1">
      <c r="A8" s="24" t="inlineStr">
        <is>
          <t>준비공(측량 · 지장물 조사)</t>
        </is>
      </c>
      <c r="B8" s="39" t="n"/>
      <c r="C8" s="39" t="n"/>
      <c r="D8" s="40">
        <f>IF(OR(N(B8)=0,N(C8)=0),"",IF(C8&lt;B8,"⚠",C8-B8+1))</f>
        <v/>
      </c>
      <c r="E8" s="41" t="inlineStr"/>
      <c r="F8" s="41" t="inlineStr"/>
      <c r="G8" s="41" t="inlineStr"/>
      <c r="H8" s="41" t="inlineStr"/>
      <c r="I8" s="41" t="inlineStr"/>
      <c r="J8" s="41" t="inlineStr"/>
      <c r="K8" s="41" t="inlineStr"/>
      <c r="L8" s="41" t="inlineStr"/>
      <c r="M8" s="41" t="inlineStr"/>
      <c r="N8" s="41" t="inlineStr"/>
      <c r="O8" s="41" t="inlineStr"/>
      <c r="P8" s="41" t="inlineStr"/>
      <c r="Q8" s="41" t="inlineStr"/>
      <c r="R8" s="41" t="inlineStr"/>
      <c r="S8" s="41" t="inlineStr"/>
      <c r="T8" s="41" t="inlineStr"/>
      <c r="U8" s="41" t="inlineStr"/>
      <c r="V8" s="41" t="inlineStr"/>
      <c r="W8" s="41" t="inlineStr"/>
      <c r="X8" s="41" t="inlineStr"/>
      <c r="Y8" s="41" t="inlineStr"/>
      <c r="Z8" s="41" t="inlineStr"/>
      <c r="AA8" s="41" t="inlineStr"/>
      <c r="AB8" s="41" t="inlineStr"/>
      <c r="AC8" s="42" t="n"/>
    </row>
    <row r="9" ht="24" customHeight="1">
      <c r="A9" s="24" t="inlineStr">
        <is>
          <t>관로 터파기 · 가시설</t>
        </is>
      </c>
      <c r="B9" s="39" t="n"/>
      <c r="C9" s="39" t="n"/>
      <c r="D9" s="40">
        <f>IF(OR(N(B9)=0,N(C9)=0),"",IF(C9&lt;B9,"⚠",C9-B9+1))</f>
        <v/>
      </c>
      <c r="E9" s="41" t="inlineStr"/>
      <c r="F9" s="41" t="inlineStr"/>
      <c r="G9" s="41" t="inlineStr"/>
      <c r="H9" s="41" t="inlineStr"/>
      <c r="I9" s="41" t="inlineStr"/>
      <c r="J9" s="41" t="inlineStr"/>
      <c r="K9" s="41" t="inlineStr"/>
      <c r="L9" s="41" t="inlineStr"/>
      <c r="M9" s="41" t="inlineStr"/>
      <c r="N9" s="41" t="inlineStr"/>
      <c r="O9" s="41" t="inlineStr"/>
      <c r="P9" s="41" t="inlineStr"/>
      <c r="Q9" s="41" t="inlineStr"/>
      <c r="R9" s="41" t="inlineStr"/>
      <c r="S9" s="41" t="inlineStr"/>
      <c r="T9" s="41" t="inlineStr"/>
      <c r="U9" s="41" t="inlineStr"/>
      <c r="V9" s="41" t="inlineStr"/>
      <c r="W9" s="41" t="inlineStr"/>
      <c r="X9" s="41" t="inlineStr"/>
      <c r="Y9" s="41" t="inlineStr"/>
      <c r="Z9" s="41" t="inlineStr"/>
      <c r="AA9" s="41" t="inlineStr"/>
      <c r="AB9" s="41" t="inlineStr"/>
      <c r="AC9" s="42" t="n"/>
    </row>
    <row r="10" ht="24" customHeight="1">
      <c r="A10" s="24" t="inlineStr">
        <is>
          <t>관 부설 및 접합</t>
        </is>
      </c>
      <c r="B10" s="39" t="n"/>
      <c r="C10" s="39" t="n"/>
      <c r="D10" s="40">
        <f>IF(OR(N(B10)=0,N(C10)=0),"",IF(C10&lt;B10,"⚠",C10-B10+1))</f>
        <v/>
      </c>
      <c r="E10" s="41" t="inlineStr"/>
      <c r="F10" s="41" t="inlineStr"/>
      <c r="G10" s="41" t="inlineStr"/>
      <c r="H10" s="41" t="inlineStr"/>
      <c r="I10" s="41" t="inlineStr"/>
      <c r="J10" s="41" t="inlineStr"/>
      <c r="K10" s="41" t="inlineStr"/>
      <c r="L10" s="41" t="inlineStr"/>
      <c r="M10" s="41" t="inlineStr"/>
      <c r="N10" s="41" t="inlineStr"/>
      <c r="O10" s="41" t="inlineStr"/>
      <c r="P10" s="41" t="inlineStr"/>
      <c r="Q10" s="41" t="inlineStr"/>
      <c r="R10" s="41" t="inlineStr"/>
      <c r="S10" s="41" t="inlineStr"/>
      <c r="T10" s="41" t="inlineStr"/>
      <c r="U10" s="41" t="inlineStr"/>
      <c r="V10" s="41" t="inlineStr"/>
      <c r="W10" s="41" t="inlineStr"/>
      <c r="X10" s="41" t="inlineStr"/>
      <c r="Y10" s="41" t="inlineStr"/>
      <c r="Z10" s="41" t="inlineStr"/>
      <c r="AA10" s="41" t="inlineStr"/>
      <c r="AB10" s="41" t="inlineStr"/>
      <c r="AC10" s="42" t="n"/>
    </row>
    <row r="11" ht="24" customHeight="1">
      <c r="A11" s="24" t="inlineStr">
        <is>
          <t>맨홀 설치</t>
        </is>
      </c>
      <c r="B11" s="39" t="n"/>
      <c r="C11" s="39" t="n"/>
      <c r="D11" s="40">
        <f>IF(OR(N(B11)=0,N(C11)=0),"",IF(C11&lt;B11,"⚠",C11-B11+1))</f>
        <v/>
      </c>
      <c r="E11" s="41" t="inlineStr"/>
      <c r="F11" s="41" t="inlineStr"/>
      <c r="G11" s="41" t="inlineStr"/>
      <c r="H11" s="41" t="inlineStr"/>
      <c r="I11" s="41" t="inlineStr"/>
      <c r="J11" s="41" t="inlineStr"/>
      <c r="K11" s="41" t="inlineStr"/>
      <c r="L11" s="41" t="inlineStr"/>
      <c r="M11" s="41" t="inlineStr"/>
      <c r="N11" s="41" t="inlineStr"/>
      <c r="O11" s="41" t="inlineStr"/>
      <c r="P11" s="41" t="inlineStr"/>
      <c r="Q11" s="41" t="inlineStr"/>
      <c r="R11" s="41" t="inlineStr"/>
      <c r="S11" s="41" t="inlineStr"/>
      <c r="T11" s="41" t="inlineStr"/>
      <c r="U11" s="41" t="inlineStr"/>
      <c r="V11" s="41" t="inlineStr"/>
      <c r="W11" s="41" t="inlineStr"/>
      <c r="X11" s="41" t="inlineStr"/>
      <c r="Y11" s="41" t="inlineStr"/>
      <c r="Z11" s="41" t="inlineStr"/>
      <c r="AA11" s="41" t="inlineStr"/>
      <c r="AB11" s="41" t="inlineStr"/>
      <c r="AC11" s="42" t="n"/>
    </row>
    <row r="12" ht="24" customHeight="1">
      <c r="A12" s="24" t="inlineStr">
        <is>
          <t>되메우기 · 다짐 · 가복구</t>
        </is>
      </c>
      <c r="B12" s="39" t="n"/>
      <c r="C12" s="39" t="n"/>
      <c r="D12" s="40">
        <f>IF(OR(N(B12)=0,N(C12)=0),"",IF(C12&lt;B12,"⚠",C12-B12+1))</f>
        <v/>
      </c>
      <c r="E12" s="41" t="inlineStr"/>
      <c r="F12" s="41" t="inlineStr"/>
      <c r="G12" s="41" t="inlineStr"/>
      <c r="H12" s="41" t="inlineStr"/>
      <c r="I12" s="41" t="inlineStr"/>
      <c r="J12" s="41" t="inlineStr"/>
      <c r="K12" s="41" t="inlineStr"/>
      <c r="L12" s="41" t="inlineStr"/>
      <c r="M12" s="41" t="inlineStr"/>
      <c r="N12" s="41" t="inlineStr"/>
      <c r="O12" s="41" t="inlineStr"/>
      <c r="P12" s="41" t="inlineStr"/>
      <c r="Q12" s="41" t="inlineStr"/>
      <c r="R12" s="41" t="inlineStr"/>
      <c r="S12" s="41" t="inlineStr"/>
      <c r="T12" s="41" t="inlineStr"/>
      <c r="U12" s="41" t="inlineStr"/>
      <c r="V12" s="41" t="inlineStr"/>
      <c r="W12" s="41" t="inlineStr"/>
      <c r="X12" s="41" t="inlineStr"/>
      <c r="Y12" s="41" t="inlineStr"/>
      <c r="Z12" s="41" t="inlineStr"/>
      <c r="AA12" s="41" t="inlineStr"/>
      <c r="AB12" s="41" t="inlineStr"/>
      <c r="AC12" s="42" t="n"/>
    </row>
    <row r="13" ht="24" customHeight="1">
      <c r="A13" s="24" t="inlineStr">
        <is>
          <t>배수설비(오수받이 · 연결관)</t>
        </is>
      </c>
      <c r="B13" s="39" t="n"/>
      <c r="C13" s="39" t="n"/>
      <c r="D13" s="40">
        <f>IF(OR(N(B13)=0,N(C13)=0),"",IF(C13&lt;B13,"⚠",C13-B13+1))</f>
        <v/>
      </c>
      <c r="E13" s="41" t="inlineStr"/>
      <c r="F13" s="41" t="inlineStr"/>
      <c r="G13" s="41" t="inlineStr"/>
      <c r="H13" s="41" t="inlineStr"/>
      <c r="I13" s="41" t="inlineStr"/>
      <c r="J13" s="41" t="inlineStr"/>
      <c r="K13" s="41" t="inlineStr"/>
      <c r="L13" s="41" t="inlineStr"/>
      <c r="M13" s="41" t="inlineStr"/>
      <c r="N13" s="41" t="inlineStr"/>
      <c r="O13" s="41" t="inlineStr"/>
      <c r="P13" s="41" t="inlineStr"/>
      <c r="Q13" s="41" t="inlineStr"/>
      <c r="R13" s="41" t="inlineStr"/>
      <c r="S13" s="41" t="inlineStr"/>
      <c r="T13" s="41" t="inlineStr"/>
      <c r="U13" s="41" t="inlineStr"/>
      <c r="V13" s="41" t="inlineStr"/>
      <c r="W13" s="41" t="inlineStr"/>
      <c r="X13" s="41" t="inlineStr"/>
      <c r="Y13" s="41" t="inlineStr"/>
      <c r="Z13" s="41" t="inlineStr"/>
      <c r="AA13" s="41" t="inlineStr"/>
      <c r="AB13" s="41" t="inlineStr"/>
      <c r="AC13" s="42" t="n"/>
    </row>
    <row r="14" ht="24" customHeight="1">
      <c r="A14" s="24" t="inlineStr">
        <is>
          <t>수밀 · CCTV · 연막 검사</t>
        </is>
      </c>
      <c r="B14" s="39" t="n"/>
      <c r="C14" s="39" t="n"/>
      <c r="D14" s="40">
        <f>IF(OR(N(B14)=0,N(C14)=0),"",IF(C14&lt;B14,"⚠",C14-B14+1))</f>
        <v/>
      </c>
      <c r="E14" s="41" t="inlineStr"/>
      <c r="F14" s="41" t="inlineStr"/>
      <c r="G14" s="41" t="inlineStr"/>
      <c r="H14" s="41" t="inlineStr"/>
      <c r="I14" s="41" t="inlineStr"/>
      <c r="J14" s="41" t="inlineStr"/>
      <c r="K14" s="41" t="inlineStr"/>
      <c r="L14" s="41" t="inlineStr"/>
      <c r="M14" s="41" t="inlineStr"/>
      <c r="N14" s="41" t="inlineStr"/>
      <c r="O14" s="41" t="inlineStr"/>
      <c r="P14" s="41" t="inlineStr"/>
      <c r="Q14" s="41" t="inlineStr"/>
      <c r="R14" s="41" t="inlineStr"/>
      <c r="S14" s="41" t="inlineStr"/>
      <c r="T14" s="41" t="inlineStr"/>
      <c r="U14" s="41" t="inlineStr"/>
      <c r="V14" s="41" t="inlineStr"/>
      <c r="W14" s="41" t="inlineStr"/>
      <c r="X14" s="41" t="inlineStr"/>
      <c r="Y14" s="41" t="inlineStr"/>
      <c r="Z14" s="41" t="inlineStr"/>
      <c r="AA14" s="41" t="inlineStr"/>
      <c r="AB14" s="41" t="inlineStr"/>
      <c r="AC14" s="42" t="n"/>
    </row>
    <row r="15" ht="24" customHeight="1">
      <c r="A15" s="24" t="inlineStr">
        <is>
          <t>포장 본복구</t>
        </is>
      </c>
      <c r="B15" s="39" t="n"/>
      <c r="C15" s="39" t="n"/>
      <c r="D15" s="40">
        <f>IF(OR(N(B15)=0,N(C15)=0),"",IF(C15&lt;B15,"⚠",C15-B15+1))</f>
        <v/>
      </c>
      <c r="E15" s="41" t="inlineStr"/>
      <c r="F15" s="41" t="inlineStr"/>
      <c r="G15" s="41" t="inlineStr"/>
      <c r="H15" s="41" t="inlineStr"/>
      <c r="I15" s="41" t="inlineStr"/>
      <c r="J15" s="41" t="inlineStr"/>
      <c r="K15" s="41" t="inlineStr"/>
      <c r="L15" s="41" t="inlineStr"/>
      <c r="M15" s="41" t="inlineStr"/>
      <c r="N15" s="41" t="inlineStr"/>
      <c r="O15" s="41" t="inlineStr"/>
      <c r="P15" s="41" t="inlineStr"/>
      <c r="Q15" s="41" t="inlineStr"/>
      <c r="R15" s="41" t="inlineStr"/>
      <c r="S15" s="41" t="inlineStr"/>
      <c r="T15" s="41" t="inlineStr"/>
      <c r="U15" s="41" t="inlineStr"/>
      <c r="V15" s="41" t="inlineStr"/>
      <c r="W15" s="41" t="inlineStr"/>
      <c r="X15" s="41" t="inlineStr"/>
      <c r="Y15" s="41" t="inlineStr"/>
      <c r="Z15" s="41" t="inlineStr"/>
      <c r="AA15" s="41" t="inlineStr"/>
      <c r="AB15" s="41" t="inlineStr"/>
      <c r="AC15" s="42" t="n"/>
    </row>
    <row r="16" ht="24" customHeight="1">
      <c r="A16" s="24" t="inlineStr">
        <is>
          <t>정리 및 준공</t>
        </is>
      </c>
      <c r="B16" s="39" t="n"/>
      <c r="C16" s="39" t="n"/>
      <c r="D16" s="40">
        <f>IF(OR(N(B16)=0,N(C16)=0),"",IF(C16&lt;B16,"⚠",C16-B16+1))</f>
        <v/>
      </c>
      <c r="E16" s="41" t="inlineStr"/>
      <c r="F16" s="41" t="inlineStr"/>
      <c r="G16" s="41" t="inlineStr"/>
      <c r="H16" s="41" t="inlineStr"/>
      <c r="I16" s="41" t="inlineStr"/>
      <c r="J16" s="41" t="inlineStr"/>
      <c r="K16" s="41" t="inlineStr"/>
      <c r="L16" s="41" t="inlineStr"/>
      <c r="M16" s="41" t="inlineStr"/>
      <c r="N16" s="41" t="inlineStr"/>
      <c r="O16" s="41" t="inlineStr"/>
      <c r="P16" s="41" t="inlineStr"/>
      <c r="Q16" s="41" t="inlineStr"/>
      <c r="R16" s="41" t="inlineStr"/>
      <c r="S16" s="41" t="inlineStr"/>
      <c r="T16" s="41" t="inlineStr"/>
      <c r="U16" s="41" t="inlineStr"/>
      <c r="V16" s="41" t="inlineStr"/>
      <c r="W16" s="41" t="inlineStr"/>
      <c r="X16" s="41" t="inlineStr"/>
      <c r="Y16" s="41" t="inlineStr"/>
      <c r="Z16" s="41" t="inlineStr"/>
      <c r="AA16" s="41" t="inlineStr"/>
      <c r="AB16" s="41" t="inlineStr"/>
      <c r="AC16" s="42" t="n"/>
    </row>
    <row r="17" ht="24" customHeight="1">
      <c r="A17" s="24" t="n"/>
      <c r="B17" s="39" t="n"/>
      <c r="C17" s="39" t="n"/>
      <c r="D17" s="40">
        <f>IF(OR(N(B17)=0,N(C17)=0),"",IF(C17&lt;B17,"⚠",C17-B17+1))</f>
        <v/>
      </c>
      <c r="E17" s="41" t="inlineStr"/>
      <c r="F17" s="41" t="inlineStr"/>
      <c r="G17" s="41" t="inlineStr"/>
      <c r="H17" s="41" t="inlineStr"/>
      <c r="I17" s="41" t="inlineStr"/>
      <c r="J17" s="41" t="inlineStr"/>
      <c r="K17" s="41" t="inlineStr"/>
      <c r="L17" s="41" t="inlineStr"/>
      <c r="M17" s="41" t="inlineStr"/>
      <c r="N17" s="41" t="inlineStr"/>
      <c r="O17" s="41" t="inlineStr"/>
      <c r="P17" s="41" t="inlineStr"/>
      <c r="Q17" s="41" t="inlineStr"/>
      <c r="R17" s="41" t="inlineStr"/>
      <c r="S17" s="41" t="inlineStr"/>
      <c r="T17" s="41" t="inlineStr"/>
      <c r="U17" s="41" t="inlineStr"/>
      <c r="V17" s="41" t="inlineStr"/>
      <c r="W17" s="41" t="inlineStr"/>
      <c r="X17" s="41" t="inlineStr"/>
      <c r="Y17" s="41" t="inlineStr"/>
      <c r="Z17" s="41" t="inlineStr"/>
      <c r="AA17" s="41" t="inlineStr"/>
      <c r="AB17" s="41" t="inlineStr"/>
      <c r="AC17" s="42" t="n"/>
    </row>
    <row r="18" ht="24" customHeight="1">
      <c r="A18" s="24" t="n"/>
      <c r="B18" s="39" t="n"/>
      <c r="C18" s="39" t="n"/>
      <c r="D18" s="40">
        <f>IF(OR(N(B18)=0,N(C18)=0),"",IF(C18&lt;B18,"⚠",C18-B18+1))</f>
        <v/>
      </c>
      <c r="E18" s="41" t="inlineStr"/>
      <c r="F18" s="41" t="inlineStr"/>
      <c r="G18" s="41" t="inlineStr"/>
      <c r="H18" s="41" t="inlineStr"/>
      <c r="I18" s="41" t="inlineStr"/>
      <c r="J18" s="41" t="inlineStr"/>
      <c r="K18" s="41" t="inlineStr"/>
      <c r="L18" s="41" t="inlineStr"/>
      <c r="M18" s="41" t="inlineStr"/>
      <c r="N18" s="41" t="inlineStr"/>
      <c r="O18" s="41" t="inlineStr"/>
      <c r="P18" s="41" t="inlineStr"/>
      <c r="Q18" s="41" t="inlineStr"/>
      <c r="R18" s="41" t="inlineStr"/>
      <c r="S18" s="41" t="inlineStr"/>
      <c r="T18" s="41" t="inlineStr"/>
      <c r="U18" s="41" t="inlineStr"/>
      <c r="V18" s="41" t="inlineStr"/>
      <c r="W18" s="41" t="inlineStr"/>
      <c r="X18" s="41" t="inlineStr"/>
      <c r="Y18" s="41" t="inlineStr"/>
      <c r="Z18" s="41" t="inlineStr"/>
      <c r="AA18" s="41" t="inlineStr"/>
      <c r="AB18" s="41" t="inlineStr"/>
      <c r="AC18" s="42" t="n"/>
    </row>
    <row r="19" ht="16" customHeight="1">
      <c r="A19" s="10" t="inlineStr">
        <is>
          <t>※ 일수 = 완료 − 착수 + 1. 공정은 현장 여건 · 민원 · 날씨에 따라 바뀔 수 있습니다.</t>
        </is>
      </c>
    </row>
  </sheetData>
  <mergeCells count="23">
    <mergeCell ref="W4:X4"/>
    <mergeCell ref="A19:AC19"/>
    <mergeCell ref="Y4:Z4"/>
    <mergeCell ref="C4:C5"/>
    <mergeCell ref="B3:C3"/>
    <mergeCell ref="A1:H1"/>
    <mergeCell ref="E4:F4"/>
    <mergeCell ref="D4:D5"/>
    <mergeCell ref="AC4:AC5"/>
    <mergeCell ref="O4:P4"/>
    <mergeCell ref="AA4:AB4"/>
    <mergeCell ref="Q4:R4"/>
    <mergeCell ref="I1:AC1"/>
    <mergeCell ref="A4:A5"/>
    <mergeCell ref="A2:AC2"/>
    <mergeCell ref="G4:H4"/>
    <mergeCell ref="I4:J4"/>
    <mergeCell ref="B4:B5"/>
    <mergeCell ref="D3:AC3"/>
    <mergeCell ref="K4:L4"/>
    <mergeCell ref="M4:N4"/>
    <mergeCell ref="S4:T4"/>
    <mergeCell ref="U4:V4"/>
  </mergeCells>
  <conditionalFormatting sqref="E8:AB18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5.  주요 공정의 시공절차 및 방법</t>
        </is>
      </c>
    </row>
    <row r="4" ht="3" customHeight="1"/>
    <row r="5" ht="21" customHeight="1">
      <c r="A5" s="20" t="inlineStr">
        <is>
          <t>제1장  공사 일반</t>
        </is>
      </c>
    </row>
    <row r="6" ht="21" customHeight="1">
      <c r="A6" s="43" t="inlineStr">
        <is>
          <t>1. 적  용</t>
        </is>
      </c>
    </row>
    <row r="7" ht="36" customHeight="1">
      <c r="A7" s="44" t="inlineStr">
        <is>
          <t>1)</t>
        </is>
      </c>
      <c r="B7" s="45" t="inlineStr">
        <is>
          <t>이 시공계획은 본 공사의 하수관로 · 맨홀 · 배수설비 · 포장 복구와 여기에 딸린 가설 · 토공 공사에 적용합니다.</t>
        </is>
      </c>
    </row>
    <row r="8" ht="20.5" customHeight="1">
      <c r="A8" s="44" t="inlineStr">
        <is>
          <t>2)</t>
        </is>
      </c>
      <c r="B8" s="45" t="inlineStr">
        <is>
          <t>여기에 없는 사항은 공사시방서 · 설계도면과 관련 표준시방서(KCS)에 따릅니다.</t>
        </is>
      </c>
    </row>
    <row r="9" ht="21" customHeight="1">
      <c r="A9" s="43" t="inlineStr">
        <is>
          <t>2. 설계도서의 적용 순서 — 설계도서끼리 서로 맞지 않으면 다음 순서로 적용합니다.</t>
        </is>
      </c>
    </row>
    <row r="10" ht="20.5" customHeight="1">
      <c r="A10" s="44" t="inlineStr">
        <is>
          <t>(1)</t>
        </is>
      </c>
      <c r="B10" s="45" t="inlineStr">
        <is>
          <t>현장설명서</t>
        </is>
      </c>
    </row>
    <row r="11" ht="20.5" customHeight="1">
      <c r="A11" s="44" t="inlineStr">
        <is>
          <t>(2)</t>
        </is>
      </c>
      <c r="B11" s="45" t="inlineStr">
        <is>
          <t>공사시방서</t>
        </is>
      </c>
    </row>
    <row r="12" ht="20.5" customHeight="1">
      <c r="A12" s="44" t="inlineStr">
        <is>
          <t>(3)</t>
        </is>
      </c>
      <c r="B12" s="45" t="inlineStr">
        <is>
          <t>설계도면</t>
        </is>
      </c>
    </row>
    <row r="13" ht="20.5" customHeight="1">
      <c r="A13" s="44" t="inlineStr">
        <is>
          <t>(4)</t>
        </is>
      </c>
      <c r="B13" s="45" t="inlineStr">
        <is>
          <t>물량내역서</t>
        </is>
      </c>
    </row>
    <row r="14" ht="3" customHeight="1"/>
    <row r="15" ht="21" customHeight="1">
      <c r="A15" s="20" t="inlineStr">
        <is>
          <t>제2장  토 공 사</t>
        </is>
      </c>
    </row>
    <row r="16" ht="21" customHeight="1">
      <c r="A16" s="43" t="inlineStr">
        <is>
          <t>1. 측  량 — 측량 기준점 · 기준점 유지관리 · 측량 성과 유지관리</t>
        </is>
      </c>
    </row>
    <row r="17" ht="36" customHeight="1">
      <c r="A17" s="44" t="inlineStr">
        <is>
          <t>(1)</t>
        </is>
      </c>
      <c r="B17" s="45" t="inlineStr">
        <is>
          <t>현장 안의 표고 기준점은 공사 현장에서 가장 가까운 국가 수준점에서 가져와 최소 2번 이상 왕복 수준측량을 합니다.</t>
        </is>
      </c>
    </row>
    <row r="18" ht="20.5" customHeight="1">
      <c r="A18" s="44" t="inlineStr">
        <is>
          <t>(2)</t>
        </is>
      </c>
      <c r="B18" s="45" t="inlineStr">
        <is>
          <t>공사 편의를 위해 임시 기준점(가벤치마크)을 설치해 쓸 수 있습니다.</t>
        </is>
      </c>
    </row>
    <row r="19" ht="20.5" customHeight="1">
      <c r="A19" s="44" t="inlineStr">
        <is>
          <t>(3)</t>
        </is>
      </c>
      <c r="B19" s="45" t="inlineStr">
        <is>
          <t>임시 기준점의 위치와 측량 성과표를 공사감독관에게 보고해 승낙을 받은 뒤 씁니다.</t>
        </is>
      </c>
    </row>
    <row r="20" ht="36" customHeight="1">
      <c r="A20" s="44" t="inlineStr">
        <is>
          <t>(4)</t>
        </is>
      </c>
      <c r="B20" s="45" t="inlineStr">
        <is>
          <t>기준점은 공사가 끝날 때까지 없어지거나 부서지지 않게 유지하고, 지반 변동 등으로 다시 설치해야 하면 곧바로 공사감독관에게 보고합니다.</t>
        </is>
      </c>
    </row>
    <row r="21" ht="20.5" customHeight="1">
      <c r="A21" s="44" t="inlineStr">
        <is>
          <t>(5)</t>
        </is>
      </c>
      <c r="B21" s="45" t="inlineStr">
        <is>
          <t>공사에 따른 측량 성과는 공사가 끝날 때까지 유지 · 관리하고 보관합니다.</t>
        </is>
      </c>
    </row>
    <row r="22" ht="21" customHeight="1">
      <c r="A22" s="43" t="inlineStr">
        <is>
          <t>2. 기존 구조물의 철거</t>
        </is>
      </c>
    </row>
    <row r="23" ht="36" customHeight="1">
      <c r="A23" s="44" t="inlineStr">
        <is>
          <t>1)</t>
        </is>
      </c>
      <c r="B23" s="45" t="inlineStr">
        <is>
          <t>콘크리트 · 돌쌓기 구조물은 파쇄(또는 발파)해 철거합니다. 구조물의 일부를 본 공사에 쓰는 경우에는 발파하지 않고, 철근은 콘크리트 절단면에서 잘라 냅니다.</t>
        </is>
      </c>
    </row>
    <row r="24" ht="51.5" customHeight="1">
      <c r="A24" s="44" t="inlineStr">
        <is>
          <t>2)</t>
        </is>
      </c>
      <c r="B24" s="45" t="inlineStr">
        <is>
          <t>시공 기면에서 1m 깊이 안에 있는 폐기된 기존 구조물은 철거하고, 철거한 곳은 깨끗이 정리한 뒤 흙을 20cm 두께로 깔아 공사감독관의 지시에 따라 주변 자연토와 같은 건조밀도가 되게 다집니다.</t>
        </is>
      </c>
    </row>
    <row r="25" ht="20.5" customHeight="1">
      <c r="A25" s="44" t="inlineStr">
        <is>
          <t>3)</t>
        </is>
      </c>
      <c r="B25" s="45" t="inlineStr">
        <is>
          <t>기존 구조물 철거는 공사감독관과 협의한 뒤 합니다.</t>
        </is>
      </c>
    </row>
    <row r="26" ht="51.5" customHeight="1">
      <c r="A26" s="44" t="inlineStr">
        <is>
          <t>4)</t>
        </is>
      </c>
      <c r="B26" s="45" t="inlineStr">
        <is>
          <t>철거 재료 중 재사용이 가능하다고 공사감독관이 인정한 것은 지시한 장소로 옮기고, 재사용할 수 없는 것은 지시한 방법으로 폐기물 처리장에 반출합니다. 공사감독관의 승인을 받으면 본 공사의 임시 구조물에 쓸 수 있습니다.</t>
        </is>
      </c>
    </row>
    <row r="27" ht="36" customHeight="1">
      <c r="A27" s="44" t="inlineStr">
        <is>
          <t>5)</t>
        </is>
      </c>
      <c r="B27" s="45" t="inlineStr">
        <is>
          <t>철거를 위해 판 곳은 승인된 재료로 원지반 높이까지 되메우고 주변 원지반과 같은 밀도가 되게 다집니다.</t>
        </is>
      </c>
    </row>
    <row r="28" ht="21" customHeight="1">
      <c r="A28" s="43" t="inlineStr">
        <is>
          <t>3. 관거 및 구조물 터파기</t>
        </is>
      </c>
    </row>
    <row r="29" ht="36" customHeight="1">
      <c r="A29" s="44" t="inlineStr">
        <is>
          <t>1)</t>
        </is>
      </c>
      <c r="B29" s="45" t="inlineStr">
        <is>
          <t>공사감독관의 특별 지시가 없으면 도면대로 관로 중심선과 관로 바닥 높이에 맞춰 터파기합니다.</t>
        </is>
      </c>
    </row>
    <row r="30" ht="36" customHeight="1">
      <c r="A30" s="44" t="inlineStr">
        <is>
          <t>2)</t>
        </is>
      </c>
      <c r="B30" s="45" t="inlineStr">
        <is>
          <t>지나치게 판 부분은 공사감독관이 인정하는 양질의 흙으로 도면의 관로 바닥 높이까지 밑채움하고 다집니다.</t>
        </is>
      </c>
    </row>
    <row r="31" ht="20.5" customHeight="1">
      <c r="A31" s="44" t="inlineStr">
        <is>
          <t>3)</t>
        </is>
      </c>
      <c r="B31" s="45" t="inlineStr">
        <is>
          <t>밑채움 흙에는 강자갈이 섞여도 되지만 최대 크기는 10cm 이하로 합니다.</t>
        </is>
      </c>
    </row>
    <row r="32" ht="36" customHeight="1">
      <c r="A32" s="44" t="inlineStr">
        <is>
          <t>4)</t>
        </is>
      </c>
      <c r="B32" s="45" t="inlineStr">
        <is>
          <t>관로 터파기는 관 부설에 필요한 넓이와 깊이로 하고, 터파기 바닥은 관 부설 전에 반드시 공사감독관의 검사를 받습니다.</t>
        </is>
      </c>
    </row>
    <row r="33" ht="36" customHeight="1">
      <c r="A33" s="44" t="inlineStr">
        <is>
          <t>5)</t>
        </is>
      </c>
      <c r="B33" s="45" t="inlineStr">
        <is>
          <t>굴착 후 지하수가 솟으면 공사감독관과 협의해 수중 굴착 · 양수 등 차수 · 배수 조치를 한 뒤 시공합니다.</t>
        </is>
      </c>
    </row>
    <row r="34" ht="20.5" customHeight="1">
      <c r="A34" s="44" t="inlineStr">
        <is>
          <t>6)</t>
        </is>
      </c>
      <c r="B34" s="45" t="inlineStr">
        <is>
          <t>연약지반은 충분한 지지력을 확보할 수 있는지 확인한 뒤 시공합니다.</t>
        </is>
      </c>
    </row>
    <row r="35" ht="36" customHeight="1">
      <c r="A35" s="44" t="inlineStr">
        <is>
          <t>7)</t>
        </is>
      </c>
      <c r="B35" s="45" t="inlineStr">
        <is>
          <t>관로 바닥은 관 접합 부분을 빼고 적어도 관 1본 길이 전체가 흐트러지지 않은 지반 위에 고르게 받쳐지게 합니다.</t>
        </is>
      </c>
    </row>
    <row r="36" ht="36" customHeight="1">
      <c r="A36" s="44" t="inlineStr">
        <is>
          <t>8)</t>
        </is>
      </c>
      <c r="B36" s="45" t="inlineStr">
        <is>
          <t>풍화암을 포함한 암 구간은 지나치게 파지 않게 주의하고, 특히 관 접합 부분은 필요한 최소한의 넓이 · 깊이가 되게 소형 브레이커를 씁니다.</t>
        </is>
      </c>
    </row>
    <row r="37" ht="36" customHeight="1">
      <c r="A37" s="44" t="inlineStr">
        <is>
          <t>9)</t>
        </is>
      </c>
      <c r="B37" s="45" t="inlineStr">
        <is>
          <t>암 구간 터파기에서 나온 파쇄암 중 관 외면을 다치게 할 모양 · 크기의 암편은 관로 되메우기에 쓰지 않고 공사감독관이 정한 곳으로 반출합니다.</t>
        </is>
      </c>
    </row>
    <row r="38" ht="51.5" customHeight="1">
      <c r="A38" s="44" t="inlineStr">
        <is>
          <t>10)</t>
        </is>
      </c>
      <c r="B38" s="45" t="inlineStr">
        <is>
          <t>토사 · 암 구간 모두 지시된 깊이보다 깊게 파지 않게 주의하고, 관 일부가 바닥에 받쳐지지 않는 곳은 굵은 모래 · 잔자갈 또는 지정된 곳의 모래로 채워 관 전체가 고르게 받쳐지게 다집니다.</t>
        </is>
      </c>
    </row>
    <row r="39" ht="20.5" customHeight="1">
      <c r="A39" s="44" t="inlineStr">
        <is>
          <t>11)</t>
        </is>
      </c>
      <c r="B39" s="45" t="inlineStr">
        <is>
          <t>배관 작업 1조의 하루 관로 터파기는 그날 배관할 연장을 넘지 않게 합니다.</t>
        </is>
      </c>
    </row>
    <row r="40" ht="36" customHeight="1">
      <c r="A40" s="44" t="inlineStr">
        <is>
          <t>12)</t>
        </is>
      </c>
      <c r="B40" s="45" t="inlineStr">
        <is>
          <t>흙막이를 두고 터파기하는 경우에는 흙막이 조립도를 만들어 공사감독관의 검토를 받습니다.</t>
        </is>
      </c>
    </row>
    <row r="41" ht="36" customHeight="1">
      <c r="A41" s="44" t="inlineStr">
        <is>
          <t>13)</t>
        </is>
      </c>
      <c r="B41" s="45" t="inlineStr">
        <is>
          <t>구조물 기초 바닥이 지하수위보다 낮으면 공사감독관이 현장 조건에 맞다고 승인한 수중 굴착 또는 양수 방법으로 굴착하고, 수중 굴착에는 알맞은 장비를 씁니다.</t>
        </is>
      </c>
    </row>
    <row r="42" ht="36" customHeight="1">
      <c r="A42" s="44" t="inlineStr">
        <is>
          <t>14)</t>
        </is>
      </c>
      <c r="B42" s="45" t="inlineStr">
        <is>
          <t>하천변 관로 터파기 때 장비의 무한궤도 등으로 지반을 흐트러뜨리지 않게 하고, 드라이 워크가 필요하면 물푸기를 충분히 하며 사면 안정을 위해 PP 마대를 쌓습니다.</t>
        </is>
      </c>
    </row>
    <row r="43" ht="36" customHeight="1">
      <c r="A43" s="44" t="inlineStr">
        <is>
          <t>15)</t>
        </is>
      </c>
      <c r="B43" s="45" t="inlineStr">
        <is>
          <t>하천변 터파기 후 콘크리트를 치기 전에 전석 등을 씻고 누수 · 용수를 처리해, 콘크리트가 더러워지거나 물-시멘트비가 바뀌지 않게 합니다.</t>
        </is>
      </c>
    </row>
    <row r="44" ht="36" customHeight="1">
      <c r="A44" s="44" t="inlineStr">
        <is>
          <t>16)</t>
        </is>
      </c>
      <c r="B44" s="45" t="inlineStr">
        <is>
          <t>하천의 수질 · 생태계 · 경관 등 자연환경을 해치지 않게 하고, 불가피하면 공사 뒤 원상 복구합니다.</t>
        </is>
      </c>
    </row>
    <row r="45" ht="36" customHeight="1">
      <c r="A45" s="44" t="inlineStr">
        <is>
          <t>17)</t>
        </is>
      </c>
      <c r="B45" s="45" t="inlineStr">
        <is>
          <t>비가 오면 표면 침식 · 활동이 우려되는 구간은 터파기 전에 안정성을 검토하고, 우려되면 짧은 구간씩 시공하며 비가 올 때는 판 구간을 임시로 되메웁니다.</t>
        </is>
      </c>
    </row>
    <row r="46" ht="20" customHeight="1">
      <c r="A46" s="4" t="inlineStr"/>
      <c r="B46" s="46" t="inlineStr">
        <is>
          <t>3.1 마무리</t>
        </is>
      </c>
    </row>
    <row r="47" ht="36" customHeight="1">
      <c r="A47" s="44" t="inlineStr">
        <is>
          <t>(1)</t>
        </is>
      </c>
      <c r="C47" s="45" t="inlineStr">
        <is>
          <t>토공 마무리 면은 설계도면의 기울기에 맞게 다듬고, 기준선 아래 재료는 느슨해지지 않게 주의합니다.</t>
        </is>
      </c>
    </row>
    <row r="48" ht="36" customHeight="1">
      <c r="A48" s="44" t="inlineStr">
        <is>
          <t>(2)</t>
        </is>
      </c>
      <c r="C48" s="45" t="inlineStr">
        <is>
          <t>터파기 비탈면은 자연 사면과의 경계를 둥글게 다듬고, 깎기 · 쌓기 구간이 만나는 곳은 기울기를 맞춰 뚜렷한 꺾임이 생기지 않게 합니다.</t>
        </is>
      </c>
    </row>
    <row r="49" ht="20" customHeight="1">
      <c r="A49" s="4" t="inlineStr"/>
      <c r="B49" s="46" t="inlineStr">
        <is>
          <t>3.2 지장물 확인</t>
        </is>
      </c>
    </row>
    <row r="50" ht="51.5" customHeight="1">
      <c r="A50" s="44" t="inlineStr">
        <is>
          <t>(1)</t>
        </is>
      </c>
      <c r="C50" s="45" t="inlineStr">
        <is>
          <t>시공 구간의 지하매설물은 공사 전에 준공도면과 탐사기로 확인하고, 있는지 없는지를 도면에 적어 시공 전에 공사감독관에게 냅니다. 굴착은 지장물이 다치지 않게 주의합니다.</t>
        </is>
      </c>
    </row>
    <row r="51" ht="36" customHeight="1">
      <c r="A51" s="44" t="inlineStr">
        <is>
          <t>(2)</t>
        </is>
      </c>
      <c r="C51" s="45" t="inlineStr">
        <is>
          <t>주요 지장물은 관련 법령에 따라 관리자에게 미리 알리고 관리자 입회 아래 굴착합니다.</t>
        </is>
      </c>
    </row>
    <row r="52" ht="36" customHeight="1">
      <c r="A52" s="44" t="inlineStr">
        <is>
          <t>(3)</t>
        </is>
      </c>
      <c r="C52" s="45" t="inlineStr">
        <is>
          <t>지장물이 다치면 곧바로 응급조치를 하고 공사감독관과 관리자에게 연락해 알맞게 조치합니다.</t>
        </is>
      </c>
    </row>
    <row r="53" ht="36" customHeight="1">
      <c r="A53" s="44" t="inlineStr">
        <is>
          <t>(4)</t>
        </is>
      </c>
      <c r="C53" s="45" t="inlineStr">
        <is>
          <t>지장물 때문에 시공 위치를 바꿔야 하면 전문 기술자의 검토서를 공사감독관에게 내 승인을 받은 뒤 시공합니다.</t>
        </is>
      </c>
    </row>
    <row r="54" ht="36" customHeight="1">
      <c r="A54" s="44" t="inlineStr">
        <is>
          <t>(5)</t>
        </is>
      </c>
      <c r="C54" s="45" t="inlineStr">
        <is>
          <t>지장물 확인이 필요한 곳이나 공사감독관이 요구하는 곳은 시공 전에 시험굴착을 하며, 그 비용은 시공자가 부담합니다.</t>
        </is>
      </c>
    </row>
    <row r="55" ht="20.5" customHeight="1">
      <c r="A55" s="44" t="inlineStr">
        <is>
          <t>(6)</t>
        </is>
      </c>
      <c r="C55" s="45" t="inlineStr">
        <is>
          <t>지하매설물 · 가공물을 확인해 방호시설 계획을 세우고 시공합니다.</t>
        </is>
      </c>
    </row>
    <row r="56" ht="21" customHeight="1">
      <c r="A56" s="43" t="inlineStr">
        <is>
          <t>4. 브레이커 파쇄공법</t>
        </is>
      </c>
    </row>
    <row r="57" ht="36" customHeight="1">
      <c r="A57" s="44" t="inlineStr">
        <is>
          <t>1)</t>
        </is>
      </c>
      <c r="B57" s="45" t="inlineStr">
        <is>
          <t>유압식 백호에 브레이커를 달아 하는 공법으로, 토공 · 지하 굴착 · 기존 구조물 제거 등 장소가 좁고 작업 공간이 제약되는 곳에 씁니다.</t>
        </is>
      </c>
    </row>
    <row r="58" ht="20.5" customHeight="1">
      <c r="A58" s="44" t="inlineStr">
        <is>
          <t>2)</t>
        </is>
      </c>
      <c r="B58" s="45" t="inlineStr">
        <is>
          <t>진동보다 소음 영향이 크므로 소음에 유의하고 소음 허용 기준 이하가 유지되게 합니다.</t>
        </is>
      </c>
    </row>
    <row r="59" ht="36" customHeight="1">
      <c r="A59" s="44" t="inlineStr">
        <is>
          <t>3)</t>
        </is>
      </c>
      <c r="B59" s="45" t="inlineStr">
        <is>
          <t>백호가 들어가 작업할 공간이 있어야 하고, 백호의 회전 반경을 감안해 작업 공간을 확보합니다.</t>
        </is>
      </c>
    </row>
    <row r="60" ht="20.5" customHeight="1">
      <c r="A60" s="44" t="inlineStr">
        <is>
          <t>4)</t>
        </is>
      </c>
      <c r="B60" s="45" t="inlineStr">
        <is>
          <t>기존 도로 확장 구간에서 암을 깰 때는 보호막을 설치한 뒤 작업합니다.</t>
        </is>
      </c>
    </row>
    <row r="61" ht="20.5" customHeight="1">
      <c r="A61" s="44" t="inlineStr">
        <is>
          <t>5)</t>
        </is>
      </c>
      <c r="B61" s="45" t="inlineStr">
        <is>
          <t>대규모 공사는 현장 상황을 세밀히 검토해 신중하게 적용합니다.</t>
        </is>
      </c>
    </row>
    <row r="62" ht="21" customHeight="1">
      <c r="A62" s="43" t="inlineStr">
        <is>
          <t>5. 흙의 운반 및 잔토 처리</t>
        </is>
      </c>
    </row>
    <row r="63" ht="36" customHeight="1">
      <c r="A63" s="44" t="inlineStr">
        <is>
          <t>1)</t>
        </is>
      </c>
      <c r="B63" s="45" t="inlineStr">
        <is>
          <t>흙 운반은 굴착한 흙(사토 포함)을 그 자리에서 정해진 최종 위치로 옮기는 것으로, 승인된 토공 계획에 맞춰 합니다.</t>
        </is>
      </c>
    </row>
    <row r="64" ht="51.5" customHeight="1">
      <c r="A64" s="44" t="inlineStr">
        <is>
          <t>2)</t>
        </is>
      </c>
      <c r="B64" s="45" t="inlineStr">
        <is>
          <t>운반 트럭의 출입은 교통 정리원의 지시를 따르고 보행자에게 불편을 주지 않게 합니다. 과적하지 않고 덮개를 씌워 도로에 떨어뜨리지 않으며, 출입구에는 세륜시설을 두어 도로를 더럽히지 않게 합니다.</t>
        </is>
      </c>
    </row>
    <row r="65" ht="20.5" customHeight="1">
      <c r="A65" s="44" t="inlineStr">
        <is>
          <t>3)</t>
        </is>
      </c>
      <c r="B65" s="45" t="inlineStr">
        <is>
          <t>잔토는 지정된 곳이나 공사감독관이 승인한 곳 밖에 처분하지 않습니다.</t>
        </is>
      </c>
    </row>
    <row r="66" ht="20.5" customHeight="1">
      <c r="A66" s="44" t="inlineStr">
        <is>
          <t>4)</t>
        </is>
      </c>
      <c r="B66" s="45" t="inlineStr">
        <is>
          <t>축중기 설치 대상 현장이면 이동식 축중기를 설치해 운영합니다.</t>
        </is>
      </c>
    </row>
    <row r="67" ht="36" customHeight="1">
      <c r="A67" s="44" t="inlineStr">
        <is>
          <t>5)</t>
        </is>
      </c>
      <c r="B67" s="45" t="inlineStr">
        <is>
          <t>잔토는 되도록 줄여 현장 안에서 유용하고, 사토할 때는 시공자가 사토장을 정해 공사감독관의 승인을 받습니다.</t>
        </is>
      </c>
    </row>
    <row r="68" ht="20.5" customHeight="1">
      <c r="A68" s="44" t="inlineStr">
        <is>
          <t>6)</t>
        </is>
      </c>
      <c r="B68" s="45" t="inlineStr">
        <is>
          <t>공사가 끝나기 전에 사토한 흙으로 생기는 문제는 시공자가 부담해 해결합니다.</t>
        </is>
      </c>
    </row>
    <row r="69" ht="21" customHeight="1">
      <c r="A69" s="43" t="inlineStr">
        <is>
          <t>6. 건설폐기물 처리</t>
        </is>
      </c>
    </row>
    <row r="70" ht="36" customHeight="1">
      <c r="A70" s="44" t="inlineStr">
        <is>
          <t>1)</t>
        </is>
      </c>
      <c r="B70" s="45" t="inlineStr">
        <is>
          <t>공사 중 생기는 폐자재와 폐기물은 폐기물관리법 · 건설폐기물의 재활용촉진에 관한 법률 등 관계 법령에 따라 알맞게 처리하고, 불법 투기로 남에게 피해를 주지 않습니다.</t>
        </is>
      </c>
    </row>
    <row r="71" ht="36" customHeight="1">
      <c r="A71" s="44" t="inlineStr">
        <is>
          <t>2)</t>
        </is>
      </c>
      <c r="B71" s="45" t="inlineStr">
        <is>
          <t>폐기물은 공사감독관의 승인을 받은 뒤 처리하며, 종류와 양을 정확히 파악해 법령에 정한 방법으로 처리합니다(지정폐기물은 따로 처리).</t>
        </is>
      </c>
    </row>
    <row r="72" ht="20.5" customHeight="1">
      <c r="A72" s="44" t="inlineStr">
        <is>
          <t>3)</t>
        </is>
      </c>
      <c r="B72" s="45" t="inlineStr">
        <is>
          <t>폐기물의 수집 · 운반 · 보관 기준과 방법을 규정대로 지킵니다.</t>
        </is>
      </c>
    </row>
    <row r="73" ht="36" customHeight="1">
      <c r="A73" s="44" t="inlineStr">
        <is>
          <t>4)</t>
        </is>
      </c>
      <c r="B73" s="45" t="inlineStr">
        <is>
          <t>처리는 반드시 허가받은 업체에 맡기고, 처분지 · 업체명 · 허가번호를 확인해 공사감독관에게 보고합니다.</t>
        </is>
      </c>
    </row>
    <row r="74" ht="36" customHeight="1">
      <c r="A74" s="44" t="inlineStr">
        <is>
          <t>5)</t>
        </is>
      </c>
      <c r="B74" s="45" t="inlineStr">
        <is>
          <t>처리업체로부터 인계서 등 처리 증빙을 받아 공사감독관에게 보고합니다(올바로시스템 등록 포함).</t>
        </is>
      </c>
    </row>
    <row r="75" ht="20.5" customHeight="1">
      <c r="A75" s="44" t="inlineStr">
        <is>
          <t>6)</t>
        </is>
      </c>
      <c r="B75" s="45" t="inlineStr">
        <is>
          <t>공사 중 폐기물 처리에 필요한 행정 사항은 시공자가 알맞게 조치합니다.</t>
        </is>
      </c>
    </row>
    <row r="76" ht="21" customHeight="1">
      <c r="A76" s="43" t="inlineStr">
        <is>
          <t>7. 되메우기 및 다짐</t>
        </is>
      </c>
    </row>
    <row r="77" ht="20.5" customHeight="1">
      <c r="A77" s="44" t="inlineStr">
        <is>
          <t>1)</t>
        </is>
      </c>
      <c r="B77" s="45" t="inlineStr">
        <is>
          <t>되메우기는 구조물 · 지장물 철거 등이 끝난 뒤에 합니다.</t>
        </is>
      </c>
    </row>
    <row r="78" ht="20.5" customHeight="1">
      <c r="A78" s="44" t="inlineStr">
        <is>
          <t>2)</t>
        </is>
      </c>
      <c r="B78" s="45" t="inlineStr">
        <is>
          <t>터파기 면이 연약지반이면 설계서에 따라 개량한 뒤 시공합니다.</t>
        </is>
      </c>
    </row>
    <row r="79" ht="36" customHeight="1">
      <c r="A79" s="44" t="inlineStr">
        <is>
          <t>3)</t>
        </is>
      </c>
      <c r="B79" s="45" t="inlineStr">
        <is>
          <t>언 흙은 되메우기에 쓰지 않습니다. 언 깊이가 얕으면 언 층을 완전히 없애고 공사감독관의 확인을 받아 시공합니다.</t>
        </is>
      </c>
    </row>
    <row r="80" ht="20" customHeight="1">
      <c r="A80" s="4" t="inlineStr"/>
      <c r="B80" s="46" t="inlineStr">
        <is>
          <t>7.1 관로 되메우기</t>
        </is>
      </c>
    </row>
    <row r="81" ht="36" customHeight="1">
      <c r="A81" s="44" t="inlineStr">
        <is>
          <t>1)</t>
        </is>
      </c>
      <c r="C81" s="45" t="inlineStr">
        <is>
          <t>되메움 재료는 덩어리지거나 얼지 않고 자갈 · 나무뿌리 · 이토 · 점토 덩어리가 섞이지 않은 양질의 흙으로 합니다.</t>
        </is>
      </c>
    </row>
    <row r="82" ht="36" customHeight="1">
      <c r="A82" s="44" t="inlineStr">
        <is>
          <t>2)</t>
        </is>
      </c>
      <c r="C82" s="45" t="inlineStr">
        <is>
          <t>다짐에 알맞은 함수비는 현장 시험 결과에 따라 공사감독관의 지시를 따르며, 물을 뿌리거나 말려서 맞춥니다.</t>
        </is>
      </c>
    </row>
    <row r="83" ht="36" customHeight="1">
      <c r="A83" s="44" t="inlineStr">
        <is>
          <t>3)</t>
        </is>
      </c>
      <c r="C83" s="45" t="inlineStr">
        <is>
          <t>별도 지시가 없으면 최종 계획고까지 시공하되 기존 시설물을 다치지 않게 하고, 필요한 다짐도가 나오게 다집니다.</t>
        </is>
      </c>
    </row>
    <row r="84" ht="36" customHeight="1">
      <c r="A84" s="44" t="inlineStr">
        <is>
          <t>4)</t>
        </is>
      </c>
      <c r="C84" s="45" t="inlineStr">
        <is>
          <t>되메움 재료를 까는 동안 관 위치가 흔들리지 않고 관과 보호공이 다치지 않게 합니다.</t>
        </is>
      </c>
    </row>
    <row r="85" ht="20.5" customHeight="1">
      <c r="A85" s="44" t="inlineStr">
        <is>
          <t>5)</t>
        </is>
      </c>
      <c r="C85" s="45" t="inlineStr">
        <is>
          <t>기존 지하매설물 주변도 충분히 다져 매설물이 가라앉지 않게 합니다.</t>
        </is>
      </c>
    </row>
    <row r="86" ht="51.5" customHeight="1">
      <c r="A86" s="44" t="inlineStr">
        <is>
          <t>6)</t>
        </is>
      </c>
      <c r="C86" s="45" t="inlineStr">
        <is>
          <t>관 주위(관 상단 20cm 까지)는 재료가 분리되지 않게 15cm 두께로 깔고 관 중심선 양쪽을 같은 높이로 되메워 편압이 걸리지 않게 하며, 관 아래 옆 곡면부(헌치)는 봉다짐으로 철저히 다집니다.</t>
        </is>
      </c>
    </row>
    <row r="87" ht="67" customHeight="1">
      <c r="A87" s="44" t="inlineStr">
        <is>
          <t>7)</t>
        </is>
      </c>
      <c r="C87" s="45" t="inlineStr">
        <is>
          <t>관 상단 30cm 위부터는 한 층 30cm 이하로 되메우며 다집니다. 관을 다치게 할 수 있는 금속 봉다짐은 하지 않고, 불도저로 한꺼번에 메우거나 트럭에서 바로 쏟아붓지 않습니다. 모래는 충분히 물다짐하고 필요하면 더돋기를 합니다. 부실한 곳은 시공자 부담으로 보완하고, 다음 층을 메우기 전에 고르게 다집니다.</t>
        </is>
      </c>
    </row>
    <row r="88" ht="36" customHeight="1">
      <c r="A88" s="44" t="inlineStr">
        <is>
          <t>8)</t>
        </is>
      </c>
      <c r="C88" s="45" t="inlineStr">
        <is>
          <t>다짐이 끝났을 때 관이 원형을 유지해야 하며, 관 · 시설물이 다치면 시공자 부담으로 원상 복구합니다.</t>
        </is>
      </c>
    </row>
    <row r="89" ht="36" customHeight="1">
      <c r="A89" s="44" t="inlineStr">
        <is>
          <t>9)</t>
        </is>
      </c>
      <c r="C89" s="45" t="inlineStr">
        <is>
          <t>터파기 흙이 1)의 조건을 만족하면 공사감독관의 승인을 받아 되메움에 쓸 수 있습니다(관 기초 · 관 주위 · 관 상단 모래로 쓸 때도 승인).</t>
        </is>
      </c>
    </row>
    <row r="90" ht="36" customHeight="1">
      <c r="A90" s="44" t="inlineStr">
        <is>
          <t>10)</t>
        </is>
      </c>
      <c r="C90" s="45" t="inlineStr">
        <is>
          <t>관거의 매설 깊이는 동결 심도와 하중을 고려해 1.0m 이상을 원칙으로 하되, 현장 여건상 어려우면 관 보호공을 적용해 조정합니다.</t>
        </is>
      </c>
    </row>
    <row r="91" ht="36" customHeight="1">
      <c r="A91" s="44" t="inlineStr">
        <is>
          <t>11)</t>
        </is>
      </c>
      <c r="C91" s="45" t="inlineStr">
        <is>
          <t>지하매설물이 긴 구간에 걸쳐 하수관로와 교차하면 매설물과 관로 사이를 물다짐 또는 콘크리트 채움 등으로 부등침하를 막습니다.</t>
        </is>
      </c>
    </row>
    <row r="92" ht="21" customHeight="1">
      <c r="A92" s="43" t="inlineStr">
        <is>
          <t>8. 다  짐</t>
        </is>
      </c>
    </row>
    <row r="93" ht="20.5" customHeight="1">
      <c r="A93" s="44" t="inlineStr">
        <is>
          <t>1)</t>
        </is>
      </c>
      <c r="B93" s="45" t="inlineStr">
        <is>
          <t>다짐시험은 KS F 2311(현장 밀도) · KS F 2312(흙의 다짐 시험)에 따라 합니다.</t>
        </is>
      </c>
    </row>
    <row r="94" ht="36" customHeight="1">
      <c r="A94" s="44" t="inlineStr">
        <is>
          <t>2)</t>
        </is>
      </c>
      <c r="B94" s="45" t="inlineStr">
        <is>
          <t>시험 결과가 기준에 못 미치면 다짐 재료를 걷어 내고 바꿔 다시 시험합니다. 시험 빈도는 정해진 바에 따릅니다.</t>
        </is>
      </c>
    </row>
    <row r="95" ht="36" customHeight="1">
      <c r="A95" s="44" t="inlineStr">
        <is>
          <t>3)</t>
        </is>
      </c>
      <c r="B95" s="45" t="inlineStr">
        <is>
          <t>공정계획에 맞춰 다짐 장비의 종류 · 대수 · 조합 계획서를 내 공사감독관의 승인을 받은 뒤 작업합니다.</t>
        </is>
      </c>
    </row>
    <row r="96" ht="20.5" customHeight="1">
      <c r="A96" s="44" t="inlineStr">
        <is>
          <t>4)</t>
        </is>
      </c>
      <c r="B96" s="45" t="inlineStr">
        <is>
          <t>층다짐이 어려운 곳이 생기면 되메우기 및 다짐 계획서를 따로 냅니다.</t>
        </is>
      </c>
    </row>
    <row r="97" ht="36" customHeight="1">
      <c r="A97" s="44" t="inlineStr">
        <is>
          <t>5)</t>
        </is>
      </c>
      <c r="B97" s="45" t="inlineStr">
        <is>
          <t>되메우기 및 다짐은 계획서대로 하되 공사감독관과 반드시 협의하고 다짐 품질 기준을 만족시킵니다.</t>
        </is>
      </c>
    </row>
    <row r="98" ht="51.5" customHeight="1">
      <c r="A98" s="44" t="inlineStr">
        <is>
          <t>6)</t>
        </is>
      </c>
      <c r="B98" s="45" t="inlineStr">
        <is>
          <t>교통 · 민원 문제로 당일 굴착 · 당일 복구해야 해 다짐 기준을 맞추기 어려우면 공사감독관 확인 뒤 임시 되메우기(가복구)를 하고, 최종 포장 전에 다시 다져 다짐시험을 합니다. 이때 임시 되메우기 중임을 알리는 표시를 합니다.</t>
        </is>
      </c>
    </row>
    <row r="99" ht="21" customHeight="1">
      <c r="A99" s="43" t="inlineStr">
        <is>
          <t>9. 사  토</t>
        </is>
      </c>
    </row>
    <row r="100" ht="20.5" customHeight="1">
      <c r="A100" s="44" t="inlineStr">
        <is>
          <t>1)</t>
        </is>
      </c>
      <c r="B100" s="45" t="inlineStr">
        <is>
          <t>관로 터파기 등에서 나온 흙은 설계서에 따라 사토 처리합니다.</t>
        </is>
      </c>
    </row>
    <row r="101" ht="36" customHeight="1">
      <c r="A101" s="44" t="inlineStr">
        <is>
          <t>2)</t>
        </is>
      </c>
      <c r="B101" s="45" t="inlineStr">
        <is>
          <t>지정된 사토장(중간 집하장 포함)을 바꾸려면 사토 운반 전에 공사감독관의 승인을 받습니다.</t>
        </is>
      </c>
    </row>
    <row r="102" ht="20.5" customHeight="1">
      <c r="A102" s="44" t="inlineStr">
        <is>
          <t>3)</t>
        </is>
      </c>
      <c r="B102" s="45" t="inlineStr">
        <is>
          <t>사토 작업 중과 작업 뒤에도 작업장 배수가 잘 되게 정리합니다.</t>
        </is>
      </c>
    </row>
    <row r="103" ht="20.5" customHeight="1">
      <c r="A103" s="44" t="inlineStr">
        <is>
          <t>4)</t>
        </is>
      </c>
      <c r="B103" s="45" t="inlineStr">
        <is>
          <t>사토가 끝난 구간의 비탈면은 잘 다듬고 알맞은 보호공을 설치합니다.</t>
        </is>
      </c>
    </row>
    <row r="104" ht="36" customHeight="1">
      <c r="A104" s="44" t="inlineStr">
        <is>
          <t>5)</t>
        </is>
      </c>
      <c r="B104" s="45" t="inlineStr">
        <is>
          <t>사토장 · 중간 집하장의 토사 유출 · 붕괴로 자연 · 생활 환경에 피해를 주면 시공자 부담으로 원상 복구합니다.</t>
        </is>
      </c>
    </row>
    <row r="105" ht="3" customHeight="1"/>
    <row r="106" ht="21" customHeight="1">
      <c r="A106" s="20" t="inlineStr">
        <is>
          <t>제3장  기초 공사</t>
        </is>
      </c>
    </row>
    <row r="107" ht="21" customHeight="1">
      <c r="A107" s="43" t="inlineStr">
        <is>
          <t>1. 기 초 공</t>
        </is>
      </c>
    </row>
    <row r="108" ht="36" customHeight="1">
      <c r="A108" s="44" t="inlineStr">
        <is>
          <t>1)</t>
        </is>
      </c>
      <c r="B108" s="45" t="inlineStr">
        <is>
          <t>관 · 맨홀 · 펌프장 등 구조물의 기초 지반은 필요한 지지력이 나오게 다지고, 부등침하가 생기지 않게 합니다.</t>
        </is>
      </c>
    </row>
    <row r="109" ht="36" customHeight="1">
      <c r="A109" s="44" t="inlineStr">
        <is>
          <t>2)</t>
        </is>
      </c>
      <c r="B109" s="45" t="inlineStr">
        <is>
          <t>강성관 · 연성관은 모래 기초를 원칙으로 하고, 두께와 폭은 설계도면대로 합니다. 부등침하가 예상되는 구간은 쇄석 + 모래 기초로 합니다.</t>
        </is>
      </c>
    </row>
    <row r="110" ht="36" customHeight="1">
      <c r="A110" s="44" t="inlineStr">
        <is>
          <t>3)</t>
        </is>
      </c>
      <c r="B110" s="45" t="inlineStr">
        <is>
          <t>펌프장은 직접기초로 하고 설계도면대로 시공하며, 연약 점토가 나오면 쇄석 치환 공법을 적용합니다.</t>
        </is>
      </c>
    </row>
    <row r="111" ht="36" customHeight="1">
      <c r="A111" s="44" t="inlineStr">
        <is>
          <t>4)</t>
        </is>
      </c>
      <c r="B111" s="45" t="inlineStr">
        <is>
          <t>공사감독관은 기초 지반이 연약해 침하가 예상되면 기초 변경을 요구할 수 있고, 시공자는 이에 맞는 기초로 바꿔 승인을 받은 뒤 시공합니다.</t>
        </is>
      </c>
    </row>
    <row r="112" ht="21" customHeight="1">
      <c r="A112" s="43" t="inlineStr">
        <is>
          <t>2. 터파기 면의 종류에 따른 기초공사</t>
        </is>
      </c>
    </row>
    <row r="113" ht="20" customHeight="1">
      <c r="A113" s="4" t="inlineStr"/>
      <c r="B113" s="46" t="inlineStr">
        <is>
          <t>2.1 보통지반 기초공사 — 관로 터파기 · 기초 표준단면 (왼쪽: 개착 비탈 1 : 0.3, 오른쪽: 가시설 구간)</t>
        </is>
      </c>
    </row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18" customHeight="1">
      <c r="A128" s="47" t="inlineStr">
        <is>
          <t>콘크리트 포장구간 · 토사구간 (개착)</t>
        </is>
      </c>
      <c r="G128" s="47" t="inlineStr">
        <is>
          <t>콘크리트 포장구간 · 토사구간 (가시설)</t>
        </is>
      </c>
    </row>
    <row r="129" ht="20" customHeight="1">
      <c r="A129" s="4" t="inlineStr"/>
      <c r="B129" s="46" t="inlineStr">
        <is>
          <t>2.2 암지반 기초공사</t>
        </is>
      </c>
    </row>
    <row r="130" ht="36" customHeight="1">
      <c r="A130" s="44" t="inlineStr">
        <is>
          <t>(1)</t>
        </is>
      </c>
      <c r="C130" s="45" t="inlineStr">
        <is>
          <t>터파기 면이 암반이면 기초 두께만큼 더 판 뒤 보통지반의 모래 기초와 같은 규격으로 시공합니다.</t>
        </is>
      </c>
    </row>
    <row r="131" ht="20" customHeight="1">
      <c r="A131" s="4" t="inlineStr"/>
      <c r="B131" s="46" t="inlineStr">
        <is>
          <t>2.3 연약지반 기초공사</t>
        </is>
      </c>
    </row>
    <row r="132" ht="51.5" customHeight="1">
      <c r="A132" s="44" t="inlineStr">
        <is>
          <t>(1)</t>
        </is>
      </c>
      <c r="C132" s="45" t="inlineStr">
        <is>
          <t>터파기 면이 연약지반이면 연약층의 일부나 전부를 파내 양질토와 보조기층재로 치환하고, 치환용 양질토는 쓰기 전에 토질시험으로 설계 조건을 만족하는지 확인합니다.</t>
        </is>
      </c>
    </row>
    <row r="133" ht="20" customHeight="1">
      <c r="A133" s="4" t="inlineStr"/>
      <c r="B133" s="46" t="inlineStr">
        <is>
          <t>2.4 관거 기초</t>
        </is>
      </c>
    </row>
    <row r="134" ht="36" customHeight="1">
      <c r="A134" s="44" t="inlineStr">
        <is>
          <t>(1)</t>
        </is>
      </c>
      <c r="C134" s="45" t="inlineStr">
        <is>
          <t>관거 부설 전 설계도서와 지반 조건이 다르면 현장 시험으로 지층 상태를 정확히 파악하고 대처 방안을 세운 뒤 시공합니다.</t>
        </is>
      </c>
    </row>
  </sheetData>
  <mergeCells count="140">
    <mergeCell ref="B113:L113"/>
    <mergeCell ref="B100:L100"/>
    <mergeCell ref="A51:B51"/>
    <mergeCell ref="B109:L109"/>
    <mergeCell ref="C91:L91"/>
    <mergeCell ref="A88:B88"/>
    <mergeCell ref="B93:L93"/>
    <mergeCell ref="B31:L31"/>
    <mergeCell ref="B102:L102"/>
    <mergeCell ref="B12:L12"/>
    <mergeCell ref="A54:B54"/>
    <mergeCell ref="B21:L21"/>
    <mergeCell ref="A90:B90"/>
    <mergeCell ref="B39:L39"/>
    <mergeCell ref="C86:L86"/>
    <mergeCell ref="B101:L101"/>
    <mergeCell ref="B23:L23"/>
    <mergeCell ref="B13:L13"/>
    <mergeCell ref="B38:L38"/>
    <mergeCell ref="B78:L78"/>
    <mergeCell ref="A85:B85"/>
    <mergeCell ref="C85:L85"/>
    <mergeCell ref="B40:L40"/>
    <mergeCell ref="A53:B53"/>
    <mergeCell ref="B49:L49"/>
    <mergeCell ref="A92:L92"/>
    <mergeCell ref="B36:L36"/>
    <mergeCell ref="C84:L84"/>
    <mergeCell ref="B64:L64"/>
    <mergeCell ref="B33:L33"/>
    <mergeCell ref="B104:L104"/>
    <mergeCell ref="A6:L6"/>
    <mergeCell ref="C130:L130"/>
    <mergeCell ref="B32:L32"/>
    <mergeCell ref="B63:L63"/>
    <mergeCell ref="A69:L69"/>
    <mergeCell ref="B41:L41"/>
    <mergeCell ref="B35:L35"/>
    <mergeCell ref="A48:B48"/>
    <mergeCell ref="B129:L129"/>
    <mergeCell ref="C48:L48"/>
    <mergeCell ref="B25:L25"/>
    <mergeCell ref="B66:L66"/>
    <mergeCell ref="A3:L3"/>
    <mergeCell ref="C81:L81"/>
    <mergeCell ref="B131:L131"/>
    <mergeCell ref="B18:L18"/>
    <mergeCell ref="B27:L27"/>
    <mergeCell ref="A87:B87"/>
    <mergeCell ref="C87:L87"/>
    <mergeCell ref="B77:L77"/>
    <mergeCell ref="A5:L5"/>
    <mergeCell ref="B11:L11"/>
    <mergeCell ref="A89:B89"/>
    <mergeCell ref="A106:L106"/>
    <mergeCell ref="B67:L67"/>
    <mergeCell ref="B61:L61"/>
    <mergeCell ref="C89:L89"/>
    <mergeCell ref="B29:L29"/>
    <mergeCell ref="C88:L88"/>
    <mergeCell ref="B103:L103"/>
    <mergeCell ref="B37:L37"/>
    <mergeCell ref="C50:L50"/>
    <mergeCell ref="A91:B91"/>
    <mergeCell ref="C55:L55"/>
    <mergeCell ref="A52:B52"/>
    <mergeCell ref="B24:L24"/>
    <mergeCell ref="B80:L80"/>
    <mergeCell ref="B95:L95"/>
    <mergeCell ref="B79:L79"/>
    <mergeCell ref="A83:B83"/>
    <mergeCell ref="A16:L16"/>
    <mergeCell ref="B26:L26"/>
    <mergeCell ref="B97:L97"/>
    <mergeCell ref="C52:L52"/>
    <mergeCell ref="B7:L7"/>
    <mergeCell ref="B72:L72"/>
    <mergeCell ref="G128:L128"/>
    <mergeCell ref="B71:L71"/>
    <mergeCell ref="B43:L43"/>
    <mergeCell ref="B58:L58"/>
    <mergeCell ref="A22:L22"/>
    <mergeCell ref="B42:L42"/>
    <mergeCell ref="B60:L60"/>
    <mergeCell ref="B17:L17"/>
    <mergeCell ref="A55:B55"/>
    <mergeCell ref="B57:L57"/>
    <mergeCell ref="A112:L112"/>
    <mergeCell ref="B44:L44"/>
    <mergeCell ref="B19:L19"/>
    <mergeCell ref="B34:L34"/>
    <mergeCell ref="C54:L54"/>
    <mergeCell ref="B108:L108"/>
    <mergeCell ref="C134:L134"/>
    <mergeCell ref="A15:L15"/>
    <mergeCell ref="B30:L30"/>
    <mergeCell ref="A107:L107"/>
    <mergeCell ref="A1:F1"/>
    <mergeCell ref="B20:L20"/>
    <mergeCell ref="C90:L90"/>
    <mergeCell ref="B133:L133"/>
    <mergeCell ref="B94:L94"/>
    <mergeCell ref="C132:L132"/>
    <mergeCell ref="A130:B130"/>
    <mergeCell ref="B75:L75"/>
    <mergeCell ref="A82:B82"/>
    <mergeCell ref="A128:F128"/>
    <mergeCell ref="A99:L99"/>
    <mergeCell ref="B59:L59"/>
    <mergeCell ref="C82:L82"/>
    <mergeCell ref="B46:L46"/>
    <mergeCell ref="A56:L56"/>
    <mergeCell ref="A132:B132"/>
    <mergeCell ref="C53:L53"/>
    <mergeCell ref="B96:L96"/>
    <mergeCell ref="B70:L70"/>
    <mergeCell ref="A76:L76"/>
    <mergeCell ref="A84:B84"/>
    <mergeCell ref="B111:L111"/>
    <mergeCell ref="C83:L83"/>
    <mergeCell ref="B98:L98"/>
    <mergeCell ref="B8:L8"/>
    <mergeCell ref="A50:B50"/>
    <mergeCell ref="G1:L1"/>
    <mergeCell ref="A62:L62"/>
    <mergeCell ref="B73:L73"/>
    <mergeCell ref="A86:B86"/>
    <mergeCell ref="A28:L28"/>
    <mergeCell ref="A47:B47"/>
    <mergeCell ref="B10:L10"/>
    <mergeCell ref="A9:L9"/>
    <mergeCell ref="C47:L47"/>
    <mergeCell ref="B65:L65"/>
    <mergeCell ref="B74:L74"/>
    <mergeCell ref="A134:B134"/>
    <mergeCell ref="B68:L68"/>
    <mergeCell ref="A81:B81"/>
    <mergeCell ref="C51:L51"/>
    <mergeCell ref="B45:L45"/>
    <mergeCell ref="B110:L110"/>
  </mergeCells>
  <printOptions horizontalCentered="1"/>
  <pageMargins left="0.45" right="0.45" top="0.5" bottom="0.5" header="0.2" footer="0.2"/>
  <pageSetup orientation="portrait" paperSize="9" fitToHeight="0" fitToWidth="1"/>
  <rowBreaks count="5" manualBreakCount="5">
    <brk id="30" min="0" max="16383" man="1"/>
    <brk id="52" min="0" max="16383" man="1"/>
    <brk id="79" min="0" max="16383" man="1"/>
    <brk id="101" min="0" max="16383" man="1"/>
    <brk id="132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제4장  터파기 가시설 공사</t>
        </is>
      </c>
    </row>
    <row r="4" ht="21" customHeight="1">
      <c r="A4" s="43" t="inlineStr">
        <is>
          <t>1. 조립식 간이흙막이공</t>
        </is>
      </c>
    </row>
    <row r="5" ht="20" customHeight="1">
      <c r="A5" s="4" t="inlineStr"/>
      <c r="B5" s="46" t="inlineStr">
        <is>
          <t>1.1 개  요</t>
        </is>
      </c>
    </row>
    <row r="6" ht="36" customHeight="1">
      <c r="A6" s="44" t="inlineStr">
        <is>
          <t>(1)</t>
        </is>
      </c>
      <c r="C6" s="45" t="inlineStr">
        <is>
          <t>흙막이는 관거 매설을 안전하고 원활하게 하려고 터파기 벽면의 붕괴와 토사 유입을 막는 가설 구조물이므로 안전성 · 시공성과 함께 경제성이 요구됩니다.</t>
        </is>
      </c>
    </row>
    <row r="7" ht="20" customHeight="1">
      <c r="A7" s="4" t="inlineStr"/>
      <c r="B7" s="46" t="inlineStr">
        <is>
          <t>1.2 효  과</t>
        </is>
      </c>
    </row>
    <row r="8" ht="36" customHeight="1">
      <c r="A8" s="44" t="inlineStr">
        <is>
          <t>(1)</t>
        </is>
      </c>
      <c r="C8" s="45" t="inlineStr">
        <is>
          <t>특별히 설계 · 제작된 기둥과 패널을 현장에서 조립하면서 곧바로 굴착할 수 있어 공기가 줄고 공사비 · 관리비가 절감됩니다.</t>
        </is>
      </c>
    </row>
    <row r="9" ht="36" customHeight="1">
      <c r="A9" s="44" t="inlineStr">
        <is>
          <t>(2)</t>
        </is>
      </c>
      <c r="C9" s="45" t="inlineStr">
        <is>
          <t>굴삭기 작업을 연속으로 할 수 있고, 항타기 · 발전기 같은 큰 장비 없이 굴삭기만으로 작업하므로 소음 · 진동이 적습니다.</t>
        </is>
      </c>
    </row>
    <row r="10" ht="20.5" customHeight="1">
      <c r="A10" s="44" t="inlineStr">
        <is>
          <t>(3)</t>
        </is>
      </c>
      <c r="C10" s="45" t="inlineStr">
        <is>
          <t>제작된 부재는 토압을 충분히 받도록 만들어져 안전합니다.</t>
        </is>
      </c>
    </row>
    <row r="11" ht="20" customHeight="1">
      <c r="A11" s="4" t="inlineStr"/>
      <c r="B11" s="46" t="inlineStr">
        <is>
          <t>1.3 알맞은 곳</t>
        </is>
      </c>
    </row>
    <row r="12" ht="20.5" customHeight="1">
      <c r="A12" s="44" t="inlineStr">
        <is>
          <t>가)</t>
        </is>
      </c>
      <c r="C12" s="45" t="inlineStr">
        <is>
          <t>자갈층 · 모래층 · 연약지반 · 시가지 · 좁은 곳 · 물이 나는 곳</t>
        </is>
      </c>
    </row>
    <row r="13" ht="36" customHeight="1">
      <c r="A13" s="44" t="inlineStr">
        <is>
          <t>나)</t>
        </is>
      </c>
      <c r="C13" s="45" t="inlineStr">
        <is>
          <t>상 · 하수도 · 각종 BOX(공동구 · 콘크리트 · PC) · 공업 · 농업용수 · 지중선 · 가스관 · 송유관 · 맨홀 · 차집관로 등 관로 매설 공사</t>
        </is>
      </c>
    </row>
    <row r="14" ht="20" customHeight="1">
      <c r="A14" s="4" t="inlineStr"/>
      <c r="B14" s="46" t="inlineStr">
        <is>
          <t>1.4 시공 때 주의사항</t>
        </is>
      </c>
    </row>
    <row r="15" ht="20.5" customHeight="1">
      <c r="A15" s="44" t="inlineStr">
        <is>
          <t>가)</t>
        </is>
      </c>
      <c r="C15" s="45" t="inlineStr">
        <is>
          <t>주변 시설과 지반의 침하 · 균열 방지</t>
        </is>
      </c>
    </row>
    <row r="16" ht="20.5" customHeight="1">
      <c r="A16" s="44" t="inlineStr">
        <is>
          <t>나)</t>
        </is>
      </c>
      <c r="C16" s="45" t="inlineStr">
        <is>
          <t>공사 중 소음 · 진동 · 대기오염 · 수질오염(지하수 · 지표수) 방지</t>
        </is>
      </c>
    </row>
    <row r="17" ht="20.5" customHeight="1">
      <c r="A17" s="44" t="inlineStr">
        <is>
          <t>다)</t>
        </is>
      </c>
      <c r="C17" s="45" t="inlineStr">
        <is>
          <t>본체 구조 시공을 위한 작업 공간과 작업대로서의 안전성 확보</t>
        </is>
      </c>
    </row>
    <row r="18" ht="20.5" customHeight="1">
      <c r="A18" s="44" t="inlineStr">
        <is>
          <t>라)</t>
        </is>
      </c>
      <c r="C18" s="45" t="inlineStr">
        <is>
          <t>차량 · 보행자 통행 장애 최소화</t>
        </is>
      </c>
    </row>
    <row r="19" ht="20.5" customHeight="1">
      <c r="A19" s="44" t="inlineStr">
        <is>
          <t>마)</t>
        </is>
      </c>
      <c r="C19" s="45" t="inlineStr">
        <is>
          <t>지하매설물의 안전한 보호와 유지관리 대책 수립</t>
        </is>
      </c>
    </row>
    <row r="20" ht="21" customHeight="1">
      <c r="A20" s="43" t="inlineStr">
        <is>
          <t>2. 조립식 간이흙막이 시공 순서</t>
        </is>
      </c>
    </row>
    <row r="21" ht="118" customHeight="1">
      <c r="A21" s="4" t="inlineStr"/>
      <c r="F21" s="4" t="inlineStr">
        <is>
          <t>1) 자재가 현장에 오면 평지에 기둥 두 개를 나란히 놓고, 안쪽 터파기 폭에 맞게 버팀대를 기둥 고리에 고정합니다(기둥과 버팀대는 직각). 처음 세우는 기둥은 터파기의 기준이 되므로 수직으로 세우고, 조립된 두 기둥은 수평으로 나란히 박습니다. 백호 버킷으로 양쪽 기둥을 번갈아 눌러 단단히 하며, 이때 기둥 머리에 기둥 보호대를 씌웁니다.</t>
        </is>
      </c>
    </row>
    <row r="22" ht="4" customHeight="1"/>
    <row r="23" ht="118" customHeight="1">
      <c r="A23" s="4" t="inlineStr"/>
      <c r="F23" s="4" t="inlineStr">
        <is>
          <t>2) 패널 설치 위치를 확인한 뒤 하부 패널을 설치합니다. 첫 패널이 예정선 위에 있는지, 반대편 패널과의 간격이 맞는지 확인합니다.</t>
        </is>
      </c>
    </row>
    <row r="24" ht="4" customHeight="1"/>
    <row r="25" ht="118" customHeight="1">
      <c r="A25" s="4" t="inlineStr"/>
      <c r="F25" s="4" t="inlineStr">
        <is>
          <t>3) 조립된 기둥을 패널 끝에 끼우고, 터파기 방향과 직각인지 · 수직인지 확인합니다.</t>
        </is>
      </c>
    </row>
    <row r="26" ht="4" customHeight="1"/>
    <row r="27" ht="118" customHeight="1">
      <c r="A27" s="4" t="inlineStr"/>
      <c r="F27" s="4" t="inlineStr">
        <is>
          <t>4) 패널과 기둥이 조립되어 스스로 서면 터파기합니다. 이때 패널 머리에 패널 보호대를 씌웁니다.</t>
        </is>
      </c>
    </row>
    <row r="28" ht="4" customHeight="1"/>
    <row r="29" ht="118" customHeight="1">
      <c r="A29" s="4" t="inlineStr"/>
      <c r="F29" s="4" t="inlineStr">
        <is>
          <t>5) 터파기는 패널과 나란히, 패널 쪽 아래부터 팝니다. 그래야 패널과 기둥이 쉽게 들어갑니다. 누르는 순서는 패널 → 기둥이며, 기둥 밑으로 패널의 롤러가 나오지 않게 하고 기둥을 한 번에 누르는 깊이 기준을 지킵니다.</t>
        </is>
      </c>
    </row>
    <row r="30" ht="4" customHeight="1"/>
    <row r="31" ht="118" customHeight="1">
      <c r="A31" s="4" t="inlineStr"/>
      <c r="F31" s="4" t="inlineStr">
        <is>
          <t>6) 패널 뒤채움은 반드시 합니다. 양질의 흙이 가장 좋지만 현장 사정에 따라 터파기한 흙을 써도 됩니다(패널 · 기둥을 뽑을 때 쉽게 뽑히게).</t>
        </is>
      </c>
    </row>
    <row r="32" ht="4" customHeight="1"/>
    <row r="33" ht="118" customHeight="1">
      <c r="A33" s="4" t="inlineStr"/>
      <c r="F33" s="4" t="inlineStr">
        <is>
          <t>7) 내부 구조물을 설치한 뒤 패널을 뽑기 전에 되메웁니다. «일정량 되메움 → 패널 뽑기 → 다짐 → 되메움» 을 되풀이합니다. 한꺼번에 많이 메우면 뽑기 어렵고, 고르게 메워야 잘 뽑힙니다.</t>
        </is>
      </c>
    </row>
    <row r="34" ht="4" customHeight="1"/>
    <row r="35" ht="118" customHeight="1">
      <c r="A35" s="4" t="inlineStr"/>
      <c r="F35" s="4" t="inlineStr">
        <is>
          <t>8) 뽑을 때는 패널을 먼저, 기둥을 나중에 뽑습니다. 폭이 넓으면 뽑아 올리는 와이어 각도가 60° 이하가 되게 긴 와이어를 쓰고, 한쪽으로 기울었을 때 무리하게 뽑으면 버팀대가 상하므로 주의합니다.</t>
        </is>
      </c>
    </row>
    <row r="36" ht="4" customHeight="1"/>
    <row r="37" ht="118" customHeight="1">
      <c r="A37" s="4" t="inlineStr"/>
      <c r="F37" s="4" t="inlineStr">
        <is>
          <t>9) 상 · 하부 패널을 잇는 연결쇠는 하부 패널이 지반면(G.L) 위로 올라왔을 때 분리합니다. 이때 하부 패널이 도로 내려가지 않게 흙을 다져 줍니다.</t>
        </is>
      </c>
    </row>
    <row r="38" ht="4" customHeight="1"/>
    <row r="39" ht="21" customHeight="1">
      <c r="A39" s="43" t="inlineStr">
        <is>
          <t>3. 조립식 간이흙막이 시공 때 주의사항</t>
        </is>
      </c>
    </row>
    <row r="40" ht="67" customHeight="1">
      <c r="A40" s="44" t="inlineStr">
        <is>
          <t>가)</t>
        </is>
      </c>
      <c r="B40" s="45" t="inlineStr">
        <is>
          <t>굴착하기 쉬운 곳과 어려운 곳이 있습니다. 지하수가 많은 곳은 웰포인트 등으로 바꾸거나 펌프로 직접 배수합니다. 큰 돌은 없애야 하고 인력으로 해야 할 때도 있으며, 작은 돌이라도 패널 바로 밑에 있으면 없애야 패널을 설치할 수 있습니다. 히빙에도 알맞게 대처해야 하며, 어떤 지반에서나 쓸 수 있는 공법은 아닙니다.</t>
        </is>
      </c>
    </row>
    <row r="41" ht="36" customHeight="1">
      <c r="A41" s="44" t="inlineStr">
        <is>
          <t>나)</t>
        </is>
      </c>
      <c r="B41" s="45" t="inlineStr">
        <is>
          <t>기둥 홈에 자갈이 끼면 패널이 박히거나 뽑히지 않을 수 있으므로 홈에 자갈이 끼지 않게 주의합니다.</t>
        </is>
      </c>
    </row>
    <row r="42" ht="51.5" customHeight="1">
      <c r="A42" s="44" t="inlineStr">
        <is>
          <t>다)</t>
        </is>
      </c>
      <c r="B42" s="45" t="inlineStr">
        <is>
          <t>패널 뒤채움을 하지 않아 노면이 침하하면 패널이 균형을 잃거나 토압이 한쪽으로만 밀려 기둥이 기울 수 있습니다. 이때 16 ~ 18cm 굵기의 목재를 위아래 2본씩 가로로 대면 일시적으로 기우는 것을 막을 수 있습니다.</t>
        </is>
      </c>
    </row>
    <row r="43" ht="20.5" customHeight="1">
      <c r="A43" s="44" t="inlineStr">
        <is>
          <t>라)</t>
        </is>
      </c>
      <c r="B43" s="45" t="inlineStr">
        <is>
          <t>버팀대와 연장 버팀대는 압축하중에 견디게 만든 규격품을 씁니다.</t>
        </is>
      </c>
    </row>
    <row r="44" ht="51.5" customHeight="1">
      <c r="A44" s="44" t="inlineStr">
        <is>
          <t>마)</t>
        </is>
      </c>
      <c r="B44" s="45" t="inlineStr">
        <is>
          <t>패널 · 기둥을 걸어 올리고 기둥을 눌러 박는 일은 백호 본래 용도 밖의 작업이므로 안전사고가 없게 특히 주의하고, 반드시 작업 지휘자를 둡니다(산업안전보건기준에 관한 규칙상 굴착기의 인양 작업 조건을 지킴).</t>
        </is>
      </c>
    </row>
    <row r="45" ht="20.5" customHeight="1">
      <c r="A45" s="44" t="inlineStr">
        <is>
          <t>바)</t>
        </is>
      </c>
      <c r="B45" s="45" t="inlineStr">
        <is>
          <t>작업 고리쇠는 백호 버킷에 용접해 씁니다.</t>
        </is>
      </c>
    </row>
    <row r="46" ht="20.5" customHeight="1">
      <c r="A46" s="44" t="inlineStr">
        <is>
          <t>사)</t>
        </is>
      </c>
      <c r="B46" s="45" t="inlineStr">
        <is>
          <t>용접은 반드시 전기용접으로, 10mm 이상 완전하게 합니다.</t>
        </is>
      </c>
    </row>
    <row r="47" ht="21" customHeight="1">
      <c r="A47" s="43" t="inlineStr">
        <is>
          <t>4. SHEET PILE 공</t>
        </is>
      </c>
    </row>
    <row r="48" ht="20" customHeight="1">
      <c r="A48" s="4" t="inlineStr"/>
      <c r="B48" s="46" t="inlineStr">
        <is>
          <t>1) PILE 의 운반 및 보관</t>
        </is>
      </c>
    </row>
    <row r="49" ht="36" customHeight="1">
      <c r="A49" s="44" t="inlineStr">
        <is>
          <t>(1)</t>
        </is>
      </c>
      <c r="C49" s="45" t="inlineStr">
        <is>
          <t>시트파일의 상 · 하차는 크레인으로 변형이 생기지 않게 다루고, 두 지점을 로프로 묶어 매다는데 묶는 점은 양 끝에서 L/5 되는 곳으로 합니다.</t>
        </is>
      </c>
    </row>
    <row r="50" ht="36" customHeight="1">
      <c r="A50" s="44" t="inlineStr">
        <is>
          <t>(2)</t>
        </is>
      </c>
      <c r="C50" s="45" t="inlineStr">
        <is>
          <t>운반은 트레일러 · 트럭 크레인 등으로 하고, 장비가 들어가기 어려운 곳은 가설도로를 만들며, 파일에 충격을 주지 않게 다룹니다.</t>
        </is>
      </c>
    </row>
    <row r="51" ht="36" customHeight="1">
      <c r="A51" s="44" t="inlineStr">
        <is>
          <t>(3)</t>
        </is>
      </c>
      <c r="C51" s="45" t="inlineStr">
        <is>
          <t>보관은 지지력이 충분하고 평탄한 곳에 하고, 쌓는 높이는 2m 이하 · 한 층 5개 이하로 하여 받침목(10cm 각목, 간격 5m 이내)을 굅니다.</t>
        </is>
      </c>
    </row>
    <row r="52" ht="20" customHeight="1">
      <c r="A52" s="4" t="inlineStr"/>
      <c r="B52" s="46" t="inlineStr">
        <is>
          <t>2) SHEET PILE 시공 방법 — 항타</t>
        </is>
      </c>
    </row>
    <row r="53" ht="20.5" customHeight="1">
      <c r="A53" s="44" t="inlineStr">
        <is>
          <t>①</t>
        </is>
      </c>
      <c r="C53" s="45" t="inlineStr">
        <is>
          <t>가이드 빔(Guide Beam)을 항타 선에 설치</t>
        </is>
      </c>
    </row>
    <row r="54" ht="20.5" customHeight="1">
      <c r="A54" s="44" t="inlineStr">
        <is>
          <t>②</t>
        </is>
      </c>
      <c r="C54" s="45" t="inlineStr">
        <is>
          <t>시트파일 매달기</t>
        </is>
      </c>
    </row>
    <row r="55" ht="20.5" customHeight="1">
      <c r="A55" s="44" t="inlineStr">
        <is>
          <t>③</t>
        </is>
      </c>
      <c r="C55" s="45" t="inlineStr">
        <is>
          <t>시트파일 세우기</t>
        </is>
      </c>
    </row>
    <row r="56" ht="20.5" customHeight="1">
      <c r="A56" s="44" t="inlineStr">
        <is>
          <t>④</t>
        </is>
      </c>
      <c r="C56" s="45" t="inlineStr">
        <is>
          <t>바이브로 해머로 시트파일을 물기(Chucking)</t>
        </is>
      </c>
    </row>
    <row r="57" ht="20.5" customHeight="1">
      <c r="A57" s="44" t="inlineStr">
        <is>
          <t>⑤</t>
        </is>
      </c>
      <c r="C57" s="45" t="inlineStr">
        <is>
          <t>유압 척 닫기(압력 정상 확인)</t>
        </is>
      </c>
    </row>
    <row r="58" ht="20.5" customHeight="1">
      <c r="A58" s="44" t="inlineStr">
        <is>
          <t>⑥</t>
        </is>
      </c>
      <c r="C58" s="45" t="inlineStr">
        <is>
          <t>바이브로 해머 시동 · 항타 시작</t>
        </is>
      </c>
    </row>
    <row r="59" ht="20.5" customHeight="1">
      <c r="A59" s="44" t="inlineStr">
        <is>
          <t>⑦</t>
        </is>
      </c>
      <c r="C59" s="45" t="inlineStr">
        <is>
          <t>바이브로 해머 정지</t>
        </is>
      </c>
    </row>
    <row r="60" ht="20.5" customHeight="1">
      <c r="A60" s="44" t="inlineStr">
        <is>
          <t>⑧</t>
        </is>
      </c>
      <c r="C60" s="45" t="inlineStr">
        <is>
          <t>척 열기 — ①~⑧ 을 되풀이해 항타</t>
        </is>
      </c>
    </row>
    <row r="61" ht="20.5" customHeight="1">
      <c r="A61" s="44" t="inlineStr">
        <is>
          <t>·</t>
        </is>
      </c>
      <c r="C61" s="45" t="inlineStr">
        <is>
          <t>시트파일이 돌지 않게 가이드 빔에 쐐기를 설치합니다.</t>
        </is>
      </c>
    </row>
    <row r="62" ht="20.5" customHeight="1">
      <c r="A62" s="44" t="inlineStr">
        <is>
          <t>·</t>
        </is>
      </c>
      <c r="C62" s="45" t="inlineStr">
        <is>
          <t>진행 방향으로 기울지 않게 체인블록 등으로 잡으면서 항타합니다.</t>
        </is>
      </c>
    </row>
    <row r="63" ht="20.5" customHeight="1">
      <c r="A63" s="44" t="inlineStr">
        <is>
          <t>·</t>
        </is>
      </c>
      <c r="C63" s="45" t="inlineStr">
        <is>
          <t>시공 절차도 · 장비 배치는 설계도면(가시설 도면)을 따릅니다.</t>
        </is>
      </c>
    </row>
    <row r="64" ht="20" customHeight="1">
      <c r="A64" s="4" t="inlineStr"/>
      <c r="B64" s="46" t="inlineStr">
        <is>
          <t>3) 장비 조합 및 작업 인원 (항타)</t>
        </is>
      </c>
    </row>
    <row r="65" ht="36" customHeight="1">
      <c r="A65" s="44" t="inlineStr">
        <is>
          <t>·</t>
        </is>
      </c>
      <c r="C65" s="45" t="inlineStr">
        <is>
          <t>장비: 크롤러 크레인 · 바이브로 해머 · 발전기 · 수중 펌프 — 규격 · 대수는 «7. 장비 투입계획» 에 적습니다.</t>
        </is>
      </c>
    </row>
    <row r="66" ht="20.5" customHeight="1">
      <c r="A66" s="44" t="inlineStr">
        <is>
          <t>·</t>
        </is>
      </c>
      <c r="C66" s="45" t="inlineStr">
        <is>
          <t>인원: 작업반장 · 비계공 등 — 인원은 «7. 인력 투입계획» 에 적습니다.</t>
        </is>
      </c>
    </row>
    <row r="67" ht="20" customHeight="1">
      <c r="A67" s="4" t="inlineStr"/>
      <c r="B67" s="46" t="inlineStr">
        <is>
          <t>4) 지보공 (띠장 및 버팀보)</t>
        </is>
      </c>
    </row>
    <row r="68" ht="36" customHeight="1">
      <c r="A68" s="44" t="inlineStr">
        <is>
          <t>(1)</t>
        </is>
      </c>
      <c r="C68" s="45" t="inlineStr">
        <is>
          <t>지보공은 설계도에 따라 시공하고, 굴착이 설치 위치까지 오면 곧바로 설치하며 그 아래 굴착은 설치를 마친 뒤 합니다.</t>
        </is>
      </c>
    </row>
    <row r="69" ht="20.5" customHeight="1">
      <c r="A69" s="44" t="inlineStr">
        <is>
          <t>(2)</t>
        </is>
      </c>
      <c r="C69" s="45" t="inlineStr">
        <is>
          <t>설치 위치 · 시기 · 방법을 현장 상황에 맞게 종합적으로 검토하며 시공합니다.</t>
        </is>
      </c>
    </row>
    <row r="70" ht="20.5" customHeight="1">
      <c r="A70" s="44" t="inlineStr">
        <is>
          <t>(3)</t>
        </is>
      </c>
      <c r="C70" s="45" t="inlineStr">
        <is>
          <t>구조물 타설 계획과 재료 · 장비 투입 공간을 확보한 뒤 시공합니다.</t>
        </is>
      </c>
    </row>
    <row r="71" ht="36" customHeight="1">
      <c r="A71" s="44" t="inlineStr">
        <is>
          <t>(4)</t>
        </is>
      </c>
      <c r="C71" s="45" t="inlineStr">
        <is>
          <t>띠장은 벽체의 하중을 고르게 받아 버팀보에 고르게 전달하도록 현장 상황에 맞춰 시공하고, 버팀보로 지지되는 경우 전 구간을 연속재로 잇습니다.</t>
        </is>
      </c>
    </row>
    <row r="72" ht="36" customHeight="1">
      <c r="A72" s="44" t="inlineStr">
        <is>
          <t>(5)</t>
        </is>
      </c>
      <c r="C72" s="45" t="inlineStr">
        <is>
          <t>버팀보는 띠장의 하중을 고르게 지지하고 띠장과 직각을 유지하게 설치하며, 유압 잭 등으로 선행하중을 충분히 준 뒤 스크루 잭을 단단히 조입니다.</t>
        </is>
      </c>
    </row>
    <row r="73" ht="36" customHeight="1">
      <c r="A73" s="44" t="inlineStr">
        <is>
          <t>(6)</t>
        </is>
      </c>
      <c r="C73" s="45" t="inlineStr">
        <is>
          <t>사방향 버팀보를 가설할 때는 이미 설치된 연결 버팀보에 무리한 하중이 걸리지 않게 하고, 버팀보는 굴착 진행에 따라 곧바로 설치합니다.</t>
        </is>
      </c>
    </row>
    <row r="74" ht="36" customHeight="1">
      <c r="A74" s="44" t="inlineStr">
        <is>
          <t>(7)</t>
        </is>
      </c>
      <c r="C74" s="45" t="inlineStr">
        <is>
          <t>장비: 굴삭기 · 용접기 / 인원: 작업반장 · 용접공 — 수량은 «7. 장비 · 인력 투입계획» 에 적습니다.</t>
        </is>
      </c>
    </row>
  </sheetData>
  <mergeCells count="108">
    <mergeCell ref="C71:L71"/>
    <mergeCell ref="A15:B15"/>
    <mergeCell ref="A73:B73"/>
    <mergeCell ref="A51:B51"/>
    <mergeCell ref="A70:B70"/>
    <mergeCell ref="C57:L57"/>
    <mergeCell ref="A54:B54"/>
    <mergeCell ref="C18:L18"/>
    <mergeCell ref="C49:L49"/>
    <mergeCell ref="A37:E37"/>
    <mergeCell ref="A74:B74"/>
    <mergeCell ref="C60:L60"/>
    <mergeCell ref="B14:L14"/>
    <mergeCell ref="A56:B56"/>
    <mergeCell ref="A21:E21"/>
    <mergeCell ref="C74:L74"/>
    <mergeCell ref="A23:E23"/>
    <mergeCell ref="A17:B17"/>
    <mergeCell ref="B40:L40"/>
    <mergeCell ref="A53:B53"/>
    <mergeCell ref="F33:L33"/>
    <mergeCell ref="A62:B62"/>
    <mergeCell ref="B64:L64"/>
    <mergeCell ref="A19:B19"/>
    <mergeCell ref="A68:B68"/>
    <mergeCell ref="C59:L59"/>
    <mergeCell ref="C12:L12"/>
    <mergeCell ref="A9:B9"/>
    <mergeCell ref="B41:L41"/>
    <mergeCell ref="F31:L31"/>
    <mergeCell ref="C61:L61"/>
    <mergeCell ref="A59:B59"/>
    <mergeCell ref="C70:L70"/>
    <mergeCell ref="A3:L3"/>
    <mergeCell ref="A61:B61"/>
    <mergeCell ref="C13:L13"/>
    <mergeCell ref="B11:L11"/>
    <mergeCell ref="C15:L15"/>
    <mergeCell ref="B67:L67"/>
    <mergeCell ref="A4:L4"/>
    <mergeCell ref="C73:L73"/>
    <mergeCell ref="A71:B71"/>
    <mergeCell ref="F21:L21"/>
    <mergeCell ref="C63:L63"/>
    <mergeCell ref="C10:L10"/>
    <mergeCell ref="A8:B8"/>
    <mergeCell ref="C16:L16"/>
    <mergeCell ref="C50:L50"/>
    <mergeCell ref="A29:E29"/>
    <mergeCell ref="C55:L55"/>
    <mergeCell ref="C9:L9"/>
    <mergeCell ref="A63:B63"/>
    <mergeCell ref="A10:B10"/>
    <mergeCell ref="A31:E31"/>
    <mergeCell ref="B7:L7"/>
    <mergeCell ref="A49:B49"/>
    <mergeCell ref="C72:L72"/>
    <mergeCell ref="A69:B69"/>
    <mergeCell ref="B43:L43"/>
    <mergeCell ref="B52:L52"/>
    <mergeCell ref="A65:B65"/>
    <mergeCell ref="C69:L69"/>
    <mergeCell ref="A25:E25"/>
    <mergeCell ref="A47:L47"/>
    <mergeCell ref="F29:L29"/>
    <mergeCell ref="B42:L42"/>
    <mergeCell ref="C6:L6"/>
    <mergeCell ref="C62:L62"/>
    <mergeCell ref="A55:B55"/>
    <mergeCell ref="A12:B12"/>
    <mergeCell ref="A20:L20"/>
    <mergeCell ref="B44:L44"/>
    <mergeCell ref="A57:B57"/>
    <mergeCell ref="C54:L54"/>
    <mergeCell ref="A1:F1"/>
    <mergeCell ref="F35:L35"/>
    <mergeCell ref="C56:L56"/>
    <mergeCell ref="B5:L5"/>
    <mergeCell ref="C8:L8"/>
    <mergeCell ref="F27:L27"/>
    <mergeCell ref="A60:B60"/>
    <mergeCell ref="C17:L17"/>
    <mergeCell ref="F37:L37"/>
    <mergeCell ref="B46:L46"/>
    <mergeCell ref="A6:B6"/>
    <mergeCell ref="C66:L66"/>
    <mergeCell ref="C19:L19"/>
    <mergeCell ref="A16:B16"/>
    <mergeCell ref="C53:L53"/>
    <mergeCell ref="B48:L48"/>
    <mergeCell ref="C68:L68"/>
    <mergeCell ref="A66:B66"/>
    <mergeCell ref="A18:B18"/>
    <mergeCell ref="C58:L58"/>
    <mergeCell ref="F25:L25"/>
    <mergeCell ref="A27:E27"/>
    <mergeCell ref="A50:B50"/>
    <mergeCell ref="G1:L1"/>
    <mergeCell ref="A33:E33"/>
    <mergeCell ref="C65:L65"/>
    <mergeCell ref="A39:L39"/>
    <mergeCell ref="A35:E35"/>
    <mergeCell ref="A72:B72"/>
    <mergeCell ref="A13:B13"/>
    <mergeCell ref="C51:L51"/>
    <mergeCell ref="B45:L45"/>
    <mergeCell ref="A58:B58"/>
    <mergeCell ref="F23:L23"/>
  </mergeCells>
  <printOptions horizontalCentered="1"/>
  <pageMargins left="0.45" right="0.45" top="0.5" bottom="0.5" header="0.2" footer="0.2"/>
  <pageSetup orientation="portrait" paperSize="9" fitToHeight="0" fitToWidth="1"/>
  <rowBreaks count="3" manualBreakCount="3">
    <brk id="24" min="0" max="16383" man="1"/>
    <brk id="36" min="0" max="16383" man="1"/>
    <brk id="61" min="0" max="16383" man="1"/>
  </rowBreaks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제5장  콘크리트 공사</t>
        </is>
      </c>
    </row>
    <row r="4" ht="21" customHeight="1">
      <c r="A4" s="43" t="inlineStr">
        <is>
          <t>1. 콘크리트 배합 · 계량 및 비비기</t>
        </is>
      </c>
    </row>
    <row r="5" ht="37" customHeight="1">
      <c r="A5" s="48" t="inlineStr">
        <is>
          <t>포틀랜드 시멘트 콘크리트의 재료 · 혼화재료 · 장비 · 배합 · 계량 · 비비기에 적용하며, 여기에 없는 내용은 콘크리트 표준시방서(KCS 14 20)에 따릅니다.</t>
        </is>
      </c>
    </row>
    <row r="6" ht="20" customHeight="1">
      <c r="A6" s="4" t="inlineStr"/>
      <c r="B6" s="46" t="inlineStr">
        <is>
          <t>1) 슬럼프의 허용차 (KS F 4009)</t>
        </is>
      </c>
    </row>
    <row r="7" ht="24" customHeight="1">
      <c r="A7" s="21" t="inlineStr">
        <is>
          <t>슬럼프 (mm)</t>
        </is>
      </c>
      <c r="B7" s="6" t="n"/>
      <c r="C7" s="6" t="n"/>
      <c r="D7" s="6" t="n"/>
      <c r="E7" s="6" t="n"/>
      <c r="F7" s="6" t="n"/>
      <c r="G7" s="21" t="inlineStr">
        <is>
          <t>허용차 (mm)</t>
        </is>
      </c>
      <c r="H7" s="6" t="n"/>
      <c r="I7" s="6" t="n"/>
      <c r="J7" s="6" t="n"/>
      <c r="K7" s="6" t="n"/>
      <c r="L7" s="6" t="n"/>
    </row>
    <row r="8" ht="20.25" customHeight="1">
      <c r="A8" s="49" t="inlineStr">
        <is>
          <t>25</t>
        </is>
      </c>
      <c r="B8" s="6" t="n"/>
      <c r="C8" s="6" t="n"/>
      <c r="D8" s="6" t="n"/>
      <c r="E8" s="6" t="n"/>
      <c r="F8" s="6" t="n"/>
      <c r="G8" s="49" t="inlineStr">
        <is>
          <t>± 10</t>
        </is>
      </c>
      <c r="H8" s="6" t="n"/>
      <c r="I8" s="6" t="n"/>
      <c r="J8" s="6" t="n"/>
      <c r="K8" s="6" t="n"/>
      <c r="L8" s="6" t="n"/>
    </row>
    <row r="9" ht="20.25" customHeight="1">
      <c r="A9" s="49" t="inlineStr">
        <is>
          <t>50 및 65</t>
        </is>
      </c>
      <c r="B9" s="6" t="n"/>
      <c r="C9" s="6" t="n"/>
      <c r="D9" s="6" t="n"/>
      <c r="E9" s="6" t="n"/>
      <c r="F9" s="6" t="n"/>
      <c r="G9" s="49" t="inlineStr">
        <is>
          <t>± 15</t>
        </is>
      </c>
      <c r="H9" s="6" t="n"/>
      <c r="I9" s="6" t="n"/>
      <c r="J9" s="6" t="n"/>
      <c r="K9" s="6" t="n"/>
      <c r="L9" s="6" t="n"/>
    </row>
    <row r="10" ht="20.25" customHeight="1">
      <c r="A10" s="49" t="inlineStr">
        <is>
          <t>80 이상 180 이하</t>
        </is>
      </c>
      <c r="B10" s="6" t="n"/>
      <c r="C10" s="6" t="n"/>
      <c r="D10" s="6" t="n"/>
      <c r="E10" s="6" t="n"/>
      <c r="F10" s="6" t="n"/>
      <c r="G10" s="49" t="inlineStr">
        <is>
          <t>± 25</t>
        </is>
      </c>
      <c r="H10" s="6" t="n"/>
      <c r="I10" s="6" t="n"/>
      <c r="J10" s="6" t="n"/>
      <c r="K10" s="6" t="n"/>
      <c r="L10" s="6" t="n"/>
    </row>
    <row r="11" ht="20.25" customHeight="1">
      <c r="A11" s="49" t="inlineStr">
        <is>
          <t>210</t>
        </is>
      </c>
      <c r="B11" s="6" t="n"/>
      <c r="C11" s="6" t="n"/>
      <c r="D11" s="6" t="n"/>
      <c r="E11" s="6" t="n"/>
      <c r="F11" s="6" t="n"/>
      <c r="G11" s="49" t="inlineStr">
        <is>
          <t>± 30</t>
        </is>
      </c>
      <c r="H11" s="6" t="n"/>
      <c r="I11" s="6" t="n"/>
      <c r="J11" s="6" t="n"/>
      <c r="K11" s="6" t="n"/>
      <c r="L11" s="6" t="n"/>
    </row>
    <row r="12" ht="20" customHeight="1">
      <c r="A12" s="4" t="inlineStr"/>
      <c r="B12" s="46" t="inlineStr">
        <is>
          <t>2) 공기량의 허용차 (KS F 4009)</t>
        </is>
      </c>
    </row>
    <row r="13" ht="24" customHeight="1">
      <c r="A13" s="21" t="inlineStr">
        <is>
          <t>콘크리트의 종류</t>
        </is>
      </c>
      <c r="B13" s="6" t="n"/>
      <c r="C13" s="6" t="n"/>
      <c r="D13" s="6" t="n"/>
      <c r="E13" s="21" t="inlineStr">
        <is>
          <t>공기량 (%)</t>
        </is>
      </c>
      <c r="F13" s="6" t="n"/>
      <c r="G13" s="6" t="n"/>
      <c r="H13" s="6" t="n"/>
      <c r="I13" s="21" t="inlineStr">
        <is>
          <t>허용차 (%)</t>
        </is>
      </c>
      <c r="J13" s="6" t="n"/>
      <c r="K13" s="6" t="n"/>
      <c r="L13" s="6" t="n"/>
    </row>
    <row r="14" ht="20.25" customHeight="1">
      <c r="A14" s="49" t="inlineStr">
        <is>
          <t>보통 콘크리트</t>
        </is>
      </c>
      <c r="B14" s="6" t="n"/>
      <c r="C14" s="6" t="n"/>
      <c r="D14" s="6" t="n"/>
      <c r="E14" s="49" t="inlineStr">
        <is>
          <t>4.5</t>
        </is>
      </c>
      <c r="F14" s="6" t="n"/>
      <c r="G14" s="6" t="n"/>
      <c r="H14" s="6" t="n"/>
      <c r="I14" s="49" t="inlineStr">
        <is>
          <t>± 1.5</t>
        </is>
      </c>
      <c r="J14" s="6" t="n"/>
      <c r="K14" s="6" t="n"/>
      <c r="L14" s="6" t="n"/>
    </row>
    <row r="15" ht="20.25" customHeight="1">
      <c r="A15" s="49" t="inlineStr">
        <is>
          <t>경량 콘크리트</t>
        </is>
      </c>
      <c r="B15" s="6" t="n"/>
      <c r="C15" s="6" t="n"/>
      <c r="D15" s="6" t="n"/>
      <c r="E15" s="49" t="inlineStr">
        <is>
          <t>5.5</t>
        </is>
      </c>
      <c r="F15" s="6" t="n"/>
      <c r="G15" s="6" t="n"/>
      <c r="H15" s="6" t="n"/>
      <c r="I15" s="49" t="inlineStr">
        <is>
          <t>± 1.5</t>
        </is>
      </c>
      <c r="J15" s="6" t="n"/>
      <c r="K15" s="6" t="n"/>
      <c r="L15" s="6" t="n"/>
    </row>
    <row r="16" ht="36" customHeight="1">
      <c r="A16" s="44" t="inlineStr">
        <is>
          <t>3)</t>
        </is>
      </c>
      <c r="B16" s="45" t="inlineStr">
        <is>
          <t>콘크리트 속 염화물 이온량은 0.3kg/㎥ 이하로 합니다. 공사감독관의 승인을 받으면 0.6kg/㎥ 이하로 할 수 있습니다.</t>
        </is>
      </c>
    </row>
    <row r="17" ht="21" customHeight="1">
      <c r="A17" s="43" t="inlineStr">
        <is>
          <t>2. 콘크리트 운반 · 타설 및 양생</t>
        </is>
      </c>
    </row>
    <row r="18" ht="20" customHeight="1">
      <c r="A18" s="4" t="inlineStr"/>
      <c r="B18" s="46" t="inlineStr">
        <is>
          <t>2.1 시공 조건 확인</t>
        </is>
      </c>
    </row>
    <row r="19" ht="36" customHeight="1">
      <c r="A19" s="44" t="inlineStr">
        <is>
          <t>(1)</t>
        </is>
      </c>
      <c r="C19" s="45" t="inlineStr">
        <is>
          <t>타설 전에 거푸집 · 받침면 · 철근 · 매설물을 검사하고 공사감독관의 승인을 받습니다.</t>
        </is>
      </c>
    </row>
    <row r="20" ht="36" customHeight="1">
      <c r="A20" s="44" t="inlineStr">
        <is>
          <t>(2)</t>
        </is>
      </c>
      <c r="C20" s="45" t="inlineStr">
        <is>
          <t>작업 시작 최소 7일 전에 운반 · 타설 계획을 세워 공사감독관에게 작업 승인을 요청합니다.</t>
        </is>
      </c>
    </row>
    <row r="21" ht="51.5" customHeight="1">
      <c r="A21" s="44" t="inlineStr">
        <is>
          <t>(3)</t>
        </is>
      </c>
      <c r="C21" s="45" t="inlineStr">
        <is>
          <t>레미콘 공장과 ① 반입이 예정 시간보다 늦어질 때 ② 날씨 등으로 반입 일시를 바꿀 때 ③ 현장 사정으로 하역이 크게 늦어질 때의 조치를 미리 협의해 시공 전에 공사감독관에게 냅니다.</t>
        </is>
      </c>
    </row>
    <row r="22" ht="36" customHeight="1">
      <c r="A22" s="44" t="inlineStr">
        <is>
          <t>(4)</t>
        </is>
      </c>
      <c r="C22" s="45" t="inlineStr">
        <is>
          <t>타설 전에 철근 · 거푸집 · 타설 순서 등이 시공도와 철근 가공 조립도대로인지 확인합니다.</t>
        </is>
      </c>
    </row>
    <row r="23" ht="20" customHeight="1">
      <c r="A23" s="4" t="inlineStr"/>
      <c r="B23" s="46" t="inlineStr">
        <is>
          <t>2.2 시공 준비</t>
        </is>
      </c>
    </row>
    <row r="24" ht="36" customHeight="1">
      <c r="A24" s="44" t="inlineStr">
        <is>
          <t>(1)</t>
        </is>
      </c>
      <c r="C24" s="45" t="inlineStr">
        <is>
          <t>타설 24시간 안에 반입 · 타설 일정을 알리고, 타설 전날 공사감독관에게 통보합니다.</t>
        </is>
      </c>
    </row>
    <row r="25" ht="20.5" customHeight="1">
      <c r="A25" s="44" t="inlineStr">
        <is>
          <t>(2)</t>
        </is>
      </c>
      <c r="C25" s="45" t="inlineStr">
        <is>
          <t>되도록 정상 작업 시간에 칩니다.</t>
        </is>
      </c>
    </row>
    <row r="26" ht="36" customHeight="1">
      <c r="A26" s="44" t="inlineStr">
        <is>
          <t>(3)</t>
        </is>
      </c>
      <c r="C26" s="45" t="inlineStr">
        <is>
          <t>타설 전에 운반 장치 · 타설 설비 · 거푸집 안을 청소해 잡물이 섞이지 않게 합니다.</t>
        </is>
      </c>
    </row>
    <row r="27" ht="20" customHeight="1">
      <c r="A27" s="4" t="inlineStr"/>
      <c r="B27" s="46" t="inlineStr">
        <is>
          <t>2.3 운반 및 타설</t>
        </is>
      </c>
    </row>
    <row r="28" ht="36" customHeight="1">
      <c r="A28" s="44" t="inlineStr">
        <is>
          <t>(1)</t>
        </is>
      </c>
      <c r="C28" s="45" t="inlineStr">
        <is>
          <t>콘크리트는 레미콘 공장에서 «1. 배합 · 계량 · 비비기» 요건대로 비벼 트럭믹서로 운반하고, 물-시멘트비 · 슬럼프 · 공기량 · 균일성이 나빠지지 않게 합니다.</t>
        </is>
      </c>
    </row>
    <row r="29" ht="20.5" customHeight="1">
      <c r="A29" s="44" t="inlineStr">
        <is>
          <t>(2)</t>
        </is>
      </c>
      <c r="C29" s="45" t="inlineStr">
        <is>
          <t>현장에서 소운반해 칠 때는 재료가 분리되지 않게 합니다.</t>
        </is>
      </c>
    </row>
    <row r="30" ht="36" customHeight="1">
      <c r="A30" s="44" t="inlineStr">
        <is>
          <t>(3)</t>
        </is>
      </c>
      <c r="C30" s="45" t="inlineStr">
        <is>
          <t>타설 장비는 콜드 조인트 없이, 재료 분리 · 손실 없이 칠 수 있는 충분한 용량으로 하고, 한번 시작하면 부재가 완성될 때까지 연속으로 칩니다.</t>
        </is>
      </c>
    </row>
    <row r="31" ht="36" customHeight="1">
      <c r="A31" s="44" t="inlineStr">
        <is>
          <t>(4)</t>
        </is>
      </c>
      <c r="C31" s="45" t="inlineStr">
        <is>
          <t>한 층 다짐 높이는 내부 진동기 성능을 고려해 50cm 이하가 좋고, 쳐 올라가는 속도는 보통 30분에 1.5m 이하로 합니다.</t>
        </is>
      </c>
    </row>
    <row r="32" ht="36" customHeight="1">
      <c r="A32" s="44" t="inlineStr">
        <is>
          <t>(5)</t>
        </is>
      </c>
      <c r="C32" s="45" t="inlineStr">
        <is>
          <t>배출구에서 타설 면까지 1.5m 이상 떨어뜨리지 않고, 표면이 수평이 되게 부립니다.</t>
        </is>
      </c>
    </row>
    <row r="33" ht="20.5" customHeight="1">
      <c r="A33" s="44" t="inlineStr">
        <is>
          <t>(6)</t>
        </is>
      </c>
      <c r="C33" s="45" t="inlineStr">
        <is>
          <t>블리딩 물이 있으면 없앤 뒤 칩니다.</t>
        </is>
      </c>
    </row>
    <row r="34" ht="36" customHeight="1">
      <c r="A34" s="44" t="inlineStr">
        <is>
          <t>(7)</t>
        </is>
      </c>
      <c r="C34" s="45" t="inlineStr">
        <is>
          <t>슬래브 · 보가 벽 · 기둥과 이어지면 침하 균열을 막으려고 벽 · 기둥 콘크리트의 침하를 1 ~ 2시간 기다린 뒤 슬래브 · 보를 칩니다.</t>
        </is>
      </c>
    </row>
    <row r="35" ht="36" customHeight="1">
      <c r="A35" s="44" t="inlineStr">
        <is>
          <t>(8)</t>
        </is>
      </c>
      <c r="C35" s="45" t="inlineStr">
        <is>
          <t>두 층 이상으로 나눠 칠 때는 아래층이 굳기 시작하기 전에 윗층을 쳐 한 몸이 되게 합니다.</t>
        </is>
      </c>
    </row>
    <row r="36" ht="36" customHeight="1">
      <c r="A36" s="44" t="inlineStr">
        <is>
          <t>(9)</t>
        </is>
      </c>
      <c r="C36" s="45" t="inlineStr">
        <is>
          <t>부재 두께가 50cm 이상이면 타설 속도를 줄여 침하 균열을 막고, 균열이 생기면 곧바로 치핑해 없앱니다.</t>
        </is>
      </c>
    </row>
    <row r="37" ht="36" customHeight="1">
      <c r="A37" s="44" t="inlineStr">
        <is>
          <t>(10)</t>
        </is>
      </c>
      <c r="C37" s="45" t="inlineStr">
        <is>
          <t>비비기부터 타설 끝까지는 외기온도 25℃ 이상일 때 1.5시간, 25℃ 미만일 때 2시간을 넘지 않게 합니다.</t>
        </is>
      </c>
    </row>
    <row r="38" ht="36" customHeight="1">
      <c r="A38" s="44" t="inlineStr">
        <is>
          <t>(11)</t>
        </is>
      </c>
      <c r="C38" s="45" t="inlineStr">
        <is>
          <t>일평균 기온이 25℃ 를 넘거나 4℃ 이하로 예상되면 서중 · 한중 콘크리트(아래 5 · 6)와 표준시방서 해당 요건에 따릅니다.</t>
        </is>
      </c>
    </row>
    <row r="39" ht="36" customHeight="1">
      <c r="A39" s="44" t="inlineStr">
        <is>
          <t>(12)</t>
        </is>
      </c>
      <c r="C39" s="45" t="inlineStr">
        <is>
          <t>수중 타설은 도면에 있거나 공사감독관이 서면으로 승인할 때만 입회 아래 하고, 시멘트가 씻겨 나가지 않는 방법으로 합니다.</t>
        </is>
      </c>
    </row>
    <row r="40" ht="20" customHeight="1">
      <c r="A40" s="4" t="inlineStr"/>
      <c r="B40" s="46" t="inlineStr">
        <is>
          <t>2.4 다지기</t>
        </is>
      </c>
    </row>
    <row r="41" ht="36" customHeight="1">
      <c r="A41" s="44" t="inlineStr">
        <is>
          <t>(1)</t>
        </is>
      </c>
      <c r="C41" s="45" t="inlineStr">
        <is>
          <t>타설 중 기계 진동으로 충분히 다지고, 숙련된 작업원이 정비된 진동기로 체계적으로 합니다.</t>
        </is>
      </c>
    </row>
    <row r="42" ht="20.5" customHeight="1">
      <c r="A42" s="44" t="inlineStr">
        <is>
          <t>(2)</t>
        </is>
      </c>
      <c r="C42" s="45" t="inlineStr">
        <is>
          <t>너무 오래 다져 재료가 분리되지 않게 합니다.</t>
        </is>
      </c>
    </row>
    <row r="43" ht="20.5" customHeight="1">
      <c r="A43" s="44" t="inlineStr">
        <is>
          <t>(3)</t>
        </is>
      </c>
      <c r="C43" s="45" t="inlineStr">
        <is>
          <t>진동기는 아래층 콘크리트 속으로 10cm 정도 찔러 넣습니다.</t>
        </is>
      </c>
    </row>
    <row r="44" ht="36" customHeight="1">
      <c r="A44" s="44" t="inlineStr">
        <is>
          <t>(4)</t>
        </is>
      </c>
      <c r="C44" s="45" t="inlineStr">
        <is>
          <t>내부 진동기 1대의 다짐량은 소형 1시간 4 ~ 8㎥, 2명이 다루는 대형 1시간 약 30㎥ 정도이며, 예비 진동기를 갖춰 교대로 씁니다.</t>
        </is>
      </c>
    </row>
    <row r="45" ht="20" customHeight="1">
      <c r="A45" s="4" t="inlineStr"/>
      <c r="B45" s="46" t="inlineStr">
        <is>
          <t>2.5 양생 및 보호</t>
        </is>
      </c>
    </row>
    <row r="46" ht="36" customHeight="1">
      <c r="A46" s="44" t="inlineStr">
        <is>
          <t>(1)</t>
        </is>
      </c>
      <c r="C46" s="45" t="inlineStr">
        <is>
          <t>친 뒤 경화에 필요한 온도 · 습도를 유지하고 해로운 작용을 받지 않게 습윤 양생하며, 강도가 날 때까지 충격 · 하중을 주지 않습니다.</t>
        </is>
      </c>
    </row>
    <row r="47" ht="36" customHeight="1">
      <c r="A47" s="44" t="inlineStr">
        <is>
          <t>(2)</t>
        </is>
      </c>
      <c r="C47" s="45" t="inlineStr">
        <is>
          <t>굳기 시작할 때까지 직사광선 · 바람으로 물이 증발하지 않게 막고, 표면을 해치지 않을 만큼 굳으면 젖은 양생포 등으로 덮거나 물을 뿌려 습윤 상태로 둡니다.</t>
        </is>
      </c>
    </row>
    <row r="48" ht="51.5" customHeight="1">
      <c r="A48" s="44" t="inlineStr">
        <is>
          <t>(3)</t>
        </is>
      </c>
      <c r="C48" s="45" t="inlineStr">
        <is>
          <t>습윤 양생 기간은 공사감독관의 승인을 받되, 일평균 기온 15℃ 이상에서 보통 포틀랜드 시멘트 5일 이상 · 조강 포틀랜드 시멘트 3일 이상을 표준으로 합니다(기온이 낮으면 KCS 14 20 10 에 따라 늘림).</t>
        </is>
      </c>
    </row>
    <row r="49" ht="20.5" customHeight="1">
      <c r="A49" s="44" t="inlineStr">
        <is>
          <t>(4)</t>
        </is>
      </c>
      <c r="C49" s="45" t="inlineStr">
        <is>
          <t>거푸집이 마를 염려가 있으면 물을 뿌립니다.</t>
        </is>
      </c>
    </row>
    <row r="50" ht="20.5" customHeight="1">
      <c r="A50" s="44" t="inlineStr">
        <is>
          <t>(5)</t>
        </is>
      </c>
      <c r="C50" s="45" t="inlineStr">
        <is>
          <t>양생 중에는 무거운 장비 이동 · 충격 · 과도한 진동을 받지 않게 보호합니다.</t>
        </is>
      </c>
    </row>
    <row r="51" ht="21" customHeight="1">
      <c r="A51" s="43" t="inlineStr">
        <is>
          <t>3. 모르타르 및 그라우트</t>
        </is>
      </c>
    </row>
    <row r="52" ht="20" customHeight="1">
      <c r="A52" s="4" t="inlineStr"/>
      <c r="B52" s="46" t="inlineStr">
        <is>
          <t>3.1 모르타르</t>
        </is>
      </c>
    </row>
    <row r="53" ht="36" customHeight="1">
      <c r="A53" s="44" t="inlineStr">
        <is>
          <t>(1)</t>
        </is>
      </c>
      <c r="C53" s="45" t="inlineStr">
        <is>
          <t>레디믹스트 모르타르는 KS L 5220(건조 시멘트 모르타르)의 해당 요건에 따릅니다.</t>
        </is>
      </c>
    </row>
    <row r="54" ht="36" customHeight="1">
      <c r="A54" s="44" t="inlineStr">
        <is>
          <t>(2)</t>
        </is>
      </c>
      <c r="C54" s="45" t="inlineStr">
        <is>
          <t>현장 비빔 모르타르는 시멘트와 승인된 깨끗한 모래를 정해진 비율로 섞고 물을 넣어 만듭니다.</t>
        </is>
      </c>
    </row>
    <row r="55" ht="20.5" customHeight="1">
      <c r="A55" s="44" t="inlineStr">
        <is>
          <t>(3)</t>
        </is>
      </c>
      <c r="C55" s="45" t="inlineStr">
        <is>
          <t>바로 쓸 양만 충분히 섞고, 응결이 시작된 것은 다시 비벼 쓰지 않습니다.</t>
        </is>
      </c>
    </row>
    <row r="56" ht="20.5" customHeight="1">
      <c r="A56" s="44" t="inlineStr">
        <is>
          <t>(4)</t>
        </is>
      </c>
      <c r="C56" s="45" t="inlineStr">
        <is>
          <t>비비기 전에 모래를 고르게 적셔 둡니다.</t>
        </is>
      </c>
    </row>
    <row r="57" ht="20.5" customHeight="1">
      <c r="A57" s="44" t="inlineStr">
        <is>
          <t>(5)</t>
        </is>
      </c>
      <c r="C57" s="45" t="inlineStr">
        <is>
          <t>색상 · 혼화재료는 제조사 지시대로 넣고 고르게 비빕니다.</t>
        </is>
      </c>
    </row>
    <row r="58" ht="20" customHeight="1">
      <c r="A58" s="4" t="inlineStr"/>
      <c r="B58" s="46" t="inlineStr">
        <is>
          <t>3.2 그라우트</t>
        </is>
      </c>
    </row>
    <row r="59" ht="36" customHeight="1">
      <c r="A59" s="44" t="inlineStr">
        <is>
          <t>(1)</t>
        </is>
      </c>
      <c r="C59" s="45" t="inlineStr">
        <is>
          <t>그라우트는 28일 압축강도 19.6MPa(200kgf/㎠) · 슬럼프 20 ~ 25cm 가 되게 배합합니다.</t>
        </is>
      </c>
    </row>
    <row r="60" ht="20.5" customHeight="1">
      <c r="A60" s="44" t="inlineStr">
        <is>
          <t>(2)</t>
        </is>
      </c>
      <c r="C60" s="45" t="inlineStr">
        <is>
          <t>물-시멘트비는 40 ~ 50% 범위로 합니다.</t>
        </is>
      </c>
    </row>
    <row r="61" ht="36" customHeight="1">
      <c r="A61" s="44" t="inlineStr">
        <is>
          <t>(3)</t>
        </is>
      </c>
      <c r="C61" s="45" t="inlineStr">
        <is>
          <t>그라우트 모르타르는 시멘트 : 모래 = 1 : 3(부피비)으로 섞고, 바로 쓸 양만 비비며 응결이 시작된 것은 다시 비벼 쓰지 않습니다.</t>
        </is>
      </c>
    </row>
    <row r="62" ht="20.5" customHeight="1">
      <c r="A62" s="44" t="inlineStr">
        <is>
          <t>(4)</t>
        </is>
      </c>
      <c r="C62" s="45" t="inlineStr">
        <is>
          <t>혼화재료는 제조사 지침대로 넣고 고르게 비빕니다.</t>
        </is>
      </c>
    </row>
    <row r="63" ht="21" customHeight="1">
      <c r="A63" s="43" t="inlineStr">
        <is>
          <t>4. 레디믹스트 콘크리트</t>
        </is>
      </c>
    </row>
    <row r="64" ht="36" customHeight="1">
      <c r="A64" s="44" t="inlineStr">
        <is>
          <t>1)</t>
        </is>
      </c>
      <c r="B64" s="45" t="inlineStr">
        <is>
          <t>레미콘 공장은 ① 이 시방 규정을 모두 충족하고 ② KS 표시 인증 공장이며 ③ 배합 · 생산 경력이 풍부한 기술자가 상주하는 곳으로, 공사감독관의 승인을 받습니다.</t>
        </is>
      </c>
    </row>
    <row r="65" ht="36" customHeight="1">
      <c r="A65" s="44" t="inlineStr">
        <is>
          <t>2)</t>
        </is>
      </c>
      <c r="B65" s="45" t="inlineStr">
        <is>
          <t>공장을 고를 때는 현장까지 운반 시간 · 제조 능력 · 운반차 수 · 제조 설비 · 품질관리 상태를 고려합니다.</t>
        </is>
      </c>
    </row>
    <row r="66" ht="20" customHeight="1">
      <c r="A66" s="4" t="inlineStr"/>
      <c r="B66" s="46" t="inlineStr">
        <is>
          <t>〈 레디믹스트 콘크리트 품질 지정 〉 — 설계서에 맞게 고쳐 씁니다.</t>
        </is>
      </c>
    </row>
    <row r="67" ht="22" customHeight="1">
      <c r="A67" s="21" t="inlineStr">
        <is>
          <t>구  분</t>
        </is>
      </c>
      <c r="B67" s="6" t="n"/>
      <c r="C67" s="6" t="n"/>
      <c r="D67" s="21" t="inlineStr">
        <is>
          <t>단  위</t>
        </is>
      </c>
      <c r="E67" s="6" t="n"/>
      <c r="F67" s="21" t="inlineStr">
        <is>
          <t>CLASS A</t>
        </is>
      </c>
      <c r="G67" s="6" t="n"/>
      <c r="H67" s="21" t="inlineStr">
        <is>
          <t>CLASS B</t>
        </is>
      </c>
      <c r="I67" s="6" t="n"/>
      <c r="J67" s="21" t="inlineStr">
        <is>
          <t>비  고</t>
        </is>
      </c>
      <c r="K67" s="6" t="n"/>
      <c r="L67" s="6" t="n"/>
    </row>
    <row r="68" ht="22" customHeight="1">
      <c r="A68" s="50" t="inlineStr">
        <is>
          <t>재령 28일 압축강도</t>
        </is>
      </c>
      <c r="B68" s="6" t="n"/>
      <c r="C68" s="6" t="n"/>
      <c r="D68" s="49" t="inlineStr">
        <is>
          <t>MPa</t>
        </is>
      </c>
      <c r="E68" s="6" t="n"/>
      <c r="F68" s="7" t="inlineStr">
        <is>
          <t>21</t>
        </is>
      </c>
      <c r="G68" s="6" t="n"/>
      <c r="H68" s="7" t="inlineStr">
        <is>
          <t>18</t>
        </is>
      </c>
      <c r="I68" s="6" t="n"/>
      <c r="J68" s="24" t="n"/>
      <c r="K68" s="6" t="n"/>
      <c r="L68" s="6" t="n"/>
    </row>
    <row r="69" ht="22" customHeight="1">
      <c r="A69" s="50" t="inlineStr">
        <is>
          <t>굵은 골재 최대 치수</t>
        </is>
      </c>
      <c r="B69" s="6" t="n"/>
      <c r="C69" s="6" t="n"/>
      <c r="D69" s="49" t="inlineStr">
        <is>
          <t>mm</t>
        </is>
      </c>
      <c r="E69" s="6" t="n"/>
      <c r="F69" s="7" t="n"/>
      <c r="G69" s="6" t="n"/>
      <c r="H69" s="7" t="n"/>
      <c r="I69" s="6" t="n"/>
      <c r="J69" s="24" t="n"/>
      <c r="K69" s="6" t="n"/>
      <c r="L69" s="6" t="n"/>
    </row>
    <row r="70" ht="22" customHeight="1">
      <c r="A70" s="50" t="inlineStr">
        <is>
          <t>슬럼프</t>
        </is>
      </c>
      <c r="B70" s="6" t="n"/>
      <c r="C70" s="6" t="n"/>
      <c r="D70" s="49" t="inlineStr">
        <is>
          <t>mm</t>
        </is>
      </c>
      <c r="E70" s="6" t="n"/>
      <c r="F70" s="7" t="inlineStr">
        <is>
          <t>120 ± 25</t>
        </is>
      </c>
      <c r="G70" s="6" t="n"/>
      <c r="H70" s="7" t="inlineStr">
        <is>
          <t>120 ± 25</t>
        </is>
      </c>
      <c r="I70" s="6" t="n"/>
      <c r="J70" s="24" t="n"/>
      <c r="K70" s="6" t="n"/>
      <c r="L70" s="6" t="n"/>
    </row>
    <row r="71" ht="22" customHeight="1">
      <c r="A71" s="50" t="inlineStr">
        <is>
          <t>공기량</t>
        </is>
      </c>
      <c r="B71" s="6" t="n"/>
      <c r="C71" s="6" t="n"/>
      <c r="D71" s="49" t="inlineStr">
        <is>
          <t>%</t>
        </is>
      </c>
      <c r="E71" s="6" t="n"/>
      <c r="F71" s="7" t="inlineStr">
        <is>
          <t>4.5 ± 1.5</t>
        </is>
      </c>
      <c r="G71" s="6" t="n"/>
      <c r="H71" s="7" t="inlineStr">
        <is>
          <t>4.5 ± 1.5</t>
        </is>
      </c>
      <c r="I71" s="6" t="n"/>
      <c r="J71" s="24" t="n"/>
      <c r="K71" s="6" t="n"/>
      <c r="L71" s="6" t="n"/>
    </row>
    <row r="72" ht="22" customHeight="1">
      <c r="A72" s="50" t="inlineStr">
        <is>
          <t>쓰는 곳</t>
        </is>
      </c>
      <c r="B72" s="6" t="n"/>
      <c r="C72" s="6" t="n"/>
      <c r="D72" s="51" t="inlineStr">
        <is>
          <t>CLASS A</t>
        </is>
      </c>
      <c r="E72" s="6" t="n"/>
      <c r="F72" s="28" t="n"/>
      <c r="G72" s="6" t="n"/>
      <c r="H72" s="6" t="n"/>
      <c r="I72" s="6" t="n"/>
      <c r="J72" s="6" t="n"/>
      <c r="K72" s="6" t="n"/>
      <c r="L72" s="6" t="n"/>
    </row>
    <row r="73" ht="22" customHeight="1">
      <c r="A73" s="4" t="inlineStr"/>
      <c r="D73" s="51" t="inlineStr">
        <is>
          <t>CLASS B</t>
        </is>
      </c>
      <c r="E73" s="6" t="n"/>
      <c r="F73" s="28" t="n"/>
      <c r="G73" s="6" t="n"/>
      <c r="H73" s="6" t="n"/>
      <c r="I73" s="6" t="n"/>
      <c r="J73" s="6" t="n"/>
      <c r="K73" s="6" t="n"/>
      <c r="L73" s="6" t="n"/>
    </row>
    <row r="74" ht="21" customHeight="1">
      <c r="A74" s="43" t="inlineStr">
        <is>
          <t>5. 한중 콘크리트</t>
        </is>
      </c>
    </row>
    <row r="75" ht="36" customHeight="1">
      <c r="A75" s="44" t="inlineStr">
        <is>
          <t>1)</t>
        </is>
      </c>
      <c r="B75" s="45" t="inlineStr">
        <is>
          <t>일평균 기온이 4℃ 이하로 예상되면 한중 콘크리트로 시공하고, 운반 · 치기 때 열 손실을 줄이는 방법을 씁니다.</t>
        </is>
      </c>
    </row>
    <row r="76" ht="36" customHeight="1">
      <c r="A76" s="44" t="inlineStr">
        <is>
          <t>2)</t>
        </is>
      </c>
      <c r="B76" s="45" t="inlineStr">
        <is>
          <t>칠 때의 콘크리트 온도는 단면 치수 · 기상 조건을 고려해 5 ~ 20℃ 범위로 정해 공사감독관의 승인을 받습니다.</t>
        </is>
      </c>
    </row>
    <row r="77" ht="36" customHeight="1">
      <c r="A77" s="44" t="inlineStr">
        <is>
          <t>3)</t>
        </is>
      </c>
      <c r="B77" s="45" t="inlineStr">
        <is>
          <t>철근 · 거푸집에 눈 · 얼음이 붙어 있거나 지반이 얼어 있으면 승인된 방법으로 녹인 뒤 칩니다.</t>
        </is>
      </c>
    </row>
    <row r="78" ht="20.5" customHeight="1">
      <c r="A78" s="44" t="inlineStr">
        <is>
          <t>4)</t>
        </is>
      </c>
      <c r="B78" s="45" t="inlineStr">
        <is>
          <t>친 뒤 곧바로 표면을 단열재 등으로 덮습니다.</t>
        </is>
      </c>
    </row>
    <row r="79" ht="20.5" customHeight="1">
      <c r="A79" s="44" t="inlineStr">
        <is>
          <t>5)</t>
        </is>
      </c>
      <c r="B79" s="45" t="inlineStr">
        <is>
          <t>이 공사에서는 대기 온도가 −3℃ 이하이면 치기를 하지 않습니다.</t>
        </is>
      </c>
    </row>
    <row r="80" ht="21" customHeight="1">
      <c r="A80" s="43" t="inlineStr">
        <is>
          <t>6. 서중 콘크리트</t>
        </is>
      </c>
    </row>
    <row r="81" ht="36" customHeight="1">
      <c r="A81" s="44" t="inlineStr">
        <is>
          <t>1)</t>
        </is>
      </c>
      <c r="B81" s="45" t="inlineStr">
        <is>
          <t>일평균 기온이 25℃ 를 넘을 것으로 예상되면 서중 콘크리트로 시공하고, 운반 · 치기 중 건조되거나 뜨거워지지 않게 합니다.</t>
        </is>
      </c>
    </row>
    <row r="82" ht="36" customHeight="1">
      <c r="A82" s="44" t="inlineStr">
        <is>
          <t>2)</t>
        </is>
      </c>
      <c r="B82" s="45" t="inlineStr">
        <is>
          <t>치기 전에 지반 · 거푸집 등 물을 빨아들일 수 있는 곳은 습윤 상태로 두고, 거푸집 · 철근이 햇볕으로 뜨거워지면 물을 뿌리거나 덮개를 씌웁니다.</t>
        </is>
      </c>
    </row>
    <row r="83" ht="20.5" customHeight="1">
      <c r="A83" s="44" t="inlineStr">
        <is>
          <t>3)</t>
        </is>
      </c>
      <c r="B83" s="45" t="inlineStr">
        <is>
          <t>되도록 빨리 치며, 비비기부터 치기 시작까지 어떤 경우에도 1.5시간을 넘지 않게 합니다.</t>
        </is>
      </c>
    </row>
    <row r="84" ht="36" customHeight="1">
      <c r="A84" s="44" t="inlineStr">
        <is>
          <t>4)</t>
        </is>
      </c>
      <c r="B84" s="45" t="inlineStr">
        <is>
          <t>칠 때의 콘크리트 온도는 30℃ 이하로 하고, 지연제 등 공사감독관이 승인한 방법을 쓰면 35℃ 이하까지 허용합니다.</t>
        </is>
      </c>
    </row>
    <row r="85" ht="21" customHeight="1">
      <c r="A85" s="43" t="inlineStr">
        <is>
          <t>7. 콘크리트 마무리</t>
        </is>
      </c>
    </row>
    <row r="86" ht="20.5" customHeight="1">
      <c r="A86" s="44" t="inlineStr">
        <is>
          <t>1)</t>
        </is>
      </c>
      <c r="B86" s="45" t="inlineStr">
        <is>
          <t>고른 노출면을 얻으려면 같은 종류의 시멘트 · 같은 입도의 골재 · 같은 배합을 씁니다.</t>
        </is>
      </c>
    </row>
    <row r="87" ht="20.5" customHeight="1">
      <c r="A87" s="44" t="inlineStr">
        <is>
          <t>2)</t>
        </is>
      </c>
      <c r="B87" s="45" t="inlineStr">
        <is>
          <t>타설 뒤 경화에 필요한 온도 · 습도를 유지하며 충분히 양생합니다.</t>
        </is>
      </c>
    </row>
    <row r="88" ht="20.5" customHeight="1">
      <c r="A88" s="44" t="inlineStr">
        <is>
          <t>3)</t>
        </is>
      </c>
      <c r="B88" s="45" t="inlineStr">
        <is>
          <t>표면 결함 보수는 단단히 붙고 주변과 색 · 조직이 어울리며 수축 균열이 없게 합니다.</t>
        </is>
      </c>
    </row>
    <row r="89" ht="36" customHeight="1">
      <c r="A89" s="44" t="inlineStr">
        <is>
          <t>4)</t>
        </is>
      </c>
      <c r="B89" s="45" t="inlineStr">
        <is>
          <t>표면 보호재를 바를 면은 마르고 깨끗해야 하며 먼지 · 레이턴스 · 들뜬 입자 등을 없앱니다.</t>
        </is>
      </c>
    </row>
    <row r="90" ht="21" customHeight="1">
      <c r="A90" s="43" t="inlineStr">
        <is>
          <t>8. 철근 공사</t>
        </is>
      </c>
    </row>
    <row r="91" ht="20" customHeight="1">
      <c r="A91" s="4" t="inlineStr"/>
      <c r="B91" s="46" t="inlineStr">
        <is>
          <t>8.1 시공 조건 확인</t>
        </is>
      </c>
    </row>
    <row r="92" ht="20.5" customHeight="1">
      <c r="A92" s="44" t="inlineStr">
        <is>
          <t>(1)</t>
        </is>
      </c>
      <c r="C92" s="45" t="inlineStr">
        <is>
          <t>콘크리트를 칠 면이 깨끗하고 철근 설치에 알맞은지 확인합니다.</t>
        </is>
      </c>
    </row>
    <row r="93" ht="20.5" customHeight="1">
      <c r="A93" s="44" t="inlineStr">
        <is>
          <t>(2)</t>
        </is>
      </c>
      <c r="C93" s="45" t="inlineStr">
        <is>
          <t>매설물 · 삽입재 · 슬리브 · 블록아웃 등이 제자리에 있는지 확인합니다.</t>
        </is>
      </c>
    </row>
    <row r="94" ht="20" customHeight="1">
      <c r="A94" s="4" t="inlineStr"/>
      <c r="B94" s="46" t="inlineStr">
        <is>
          <t>8.2 가공</t>
        </is>
      </c>
    </row>
    <row r="95" ht="36" customHeight="1">
      <c r="A95" s="44" t="inlineStr">
        <is>
          <t>(1)</t>
        </is>
      </c>
      <c r="C95" s="45" t="inlineStr">
        <is>
          <t>철근은 가공 조립도의 치수 · 모양대로, 재질을 해치지 않는 방법으로 상온에서 가공합니다(가열 가공은 공사감독관 승인).</t>
        </is>
      </c>
    </row>
    <row r="96" ht="20.5" customHeight="1">
      <c r="A96" s="44" t="inlineStr">
        <is>
          <t>(2)</t>
        </is>
      </c>
      <c r="C96" s="45" t="inlineStr">
        <is>
          <t>곧게 펼 수 없는 철근과 한 번 구부린 철근은 다시 가공해 쓰지 않습니다.</t>
        </is>
      </c>
    </row>
    <row r="97" ht="36" customHeight="1">
      <c r="A97" s="44" t="inlineStr">
        <is>
          <t>(3)</t>
        </is>
      </c>
      <c r="C97" s="45" t="inlineStr">
        <is>
          <t>절단 · 굽힘은 설비를 갖춘 가공장에서 하고, 가공한 철근은 굽힘 상세도 · 수량표에 따라 표찰을 달아 묶어 둡니다.</t>
        </is>
      </c>
    </row>
    <row r="98" ht="20" customHeight="1">
      <c r="A98" s="4" t="inlineStr"/>
      <c r="B98" s="46" t="inlineStr">
        <is>
          <t>8.3 설치</t>
        </is>
      </c>
    </row>
    <row r="99" ht="36" customHeight="1">
      <c r="A99" s="44" t="inlineStr">
        <is>
          <t>(1)</t>
        </is>
      </c>
      <c r="C99" s="45" t="inlineStr">
        <is>
          <t>철근은 정확하게 설치하고, 콘크리트를 치기 전에 공사감독관의 검사를 받으며, 작업원 체중과 타설로 움직이지 않게 단단히 고정합니다.</t>
        </is>
      </c>
    </row>
    <row r="100" ht="20.5" customHeight="1">
      <c r="A100" s="44" t="inlineStr">
        <is>
          <t>(2)</t>
        </is>
      </c>
      <c r="C100" s="45" t="inlineStr">
        <is>
          <t>설치 전에 녹 · 오물 등 부착을 해치는 것을 없앱니다.</t>
        </is>
      </c>
    </row>
    <row r="101" ht="36" customHeight="1">
      <c r="A101" s="44" t="inlineStr">
        <is>
          <t>(3)</t>
        </is>
      </c>
      <c r="C101" s="45" t="inlineStr">
        <is>
          <t>금속 체어 · 스페이서 위에 받치고, 모든 접합점 · 교차점 · 겹침 부분을 단단히 결속합니다. 결속선 끝은 거푸집 면에서 떨어지게 합니다.</t>
        </is>
      </c>
    </row>
    <row r="102" ht="36" customHeight="1">
      <c r="A102" s="44" t="inlineStr">
        <is>
          <t>(4)</t>
        </is>
      </c>
      <c r="C102" s="45" t="inlineStr">
        <is>
          <t>인장 철근의 이음은 되도록 피하고, 겹이음은 정해진 길이로 겹쳐 0.9mm(#20) 이상 연철선으로 여러 곳을 묶습니다.</t>
        </is>
      </c>
    </row>
    <row r="103" ht="20.5" customHeight="1">
      <c r="A103" s="44" t="inlineStr">
        <is>
          <t>(5)</t>
        </is>
      </c>
      <c r="C103" s="45" t="inlineStr">
        <is>
          <t>공사감독관의 서면 승인 없이 현장에서 철근을 다시 굽히지 않습니다.</t>
        </is>
      </c>
    </row>
    <row r="104" ht="36" customHeight="1">
      <c r="A104" s="44" t="inlineStr">
        <is>
          <t>(6)</t>
        </is>
      </c>
      <c r="C104" s="45" t="inlineStr">
        <is>
          <t>평행한 철근의 순간격과 피복두께는 설계도면에 따르며, 명시되지 않으면 콘크리트구조 철근상세 설계기준(KDS 14 20 50)의 최솟값 이상으로 합니다.</t>
        </is>
      </c>
    </row>
    <row r="105" ht="36" customHeight="1">
      <c r="A105" s="44" t="inlineStr">
        <is>
          <t>(7)</t>
        </is>
      </c>
      <c r="C105" s="45" t="inlineStr">
        <is>
          <t>연결 철근은 이어 칠 구조물과 철근의 연속성을 위해 필요한 곳에 두고, 치기 전에 제자리에 결속하며 매설한 뒤에는 굽히지 않습니다.</t>
        </is>
      </c>
    </row>
    <row r="106" ht="36" customHeight="1">
      <c r="A106" s="44" t="inlineStr">
        <is>
          <t>(8)</t>
        </is>
      </c>
      <c r="C106" s="45" t="inlineStr">
        <is>
          <t>설계도서대로 배근하기 어려우면 수정 시공상세도를 만들어 공사감독관의 승인을 받은 뒤 시공합니다.</t>
        </is>
      </c>
    </row>
    <row r="107" ht="20" customHeight="1">
      <c r="A107" s="4" t="inlineStr"/>
      <c r="B107" s="46" t="inlineStr">
        <is>
          <t>8.4 청소</t>
        </is>
      </c>
    </row>
    <row r="108" ht="20.5" customHeight="1">
      <c r="A108" s="44" t="inlineStr">
        <is>
          <t>(1)</t>
        </is>
      </c>
      <c r="C108" s="45" t="inlineStr">
        <is>
          <t>치기 전에 박리제 · 녹 · 부식물 등 부착을 해치는 것이 없어야 합니다.</t>
        </is>
      </c>
    </row>
    <row r="109" ht="20.5" customHeight="1">
      <c r="A109" s="44" t="inlineStr">
        <is>
          <t>(2)</t>
        </is>
      </c>
      <c r="C109" s="45" t="inlineStr">
        <is>
          <t>철근을 조립한 지 10일이 지나면 치기 전에 다시 검사받고 청소합니다.</t>
        </is>
      </c>
    </row>
    <row r="110" ht="36" customHeight="1">
      <c r="A110" s="44" t="inlineStr">
        <is>
          <t>(3)</t>
        </is>
      </c>
      <c r="C110" s="45" t="inlineStr">
        <is>
          <t>조립 뒤 오랫동안 칠 계획이 없으면 녹 방지 대책을 세워 공사감독관의 승인을 받습니다.</t>
        </is>
      </c>
    </row>
    <row r="111" ht="21" customHeight="1">
      <c r="A111" s="43" t="inlineStr">
        <is>
          <t>9. 거푸집 공사</t>
        </is>
      </c>
    </row>
    <row r="112" ht="36" customHeight="1">
      <c r="A112" s="44" t="inlineStr">
        <is>
          <t>1)</t>
        </is>
      </c>
      <c r="B112" s="45" t="inlineStr">
        <is>
          <t>거푸집 · 동바리는 선 · 수평 · 표고를 정확히 잡아 설치하고, 승인된 시공도면대로 해 허용오차 안의 콘크리트 면을 만듭니다.</t>
        </is>
      </c>
    </row>
    <row r="113" ht="36" customHeight="1">
      <c r="A113" s="44" t="inlineStr">
        <is>
          <t>2)</t>
        </is>
      </c>
      <c r="B113" s="45" t="inlineStr">
        <is>
          <t>이음매 · 접합부는 모르타르가 새지 않게 막고, 거푸집은 깨끗하고 비틀림 · 꺾임이 없게 합니다.</t>
        </is>
      </c>
    </row>
    <row r="114" ht="20.5" customHeight="1">
      <c r="A114" s="44" t="inlineStr">
        <is>
          <t>3)</t>
        </is>
      </c>
      <c r="B114" s="45" t="inlineStr">
        <is>
          <t>콘크리트를 다치지 않고 쉽게 떼어 낼 수 있게 조립합니다.</t>
        </is>
      </c>
    </row>
    <row r="115" ht="36" customHeight="1">
      <c r="A115" s="44" t="inlineStr">
        <is>
          <t>4)</t>
        </is>
      </c>
      <c r="B115" s="45" t="inlineStr">
        <is>
          <t>해체는 콘크리트 면을 다치게 하거나 부재에 과하중을 주지 않는 방법으로 하고, 적어도 표준시방서에 정한 압축강도가 날 때까지 제자리에 둡니다.</t>
        </is>
      </c>
    </row>
    <row r="116" ht="20.5" customHeight="1">
      <c r="A116" s="44" t="inlineStr">
        <is>
          <t>5)</t>
        </is>
      </c>
      <c r="B116" s="45" t="inlineStr">
        <is>
          <t>못은 해체 뒤 곧바로 면에 맞춰 잘라 내고 표면을 깨끗이 합니다.</t>
        </is>
      </c>
    </row>
    <row r="117" ht="36" customHeight="1">
      <c r="A117" s="44" t="inlineStr">
        <is>
          <t>6)</t>
        </is>
      </c>
      <c r="B117" s="45" t="inlineStr">
        <is>
          <t>다시 쓸 거푸집은 청소 · 보수해 공사감독관의 승인을 받고 쓰며, 부서지거나 낡거나 갈라진 것은 쓰지 않고 현장에서 치웁니다. 새로 쓸 때는 박리제를 다시 바릅니다.</t>
        </is>
      </c>
    </row>
  </sheetData>
  <mergeCells count="205">
    <mergeCell ref="I14:L14"/>
    <mergeCell ref="B113:L113"/>
    <mergeCell ref="B91:L91"/>
    <mergeCell ref="F68:G68"/>
    <mergeCell ref="B115:L115"/>
    <mergeCell ref="A13:D13"/>
    <mergeCell ref="C57:L57"/>
    <mergeCell ref="B12:L12"/>
    <mergeCell ref="A54:B54"/>
    <mergeCell ref="A71:C71"/>
    <mergeCell ref="B86:L86"/>
    <mergeCell ref="A41:B41"/>
    <mergeCell ref="C49:L49"/>
    <mergeCell ref="C101:L101"/>
    <mergeCell ref="A99:B99"/>
    <mergeCell ref="A15:D15"/>
    <mergeCell ref="C34:L34"/>
    <mergeCell ref="C60:L60"/>
    <mergeCell ref="A56:B56"/>
    <mergeCell ref="D70:E70"/>
    <mergeCell ref="C42:L42"/>
    <mergeCell ref="F70:G70"/>
    <mergeCell ref="B23:L23"/>
    <mergeCell ref="A101:B101"/>
    <mergeCell ref="D72:E72"/>
    <mergeCell ref="A63:L63"/>
    <mergeCell ref="A33:B33"/>
    <mergeCell ref="B78:L78"/>
    <mergeCell ref="B112:L112"/>
    <mergeCell ref="B87:L87"/>
    <mergeCell ref="A42:B42"/>
    <mergeCell ref="C20:L20"/>
    <mergeCell ref="C103:L103"/>
    <mergeCell ref="D71:E71"/>
    <mergeCell ref="F71:G71"/>
    <mergeCell ref="B40:L40"/>
    <mergeCell ref="A22:B22"/>
    <mergeCell ref="A53:B53"/>
    <mergeCell ref="A35:B35"/>
    <mergeCell ref="A109:B109"/>
    <mergeCell ref="A62:B62"/>
    <mergeCell ref="C22:L22"/>
    <mergeCell ref="B64:L64"/>
    <mergeCell ref="A19:B19"/>
    <mergeCell ref="D73:E73"/>
    <mergeCell ref="A28:B28"/>
    <mergeCell ref="H71:I71"/>
    <mergeCell ref="C59:L59"/>
    <mergeCell ref="G8:L8"/>
    <mergeCell ref="A69:C69"/>
    <mergeCell ref="C46:L46"/>
    <mergeCell ref="B114:L114"/>
    <mergeCell ref="A39:B39"/>
    <mergeCell ref="A7:F7"/>
    <mergeCell ref="B76:L76"/>
    <mergeCell ref="A48:B48"/>
    <mergeCell ref="A30:B30"/>
    <mergeCell ref="C61:L61"/>
    <mergeCell ref="A59:B59"/>
    <mergeCell ref="C39:L39"/>
    <mergeCell ref="G10:L10"/>
    <mergeCell ref="B16:L16"/>
    <mergeCell ref="C48:L48"/>
    <mergeCell ref="A103:B103"/>
    <mergeCell ref="C106:L106"/>
    <mergeCell ref="J70:L70"/>
    <mergeCell ref="A80:L80"/>
    <mergeCell ref="C32:L32"/>
    <mergeCell ref="A3:L3"/>
    <mergeCell ref="C38:L38"/>
    <mergeCell ref="A61:B61"/>
    <mergeCell ref="B66:L66"/>
    <mergeCell ref="B18:L18"/>
    <mergeCell ref="B27:L27"/>
    <mergeCell ref="I13:L13"/>
    <mergeCell ref="H68:I68"/>
    <mergeCell ref="B77:L77"/>
    <mergeCell ref="A5:L5"/>
    <mergeCell ref="A37:B37"/>
    <mergeCell ref="A46:B46"/>
    <mergeCell ref="F73:L73"/>
    <mergeCell ref="B117:L117"/>
    <mergeCell ref="I15:L15"/>
    <mergeCell ref="C24:L24"/>
    <mergeCell ref="C33:L33"/>
    <mergeCell ref="A4:L4"/>
    <mergeCell ref="C104:L104"/>
    <mergeCell ref="E14:H14"/>
    <mergeCell ref="A105:B105"/>
    <mergeCell ref="A26:B26"/>
    <mergeCell ref="H69:I69"/>
    <mergeCell ref="B116:L116"/>
    <mergeCell ref="C26:L26"/>
    <mergeCell ref="A9:F9"/>
    <mergeCell ref="C35:L35"/>
    <mergeCell ref="A67:C67"/>
    <mergeCell ref="B84:L84"/>
    <mergeCell ref="A73:C73"/>
    <mergeCell ref="C50:L50"/>
    <mergeCell ref="C25:L25"/>
    <mergeCell ref="J67:L67"/>
    <mergeCell ref="A100:B100"/>
    <mergeCell ref="A11:F11"/>
    <mergeCell ref="C55:L55"/>
    <mergeCell ref="C99:L99"/>
    <mergeCell ref="B6:L6"/>
    <mergeCell ref="A93:B93"/>
    <mergeCell ref="J69:L69"/>
    <mergeCell ref="B89:L89"/>
    <mergeCell ref="A102:B102"/>
    <mergeCell ref="C36:L36"/>
    <mergeCell ref="A34:B34"/>
    <mergeCell ref="G7:L7"/>
    <mergeCell ref="B79:L79"/>
    <mergeCell ref="A92:B92"/>
    <mergeCell ref="A49:B49"/>
    <mergeCell ref="B81:L81"/>
    <mergeCell ref="A36:B36"/>
    <mergeCell ref="C28:L28"/>
    <mergeCell ref="C37:L37"/>
    <mergeCell ref="B58:L58"/>
    <mergeCell ref="B52:L52"/>
    <mergeCell ref="C96:L96"/>
    <mergeCell ref="A8:F8"/>
    <mergeCell ref="C92:L92"/>
    <mergeCell ref="C30:L30"/>
    <mergeCell ref="B107:L107"/>
    <mergeCell ref="C62:L62"/>
    <mergeCell ref="A55:B55"/>
    <mergeCell ref="A72:C72"/>
    <mergeCell ref="A21:B21"/>
    <mergeCell ref="A10:F10"/>
    <mergeCell ref="J71:L71"/>
    <mergeCell ref="A104:B104"/>
    <mergeCell ref="A57:B57"/>
    <mergeCell ref="G9:L9"/>
    <mergeCell ref="A32:B32"/>
    <mergeCell ref="C54:L54"/>
    <mergeCell ref="A106:B106"/>
    <mergeCell ref="E13:H13"/>
    <mergeCell ref="C41:L41"/>
    <mergeCell ref="B83:L83"/>
    <mergeCell ref="G11:L11"/>
    <mergeCell ref="A38:B38"/>
    <mergeCell ref="C93:L93"/>
    <mergeCell ref="A96:B96"/>
    <mergeCell ref="A43:B43"/>
    <mergeCell ref="A51:L51"/>
    <mergeCell ref="A1:F1"/>
    <mergeCell ref="D67:E67"/>
    <mergeCell ref="C56:L56"/>
    <mergeCell ref="A70:C70"/>
    <mergeCell ref="C105:L105"/>
    <mergeCell ref="E15:H15"/>
    <mergeCell ref="C43:L43"/>
    <mergeCell ref="B94:L94"/>
    <mergeCell ref="J68:L68"/>
    <mergeCell ref="A14:D14"/>
    <mergeCell ref="D69:E69"/>
    <mergeCell ref="A24:B24"/>
    <mergeCell ref="H67:I67"/>
    <mergeCell ref="F69:G69"/>
    <mergeCell ref="B75:L75"/>
    <mergeCell ref="C110:L110"/>
    <mergeCell ref="A90:L90"/>
    <mergeCell ref="A60:B60"/>
    <mergeCell ref="A74:L74"/>
    <mergeCell ref="A110:B110"/>
    <mergeCell ref="C19:L19"/>
    <mergeCell ref="C53:L53"/>
    <mergeCell ref="C102:L102"/>
    <mergeCell ref="A25:B25"/>
    <mergeCell ref="A108:B108"/>
    <mergeCell ref="A85:L85"/>
    <mergeCell ref="A17:L17"/>
    <mergeCell ref="C108:L108"/>
    <mergeCell ref="B98:L98"/>
    <mergeCell ref="H70:I70"/>
    <mergeCell ref="A50:B50"/>
    <mergeCell ref="G1:L1"/>
    <mergeCell ref="A68:C68"/>
    <mergeCell ref="B88:L88"/>
    <mergeCell ref="B82:L82"/>
    <mergeCell ref="A95:B95"/>
    <mergeCell ref="C97:L97"/>
    <mergeCell ref="A47:B47"/>
    <mergeCell ref="A111:L111"/>
    <mergeCell ref="C29:L29"/>
    <mergeCell ref="C100:L100"/>
    <mergeCell ref="C109:L109"/>
    <mergeCell ref="C47:L47"/>
    <mergeCell ref="A97:B97"/>
    <mergeCell ref="F67:G67"/>
    <mergeCell ref="C44:L44"/>
    <mergeCell ref="B65:L65"/>
    <mergeCell ref="A20:B20"/>
    <mergeCell ref="C31:L31"/>
    <mergeCell ref="A29:B29"/>
    <mergeCell ref="D68:E68"/>
    <mergeCell ref="C21:L21"/>
    <mergeCell ref="A44:B44"/>
    <mergeCell ref="C95:L95"/>
    <mergeCell ref="F72:L72"/>
    <mergeCell ref="A31:B31"/>
    <mergeCell ref="B45:L45"/>
  </mergeCells>
  <printOptions horizontalCentered="1"/>
  <pageMargins left="0.45" right="0.45" top="0.5" bottom="0.5" header="0.2" footer="0.2"/>
  <pageSetup orientation="portrait" paperSize="9" fitToHeight="0" fitToWidth="1"/>
  <rowBreaks count="4" manualBreakCount="4">
    <brk id="29" min="0" max="16383" man="1"/>
    <brk id="53" min="0" max="16383" man="1"/>
    <brk id="82" min="0" max="16383" man="1"/>
    <brk id="110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제6장  하수관거 공사</t>
        </is>
      </c>
    </row>
    <row r="4" ht="21" customHeight="1">
      <c r="A4" s="43" t="inlineStr">
        <is>
          <t>1. 다중벽 하수관 — 시공 때 유의사항</t>
        </is>
      </c>
    </row>
    <row r="5" ht="36" customHeight="1">
      <c r="A5" s="44" t="inlineStr">
        <is>
          <t>1)</t>
        </is>
      </c>
      <c r="B5" s="45" t="inlineStr">
        <is>
          <t>새들 분수전으로 분기할 때는 반드시 해당 관용 새들을 쓰고, 천공기는 같이 쓰되 칼날(드릴)은 반드시 PVC 관용을 씁니다.</t>
        </is>
      </c>
    </row>
    <row r="6" ht="20.5" customHeight="1">
      <c r="A6" s="44" t="inlineStr">
        <is>
          <t>2)</t>
        </is>
      </c>
      <c r="B6" s="45" t="inlineStr">
        <is>
          <t>배수관에서 새들 분수전의 분기점 천공 거리는 30cm 이상 둡니다.</t>
        </is>
      </c>
    </row>
    <row r="7" ht="36" customHeight="1">
      <c r="A7" s="44" t="inlineStr">
        <is>
          <t>3)</t>
        </is>
      </c>
      <c r="B7" s="45" t="inlineStr">
        <is>
          <t>낮은 곳에서 높은 곳으로 부설하는 것을 원칙으로 하고, 접합부에서 관이 빠지지 않게 합니다.</t>
        </is>
      </c>
    </row>
    <row r="8" ht="20.5" customHeight="1">
      <c r="A8" s="44" t="inlineStr">
        <is>
          <t>4)</t>
        </is>
      </c>
      <c r="B8" s="45" t="inlineStr">
        <is>
          <t>관 주변은 모래로 환토해 자재가 다치지 않게 합니다.</t>
        </is>
      </c>
    </row>
    <row r="9" ht="20.5" customHeight="1">
      <c r="A9" s="44" t="inlineStr">
        <is>
          <t>5)</t>
        </is>
      </c>
      <c r="B9" s="45" t="inlineStr">
        <is>
          <t>관을 억지로 휘지 않습니다.</t>
        </is>
      </c>
    </row>
    <row r="10" ht="36" customHeight="1">
      <c r="A10" s="44" t="inlineStr">
        <is>
          <t>6)</t>
        </is>
      </c>
      <c r="B10" s="45" t="inlineStr">
        <is>
          <t>다른 관종(주철관 등)과 이을 때는 바깥지름 차이를 감안해 따로 만든 전용 고무링을 씁니다.</t>
        </is>
      </c>
    </row>
    <row r="11" ht="20.5" customHeight="1">
      <c r="A11" s="44" t="inlineStr">
        <is>
          <t>7)</t>
        </is>
      </c>
      <c r="B11" s="45" t="inlineStr">
        <is>
          <t>관로 공사 뒤 통수 전에 반드시 관을 세척합니다.</t>
        </is>
      </c>
    </row>
    <row r="12" ht="21" customHeight="1">
      <c r="A12" s="43" t="inlineStr">
        <is>
          <t>2. 내충격 수도관 — 2.1 접합</t>
        </is>
      </c>
    </row>
    <row r="13" ht="20.5" customHeight="1">
      <c r="A13" s="44" t="inlineStr">
        <is>
          <t>1)</t>
        </is>
      </c>
      <c r="B13" s="45" t="inlineStr">
        <is>
          <t>고무링 안쪽과 직관 삽입 부위의 이물질 · 기름을 깨끗이 닦습니다.</t>
        </is>
      </c>
    </row>
    <row r="14" ht="20.5" customHeight="1">
      <c r="A14" s="44" t="inlineStr">
        <is>
          <t>2)</t>
        </is>
      </c>
      <c r="B14" s="45" t="inlineStr">
        <is>
          <t>편수칼라관 안에 끼운 고무링이 제자리에 있는지 확인합니다.</t>
        </is>
      </c>
    </row>
    <row r="15" ht="20.5" customHeight="1">
      <c r="A15" s="44" t="inlineStr">
        <is>
          <t>3)</t>
        </is>
      </c>
      <c r="B15" s="45" t="inlineStr">
        <is>
          <t>고무링 접합면과 직관 끝에 삽입 길이의 ½ 만큼 고무링 전용 윤활제를 고르게 바릅니다.</t>
        </is>
      </c>
    </row>
    <row r="16" ht="20.5" customHeight="1">
      <c r="A16" s="44" t="inlineStr">
        <is>
          <t>4)</t>
        </is>
      </c>
      <c r="B16" s="45" t="inlineStr">
        <is>
          <t>이음관과 연결관을 일직선으로 맞춘 뒤 잇습니다.</t>
        </is>
      </c>
    </row>
    <row r="17" ht="20.5" customHeight="1">
      <c r="A17" s="44" t="inlineStr">
        <is>
          <t>5)</t>
        </is>
      </c>
      <c r="B17" s="45" t="inlineStr">
        <is>
          <t>관경 100mm 이하는 지렛대나 인력으로, 125mm 이상은 삽입기로 끼웁니다.</t>
        </is>
      </c>
    </row>
    <row r="18" ht="36" customHeight="1">
      <c r="A18" s="44" t="inlineStr">
        <is>
          <t>6)</t>
        </is>
      </c>
      <c r="B18" s="45" t="inlineStr">
        <is>
          <t>삽입 표시선까지 들어갔는지 확인합니다. 고무링이 빠졌거나 삽입이 불량하면 윤활제가 마르기 전에(고무링 마찰력이 약할 때) 빼서 다시 끼웁니다.</t>
        </is>
      </c>
    </row>
    <row r="19" ht="20.5" customHeight="1">
      <c r="A19" s="44" t="inlineStr">
        <is>
          <t>7)</t>
        </is>
      </c>
      <c r="B19" s="45" t="inlineStr">
        <is>
          <t>고무링이 제자리에 있는지 다시 확인합니다.</t>
        </is>
      </c>
    </row>
    <row r="20" ht="20.5" customHeight="1">
      <c r="A20" s="44" t="inlineStr">
        <is>
          <t>8)</t>
        </is>
      </c>
      <c r="B20" s="45" t="inlineStr">
        <is>
          <t>관에 직접 나사 가공을 하지 않습니다.</t>
        </is>
      </c>
    </row>
    <row r="21" ht="20.5" customHeight="1">
      <c r="A21" s="44" t="inlineStr">
        <is>
          <t>9)</t>
        </is>
      </c>
      <c r="B21" s="45" t="inlineStr">
        <is>
          <t>착수 전에 관 제조사 기술자를 현장에 불러 배관공이 부설 방법을 익히게 합니다.</t>
        </is>
      </c>
    </row>
    <row r="22" ht="20" customHeight="1">
      <c r="A22" s="4" t="inlineStr"/>
      <c r="B22" s="46" t="inlineStr">
        <is>
          <t>2.2 내충격 이음관(이형관) 접합</t>
        </is>
      </c>
    </row>
    <row r="23" ht="36" customHeight="1">
      <c r="A23" s="44" t="inlineStr">
        <is>
          <t>(1)</t>
        </is>
      </c>
      <c r="C23" s="45" t="inlineStr">
        <is>
          <t>마른 헝겊으로 관 이음부와 캡 · 중간링 · 고무링 · 이음관 본체 안팎 · 나사산의 먼지 등 이물질을 없앱니다.</t>
        </is>
      </c>
    </row>
    <row r="24" ht="36" customHeight="1">
      <c r="A24" s="44" t="inlineStr">
        <is>
          <t>(2)</t>
        </is>
      </c>
      <c r="C24" s="45" t="inlineStr">
        <is>
          <t>관 끝에서부터 캡 · 중간링 · 고무링 순서로 끼웁니다(고무링은 관 끝에서 약간 띄움).</t>
        </is>
      </c>
    </row>
    <row r="25" ht="20.5" customHeight="1">
      <c r="A25" s="44" t="inlineStr">
        <is>
          <t>(3)</t>
        </is>
      </c>
      <c r="C25" s="45" t="inlineStr">
        <is>
          <t>고무링 바깥에 윤활제를 바르고 이형관에 최대한 밀어 넣습니다.</t>
        </is>
      </c>
    </row>
    <row r="26" ht="20.5" customHeight="1">
      <c r="A26" s="44" t="inlineStr">
        <is>
          <t>(4)</t>
        </is>
      </c>
      <c r="C26" s="45" t="inlineStr">
        <is>
          <t>조립용 지그로 본체를 잡고 캡을 조입니다.</t>
        </is>
      </c>
    </row>
    <row r="27" ht="20.5" customHeight="1">
      <c r="A27" s="44" t="inlineStr">
        <is>
          <t>(5)</t>
        </is>
      </c>
      <c r="C27" s="45" t="inlineStr">
        <is>
          <t>반대편 관도 (1) ~ (4) 순서로 작업합니다.</t>
        </is>
      </c>
    </row>
    <row r="28" ht="20.5" customHeight="1">
      <c r="A28" s="44" t="inlineStr">
        <is>
          <t>(6)</t>
        </is>
      </c>
      <c r="C28" s="45" t="inlineStr">
        <is>
          <t>이음관 나사산은 자르지 않습니다.</t>
        </is>
      </c>
    </row>
    <row r="29" ht="36" customHeight="1">
      <c r="A29" s="44" t="inlineStr">
        <is>
          <t>(7)</t>
        </is>
      </c>
      <c r="C29" s="45" t="inlineStr">
        <is>
          <t>이음관에 살충제 · 크레오소트 · 방충제 같은 휘발성 물질을 뿌리거나 바르지 않습니다.</t>
        </is>
      </c>
    </row>
    <row r="30" ht="20" customHeight="1">
      <c r="A30" s="4" t="inlineStr"/>
      <c r="B30" s="46" t="inlineStr">
        <is>
          <t>〈 내충격 이음관 상세도 〉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16" customHeight="1">
      <c r="A44" s="47" t="inlineStr">
        <is>
          <t>곡관(90°)</t>
        </is>
      </c>
      <c r="G44" s="47" t="inlineStr">
        <is>
          <t>T 형관</t>
        </is>
      </c>
    </row>
    <row r="45" ht="20" customHeight="1">
      <c r="A45" s="4" t="inlineStr"/>
      <c r="B45" s="46" t="inlineStr">
        <is>
          <t>2.3 관 절단</t>
        </is>
      </c>
    </row>
    <row r="46" ht="20.5" customHeight="1">
      <c r="A46" s="44" t="inlineStr">
        <is>
          <t>(1)</t>
        </is>
      </c>
      <c r="C46" s="45" t="inlineStr">
        <is>
          <t>현장에서 자를 때는 톱이나 절단기를 씁니다.</t>
        </is>
      </c>
    </row>
    <row r="47" ht="36" customHeight="1">
      <c r="A47" s="44" t="inlineStr">
        <is>
          <t>(2)</t>
        </is>
      </c>
      <c r="C47" s="45" t="inlineStr">
        <is>
          <t>자를 위치가 관축에 직각이 되게 유성 매직으로 둘레 전체에 선을 긋고, 직각으로 자르되 변형이 최소가 되게 합니다.</t>
        </is>
      </c>
    </row>
    <row r="48" ht="20.5" customHeight="1">
      <c r="A48" s="44" t="inlineStr">
        <is>
          <t>(3)</t>
        </is>
      </c>
      <c r="C48" s="45" t="inlineStr">
        <is>
          <t>절단면은 줄로 평평하게 다듬고 안팎 둘레를 가볍게 모따기합니다.</t>
        </is>
      </c>
    </row>
    <row r="49" ht="20.5" customHeight="1">
      <c r="A49" s="44" t="inlineStr">
        <is>
          <t>(4)</t>
        </is>
      </c>
      <c r="C49" s="45" t="inlineStr">
        <is>
          <t>자르기 전에 깨끗이 닦고, 자른 뒤 이물질 · 먼지를 완전히 없앱니다.</t>
        </is>
      </c>
    </row>
    <row r="50" ht="21" customHeight="1">
      <c r="A50" s="43" t="inlineStr">
        <is>
          <t>3. 내충격 PVC 하수관</t>
        </is>
      </c>
    </row>
    <row r="51" ht="20" customHeight="1">
      <c r="A51" s="4" t="inlineStr"/>
      <c r="B51" s="46" t="inlineStr">
        <is>
          <t>3.1 토공</t>
        </is>
      </c>
    </row>
    <row r="52" ht="20.5" customHeight="1">
      <c r="A52" s="44" t="inlineStr">
        <is>
          <t>(1)</t>
        </is>
      </c>
      <c r="C52" s="45" t="inlineStr">
        <is>
          <t>터파기 바닥은 도면의 표고에 정확히 맞춥니다.</t>
        </is>
      </c>
    </row>
    <row r="53" ht="36" customHeight="1">
      <c r="A53" s="44" t="inlineStr">
        <is>
          <t>(2)</t>
        </is>
      </c>
      <c r="C53" s="45" t="inlineStr">
        <is>
          <t>기존 구조물 가까운 곳은 기초가 느슨해지거나 위험하지 않게 흙막이 등 보호공을 충분히 설치합니다.</t>
        </is>
      </c>
    </row>
    <row r="54" ht="36" customHeight="1">
      <c r="A54" s="44" t="inlineStr">
        <is>
          <t>(3)</t>
        </is>
      </c>
      <c r="C54" s="45" t="inlineStr">
        <is>
          <t>최종 마무리 면은 설계도서대로 하고 공사감독관의 확인을 받습니다. 지하매설물이 있으면 인력으로 먼저 파 기계 굴착으로 인한 파손을 막습니다.</t>
        </is>
      </c>
    </row>
    <row r="55" ht="36" customHeight="1">
      <c r="A55" s="44" t="inlineStr">
        <is>
          <t>(4)</t>
        </is>
      </c>
      <c r="C55" s="45" t="inlineStr">
        <is>
          <t>되메우기는 관 외면을 다치지 않게 하고, 관 상단 30cm 까지는 전석 · 날카로운 암편 등 관을 다치게 할 돌이 섞인 흙을 쓰지 않습니다.</t>
        </is>
      </c>
    </row>
    <row r="56" ht="36" customHeight="1">
      <c r="A56" s="44" t="inlineStr">
        <is>
          <t>(5)</t>
        </is>
      </c>
      <c r="C56" s="45" t="inlineStr">
        <is>
          <t>관 양쪽에 같은 두께로 고르게 메워 편압이 걸리지 않게 하고, 한 층은 30cm 이하로 합니다. 불도저로 한꺼번에 메우거나 트럭에서 바로 쏟아붓지 않습니다.</t>
        </is>
      </c>
    </row>
    <row r="57" ht="20.5" customHeight="1">
      <c r="A57" s="44" t="inlineStr">
        <is>
          <t>(6)</t>
        </is>
      </c>
      <c r="C57" s="45" t="inlineStr">
        <is>
          <t>다짐은 현장에 알맞은 장비로, 각 층 30cm 안으로 펴서 고르게 다집니다.</t>
        </is>
      </c>
    </row>
    <row r="58" ht="36" customHeight="1">
      <c r="A58" s="44" t="inlineStr">
        <is>
          <t>(7)</t>
        </is>
      </c>
      <c r="C58" s="45" t="inlineStr">
        <is>
          <t>잔토는 지정된 곳에 처리하고, 사토할 때는 공사감독관에게 알려 위치와 양을 조정합니다.</t>
        </is>
      </c>
    </row>
    <row r="59" ht="20" customHeight="1">
      <c r="A59" s="4" t="inlineStr"/>
      <c r="B59" s="46" t="inlineStr">
        <is>
          <t>3.2 부설</t>
        </is>
      </c>
    </row>
    <row r="60" ht="20.5" customHeight="1">
      <c r="A60" s="44" t="inlineStr">
        <is>
          <t>(1)</t>
        </is>
      </c>
      <c r="C60" s="45" t="inlineStr">
        <is>
          <t>시공 전에 관체의 균열 · 결함을 검사합니다.</t>
        </is>
      </c>
    </row>
    <row r="61" ht="20.5" customHeight="1">
      <c r="A61" s="44" t="inlineStr">
        <is>
          <t>(2)</t>
        </is>
      </c>
      <c r="C61" s="45" t="inlineStr">
        <is>
          <t>관 부설 기구 · 기중기 장치는 시공 전에 공사감독관의 검사를 받습니다.</t>
        </is>
      </c>
    </row>
    <row r="62" ht="20.5" customHeight="1">
      <c r="A62" s="44" t="inlineStr">
        <is>
          <t>(3)</t>
        </is>
      </c>
      <c r="C62" s="45" t="inlineStr">
        <is>
          <t>부설 전에 관 안을 깨끗이 하고, 도장면이 상했으면 원상 복구한 뒤 부설합니다.</t>
        </is>
      </c>
    </row>
    <row r="63" ht="36" customHeight="1">
      <c r="A63" s="44" t="inlineStr">
        <is>
          <t>(4)</t>
        </is>
      </c>
      <c r="C63" s="45" t="inlineStr">
        <is>
          <t>낮은 곳에서 높은 곳으로 부설하고, 소켓이 있는 관은 소켓이 높은 쪽을 향하게 합니다.</t>
        </is>
      </c>
    </row>
    <row r="64" ht="20.5" customHeight="1">
      <c r="A64" s="44" t="inlineStr">
        <is>
          <t>(5)</t>
        </is>
      </c>
      <c r="C64" s="45" t="inlineStr">
        <is>
          <t>콘크리트 벽을 지날 때는 보호 조치를 충분히 합니다.</t>
        </is>
      </c>
    </row>
    <row r="65" ht="20.5" customHeight="1">
      <c r="A65" s="44" t="inlineStr">
        <is>
          <t>(6)</t>
        </is>
      </c>
      <c r="C65" s="45" t="inlineStr">
        <is>
          <t>배관 중인 관은 알맞은 받침으로 안전하게 받칩니다.</t>
        </is>
      </c>
    </row>
    <row r="66" ht="36" customHeight="1">
      <c r="A66" s="44" t="inlineStr">
        <is>
          <t>(7)</t>
        </is>
      </c>
      <c r="C66" s="45" t="inlineStr">
        <is>
          <t>하루 작업이 끝나면 관 끝을 마개로 막아 토사 · 오수 · 지하수가 들어가지 않게 하고, 관 안에 헝겊 · 공구 등을 두지 않습니다.</t>
        </is>
      </c>
    </row>
    <row r="67" ht="20" customHeight="1">
      <c r="A67" s="4" t="inlineStr"/>
      <c r="B67" s="46" t="inlineStr">
        <is>
          <t>3.3 접합</t>
        </is>
      </c>
    </row>
    <row r="68" ht="20.5" customHeight="1">
      <c r="A68" s="44" t="inlineStr">
        <is>
          <t>(1)</t>
        </is>
      </c>
      <c r="C68" s="45" t="inlineStr">
        <is>
          <t>이미 부설한 관과 부설할 관의 중심을 맞춥니다.</t>
        </is>
      </c>
    </row>
    <row r="69" ht="36" customHeight="1">
      <c r="A69" s="44" t="inlineStr">
        <is>
          <t>(2)</t>
        </is>
      </c>
      <c r="C69" s="45" t="inlineStr">
        <is>
          <t>소켓으로 이을 때는 관 밑에 각목을 받치고, 관의 두 번째 골에 고무링을 끼워 윤활제를 바릅니다.</t>
        </is>
      </c>
    </row>
    <row r="70" ht="20.5" customHeight="1">
      <c r="A70" s="44" t="inlineStr">
        <is>
          <t>(3)</t>
        </is>
      </c>
      <c r="C70" s="45" t="inlineStr">
        <is>
          <t>소켓을 두 관 사이에 넣고 양쪽 관에 로프를 겁니다.</t>
        </is>
      </c>
    </row>
    <row r="71" ht="20.5" customHeight="1">
      <c r="A71" s="44" t="inlineStr">
        <is>
          <t>(4)</t>
        </is>
      </c>
      <c r="C71" s="45" t="inlineStr">
        <is>
          <t>레버블록을 로프에 걸어 당기되, 관의 수평과 수구 쪽이 움직이지 않게 합니다.</t>
        </is>
      </c>
    </row>
    <row r="72" ht="36" customHeight="1">
      <c r="A72" s="44" t="inlineStr">
        <is>
          <t>(5)</t>
        </is>
      </c>
      <c r="C72" s="45" t="inlineStr">
        <is>
          <t>한쪽으로 치우치지 않게 밀착시킵니다. 약하게 붙이면 틈이 생겨 수밀이 안 됩니다.</t>
        </is>
      </c>
    </row>
    <row r="73" ht="20.5" customHeight="1">
      <c r="A73" s="44" t="inlineStr">
        <is>
          <t>(6)</t>
        </is>
      </c>
      <c r="C73" s="45" t="inlineStr">
        <is>
          <t>두 번째 골의 고무링이 제자리에 있어 수밀이 유지되는지 확인합니다.</t>
        </is>
      </c>
    </row>
    <row r="74" ht="20" customHeight="1">
      <c r="A74" s="4" t="inlineStr"/>
      <c r="B74" s="46" t="inlineStr">
        <is>
          <t>3.4 절단 · 천공</t>
        </is>
      </c>
    </row>
    <row r="75" ht="36" customHeight="1">
      <c r="A75" s="44" t="inlineStr">
        <is>
          <t>(1)</t>
        </is>
      </c>
      <c r="C75" s="45" t="inlineStr">
        <is>
          <t>현장에서 자를 때는 톱이나 절단기를 쓰고, 변형이 최소가 되게 정확히 자르며 이형관에 끼우기 전 반드시 그라인더로 모따기합니다.</t>
        </is>
      </c>
    </row>
    <row r="76" ht="36" customHeight="1">
      <c r="A76" s="44" t="inlineStr">
        <is>
          <t>(2)</t>
        </is>
      </c>
      <c r="C76" s="45" t="inlineStr">
        <is>
          <t>기온이 35℃ 이상이거나 5℃ 이하이면 공사감독관의 특별한 허락 없이 자르지 않습니다.</t>
        </is>
      </c>
    </row>
    <row r="77" ht="20.5" customHeight="1">
      <c r="A77" s="44" t="inlineStr">
        <is>
          <t>(3)</t>
        </is>
      </c>
      <c r="C77" s="45" t="inlineStr">
        <is>
          <t>자르기 전에 깨끗이 닦고, 자른 곳의 이물질 · 먼지를 완전히 없앱니다.</t>
        </is>
      </c>
    </row>
    <row r="78" ht="20.5" customHeight="1">
      <c r="A78" s="44" t="inlineStr">
        <is>
          <t>(4)</t>
        </is>
      </c>
      <c r="C78" s="45" t="inlineStr">
        <is>
          <t>관 천공은 천공 표시선을 긋고 천공기로 정확한 위치에 뚫습니다.</t>
        </is>
      </c>
    </row>
    <row r="79" ht="21" customHeight="1">
      <c r="A79" s="43" t="inlineStr">
        <is>
          <t>4. 관 추진공법 (이토압식)</t>
        </is>
      </c>
    </row>
    <row r="80" ht="20" customHeight="1">
      <c r="A80" s="4" t="inlineStr"/>
      <c r="B80" s="46" t="inlineStr">
        <is>
          <t>4.1 추진기지</t>
        </is>
      </c>
    </row>
    <row r="81" ht="36" customHeight="1">
      <c r="A81" s="44" t="inlineStr">
        <is>
          <t>(1)</t>
        </is>
      </c>
      <c r="C81" s="45" t="inlineStr">
        <is>
          <t>승인받은 시공상세도대로 추진기지를 설치하고, 관 반입 · 압력벽 등 설비가 기능적으로 배치되어 안전하고 효율적으로 굴착토를 반출할 수 있게 합니다.</t>
        </is>
      </c>
    </row>
    <row r="82" ht="36" customHeight="1">
      <c r="A82" s="44" t="inlineStr">
        <is>
          <t>(2)</t>
        </is>
      </c>
      <c r="C82" s="45" t="inlineStr">
        <is>
          <t>추진기지 등 추진공에 필요한 토공은 «제2장 토공사» 를 따르고, 빗물 · 지하수는 구조물 안정 · 작업에 지장이 없게 배수 또는 차수합니다.</t>
        </is>
      </c>
    </row>
    <row r="83" ht="20.5" customHeight="1">
      <c r="A83" s="44" t="inlineStr">
        <is>
          <t>(3)</t>
        </is>
      </c>
      <c r="C83" s="45" t="inlineStr">
        <is>
          <t>임시로 깎은 비탈면은 복구할 때까지 승인받은 방법으로 보호합니다.</t>
        </is>
      </c>
    </row>
    <row r="84" ht="36" customHeight="1">
      <c r="A84" s="44" t="inlineStr">
        <is>
          <t>(4)</t>
        </is>
      </c>
      <c r="C84" s="45" t="inlineStr">
        <is>
          <t>기지 입구 주변은 작업 관리가 편하게 필요한 두께 · 넓이로 콘크리트 바닥을 칩니다.</t>
        </is>
      </c>
    </row>
    <row r="85" ht="20.5" customHeight="1">
      <c r="A85" s="44" t="inlineStr">
        <is>
          <t>(5)</t>
        </is>
      </c>
      <c r="C85" s="45" t="inlineStr">
        <is>
          <t>압력벽은 추진에 필요한 최대 압력과 안전율을 고려한 설계 압력에 견디게 합니다.</t>
        </is>
      </c>
    </row>
    <row r="86" ht="20.5" customHeight="1">
      <c r="A86" s="44" t="inlineStr">
        <is>
          <t>(6)</t>
        </is>
      </c>
      <c r="C86" s="45" t="inlineStr">
        <is>
          <t>추진관 안에는 조명과, 필요하면 환기 설비를 둡니다.</t>
        </is>
      </c>
    </row>
    <row r="87" ht="20.5" customHeight="1">
      <c r="A87" s="44" t="inlineStr">
        <is>
          <t>(7)</t>
        </is>
      </c>
      <c r="C87" s="45" t="inlineStr">
        <is>
          <t>가이드 레일은 추진 중 위치 · 방향이 변하지 않게 하고 매 추진마다 점검합니다.</t>
        </is>
      </c>
    </row>
    <row r="88" ht="20.5" customHeight="1">
      <c r="A88" s="44" t="inlineStr">
        <is>
          <t>(8)</t>
        </is>
      </c>
      <c r="C88" s="45" t="inlineStr">
        <is>
          <t>작업 반경이 충분한지 미리 확인해 대처합니다.</t>
        </is>
      </c>
    </row>
    <row r="89" ht="20" customHeight="1">
      <c r="A89" s="4" t="inlineStr"/>
      <c r="B89" s="46" t="inlineStr">
        <is>
          <t>4.2 추진공</t>
        </is>
      </c>
    </row>
    <row r="90" ht="51.5" customHeight="1">
      <c r="A90" s="44" t="inlineStr">
        <is>
          <t>(1)</t>
        </is>
      </c>
      <c r="C90" s="45" t="inlineStr">
        <is>
          <t>착수 전에 토질조사 자료와 설계서를 검토해 추진 방법과 보조공법을 정합니다. 추진은 주간 공사를 원칙으로 하고, 부득이한 주야간 연속 공사는 공사감독관의 지시를 따릅니다.</t>
        </is>
      </c>
    </row>
    <row r="91" ht="51.5" customHeight="1">
      <c r="A91" s="44" t="inlineStr">
        <is>
          <t>(2)</t>
        </is>
      </c>
      <c r="C91" s="45" t="inlineStr">
        <is>
          <t>추진강관은 KS D 3583 규격으로 만든, 높은 추진력과 큰 토압에 견디는 고강도 제품을 씁니다. 강관은 아크용접으로 단단히 이어 이음부가 흔들리거나 새지 않게 합니다.</t>
        </is>
      </c>
    </row>
    <row r="92" ht="36" customHeight="1">
      <c r="A92" s="44" t="inlineStr">
        <is>
          <t>(3)</t>
        </is>
      </c>
      <c r="C92" s="45" t="inlineStr">
        <is>
          <t>용접 전에 용접사의 경력 · 자격증과 용접 순서 · 용접기 · 용접봉 등을 공사감독관에게 보고하고 지시를 받습니다.</t>
        </is>
      </c>
    </row>
    <row r="93" ht="36" customHeight="1">
      <c r="A93" s="44" t="inlineStr">
        <is>
          <t>(4)</t>
        </is>
      </c>
      <c r="C93" s="45" t="inlineStr">
        <is>
          <t>용접면의 이물질을 없애 매끈하고 결함 없게 하고, 화재 · 누전에 대비하며 관 안 도장면을 보호하고 관계자 외 출입을 막습니다.</t>
        </is>
      </c>
    </row>
    <row r="94" ht="36" customHeight="1">
      <c r="A94" s="44" t="inlineStr">
        <is>
          <t>(5)</t>
        </is>
      </c>
      <c r="C94" s="45" t="inlineStr">
        <is>
          <t>추진 설비(추진대 · 압륜 · 스페이서 · 잭 · 유압 유니트 · 반력대 · 공기압축기 · 제어 유니트 등)는 추진기지 안에 설치합니다.</t>
        </is>
      </c>
    </row>
    <row r="95" ht="36" customHeight="1">
      <c r="A95" s="44" t="inlineStr">
        <is>
          <t>(6)</t>
        </is>
      </c>
      <c r="C95" s="45" t="inlineStr">
        <is>
          <t>버력(배토) 수송 설비는 추진 일정과 배토량에 맞는 용량으로 하고, 배토는 곧바로 지정된 사토장으로 처리하며 교통에 지장을 주지 않게 합니다.</t>
        </is>
      </c>
    </row>
    <row r="96" ht="36" customHeight="1">
      <c r="A96" s="44" t="inlineStr">
        <is>
          <t>(7)</t>
        </is>
      </c>
      <c r="C96" s="45" t="inlineStr">
        <is>
          <t>추진용 덕타일 주철관은 삽구를 정해진 위치까지 넣고 스터드볼트를 표준 간격으로 고르게 조이며, 추진 중 다른 이음부의 삽입 여유 길이를 정기적으로 잽니다.</t>
        </is>
      </c>
    </row>
    <row r="97" ht="20.5" customHeight="1">
      <c r="A97" s="44" t="inlineStr">
        <is>
          <t>(8)</t>
        </is>
      </c>
      <c r="C97" s="45" t="inlineStr">
        <is>
          <t>방향을 고칠 때 연결부의 굴곡은 허용치 안으로 합니다.</t>
        </is>
      </c>
    </row>
    <row r="98" ht="36" customHeight="1">
      <c r="A98" s="44" t="inlineStr">
        <is>
          <t>(9)</t>
        </is>
      </c>
      <c r="C98" s="45" t="inlineStr">
        <is>
          <t>발진 · 도달 작업구 토공은 지반 붕괴 · 노면 함몰 위험이 크므로 원지반을 최소한으로 흐트러뜨리고, 도달구에 받침대를 두어 선도체를 거치 · 해체 · 인양합니다.</t>
        </is>
      </c>
    </row>
    <row r="99" ht="20" customHeight="1">
      <c r="A99" s="4" t="inlineStr"/>
      <c r="B99" s="46" t="inlineStr">
        <is>
          <t>4.3 굴착토 처리 · 채움 · 침하 대책</t>
        </is>
      </c>
    </row>
    <row r="100" ht="36" customHeight="1">
      <c r="A100" s="44" t="inlineStr">
        <is>
          <t>(1)</t>
        </is>
      </c>
      <c r="C100" s="45" t="inlineStr">
        <is>
          <t>굴착토는 노면을 더럽히거나 교통을 막지 않게 운반하고, 처리 장소를 바꾸려면 공사감독관과 협의합니다.</t>
        </is>
      </c>
    </row>
    <row r="101" ht="67" customHeight="1">
      <c r="A101" s="44" t="inlineStr">
        <is>
          <t>(2)</t>
        </is>
      </c>
      <c r="C101" s="45" t="inlineStr">
        <is>
          <t>내관 삽입이 끝나면 양 끝을 승인받은 방법으로 막고 추진관과 내관 사이를 채움 그라우팅합니다. 압력은 내관이 찌그러지지 않게 채울 수 있는 최저 압력으로 하고, 양 끝 상부에 공기 빼기 · 확인 구멍을 두어 넘쳐 나오는 것(overflow)을 반드시 확인합니다. 배합비는 설계서대로 하되 공사감독관의 승인으로 바꿀 수 있습니다.</t>
        </is>
      </c>
    </row>
    <row r="102" ht="36" customHeight="1">
      <c r="A102" s="44" t="inlineStr">
        <is>
          <t>(3)</t>
        </is>
      </c>
      <c r="C102" s="45" t="inlineStr">
        <is>
          <t>지반 침하는 원지반 조건 · 막장 안정성에 따라 생기므로 침하 측량을 하고, 허용치를 넘으면 긴급 조치 뒤 보강 대책을 세워 보고합니다.</t>
        </is>
      </c>
    </row>
    <row r="103" ht="36" customHeight="1">
      <c r="A103" s="44" t="inlineStr">
        <is>
          <t>(4)</t>
        </is>
      </c>
      <c r="C103" s="45" t="inlineStr">
        <is>
          <t>이음부 누수로 지하수위가 내려가지 않게 방수를 확실히 하고, 지반이 나쁜 곳은 따로 보강 대책을 세워 승인을 받은 뒤 시행합니다.</t>
        </is>
      </c>
    </row>
    <row r="104" ht="21" customHeight="1">
      <c r="A104" s="43" t="inlineStr">
        <is>
          <t>5. 관 보호공 (콘크리트)</t>
        </is>
      </c>
    </row>
    <row r="105" ht="36" customHeight="1">
      <c r="A105" s="44" t="inlineStr">
        <is>
          <t>1)</t>
        </is>
      </c>
      <c r="B105" s="45" t="inlineStr">
        <is>
          <t>보호공 콘크리트의 규격 · 재료는 콘크리트 표준시방서를 따르고, 설계기준강도 18MPa 급으로 도면대로 시공합니다.</t>
        </is>
      </c>
    </row>
    <row r="106" ht="36" customHeight="1">
      <c r="A106" s="44" t="inlineStr">
        <is>
          <t>2)</t>
        </is>
      </c>
      <c r="B106" s="45" t="inlineStr">
        <is>
          <t>암거 횡단부는 기존 시설물에 피해가 없게 하고 물 처리와 안전에 특히 유의하며, 암거 밑 되메우기는 암거를 다치지 않게 철저히 합니다.</t>
        </is>
      </c>
    </row>
    <row r="107" ht="21" customHeight="1">
      <c r="A107" s="43" t="inlineStr">
        <is>
          <t>6. 맨홀 및 뚜껑 설치</t>
        </is>
      </c>
    </row>
    <row r="108" ht="20" customHeight="1">
      <c r="A108" s="4" t="inlineStr"/>
      <c r="B108" s="46" t="inlineStr">
        <is>
          <t>6.1 재료 · 준비 · 조립</t>
        </is>
      </c>
    </row>
    <row r="109" ht="51.5" customHeight="1">
      <c r="A109" s="44" t="inlineStr">
        <is>
          <t>(1)</t>
        </is>
      </c>
      <c r="C109" s="45" t="inlineStr">
        <is>
          <t>무수축 모르타르는 구체 접합부 · 접속구 충진용으로, 품질 확보를 위해 프리믹스 제품을 쓰며 주입이 쉽고 완전히 채워지는 고유동성이어야 합니다. 신구 경계면 부착이 좋고 굳은 뒤 지수에 해로운 균열 · 공극이 없어야 합니다.</t>
        </is>
      </c>
    </row>
    <row r="110" ht="36" customHeight="1">
      <c r="A110" s="44" t="inlineStr">
        <is>
          <t>(2)</t>
        </is>
      </c>
      <c r="C110" s="45" t="inlineStr">
        <is>
          <t>시공 계획에 따라 설치 준비를 확인하고, 기초 바닥 레벨을 재어 고르지 않으면 레벨용 모래를 준비합니다.</t>
        </is>
      </c>
    </row>
    <row r="111" ht="36" customHeight="1">
      <c r="A111" s="44" t="inlineStr">
        <is>
          <t>(3)</t>
        </is>
      </c>
      <c r="C111" s="45" t="inlineStr">
        <is>
          <t>설치 장비 용량 · 진입 방법 · 야적 장소 · 작업 위치 · 기계 · 공구 · 접합 재료를 정합니다.</t>
        </is>
      </c>
    </row>
    <row r="112" ht="36" customHeight="1">
      <c r="A112" s="44" t="inlineStr">
        <is>
          <t>(4)</t>
        </is>
      </c>
      <c r="C112" s="45" t="inlineStr">
        <is>
          <t>조립은 설치 공정표 · 장비 · 인원 · 작업반 · 통행 제한 · 작업 시기를 협의해 공사감독관의 승인 뒤 합니다(원형맨홀 1호 D900 상세는 설계도면 참조).</t>
        </is>
      </c>
    </row>
    <row r="113" ht="20" customHeight="1">
      <c r="A113" s="4" t="inlineStr"/>
      <c r="B113" s="46" t="inlineStr">
        <is>
          <t>6.2 설치 때 주의사항</t>
        </is>
      </c>
    </row>
    <row r="114" ht="36" customHeight="1">
      <c r="A114" s="44" t="inlineStr">
        <is>
          <t>1)</t>
        </is>
      </c>
      <c r="C114" s="45" t="inlineStr">
        <is>
          <t>장비는 제품 무게의 3 ~ 5배 이상 용량으로 고르고, 작업 반경 · 붐 각도의 한계를 정확히 알고 작업합니다. 한계를 넘으면 더 큰 장비로 바꿉니다.</t>
        </is>
      </c>
    </row>
    <row r="115" ht="36" customHeight="1">
      <c r="A115" s="44" t="inlineStr">
        <is>
          <t>2)</t>
        </is>
      </c>
      <c r="C115" s="45" t="inlineStr">
        <is>
          <t>임시 야적은 평탄한 곳에 받침목을 대고, 차량 · 전도로 부서지지 않게 보호합니다.</t>
        </is>
      </c>
    </row>
    <row r="116" ht="20.5" customHeight="1">
      <c r="A116" s="44" t="inlineStr">
        <is>
          <t>3)</t>
        </is>
      </c>
      <c r="C116" s="45" t="inlineStr">
        <is>
          <t>제품은 설치 장비로 들어 올린 뒤 내리면서 위치를 맞춰 거치합니다.</t>
        </is>
      </c>
    </row>
    <row r="117" ht="36" customHeight="1">
      <c r="A117" s="44" t="inlineStr">
        <is>
          <t>4)</t>
        </is>
      </c>
      <c r="C117" s="45" t="inlineStr">
        <is>
          <t>인양 기구(벨트 · 지그 · 후크 · 아이볼트)의 용량 · 마모 · 손상을 작업 전에 반드시 확인하고, 설치 때 과한 응력이 걸리지 않게 늘 수평을 유지합니다.</t>
        </is>
      </c>
    </row>
    <row r="118" ht="36" customHeight="1">
      <c r="A118" s="44" t="inlineStr">
        <is>
          <t>5)</t>
        </is>
      </c>
      <c r="C118" s="45" t="inlineStr">
        <is>
          <t>상 · 하 구체의 철근 삽입공이 서로 통하게 거치하고, 거치 뒤 철근 등으로 위치를 확인합니다.</t>
        </is>
      </c>
    </row>
    <row r="119" ht="20.5" customHeight="1">
      <c r="A119" s="44" t="inlineStr">
        <is>
          <t>6)</t>
        </is>
      </c>
      <c r="C119" s="45" t="inlineStr">
        <is>
          <t>거치 뒤 상 · 하 접합부 모르타르 충진 공간에 빈틈이 생기지 않게 합니다.</t>
        </is>
      </c>
    </row>
    <row r="120" ht="36" customHeight="1">
      <c r="A120" s="44" t="inlineStr">
        <is>
          <t>7)</t>
        </is>
      </c>
      <c r="C120" s="45" t="inlineStr">
        <is>
          <t>맨홀과 관거의 연결은 설계도대로 정확하게 하고, 벽체와 바닥 이음부의 수밀성에 특히 유의합니다.</t>
        </is>
      </c>
    </row>
    <row r="121" ht="36" customHeight="1">
      <c r="A121" s="44" t="inlineStr">
        <is>
          <t>8)</t>
        </is>
      </c>
      <c r="C121" s="45" t="inlineStr">
        <is>
          <t>맨홀 바닥에는 반드시 인버트(프리캐스트)를 설치해 매끄럽게 마무리하고, 오물이 쌓이거나 물이 고이지 않게 알맞은 경사를 둡니다.</t>
        </is>
      </c>
    </row>
    <row r="122" ht="36" customHeight="1">
      <c r="A122" s="44" t="inlineStr">
        <is>
          <t>9)</t>
        </is>
      </c>
      <c r="C122" s="45" t="inlineStr">
        <is>
          <t>맨홀은 도면 위치에 설치하되, 현장 여건상 불합리하면 공사감독관의 승인을 받아 옮길 수 있습니다. 사다리도 같습니다(규격은 설계도서).</t>
        </is>
      </c>
    </row>
    <row r="123" ht="36" customHeight="1">
      <c r="A123" s="44" t="inlineStr">
        <is>
          <t>10)</t>
        </is>
      </c>
      <c r="C123" s="45" t="inlineStr">
        <is>
          <t>기존 맨홀에 오수관을 이을 때는 정확한 위치를 표시하고 관경에 맞는 크기로만 천공하며, 다른 부위에 균열 · 손상을 주지 않습니다.</t>
        </is>
      </c>
    </row>
    <row r="124" ht="36" customHeight="1">
      <c r="A124" s="44" t="inlineStr">
        <is>
          <t>11)</t>
        </is>
      </c>
      <c r="C124" s="45" t="inlineStr">
        <is>
          <t>연결관을 맨홀에 직접 이을 때는 천공기로 정확히 뚫고 고무링 등 연성 재질로 수밀성을 확보합니다.</t>
        </is>
      </c>
    </row>
    <row r="125" ht="51.5" customHeight="1">
      <c r="A125" s="44" t="inlineStr">
        <is>
          <t>12)</t>
        </is>
      </c>
      <c r="C125" s="45" t="inlineStr">
        <is>
          <t>오수 · 합류식 맨홀은 바닥에 인버트를 두어 토사 · 슬러지 퇴적을 막고 흐름을 원활히 합니다. 인버트는 하류 관거의 관경 · 경사와 같게, 폭은 하류 쪽 폭을 상류까지 같게 늘이며, 발 디딤부는 10 ~ 20% 경사로 편리 · 안전하게 합니다.</t>
        </is>
      </c>
    </row>
    <row r="126" ht="36" customHeight="1">
      <c r="A126" s="44" t="inlineStr">
        <is>
          <t>13)</t>
        </is>
      </c>
      <c r="C126" s="45" t="inlineStr">
        <is>
          <t>관거가 압력관이 되거나 침입수가 우려되는 곳(고수부지 등)은 압력 뚜껑과 환기 시설을 둡니다.</t>
        </is>
      </c>
    </row>
    <row r="127" ht="36" customHeight="1">
      <c r="A127" s="44" t="inlineStr">
        <is>
          <t>14)</t>
        </is>
      </c>
      <c r="C127" s="45" t="inlineStr">
        <is>
          <t>분류식 오수 맨홀은 수밀형 뚜껑을 쓰고, 우 · 오수를 명확히 구분하는 표기와 관리 기관의 고유 표식을 합니다.</t>
        </is>
      </c>
    </row>
    <row r="128" ht="36" customHeight="1">
      <c r="A128" s="44" t="inlineStr">
        <is>
          <t>15)</t>
        </is>
      </c>
      <c r="C128" s="45" t="inlineStr">
        <is>
          <t>도로 위 오수 맨홀 뚜껑은 차량 통행으로 이탈하지 않고 쓰레기 불법 투기를 막는 기능이 있는 것으로 합니다.</t>
        </is>
      </c>
    </row>
    <row r="129" ht="20.5" customHeight="1">
      <c r="A129" s="44" t="inlineStr">
        <is>
          <t>16)</t>
        </is>
      </c>
      <c r="C129" s="45" t="inlineStr">
        <is>
          <t>본관과 연결관 접합부는 T 이형관이나 분기관으로 수밀성을 확보합니다.</t>
        </is>
      </c>
    </row>
    <row r="130" ht="36" customHeight="1">
      <c r="A130" s="44" t="inlineStr">
        <is>
          <t>17)</t>
        </is>
      </c>
      <c r="C130" s="45" t="inlineStr">
        <is>
          <t>맨홀 · 관거 유지관리를 위해 관종 · 관경 · 설치 연도 등을 적은 명패를 설계도서 규격대로 답니다.</t>
        </is>
      </c>
    </row>
    <row r="131" ht="20.5" customHeight="1">
      <c r="A131" s="44" t="inlineStr">
        <is>
          <t>18)</t>
        </is>
      </c>
      <c r="C131" s="45" t="inlineStr">
        <is>
          <t>뚜껑이 열리지 않는 맨홀은 주변 포장을 걷어 내고 뚜껑을 바꿉니다.</t>
        </is>
      </c>
    </row>
    <row r="132" ht="20.5" customHeight="1">
      <c r="A132" s="44" t="inlineStr">
        <is>
          <t>19)</t>
        </is>
      </c>
      <c r="C132" s="45" t="inlineStr">
        <is>
          <t>뚜껑 · 명판은 제작도를 만들어 주무 관청과 협의 · 승인받은 뒤 시행합니다.</t>
        </is>
      </c>
    </row>
    <row r="133" ht="21" customHeight="1">
      <c r="A133" s="43" t="inlineStr">
        <is>
          <t>7. 배수설비공</t>
        </is>
      </c>
    </row>
    <row r="134" ht="20" customHeight="1">
      <c r="A134" s="4" t="inlineStr"/>
      <c r="B134" s="46" t="inlineStr">
        <is>
          <t>7.1 배수설비</t>
        </is>
      </c>
    </row>
    <row r="135" ht="20.5" customHeight="1">
      <c r="A135" s="44" t="inlineStr">
        <is>
          <t>(1)</t>
        </is>
      </c>
      <c r="C135" s="45" t="inlineStr">
        <is>
          <t>연약지반은 충분한 지지력을 확보할 수 있는지 확인한 뒤 시공합니다.</t>
        </is>
      </c>
    </row>
    <row r="136" ht="36" customHeight="1">
      <c r="A136" s="44" t="inlineStr">
        <is>
          <t>(2)</t>
        </is>
      </c>
      <c r="C136" s="45" t="inlineStr">
        <is>
          <t>배수관 · 연결관은 최소 1/100 이상 경사를 두고, 최소 흙두께는 배수관 20cm 이상 · 연결관 60cm 이상으로 합니다.</t>
        </is>
      </c>
    </row>
    <row r="137" ht="20.5" customHeight="1">
      <c r="A137" s="44" t="inlineStr">
        <is>
          <t>(3)</t>
        </is>
      </c>
      <c r="C137" s="45" t="inlineStr">
        <is>
          <t>오수받이의 인버트 유무를 반드시 확인하고, 없으면 정밀하게 시공합니다.</t>
        </is>
      </c>
    </row>
    <row r="138" ht="36" customHeight="1">
      <c r="A138" s="44" t="inlineStr">
        <is>
          <t>(4)</t>
        </is>
      </c>
      <c r="C138" s="45" t="inlineStr">
        <is>
          <t>사유지 안 배수관 공사 때 화장실 배수관은 다른 잡배수관과 절대로 잇지 않아 악취가 실내로 들어가지 않게 합니다.</t>
        </is>
      </c>
    </row>
    <row r="139" ht="20.5" customHeight="1">
      <c r="A139" s="44" t="inlineStr">
        <is>
          <t>(5)</t>
        </is>
      </c>
      <c r="C139" s="45" t="inlineStr">
        <is>
          <t>연장이 긴 합류점 · 곡관부는 막힘 민원이 없게 미리 대비합니다.</t>
        </is>
      </c>
    </row>
    <row r="140" ht="20.5" customHeight="1">
      <c r="A140" s="44" t="inlineStr">
        <is>
          <t>(6)</t>
        </is>
      </c>
      <c r="C140" s="45" t="inlineStr">
        <is>
          <t>주방 오수 배수관에는 통기구를 두어 순간 진공으로 흐름이 막히지 않게 합니다.</t>
        </is>
      </c>
    </row>
    <row r="141" ht="51.5" customHeight="1">
      <c r="A141" s="44" t="inlineStr">
        <is>
          <t>(7)</t>
        </is>
      </c>
      <c r="C141" s="45" t="inlineStr">
        <is>
          <t>배수 불량 구간 · 옥외 수도전 · 우수관(Roof Drain)으로 빗물이 들어오는 가옥은 우 · 오수 일체형 오수받이를 먼저 검토하고, 우수관이 건물 안에서 오수관과 합쳐지면 가옥주에게 우수관 별도 부설을 안내합니다.</t>
        </is>
      </c>
    </row>
    <row r="142" ht="20.5" customHeight="1">
      <c r="A142" s="44" t="inlineStr">
        <is>
          <t>(8)</t>
        </is>
      </c>
      <c r="C142" s="45" t="inlineStr">
        <is>
          <t>배수설비는 오수 전량을 오수맨홀이나 오수 본관에 잇습니다.</t>
        </is>
      </c>
    </row>
    <row r="143" ht="20" customHeight="1">
      <c r="A143" s="4" t="inlineStr"/>
      <c r="B143" s="46" t="inlineStr">
        <is>
          <t>7.2 PVC 오수받이 부설</t>
        </is>
      </c>
    </row>
    <row r="144" ht="36" customHeight="1">
      <c r="A144" s="44" t="inlineStr">
        <is>
          <t>(1)</t>
        </is>
      </c>
      <c r="C144" s="45" t="inlineStr">
        <is>
          <t>PVC 오수받이(안지름 300mm)는 중차량이 다니지 않는 공도와 사유지 경계에, 가옥주 · 공사감독관과 협의해 설치합니다.</t>
        </is>
      </c>
    </row>
    <row r="145" ht="36" customHeight="1">
      <c r="A145" s="44" t="inlineStr">
        <is>
          <t>(2)</t>
        </is>
      </c>
      <c r="C145" s="45" t="inlineStr">
        <is>
          <t>몸체를 유입 관로 선형에 맞게 놓고 수평계로 수평을 맞추며, 바닥이 흔들리지 않게 고정합니다.</t>
        </is>
      </c>
    </row>
    <row r="146" ht="36" customHeight="1">
      <c r="A146" s="44" t="inlineStr">
        <is>
          <t>(3)</t>
        </is>
      </c>
      <c r="C146" s="45" t="inlineStr">
        <is>
          <t>입상관을 끼우기 전에 삽입 길이만큼 PVC 전용 접착제를 바르되, 기름 · 물기 · 모래는 먼저 닦아 냅니다.</t>
        </is>
      </c>
    </row>
    <row r="147" ht="20.5" customHeight="1">
      <c r="A147" s="44" t="inlineStr">
        <is>
          <t>(4)</t>
        </is>
      </c>
      <c r="C147" s="45" t="inlineStr">
        <is>
          <t>주철 뚜껑과 틀 받침대는 입상관 주위에 좌우 같게 띄워 거치합니다.</t>
        </is>
      </c>
    </row>
    <row r="148" ht="20.5" customHeight="1">
      <c r="A148" s="44" t="inlineStr">
        <is>
          <t>(5)</t>
        </is>
      </c>
      <c r="C148" s="45" t="inlineStr">
        <is>
          <t>주변은 되메우기 기준대로 마무리하고, 포장 경사를 빗물이 잘 모이게 조정합니다.</t>
        </is>
      </c>
    </row>
    <row r="149" ht="36" customHeight="1">
      <c r="A149" s="44" t="inlineStr">
        <is>
          <t>(6)</t>
        </is>
      </c>
      <c r="C149" s="45" t="inlineStr">
        <is>
          <t>차량이 다니는 곳에 부득이 설치하면 공사감독관과 협의해 보강 대책(콘크리트 오수받이 · 주철 뚜껑 보강 등)을 세워 시공합니다.</t>
        </is>
      </c>
    </row>
    <row r="150" ht="20" customHeight="1">
      <c r="A150" s="4" t="inlineStr"/>
      <c r="B150" s="46" t="inlineStr">
        <is>
          <t>7.3 연결관과 오수 본관 연결</t>
        </is>
      </c>
    </row>
    <row r="151" ht="36" customHeight="1">
      <c r="A151" s="44" t="inlineStr">
        <is>
          <t>(1)</t>
        </is>
      </c>
      <c r="C151" s="45" t="inlineStr">
        <is>
          <t>오수받이에서 본관까지의 연결관은 관련 도면의 관종별 분기구 체결 형식에 따라 잇습니다.</t>
        </is>
      </c>
    </row>
    <row r="152" ht="36" customHeight="1">
      <c r="A152" s="44" t="inlineStr">
        <is>
          <t>(2)</t>
        </is>
      </c>
      <c r="C152" s="45" t="inlineStr">
        <is>
          <t>현장 여건상 연결관이 추가되면 본관을 천공해 이을 수 있으나 수밀성을 확보합니다.</t>
        </is>
      </c>
    </row>
    <row r="153" ht="20" customHeight="1">
      <c r="A153" s="4" t="inlineStr"/>
      <c r="B153" s="46" t="inlineStr">
        <is>
          <t>7.4 악취 대책 · 검사</t>
        </is>
      </c>
    </row>
    <row r="154" ht="36" customHeight="1">
      <c r="A154" s="44" t="inlineStr">
        <is>
          <t>(1)</t>
        </is>
      </c>
      <c r="C154" s="45" t="inlineStr">
        <is>
          <t>오수받이 뚜껑은 공장 제품 주철제 밀폐형으로, 물이 스며들지 않고 여닫기 쉬워야 합니다.</t>
        </is>
      </c>
    </row>
    <row r="155" ht="36" customHeight="1">
      <c r="A155" s="44" t="inlineStr">
        <is>
          <t>(2)</t>
        </is>
      </c>
      <c r="C155" s="45" t="inlineStr">
        <is>
          <t>분류식화 공사 뒤 가옥 안에 악취가 나면 오접 검사를 하고, 오접이 있으면 다시 시공합니다.</t>
        </is>
      </c>
    </row>
    <row r="156" ht="36" customHeight="1">
      <c r="A156" s="44" t="inlineStr">
        <is>
          <t>(3)</t>
        </is>
      </c>
      <c r="C156" s="45" t="inlineStr">
        <is>
          <t>오수받이 안 주방 배수관에는 봉수형 등 악취 유입 방지 시설을 설계도대로 둡니다(옥내 트랩이 있는 수세식 변소 배수관은 제외).</t>
        </is>
      </c>
    </row>
    <row r="157" ht="36" customHeight="1">
      <c r="A157" s="44" t="inlineStr">
        <is>
          <t>(4)</t>
        </is>
      </c>
      <c r="C157" s="45" t="inlineStr">
        <is>
          <t>수밀검사는 «하수도공사 시공관리요령(환경부)» 에 따르고, 맨홀 수밀검사는 관경 1,000mm 기준을 준용합니다. 필요하면 (부)공기압 시험으로 대신할 수 있습니다.</t>
        </is>
      </c>
    </row>
    <row r="158" ht="36" customHeight="1">
      <c r="A158" s="44" t="inlineStr">
        <is>
          <t>(5)</t>
        </is>
      </c>
      <c r="C158" s="45" t="inlineStr">
        <is>
          <t>누수 시험에 불합격한 구간은 누수 지점을 찾아 보수하거나 다시 시공하고, 결과는 준공 서류에 붙입니다.</t>
        </is>
      </c>
    </row>
    <row r="159" ht="36" customHeight="1">
      <c r="A159" s="44" t="inlineStr">
        <is>
          <t>(6)</t>
        </is>
      </c>
      <c r="C159" s="45" t="inlineStr">
        <is>
          <t>CCTV 조사 — 신설 1,000mm 미만 관(1,000mm 이상도 육안 조사가 어려우면)의 전 구간을 촬영하고, 불합격 구간은 보수 또는 재시공합니다.</t>
        </is>
      </c>
    </row>
    <row r="160" ht="51.5" customHeight="1">
      <c r="A160" s="44" t="inlineStr">
        <is>
          <t>(7)</t>
        </is>
      </c>
      <c r="C160" s="45" t="inlineStr">
        <is>
          <t>연막 시험 — 신설 · 개보수 관거(맨홀 포함)와 배수설비 전체에 시행하고, 오접이 있으면 곧바로 보수 또는 재시공합니다. 연막 시험이 어려우면 공사감독관 승인 아래 염료 시험으로 대신할 수 있습니다.</t>
        </is>
      </c>
    </row>
  </sheetData>
  <mergeCells count="250">
    <mergeCell ref="C71:L71"/>
    <mergeCell ref="B113:L113"/>
    <mergeCell ref="C123:L123"/>
    <mergeCell ref="C23:L23"/>
    <mergeCell ref="A64:B64"/>
    <mergeCell ref="A98:B98"/>
    <mergeCell ref="A73:B73"/>
    <mergeCell ref="C91:L91"/>
    <mergeCell ref="A88:B88"/>
    <mergeCell ref="B22:L22"/>
    <mergeCell ref="A70:B70"/>
    <mergeCell ref="C57:L57"/>
    <mergeCell ref="A54:B54"/>
    <mergeCell ref="C140:L140"/>
    <mergeCell ref="C155:L155"/>
    <mergeCell ref="B21:L21"/>
    <mergeCell ref="C49:L49"/>
    <mergeCell ref="A90:B90"/>
    <mergeCell ref="C101:L101"/>
    <mergeCell ref="C77:L77"/>
    <mergeCell ref="C86:L86"/>
    <mergeCell ref="B14:L14"/>
    <mergeCell ref="A27:B27"/>
    <mergeCell ref="A56:B56"/>
    <mergeCell ref="C157:L157"/>
    <mergeCell ref="C151:L151"/>
    <mergeCell ref="A154:B154"/>
    <mergeCell ref="A101:B101"/>
    <mergeCell ref="C126:L126"/>
    <mergeCell ref="B13:L13"/>
    <mergeCell ref="C141:L141"/>
    <mergeCell ref="A44:F44"/>
    <mergeCell ref="A76:B76"/>
    <mergeCell ref="A85:B85"/>
    <mergeCell ref="C128:L128"/>
    <mergeCell ref="C103:L103"/>
    <mergeCell ref="C85:L85"/>
    <mergeCell ref="A126:B126"/>
    <mergeCell ref="C112:L112"/>
    <mergeCell ref="A140:B140"/>
    <mergeCell ref="A53:B53"/>
    <mergeCell ref="C94:L94"/>
    <mergeCell ref="A109:B109"/>
    <mergeCell ref="A62:B62"/>
    <mergeCell ref="C118:L118"/>
    <mergeCell ref="C75:L75"/>
    <mergeCell ref="C84:L84"/>
    <mergeCell ref="C127:L127"/>
    <mergeCell ref="A68:B68"/>
    <mergeCell ref="A28:B28"/>
    <mergeCell ref="B51:L51"/>
    <mergeCell ref="C114:L114"/>
    <mergeCell ref="A111:B111"/>
    <mergeCell ref="A117:B117"/>
    <mergeCell ref="C130:L130"/>
    <mergeCell ref="C46:L46"/>
    <mergeCell ref="A48:B48"/>
    <mergeCell ref="B106:L106"/>
    <mergeCell ref="C61:L61"/>
    <mergeCell ref="B16:L16"/>
    <mergeCell ref="C70:L70"/>
    <mergeCell ref="A142:B142"/>
    <mergeCell ref="C48:L48"/>
    <mergeCell ref="C159:L159"/>
    <mergeCell ref="A133:L133"/>
    <mergeCell ref="A103:B103"/>
    <mergeCell ref="C81:L81"/>
    <mergeCell ref="A3:L3"/>
    <mergeCell ref="C125:L125"/>
    <mergeCell ref="A61:B61"/>
    <mergeCell ref="A12:L12"/>
    <mergeCell ref="B18:L18"/>
    <mergeCell ref="A87:B87"/>
    <mergeCell ref="A104:L104"/>
    <mergeCell ref="C131:L131"/>
    <mergeCell ref="C87:L87"/>
    <mergeCell ref="A128:B128"/>
    <mergeCell ref="C145:L145"/>
    <mergeCell ref="B11:L11"/>
    <mergeCell ref="A137:B137"/>
    <mergeCell ref="C154:L154"/>
    <mergeCell ref="A46:B46"/>
    <mergeCell ref="C24:L24"/>
    <mergeCell ref="B67:L67"/>
    <mergeCell ref="A136:B136"/>
    <mergeCell ref="A4:L4"/>
    <mergeCell ref="A145:B145"/>
    <mergeCell ref="C116:L116"/>
    <mergeCell ref="A26:B26"/>
    <mergeCell ref="A139:B139"/>
    <mergeCell ref="C156:L156"/>
    <mergeCell ref="C73:L73"/>
    <mergeCell ref="G44:L44"/>
    <mergeCell ref="A71:B71"/>
    <mergeCell ref="C26:L26"/>
    <mergeCell ref="C88:L88"/>
    <mergeCell ref="A129:B129"/>
    <mergeCell ref="A127:B127"/>
    <mergeCell ref="A116:B116"/>
    <mergeCell ref="C63:L63"/>
    <mergeCell ref="C121:L121"/>
    <mergeCell ref="A91:B91"/>
    <mergeCell ref="C25:L25"/>
    <mergeCell ref="A131:B131"/>
    <mergeCell ref="A100:B100"/>
    <mergeCell ref="C117:L117"/>
    <mergeCell ref="C55:L55"/>
    <mergeCell ref="A52:B52"/>
    <mergeCell ref="B6:L6"/>
    <mergeCell ref="B15:L15"/>
    <mergeCell ref="A63:B63"/>
    <mergeCell ref="A115:B115"/>
    <mergeCell ref="B80:L80"/>
    <mergeCell ref="A93:B93"/>
    <mergeCell ref="A155:B155"/>
    <mergeCell ref="B89:L89"/>
    <mergeCell ref="A102:B102"/>
    <mergeCell ref="C115:L115"/>
    <mergeCell ref="A77:B77"/>
    <mergeCell ref="A83:B83"/>
    <mergeCell ref="A92:B92"/>
    <mergeCell ref="A157:B157"/>
    <mergeCell ref="B153:L153"/>
    <mergeCell ref="C52:L52"/>
    <mergeCell ref="B7:L7"/>
    <mergeCell ref="A49:B49"/>
    <mergeCell ref="C135:L135"/>
    <mergeCell ref="B134:L134"/>
    <mergeCell ref="C144:L144"/>
    <mergeCell ref="C122:L122"/>
    <mergeCell ref="C158:L158"/>
    <mergeCell ref="A119:B119"/>
    <mergeCell ref="A94:B94"/>
    <mergeCell ref="C72:L72"/>
    <mergeCell ref="A50:L50"/>
    <mergeCell ref="C28:L28"/>
    <mergeCell ref="A69:B69"/>
    <mergeCell ref="B105:L105"/>
    <mergeCell ref="A78:B78"/>
    <mergeCell ref="A65:B65"/>
    <mergeCell ref="C69:L69"/>
    <mergeCell ref="C96:L96"/>
    <mergeCell ref="C78:L78"/>
    <mergeCell ref="C136:L136"/>
    <mergeCell ref="A75:B75"/>
    <mergeCell ref="C92:L92"/>
    <mergeCell ref="C62:L62"/>
    <mergeCell ref="A120:B120"/>
    <mergeCell ref="B17:L17"/>
    <mergeCell ref="A55:B55"/>
    <mergeCell ref="C98:L98"/>
    <mergeCell ref="A57:B57"/>
    <mergeCell ref="C64:L64"/>
    <mergeCell ref="B19:L19"/>
    <mergeCell ref="C147:L147"/>
    <mergeCell ref="B99:L99"/>
    <mergeCell ref="A23:B23"/>
    <mergeCell ref="C54:L54"/>
    <mergeCell ref="B108:L108"/>
    <mergeCell ref="B9:L9"/>
    <mergeCell ref="C137:L137"/>
    <mergeCell ref="C146:L146"/>
    <mergeCell ref="C93:L93"/>
    <mergeCell ref="C95:L95"/>
    <mergeCell ref="A96:B96"/>
    <mergeCell ref="C124:L124"/>
    <mergeCell ref="B143:L143"/>
    <mergeCell ref="B30:L30"/>
    <mergeCell ref="A147:B147"/>
    <mergeCell ref="A156:B156"/>
    <mergeCell ref="A107:L107"/>
    <mergeCell ref="A1:F1"/>
    <mergeCell ref="C56:L56"/>
    <mergeCell ref="B5:L5"/>
    <mergeCell ref="B20:L20"/>
    <mergeCell ref="C90:L90"/>
    <mergeCell ref="C139:L139"/>
    <mergeCell ref="C148:L148"/>
    <mergeCell ref="C138:L138"/>
    <mergeCell ref="C27:L27"/>
    <mergeCell ref="C76:L76"/>
    <mergeCell ref="C120:L120"/>
    <mergeCell ref="A24:B24"/>
    <mergeCell ref="C110:L110"/>
    <mergeCell ref="A130:B130"/>
    <mergeCell ref="C132:L132"/>
    <mergeCell ref="A82:B82"/>
    <mergeCell ref="C119:L119"/>
    <mergeCell ref="A60:B60"/>
    <mergeCell ref="A148:B148"/>
    <mergeCell ref="B59:L59"/>
    <mergeCell ref="B150:L150"/>
    <mergeCell ref="C82:L82"/>
    <mergeCell ref="A123:B123"/>
    <mergeCell ref="A138:B138"/>
    <mergeCell ref="A132:B132"/>
    <mergeCell ref="C149:L149"/>
    <mergeCell ref="A110:B110"/>
    <mergeCell ref="A146:B146"/>
    <mergeCell ref="A124:B124"/>
    <mergeCell ref="C66:L66"/>
    <mergeCell ref="C53:L53"/>
    <mergeCell ref="C102:L102"/>
    <mergeCell ref="A25:B25"/>
    <mergeCell ref="C111:L111"/>
    <mergeCell ref="A84:B84"/>
    <mergeCell ref="C68:L68"/>
    <mergeCell ref="A66:B66"/>
    <mergeCell ref="C83:L83"/>
    <mergeCell ref="A118:B118"/>
    <mergeCell ref="A149:B149"/>
    <mergeCell ref="C160:L160"/>
    <mergeCell ref="A158:B158"/>
    <mergeCell ref="C58:L58"/>
    <mergeCell ref="B8:L8"/>
    <mergeCell ref="G1:L1"/>
    <mergeCell ref="A86:B86"/>
    <mergeCell ref="C97:L97"/>
    <mergeCell ref="A95:B95"/>
    <mergeCell ref="A151:B151"/>
    <mergeCell ref="A47:B47"/>
    <mergeCell ref="A160:B160"/>
    <mergeCell ref="C29:L29"/>
    <mergeCell ref="B10:L10"/>
    <mergeCell ref="C100:L100"/>
    <mergeCell ref="A141:B141"/>
    <mergeCell ref="A135:B135"/>
    <mergeCell ref="C65:L65"/>
    <mergeCell ref="B45:L45"/>
    <mergeCell ref="C47:L47"/>
    <mergeCell ref="C109:L109"/>
    <mergeCell ref="A144:B144"/>
    <mergeCell ref="A122:B122"/>
    <mergeCell ref="A97:B97"/>
    <mergeCell ref="C152:L152"/>
    <mergeCell ref="A159:B159"/>
    <mergeCell ref="A125:B125"/>
    <mergeCell ref="C142:L142"/>
    <mergeCell ref="A72:B72"/>
    <mergeCell ref="A29:B29"/>
    <mergeCell ref="B74:L74"/>
    <mergeCell ref="A81:B81"/>
    <mergeCell ref="A112:B112"/>
    <mergeCell ref="C129:L129"/>
    <mergeCell ref="A152:B152"/>
    <mergeCell ref="A121:B121"/>
    <mergeCell ref="A79:L79"/>
    <mergeCell ref="C60:L60"/>
    <mergeCell ref="A58:B58"/>
    <mergeCell ref="A114:B114"/>
  </mergeCells>
  <printOptions horizontalCentered="1"/>
  <pageMargins left="0.45" right="0.45" top="0.5" bottom="0.5" header="0.2" footer="0.2"/>
  <pageSetup orientation="portrait" paperSize="9" fitToHeight="0" fitToWidth="1"/>
  <rowBreaks count="6" manualBreakCount="6">
    <brk id="29" min="0" max="16383" man="1"/>
    <brk id="62" min="0" max="16383" man="1"/>
    <brk id="90" min="0" max="16383" man="1"/>
    <brk id="111" min="0" max="16383" man="1"/>
    <brk id="135" min="0" max="16383" man="1"/>
    <brk id="159" min="0" max="16383" man="1"/>
  </rowBreaks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5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제7장  도로포장 공사</t>
        </is>
      </c>
    </row>
    <row r="4" ht="21.5" customHeight="1">
      <c r="A4" s="48" t="inlineStr">
        <is>
          <t>구간별 터파기 표준 단면은 설계도면을 따릅니다(제3장 2.1 의 단면도 참조).</t>
        </is>
      </c>
    </row>
    <row r="5" ht="21" customHeight="1">
      <c r="A5" s="43" t="inlineStr">
        <is>
          <t>1. 보조기층</t>
        </is>
      </c>
    </row>
    <row r="6" ht="36" customHeight="1">
      <c r="A6" s="44" t="inlineStr">
        <is>
          <t>1)</t>
        </is>
      </c>
      <c r="B6" s="45" t="inlineStr">
        <is>
          <t>재료는 정해진 입도 · 시방에 맞게 섞어 공사감독관의 승인을 받은 뒤 반입하고, 저장 · 운반 · 포설 중 재료가 분리되지 않게 알맞은 함수비를 유지합니다.</t>
        </is>
      </c>
    </row>
    <row r="7" ht="36" customHeight="1">
      <c r="A7" s="44" t="inlineStr">
        <is>
          <t>2)</t>
        </is>
      </c>
      <c r="B7" s="45" t="inlineStr">
        <is>
          <t>깔기 장비는 재료 분리를 일으키지 않는 것으로 하고, 다짐 뒤 한 층 두께가 20cm 를 넘지 않게 고르게 깝니다.</t>
        </is>
      </c>
    </row>
    <row r="8" ht="20.5" customHeight="1">
      <c r="A8" s="44" t="inlineStr">
        <is>
          <t>3)</t>
        </is>
      </c>
      <c r="B8" s="45" t="inlineStr">
        <is>
          <t>설계서에 따로 없으면 기층 끝에서 양옆으로 각각 60cm 이상 넓혀 시공합니다.</t>
        </is>
      </c>
    </row>
    <row r="9" ht="36" customHeight="1">
      <c r="A9" s="44" t="inlineStr">
        <is>
          <t>4)</t>
        </is>
      </c>
      <c r="B9" s="45" t="inlineStr">
        <is>
          <t>다짐은 공사감독관의 승인을 받아 하고, KS F 2312 로 구한 최대건조밀도의 95% 이상으로 다집니다. 길어깨에서 중앙 쪽으로 겹쳐 가며 다지고, 다짐도는 KS F 2311 등으로 잽니다.</t>
        </is>
      </c>
    </row>
    <row r="10" ht="36" customHeight="1">
      <c r="A10" s="44" t="inlineStr">
        <is>
          <t>5)</t>
        </is>
      </c>
      <c r="B10" s="45" t="inlineStr">
        <is>
          <t>마무리 면은 계획고와 ±30mm 이상 차이가 나지 않게 하고, 두께는 커터로 자르거나 구멍을 파서 잽니다.</t>
        </is>
      </c>
    </row>
    <row r="11" ht="51.5" customHeight="1">
      <c r="A11" s="44" t="inlineStr">
        <is>
          <t>6)</t>
        </is>
      </c>
      <c r="B11" s="45" t="inlineStr">
        <is>
          <t>시공 중 늘 좋은 상태로 유지하고 손상 부분은 곧바로 보수해 승인을 받습니다. 공사 차량이 다녔거나 완성 뒤 120일 이상 두었으면 다시 시험해 승인을 받고, 불합격하면 시공자 부담으로 다시 시공합니다.</t>
        </is>
      </c>
    </row>
    <row r="12" ht="21" customHeight="1">
      <c r="A12" s="43" t="inlineStr">
        <is>
          <t>2. 역청 프라임 코트 · 택 코트</t>
        </is>
      </c>
    </row>
    <row r="13" ht="36" customHeight="1">
      <c r="A13" s="44" t="inlineStr">
        <is>
          <t>1)</t>
        </is>
      </c>
      <c r="B13" s="45" t="inlineStr">
        <is>
          <t>프라임 코트는 살포 뒤 MC 는 48시간, RS(C) 는 마를 때까지 충분히 양생하고, 적게 뿌려진 곳은 더 뿌립니다.</t>
        </is>
      </c>
    </row>
    <row r="14" ht="36" customHeight="1">
      <c r="A14" s="44" t="inlineStr">
        <is>
          <t>2)</t>
        </is>
      </c>
      <c r="B14" s="45" t="inlineStr">
        <is>
          <t>역청재가 너무 많거나 흡수되지 않으면 모래를 뿌려 흡수시키고, 상층 포장 전에 흩어진 모래를 걷어 내고 타이어 롤러로 다집니다.</t>
        </is>
      </c>
    </row>
    <row r="15" ht="36" customHeight="1">
      <c r="A15" s="44" t="inlineStr">
        <is>
          <t>3)</t>
        </is>
      </c>
      <c r="B15" s="45" t="inlineStr">
        <is>
          <t>택 코트 살포량은 공사감독관이 정한 양을 넘지 않게 하고, 과하게 뿌려 결합에 해로우면 걷어 내고 다시 시공합니다. 살포 뒤 곧바로 타이어 롤러로 고르지 않은 곳을 바로잡습니다.</t>
        </is>
      </c>
    </row>
    <row r="16" ht="36" customHeight="1">
      <c r="A16" s="44" t="inlineStr">
        <is>
          <t>4)</t>
        </is>
      </c>
      <c r="B16" s="45" t="inlineStr">
        <is>
          <t>유화 아스팔트는 물을 타서 묽게 할 수 있으며, 살포 뒤 물기가 마를 때까지 양생하고 표층이 끝날 때까지 차량 통행을 막습니다.</t>
        </is>
      </c>
    </row>
    <row r="17" ht="21" customHeight="1">
      <c r="A17" s="43" t="inlineStr">
        <is>
          <t>3. 아스팔트 콘크리트 포장</t>
        </is>
      </c>
    </row>
    <row r="18" ht="36" customHeight="1">
      <c r="A18" s="44" t="inlineStr">
        <is>
          <t>1)</t>
        </is>
      </c>
      <c r="B18" s="45" t="inlineStr">
        <is>
          <t>혼합물은 균일한 두께로 깔고, 따로 지시가 없으면 폭 3m 이내로 포설합니다. 포설 뒤 곧바로 다지며, 앞서 깐 면까지 겹쳐 다집니다. 표층 전에 기층 단면을 끝냅니다.</t>
        </is>
      </c>
    </row>
    <row r="19" ht="36" customHeight="1">
      <c r="A19" s="44" t="inlineStr">
        <is>
          <t>2)</t>
        </is>
      </c>
      <c r="B19" s="45" t="inlineStr">
        <is>
          <t>고르지 않은 면은 곧바로 고칩니다. 이음은 신 · 구 포장 사이나 하루 작업 끝에 두고 접착이 확실하게 합니다.</t>
        </is>
      </c>
    </row>
    <row r="20" ht="36" customHeight="1">
      <c r="A20" s="44" t="inlineStr">
        <is>
          <t>3)</t>
        </is>
      </c>
      <c r="B20" s="45" t="inlineStr">
        <is>
          <t>롤러 하중에 밀리지 않을 만큼 안정되면 다지고, 롤러가 못 들어가는 곳은 탬퍼로 충분히 다집니다.</t>
        </is>
      </c>
    </row>
    <row r="21" ht="36" customHeight="1">
      <c r="A21" s="44" t="inlineStr">
        <is>
          <t>4)</t>
        </is>
      </c>
      <c r="B21" s="45" t="inlineStr">
        <is>
          <t>초기 다짐(이음부 · 가장자리 포함) → 2차 다짐(식기 전에 고르게) → 마무리 다짐(뜨거울 때 롤러 자국 없앰) 순으로 하고, 불충분한 곳은 새 혼합물로 보수합니다.</t>
        </is>
      </c>
    </row>
    <row r="22" ht="36" customHeight="1">
      <c r="A22" s="44" t="inlineStr">
        <is>
          <t>5)</t>
        </is>
      </c>
      <c r="B22" s="45" t="inlineStr">
        <is>
          <t>마무리 다짐 뒤 완전히 안정될 때까지 롤러 등 장비를 세워 두지 않고, 차량 통행을 막아 자국이 생기지 않게 합니다.</t>
        </is>
      </c>
    </row>
    <row r="23" ht="21" customHeight="1">
      <c r="A23" s="43" t="inlineStr">
        <is>
          <t>4. 차선 도색</t>
        </is>
      </c>
    </row>
    <row r="24" ht="51.5" customHeight="1">
      <c r="A24" s="44" t="inlineStr">
        <is>
          <t>1)</t>
        </is>
      </c>
      <c r="B24" s="45" t="inlineStr">
        <is>
          <t>노면표시는 야간에도 잘 보이게 반사재를 쓰고, 재귀반사 성능과 색채는 «노면표시 설치 · 관리 매뉴얼(경찰청)» 기준을 따릅니다. 황색은 바탕 포장(콘크리트 · 아스팔트)과의 대비를 고려합니다.</t>
        </is>
      </c>
    </row>
    <row r="25" ht="36" customHeight="1">
      <c r="A25" s="44" t="inlineStr">
        <is>
          <t>2)</t>
        </is>
      </c>
      <c r="B25" s="45" t="inlineStr">
        <is>
          <t>노면이 완전히 마른 상태에서 칠하고, 젖어 있거나 노면 온도가 10℃ 이하이면 칠하지 않습니다.</t>
        </is>
      </c>
    </row>
    <row r="26" ht="20.5" customHeight="1">
      <c r="A26" s="44" t="inlineStr">
        <is>
          <t>3)</t>
        </is>
      </c>
      <c r="B26" s="45" t="inlineStr">
        <is>
          <t>모양 · 치수는 정해진 폭으로 깨끗하고 고르게, 곡선 · 직선을 알맞게 유지합니다.</t>
        </is>
      </c>
    </row>
    <row r="27" ht="20.5" customHeight="1">
      <c r="A27" s="44" t="inlineStr">
        <is>
          <t>4)</t>
        </is>
      </c>
      <c r="B27" s="45" t="inlineStr">
        <is>
          <t>유리알은 도료에 섞거나 칠한 직후 살포기로 고르게 뿌려 정착시킵니다.</t>
        </is>
      </c>
    </row>
    <row r="28" ht="20.5" customHeight="1">
      <c r="A28" s="44" t="inlineStr">
        <is>
          <t>5)</t>
        </is>
      </c>
      <c r="B28" s="45" t="inlineStr">
        <is>
          <t>전체를 기계로 도장하고, 도장 장비 · 방식은 공사감독관의 승인을 받습니다.</t>
        </is>
      </c>
    </row>
    <row r="29" ht="21" customHeight="1">
      <c r="A29" s="43" t="inlineStr">
        <is>
          <t>5. 보도블록</t>
        </is>
      </c>
    </row>
    <row r="30" ht="36" customHeight="1">
      <c r="A30" s="44" t="inlineStr">
        <is>
          <t>1)</t>
        </is>
      </c>
      <c r="B30" s="45" t="inlineStr">
        <is>
          <t>기초는 침하가 없게 충분히 다져 평탄하게 하고, 성토 지반은 부등침하가 없게 하며 필요하면 설계도대로 노반을 더 만듭니다.</t>
        </is>
      </c>
    </row>
    <row r="31" ht="36" customHeight="1">
      <c r="A31" s="44" t="inlineStr">
        <is>
          <t>2)</t>
        </is>
      </c>
      <c r="B31" s="45" t="inlineStr">
        <is>
          <t>곡선부나 한 장이 안 되는 곳은 규격 제품이 있으면 쓰고, 없으면 절단기로 정교하게 잘라 맞춥니다.</t>
        </is>
      </c>
    </row>
    <row r="32" ht="36" customHeight="1">
      <c r="A32" s="44" t="inlineStr">
        <is>
          <t>3)</t>
        </is>
      </c>
      <c r="B32" s="45" t="inlineStr">
        <is>
          <t>다짐 뒤 설계 두께가 되게 모래를 깔고, 블록을 깐 직후 가는 모래를 뿌려 줄눈을 채운 뒤 남는 모래는 치웁니다.</t>
        </is>
      </c>
    </row>
    <row r="33" ht="20.5" customHeight="1">
      <c r="A33" s="44" t="inlineStr">
        <is>
          <t>4)</t>
        </is>
      </c>
      <c r="B33" s="45" t="inlineStr">
        <is>
          <t>모래는 하루 시공량만 깔고, 고른 모래 위로 차량 · 사람이 다니지 않게 합니다.</t>
        </is>
      </c>
    </row>
    <row r="34" ht="36" customHeight="1">
      <c r="A34" s="44" t="inlineStr">
        <is>
          <t>5)</t>
        </is>
      </c>
      <c r="B34" s="45" t="inlineStr">
        <is>
          <t>깔기가 끝나면 플레이트 콤팩터로 바닥이 고를 때까지 다지고, 경계석 · 인접 구조물을 다치지 않게 합니다.</t>
        </is>
      </c>
    </row>
    <row r="35" ht="21" customHeight="1">
      <c r="A35" s="43" t="inlineStr">
        <is>
          <t>6. 도로 복구</t>
        </is>
      </c>
    </row>
    <row r="36" ht="36" customHeight="1">
      <c r="A36" s="44" t="inlineStr">
        <is>
          <t>1)</t>
        </is>
      </c>
      <c r="B36" s="45" t="inlineStr">
        <is>
          <t>관거 매설 뒤 터파기 구간을 곧바로 되메우고 부직포 등으로 교통에 방해가 없게 하며, 포장 가복구 계획을 세워 본복구까지의 단차 사고와 통행 불편을 최소화합니다.</t>
        </is>
      </c>
    </row>
    <row r="37" ht="36" customHeight="1">
      <c r="A37" s="44" t="inlineStr">
        <is>
          <t>2)</t>
        </is>
      </c>
      <c r="B37" s="45" t="inlineStr">
        <is>
          <t>아스팔트 포장 구간은 기층재로 본 포장 표층 높이까지 가복구하고 «임시포장» 등 문구를 노면에 표시하며, 수시로 순회 점검합니다. 본복구는 기층을 절삭한 뒤 표층을 깝니다.</t>
        </is>
      </c>
    </row>
    <row r="38" ht="36" customHeight="1">
      <c r="A38" s="44" t="inlineStr">
        <is>
          <t>3)</t>
        </is>
      </c>
      <c r="B38" s="45" t="inlineStr">
        <is>
          <t>아스팔트 콘크리트 · 콘크리트 · 기타 재료 포장 구간은 본래 포장과 같은 재료 · 단면으로 복구합니다.</t>
        </is>
      </c>
    </row>
    <row r="39" ht="20.5" customHeight="1">
      <c r="A39" s="44" t="inlineStr">
        <is>
          <t>4)</t>
        </is>
      </c>
      <c r="B39" s="45" t="inlineStr">
        <is>
          <t>모든 포장 복구는 도로 굴착 심의 및 허가 조건을 지킵니다.</t>
        </is>
      </c>
    </row>
    <row r="40" ht="3" customHeight="1"/>
    <row r="41" ht="21" customHeight="1">
      <c r="A41" s="20" t="inlineStr">
        <is>
          <t>제8장  기타 공사</t>
        </is>
      </c>
    </row>
    <row r="42" ht="21" customHeight="1">
      <c r="A42" s="43" t="inlineStr">
        <is>
          <t>1. 지장물 보호 및 이설</t>
        </is>
      </c>
    </row>
    <row r="43" ht="36" customHeight="1">
      <c r="A43" s="44" t="inlineStr">
        <is>
          <t>(1)</t>
        </is>
      </c>
      <c r="B43" s="45" t="inlineStr">
        <is>
          <t>터파기 구간의 기존 매설관은 H형강 등으로 매달아 관 부설이 끝날 때까지 고정해 보호합니다.</t>
        </is>
      </c>
    </row>
    <row r="44" ht="36" customHeight="1">
      <c r="A44" s="44" t="inlineStr">
        <is>
          <t>(2)</t>
        </is>
      </c>
      <c r="B44" s="45" t="inlineStr">
        <is>
          <t>수도관 · 가스관의 굴곡부 · 분기부 · 단관부 등 특수 부분과 지시에 따라 이음을 옮길 때는 낙하 방지공 등으로 보강하고, 특별한 부분은 공사감독관의 지시를 받습니다.</t>
        </is>
      </c>
    </row>
    <row r="45" ht="36" customHeight="1">
      <c r="A45" s="44" t="inlineStr">
        <is>
          <t>(3)</t>
        </is>
      </c>
      <c r="B45" s="45" t="inlineStr">
        <is>
          <t>하수관로 · 맨홀 연결부 등 새기 쉬운 곳은 미리 보강한 뒤 공사하고 수시로 보수 · 점검합니다.</t>
        </is>
      </c>
    </row>
    <row r="46" ht="36" customHeight="1">
      <c r="A46" s="44" t="inlineStr">
        <is>
          <t>(4)</t>
        </is>
      </c>
      <c r="B46" s="45" t="inlineStr">
        <is>
          <t>통신 관로는 하자가 없게 보호하고 케이블을 다치지 않게 하며, 손상이 생기면 곧바로 보고하고 원상 복구합니다.</t>
        </is>
      </c>
    </row>
    <row r="47" ht="20.5" customHeight="1">
      <c r="A47" s="44" t="inlineStr">
        <is>
          <t>(5)</t>
        </is>
      </c>
      <c r="B47" s="45" t="inlineStr">
        <is>
          <t>전력 관로는 하자가 없게 보호하고, 주위 시공 전에 공사감독관 · 관련 기관과 협의합니다.</t>
        </is>
      </c>
    </row>
    <row r="48" ht="21" customHeight="1">
      <c r="A48" s="43" t="inlineStr">
        <is>
          <t>2. 시설물 파취 및 복구</t>
        </is>
      </c>
    </row>
    <row r="49" ht="36" customHeight="1">
      <c r="A49" s="44" t="inlineStr">
        <is>
          <t>1)</t>
        </is>
      </c>
      <c r="B49" s="45" t="inlineStr">
        <is>
          <t>기존 시설물 파취는 신설 구조물과 잇기 위한 것으로, 현장을 충분히 조사해 연결 방안 · 시공 · 안전 계획을 세우고 기존 구조물을 다치지 않게 합니다.</t>
        </is>
      </c>
    </row>
    <row r="50" ht="36" customHeight="1">
      <c r="A50" s="44" t="inlineStr">
        <is>
          <t>2)</t>
        </is>
      </c>
      <c r="B50" s="45" t="inlineStr">
        <is>
          <t>지하 매설 관로 파취는 배관 상황을 조사해 기능이 최대한 유지되게 하고, 필요하면 우회(By-Pass) 시설 계획을 시공계획서에 넣습니다.</t>
        </is>
      </c>
    </row>
    <row r="51" ht="20.5" customHeight="1">
      <c r="A51" s="44" t="inlineStr">
        <is>
          <t>3)</t>
        </is>
      </c>
      <c r="B51" s="45" t="inlineStr">
        <is>
          <t>공사 착수 전에 도로 · 교통 관리 기관에 신고 · 허가 등 행정 조치를 합니다.</t>
        </is>
      </c>
    </row>
    <row r="52" ht="36" customHeight="1">
      <c r="A52" s="44" t="inlineStr">
        <is>
          <t>4)</t>
        </is>
      </c>
      <c r="B52" s="45" t="inlineStr">
        <is>
          <t>작업 구간은 교통에 지장이 없게 안전책 · 교통표지판을 설치하고, 공사로 인한 안전사고는 시공자에게 책임이 있습니다.</t>
        </is>
      </c>
    </row>
    <row r="53" ht="36" customHeight="1">
      <c r="A53" s="44" t="inlineStr">
        <is>
          <t>5)</t>
        </is>
      </c>
      <c r="B53" s="45" t="inlineStr">
        <is>
          <t>포장 절단은 도면대로 콘크리트 커터로 정확히 하고, 깬 포장재는 곧바로 사토장으로 반출하며, 파괴 구간은 빗물로 기존 시설이 약해지지 않게 대책을 세웁니다.</t>
        </is>
      </c>
    </row>
    <row r="54" ht="20.5" customHeight="1">
      <c r="A54" s="44" t="inlineStr">
        <is>
          <t>6)</t>
        </is>
      </c>
      <c r="B54" s="45" t="inlineStr">
        <is>
          <t>포장 복구는 포장공사 시방을 따릅니다.</t>
        </is>
      </c>
    </row>
    <row r="55" ht="21" customHeight="1">
      <c r="A55" s="43" t="inlineStr">
        <is>
          <t>3. 폐기물 처리</t>
        </is>
      </c>
    </row>
    <row r="56" ht="36" customHeight="1">
      <c r="A56" s="44" t="inlineStr">
        <is>
          <t>1)</t>
        </is>
      </c>
      <c r="B56" s="45" t="inlineStr">
        <is>
          <t>걷어 낸 재료 · 폐기물 · 쓰레기는 폐기물관리법 · 건설폐기물의 재활용촉진에 관한 법률에 따라 안전하게 처리합니다.</t>
        </is>
      </c>
    </row>
    <row r="57" ht="20.5" customHeight="1">
      <c r="A57" s="44" t="inlineStr">
        <is>
          <t>2)</t>
        </is>
      </c>
      <c r="B57" s="45" t="inlineStr">
        <is>
          <t>폐기물은 공사에 지장이 없게 수시로 현장 밖으로 반출합니다.</t>
        </is>
      </c>
    </row>
  </sheetData>
  <mergeCells count="56">
    <mergeCell ref="B50:L50"/>
    <mergeCell ref="B26:L26"/>
    <mergeCell ref="A41:L41"/>
    <mergeCell ref="B16:L16"/>
    <mergeCell ref="B54:L54"/>
    <mergeCell ref="B7:L7"/>
    <mergeCell ref="B25:L25"/>
    <mergeCell ref="B47:L47"/>
    <mergeCell ref="B46:L46"/>
    <mergeCell ref="B22:L22"/>
    <mergeCell ref="A3:L3"/>
    <mergeCell ref="B31:L31"/>
    <mergeCell ref="A55:L55"/>
    <mergeCell ref="A12:L12"/>
    <mergeCell ref="B18:L18"/>
    <mergeCell ref="B27:L27"/>
    <mergeCell ref="B56:L56"/>
    <mergeCell ref="B43:L43"/>
    <mergeCell ref="A42:L42"/>
    <mergeCell ref="B52:L52"/>
    <mergeCell ref="B21:L21"/>
    <mergeCell ref="B39:L39"/>
    <mergeCell ref="A5:L5"/>
    <mergeCell ref="B11:L11"/>
    <mergeCell ref="A23:L23"/>
    <mergeCell ref="A17:L17"/>
    <mergeCell ref="B14:L14"/>
    <mergeCell ref="A35:L35"/>
    <mergeCell ref="A4:L4"/>
    <mergeCell ref="B8:L8"/>
    <mergeCell ref="B57:L57"/>
    <mergeCell ref="G1:L1"/>
    <mergeCell ref="B53:L53"/>
    <mergeCell ref="A29:L29"/>
    <mergeCell ref="B13:L13"/>
    <mergeCell ref="B38:L38"/>
    <mergeCell ref="B44:L44"/>
    <mergeCell ref="B19:L19"/>
    <mergeCell ref="B34:L34"/>
    <mergeCell ref="B37:L37"/>
    <mergeCell ref="B10:L10"/>
    <mergeCell ref="B28:L28"/>
    <mergeCell ref="B9:L9"/>
    <mergeCell ref="A48:L48"/>
    <mergeCell ref="B49:L49"/>
    <mergeCell ref="B6:L6"/>
    <mergeCell ref="B30:L30"/>
    <mergeCell ref="B15:L15"/>
    <mergeCell ref="A1:F1"/>
    <mergeCell ref="B33:L33"/>
    <mergeCell ref="B24:L24"/>
    <mergeCell ref="B51:L51"/>
    <mergeCell ref="B20:L20"/>
    <mergeCell ref="B36:L36"/>
    <mergeCell ref="B32:L32"/>
    <mergeCell ref="B45:L45"/>
  </mergeCells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51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6.  일일 시공 일정</t>
        </is>
      </c>
    </row>
    <row r="4" ht="52.5" customHeight="1">
      <c r="A4" s="48" t="inlineStr">
        <is>
          <t>본 공사는 마을 안 도로를 지나는 작업이 많으므로, 하루 작업량은 관을 묻고 되메우기까지 끝내 보행자 · 차량 통행에 지장이 없게 정합니다. 휴식 · 점심 시간에 생길 수 있는 안전사고에 주의하고, 공사로 생긴 잡자재 · 쓰레기는 작업이 끝나기 전에 치웁니다.</t>
        </is>
      </c>
    </row>
    <row r="5" ht="4" customHeight="1"/>
    <row r="6" ht="24" customHeight="1">
      <c r="A6" s="21" t="inlineStr">
        <is>
          <t>시  작</t>
        </is>
      </c>
      <c r="B6" s="6" t="n"/>
      <c r="C6" s="21" t="inlineStr">
        <is>
          <t>끝</t>
        </is>
      </c>
      <c r="D6" s="6" t="n"/>
      <c r="E6" s="21" t="inlineStr">
        <is>
          <t>소요 시간</t>
        </is>
      </c>
      <c r="F6" s="6" t="n"/>
      <c r="G6" s="21" t="inlineStr">
        <is>
          <t>작 업 내 용</t>
        </is>
      </c>
      <c r="H6" s="6" t="n"/>
      <c r="I6" s="6" t="n"/>
      <c r="J6" s="6" t="n"/>
      <c r="K6" s="6" t="n"/>
      <c r="L6" s="6" t="n"/>
    </row>
    <row r="7" ht="24" customHeight="1">
      <c r="A7" s="52" t="n">
        <v>0.2916666666666667</v>
      </c>
      <c r="B7" s="6" t="n"/>
      <c r="C7" s="52" t="n">
        <v>0.3125</v>
      </c>
      <c r="D7" s="6" t="n"/>
      <c r="E7" s="53">
        <f>IF(OR(A7="",C7=""),"",IF(C7&lt;A7,"⚠",ROUND((C7-A7)*24*60,0)))</f>
        <v/>
      </c>
      <c r="F7" s="6" t="n"/>
      <c r="G7" s="28" t="inlineStr">
        <is>
          <t>TBM(작업 전 안전점검 회의) · 안전교육 · 건강 상태 확인</t>
        </is>
      </c>
      <c r="H7" s="6" t="n"/>
      <c r="I7" s="6" t="n"/>
      <c r="J7" s="6" t="n"/>
      <c r="K7" s="6" t="n"/>
      <c r="L7" s="6" t="n"/>
    </row>
    <row r="8" ht="24" customHeight="1">
      <c r="A8" s="52" t="n">
        <v>0.3125</v>
      </c>
      <c r="B8" s="6" t="n"/>
      <c r="C8" s="52" t="n">
        <v>0.3333333333333333</v>
      </c>
      <c r="D8" s="6" t="n"/>
      <c r="E8" s="53">
        <f>IF(OR(A8="",C8=""),"",IF(C8&lt;A8,"⚠",ROUND((C8-A8)*24*60,0)))</f>
        <v/>
      </c>
      <c r="F8" s="6" t="n"/>
      <c r="G8" s="28" t="inlineStr">
        <is>
          <t>장비 점검 · 교통 안전시설 설치</t>
        </is>
      </c>
      <c r="H8" s="6" t="n"/>
      <c r="I8" s="6" t="n"/>
      <c r="J8" s="6" t="n"/>
      <c r="K8" s="6" t="n"/>
      <c r="L8" s="6" t="n"/>
    </row>
    <row r="9" ht="24" customHeight="1">
      <c r="A9" s="52" t="n">
        <v>0.3333333333333333</v>
      </c>
      <c r="B9" s="6" t="n"/>
      <c r="C9" s="52" t="n">
        <v>0.375</v>
      </c>
      <c r="D9" s="6" t="n"/>
      <c r="E9" s="53">
        <f>IF(OR(A9="",C9=""),"",IF(C9&lt;A9,"⚠",ROUND((C9-A9)*24*60,0)))</f>
        <v/>
      </c>
      <c r="F9" s="6" t="n"/>
      <c r="G9" s="28" t="inlineStr">
        <is>
          <t>포장 절단 · 깨기</t>
        </is>
      </c>
      <c r="H9" s="6" t="n"/>
      <c r="I9" s="6" t="n"/>
      <c r="J9" s="6" t="n"/>
      <c r="K9" s="6" t="n"/>
      <c r="L9" s="6" t="n"/>
    </row>
    <row r="10" ht="24" customHeight="1">
      <c r="A10" s="52" t="n">
        <v>0.375</v>
      </c>
      <c r="B10" s="6" t="n"/>
      <c r="C10" s="52" t="n">
        <v>0.5</v>
      </c>
      <c r="D10" s="6" t="n"/>
      <c r="E10" s="53">
        <f>IF(OR(A10="",C10=""),"",IF(C10&lt;A10,"⚠",ROUND((C10-A10)*24*60,0)))</f>
        <v/>
      </c>
      <c r="F10" s="6" t="n"/>
      <c r="G10" s="28" t="inlineStr">
        <is>
          <t>터파기 · 가시설 · 관 부설 및 접합</t>
        </is>
      </c>
      <c r="H10" s="6" t="n"/>
      <c r="I10" s="6" t="n"/>
      <c r="J10" s="6" t="n"/>
      <c r="K10" s="6" t="n"/>
      <c r="L10" s="6" t="n"/>
    </row>
    <row r="11" ht="24" customHeight="1">
      <c r="A11" s="52" t="n">
        <v>0.5</v>
      </c>
      <c r="B11" s="6" t="n"/>
      <c r="C11" s="52" t="n">
        <v>0.5416666666666666</v>
      </c>
      <c r="D11" s="6" t="n"/>
      <c r="E11" s="53">
        <f>IF(OR(A11="",C11=""),"",IF(C11&lt;A11,"⚠",ROUND((C11-A11)*24*60,0)))</f>
        <v/>
      </c>
      <c r="F11" s="6" t="n"/>
      <c r="G11" s="28" t="inlineStr">
        <is>
          <t>점심 · 휴식(개착 구간 안전시설 확인)</t>
        </is>
      </c>
      <c r="H11" s="6" t="n"/>
      <c r="I11" s="6" t="n"/>
      <c r="J11" s="6" t="n"/>
      <c r="K11" s="6" t="n"/>
      <c r="L11" s="6" t="n"/>
    </row>
    <row r="12" ht="24" customHeight="1">
      <c r="A12" s="52" t="n">
        <v>0.5416666666666666</v>
      </c>
      <c r="B12" s="6" t="n"/>
      <c r="C12" s="52" t="n">
        <v>0.625</v>
      </c>
      <c r="D12" s="6" t="n"/>
      <c r="E12" s="53">
        <f>IF(OR(A12="",C12=""),"",IF(C12&lt;A12,"⚠",ROUND((C12-A12)*24*60,0)))</f>
        <v/>
      </c>
      <c r="F12" s="6" t="n"/>
      <c r="G12" s="28" t="inlineStr">
        <is>
          <t>관 부설 · 맨홀 · 되메우기</t>
        </is>
      </c>
      <c r="H12" s="6" t="n"/>
      <c r="I12" s="6" t="n"/>
      <c r="J12" s="6" t="n"/>
      <c r="K12" s="6" t="n"/>
      <c r="L12" s="6" t="n"/>
    </row>
    <row r="13" ht="24" customHeight="1">
      <c r="A13" s="52" t="n">
        <v>0.625</v>
      </c>
      <c r="B13" s="6" t="n"/>
      <c r="C13" s="52" t="n">
        <v>0.6458333333333334</v>
      </c>
      <c r="D13" s="6" t="n"/>
      <c r="E13" s="53">
        <f>IF(OR(A13="",C13=""),"",IF(C13&lt;A13,"⚠",ROUND((C13-A13)*24*60,0)))</f>
        <v/>
      </c>
      <c r="F13" s="6" t="n"/>
      <c r="G13" s="28" t="inlineStr">
        <is>
          <t>휴식</t>
        </is>
      </c>
      <c r="H13" s="6" t="n"/>
      <c r="I13" s="6" t="n"/>
      <c r="J13" s="6" t="n"/>
      <c r="K13" s="6" t="n"/>
      <c r="L13" s="6" t="n"/>
    </row>
    <row r="14" ht="24" customHeight="1">
      <c r="A14" s="52" t="n">
        <v>0.6458333333333334</v>
      </c>
      <c r="B14" s="6" t="n"/>
      <c r="C14" s="52" t="n">
        <v>0.6875</v>
      </c>
      <c r="D14" s="6" t="n"/>
      <c r="E14" s="53">
        <f>IF(OR(A14="",C14=""),"",IF(C14&lt;A14,"⚠",ROUND((C14-A14)*24*60,0)))</f>
        <v/>
      </c>
      <c r="F14" s="6" t="n"/>
      <c r="G14" s="28" t="inlineStr">
        <is>
          <t>되메우기 다짐 · 가복구</t>
        </is>
      </c>
      <c r="H14" s="6" t="n"/>
      <c r="I14" s="6" t="n"/>
      <c r="J14" s="6" t="n"/>
      <c r="K14" s="6" t="n"/>
      <c r="L14" s="6" t="n"/>
    </row>
    <row r="15" ht="24" customHeight="1">
      <c r="A15" s="52" t="n">
        <v>0.6875</v>
      </c>
      <c r="B15" s="6" t="n"/>
      <c r="C15" s="52" t="n">
        <v>0.7083333333333334</v>
      </c>
      <c r="D15" s="6" t="n"/>
      <c r="E15" s="53">
        <f>IF(OR(A15="",C15=""),"",IF(C15&lt;A15,"⚠",ROUND((C15-A15)*24*60,0)))</f>
        <v/>
      </c>
      <c r="F15" s="6" t="n"/>
      <c r="G15" s="28" t="inlineStr">
        <is>
          <t>현장 정리 · 청소 · 잔재 반출</t>
        </is>
      </c>
      <c r="H15" s="6" t="n"/>
      <c r="I15" s="6" t="n"/>
      <c r="J15" s="6" t="n"/>
      <c r="K15" s="6" t="n"/>
      <c r="L15" s="6" t="n"/>
    </row>
    <row r="16" ht="24" customHeight="1">
      <c r="A16" s="52" t="n"/>
      <c r="B16" s="6" t="n"/>
      <c r="C16" s="52" t="n"/>
      <c r="D16" s="6" t="n"/>
      <c r="E16" s="53">
        <f>IF(OR(A16="",C16=""),"",IF(C16&lt;A16,"⚠",ROUND((C16-A16)*24*60,0)))</f>
        <v/>
      </c>
      <c r="F16" s="6" t="n"/>
      <c r="G16" s="28" t="n"/>
      <c r="H16" s="6" t="n"/>
      <c r="I16" s="6" t="n"/>
      <c r="J16" s="6" t="n"/>
      <c r="K16" s="6" t="n"/>
      <c r="L16" s="6" t="n"/>
    </row>
    <row r="17" ht="24" customHeight="1">
      <c r="A17" s="25" t="inlineStr">
        <is>
          <t>하루 작업 시간 (처음 시작 ~ 마지막 끝)</t>
        </is>
      </c>
      <c r="B17" s="6" t="n"/>
      <c r="C17" s="6" t="n"/>
      <c r="D17" s="6" t="n"/>
      <c r="E17" s="54">
        <f>IF(OR(COUNT(A7:A16)=0,COUNT(C7:C16)=0),"",ROUND((MAX(C7:C16)-MIN(A7:A16))*24,2))</f>
        <v/>
      </c>
      <c r="F17" s="6" t="n"/>
      <c r="G17" s="25" t="inlineStr"/>
      <c r="H17" s="6" t="n"/>
      <c r="I17" s="6" t="n"/>
      <c r="J17" s="6" t="n"/>
      <c r="K17" s="6" t="n"/>
      <c r="L17" s="6" t="n"/>
    </row>
    <row r="18" ht="10" customHeight="1"/>
    <row r="19" ht="3" customHeight="1"/>
    <row r="20" ht="21" customHeight="1">
      <c r="A20" s="20" t="inlineStr">
        <is>
          <t>관로 부설 소요 일수 (어림)</t>
        </is>
      </c>
    </row>
    <row r="21" ht="26" customHeight="1">
      <c r="A21" s="5" t="inlineStr">
        <is>
          <t>관로 연장 합계</t>
        </is>
      </c>
      <c r="B21" s="6" t="n"/>
      <c r="C21" s="6" t="n"/>
      <c r="D21" s="6" t="n"/>
      <c r="E21" s="55">
        <f>IF(N('1.공사개요'!I21)=0,"",'1.공사개요'!I21)</f>
        <v/>
      </c>
      <c r="F21" s="6" t="n"/>
      <c r="G21" s="5" t="inlineStr">
        <is>
          <t>1조 하루 부설량</t>
        </is>
      </c>
      <c r="H21" s="6" t="n"/>
      <c r="I21" s="6" t="n"/>
      <c r="J21" s="6" t="n"/>
      <c r="K21" s="56" t="n"/>
      <c r="L21" s="6" t="n"/>
    </row>
    <row r="22" ht="26" customHeight="1">
      <c r="A22" s="5" t="inlineStr">
        <is>
          <t>작업 조 수</t>
        </is>
      </c>
      <c r="B22" s="6" t="n"/>
      <c r="C22" s="6" t="n"/>
      <c r="D22" s="6" t="n"/>
      <c r="E22" s="57" t="n"/>
      <c r="F22" s="6" t="n"/>
      <c r="G22" s="5" t="inlineStr">
        <is>
          <t>부설 소요 일수</t>
        </is>
      </c>
      <c r="H22" s="6" t="n"/>
      <c r="I22" s="6" t="n"/>
      <c r="J22" s="6" t="n"/>
      <c r="K22" s="58">
        <f>IF(OR(N(E21)=0,N(K21)=0,N(E22)=0),"",ROUNDUP(E21/(K21*E22),0))</f>
        <v/>
      </c>
      <c r="L22" s="6" t="n"/>
    </row>
    <row r="23" ht="28" customHeight="1">
      <c r="A23" s="10" t="inlineStr">
        <is>
          <t>※ 부설 소요 일수 = 관로 연장 ÷ (하루 부설량 × 조 수), 올림. 하루 부설량(노란 칸)은 관경 · 깊이 · 포장 · 민원 여건에 맞게 적습니다. 배관 1조의 하루 터파기는 그날 부설할 연장을 넘지 않게 합니다.</t>
        </is>
      </c>
    </row>
    <row r="25" ht="19.5" customHeight="1">
      <c r="A25" s="10" t="inlineStr">
        <is>
          <t>하늘색 칸 = 자동(소요 시간 · 하루 작업 시간 · 관로 연장 · 부설 소요 일수).</t>
        </is>
      </c>
    </row>
  </sheetData>
  <mergeCells count="62">
    <mergeCell ref="E12:F12"/>
    <mergeCell ref="A17:D17"/>
    <mergeCell ref="C6:D6"/>
    <mergeCell ref="A15:B15"/>
    <mergeCell ref="A25:L25"/>
    <mergeCell ref="A22:D22"/>
    <mergeCell ref="G10:L10"/>
    <mergeCell ref="C15:D15"/>
    <mergeCell ref="G6:L6"/>
    <mergeCell ref="A11:B11"/>
    <mergeCell ref="G13:L13"/>
    <mergeCell ref="C14:D14"/>
    <mergeCell ref="E14:F14"/>
    <mergeCell ref="A3:L3"/>
    <mergeCell ref="E17:F17"/>
    <mergeCell ref="E8:F8"/>
    <mergeCell ref="A6:B6"/>
    <mergeCell ref="K21:L21"/>
    <mergeCell ref="G15:L15"/>
    <mergeCell ref="G22:J22"/>
    <mergeCell ref="A16:B16"/>
    <mergeCell ref="C10:D10"/>
    <mergeCell ref="A7:B7"/>
    <mergeCell ref="C16:D16"/>
    <mergeCell ref="E10:F10"/>
    <mergeCell ref="G14:L14"/>
    <mergeCell ref="A23:L23"/>
    <mergeCell ref="G21:J21"/>
    <mergeCell ref="E13:F13"/>
    <mergeCell ref="C9:D9"/>
    <mergeCell ref="K22:L22"/>
    <mergeCell ref="E9:F9"/>
    <mergeCell ref="A4:L4"/>
    <mergeCell ref="A12:B12"/>
    <mergeCell ref="A20:L20"/>
    <mergeCell ref="G1:L1"/>
    <mergeCell ref="C12:D12"/>
    <mergeCell ref="E6:F6"/>
    <mergeCell ref="G16:L16"/>
    <mergeCell ref="E15:F15"/>
    <mergeCell ref="C11:D11"/>
    <mergeCell ref="E11:F11"/>
    <mergeCell ref="G9:L9"/>
    <mergeCell ref="A14:B14"/>
    <mergeCell ref="A8:B8"/>
    <mergeCell ref="G12:L12"/>
    <mergeCell ref="C8:D8"/>
    <mergeCell ref="G11:L11"/>
    <mergeCell ref="C7:D7"/>
    <mergeCell ref="E16:F16"/>
    <mergeCell ref="E21:F21"/>
    <mergeCell ref="E7:F7"/>
    <mergeCell ref="A1:F1"/>
    <mergeCell ref="A10:B10"/>
    <mergeCell ref="A21:D21"/>
    <mergeCell ref="A13:B13"/>
    <mergeCell ref="G17:L17"/>
    <mergeCell ref="E22:F22"/>
    <mergeCell ref="G8:L8"/>
    <mergeCell ref="C13:D13"/>
    <mergeCell ref="A9:B9"/>
    <mergeCell ref="G7:L7"/>
  </mergeCells>
  <conditionalFormatting sqref="E21">
    <cfRule type="expression" priority="1" dxfId="1">
      <formula>AND(ISNUMBER(E21),MOD(E21,1)=0)</formula>
    </cfRule>
  </conditionalFormatting>
  <conditionalFormatting sqref="K21">
    <cfRule type="expression" priority="2" dxfId="3">
      <formula>AND(ISNUMBER(K21),MOD(K21,1)=0)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7.  주요 장비 및 인력 투입 계획</t>
        </is>
      </c>
    </row>
    <row r="4" ht="3" customHeight="1"/>
    <row r="5" ht="21" customHeight="1">
      <c r="A5" s="20" t="inlineStr">
        <is>
          <t>1) 장비 투입 계획</t>
        </is>
      </c>
    </row>
    <row r="6" ht="32" customHeight="1">
      <c r="A6" s="21" t="inlineStr">
        <is>
          <t>장 비 명</t>
        </is>
      </c>
      <c r="B6" s="6" t="n"/>
      <c r="C6" s="21" t="inlineStr">
        <is>
          <t>규  격</t>
        </is>
      </c>
      <c r="D6" s="6" t="n"/>
      <c r="E6" s="21" t="inlineStr">
        <is>
          <t>1일
(대)</t>
        </is>
      </c>
      <c r="F6" s="21" t="inlineStr">
        <is>
          <t>투입
일수</t>
        </is>
      </c>
      <c r="G6" s="21" t="inlineStr">
        <is>
          <t>누  계
(대·일)</t>
        </is>
      </c>
      <c r="H6" s="6" t="n"/>
      <c r="I6" s="21" t="inlineStr">
        <is>
          <t>작 업 내 용</t>
        </is>
      </c>
      <c r="J6" s="6" t="n"/>
      <c r="K6" s="6" t="n"/>
      <c r="L6" s="6" t="n"/>
    </row>
    <row r="7" ht="22" customHeight="1">
      <c r="A7" s="22" t="inlineStr">
        <is>
          <t>굴삭기</t>
        </is>
      </c>
      <c r="B7" s="6" t="n"/>
      <c r="C7" s="30" t="inlineStr">
        <is>
          <t>0.6㎥</t>
        </is>
      </c>
      <c r="D7" s="6" t="n"/>
      <c r="E7" s="59" t="n"/>
      <c r="F7" s="59" t="n"/>
      <c r="G7" s="60">
        <f>IF(OR(N(E7)=0,N(F7)=0),"",E7*F7)</f>
        <v/>
      </c>
      <c r="H7" s="6" t="n"/>
      <c r="I7" s="24" t="inlineStr">
        <is>
          <t>포장 깨기 · 터파기 · 가시설 설치</t>
        </is>
      </c>
      <c r="J7" s="6" t="n"/>
      <c r="K7" s="6" t="n"/>
      <c r="L7" s="6" t="n"/>
    </row>
    <row r="8" ht="22" customHeight="1">
      <c r="A8" s="22" t="inlineStr">
        <is>
          <t>굴삭기</t>
        </is>
      </c>
      <c r="B8" s="6" t="n"/>
      <c r="C8" s="30" t="inlineStr">
        <is>
          <t>0.3㎥</t>
        </is>
      </c>
      <c r="D8" s="6" t="n"/>
      <c r="E8" s="59" t="n"/>
      <c r="F8" s="59" t="n"/>
      <c r="G8" s="60">
        <f>IF(OR(N(E8)=0,N(F8)=0),"",E8*F8)</f>
        <v/>
      </c>
      <c r="H8" s="6" t="n"/>
      <c r="I8" s="24" t="inlineStr">
        <is>
          <t>포장 깨기 · 터파기 · 되메우기</t>
        </is>
      </c>
      <c r="J8" s="6" t="n"/>
      <c r="K8" s="6" t="n"/>
      <c r="L8" s="6" t="n"/>
    </row>
    <row r="9" ht="22" customHeight="1">
      <c r="A9" s="22" t="inlineStr">
        <is>
          <t>굴삭기</t>
        </is>
      </c>
      <c r="B9" s="6" t="n"/>
      <c r="C9" s="30" t="inlineStr">
        <is>
          <t>0.15㎥</t>
        </is>
      </c>
      <c r="D9" s="6" t="n"/>
      <c r="E9" s="59" t="n"/>
      <c r="F9" s="59" t="n"/>
      <c r="G9" s="60">
        <f>IF(OR(N(E9)=0,N(F9)=0),"",E9*F9)</f>
        <v/>
      </c>
      <c r="H9" s="6" t="n"/>
      <c r="I9" s="24" t="inlineStr">
        <is>
          <t>지선 관로 터파기 · 되메우기</t>
        </is>
      </c>
      <c r="J9" s="6" t="n"/>
      <c r="K9" s="6" t="n"/>
      <c r="L9" s="6" t="n"/>
    </row>
    <row r="10" ht="22" customHeight="1">
      <c r="A10" s="22" t="inlineStr">
        <is>
          <t>다짐장비</t>
        </is>
      </c>
      <c r="B10" s="6" t="n"/>
      <c r="C10" s="30" t="inlineStr">
        <is>
          <t>진동롤러 1.0톤</t>
        </is>
      </c>
      <c r="D10" s="6" t="n"/>
      <c r="E10" s="59" t="n"/>
      <c r="F10" s="59" t="n"/>
      <c r="G10" s="60">
        <f>IF(OR(N(E10)=0,N(F10)=0),"",E10*F10)</f>
        <v/>
      </c>
      <c r="H10" s="6" t="n"/>
      <c r="I10" s="24" t="inlineStr">
        <is>
          <t>되메우기 다짐 · 아스콘 포장</t>
        </is>
      </c>
      <c r="J10" s="6" t="n"/>
      <c r="K10" s="6" t="n"/>
      <c r="L10" s="6" t="n"/>
    </row>
    <row r="11" ht="22" customHeight="1">
      <c r="A11" s="22" t="inlineStr">
        <is>
          <t>다짐장비</t>
        </is>
      </c>
      <c r="B11" s="6" t="n"/>
      <c r="C11" s="30" t="inlineStr">
        <is>
          <t>램머 80kg</t>
        </is>
      </c>
      <c r="D11" s="6" t="n"/>
      <c r="E11" s="59" t="n"/>
      <c r="F11" s="59" t="n"/>
      <c r="G11" s="60">
        <f>IF(OR(N(E11)=0,N(F11)=0),"",E11*F11)</f>
        <v/>
      </c>
      <c r="H11" s="6" t="n"/>
      <c r="I11" s="24" t="inlineStr">
        <is>
          <t>되메우기 · 모래 다짐</t>
        </is>
      </c>
      <c r="J11" s="6" t="n"/>
      <c r="K11" s="6" t="n"/>
      <c r="L11" s="6" t="n"/>
    </row>
    <row r="12" ht="22" customHeight="1">
      <c r="A12" s="22" t="inlineStr">
        <is>
          <t>다짐장비</t>
        </is>
      </c>
      <c r="B12" s="6" t="n"/>
      <c r="C12" s="30" t="inlineStr">
        <is>
          <t>플레이트 콤팩터</t>
        </is>
      </c>
      <c r="D12" s="6" t="n"/>
      <c r="E12" s="59" t="n"/>
      <c r="F12" s="59" t="n"/>
      <c r="G12" s="60">
        <f>IF(OR(N(E12)=0,N(F12)=0),"",E12*F12)</f>
        <v/>
      </c>
      <c r="H12" s="6" t="n"/>
      <c r="I12" s="24" t="inlineStr">
        <is>
          <t>되메우기 · 모래 다짐</t>
        </is>
      </c>
      <c r="J12" s="6" t="n"/>
      <c r="K12" s="6" t="n"/>
      <c r="L12" s="6" t="n"/>
    </row>
    <row r="13" ht="22" customHeight="1">
      <c r="A13" s="22" t="inlineStr">
        <is>
          <t>발전기</t>
        </is>
      </c>
      <c r="B13" s="6" t="n"/>
      <c r="C13" s="30" t="inlineStr">
        <is>
          <t>5kW</t>
        </is>
      </c>
      <c r="D13" s="6" t="n"/>
      <c r="E13" s="59" t="n"/>
      <c r="F13" s="59" t="n"/>
      <c r="G13" s="60">
        <f>IF(OR(N(E13)=0,N(F13)=0),"",E13*F13)</f>
        <v/>
      </c>
      <c r="H13" s="6" t="n"/>
      <c r="I13" s="24" t="inlineStr">
        <is>
          <t>소형 전동공구 동력</t>
        </is>
      </c>
      <c r="J13" s="6" t="n"/>
      <c r="K13" s="6" t="n"/>
      <c r="L13" s="6" t="n"/>
    </row>
    <row r="14" ht="22" customHeight="1">
      <c r="A14" s="22" t="inlineStr">
        <is>
          <t>양수기</t>
        </is>
      </c>
      <c r="B14" s="6" t="n"/>
      <c r="C14" s="30" t="inlineStr">
        <is>
          <t>3"</t>
        </is>
      </c>
      <c r="D14" s="6" t="n"/>
      <c r="E14" s="59" t="n"/>
      <c r="F14" s="59" t="n"/>
      <c r="G14" s="60">
        <f>IF(OR(N(E14)=0,N(F14)=0),"",E14*F14)</f>
        <v/>
      </c>
      <c r="H14" s="6" t="n"/>
      <c r="I14" s="24" t="inlineStr">
        <is>
          <t>양수 작업</t>
        </is>
      </c>
      <c r="J14" s="6" t="n"/>
      <c r="K14" s="6" t="n"/>
      <c r="L14" s="6" t="n"/>
    </row>
    <row r="15" ht="22" customHeight="1">
      <c r="A15" s="22" t="inlineStr">
        <is>
          <t>덤프트럭</t>
        </is>
      </c>
      <c r="B15" s="6" t="n"/>
      <c r="C15" s="30" t="inlineStr">
        <is>
          <t>15톤</t>
        </is>
      </c>
      <c r="D15" s="6" t="n"/>
      <c r="E15" s="59" t="n"/>
      <c r="F15" s="59" t="n"/>
      <c r="G15" s="60">
        <f>IF(OR(N(E15)=0,N(F15)=0),"",E15*F15)</f>
        <v/>
      </c>
      <c r="H15" s="6" t="n"/>
      <c r="I15" s="24" t="inlineStr">
        <is>
          <t>사토 반출 · 운반</t>
        </is>
      </c>
      <c r="J15" s="6" t="n"/>
      <c r="K15" s="6" t="n"/>
      <c r="L15" s="6" t="n"/>
    </row>
    <row r="16" ht="22" customHeight="1">
      <c r="A16" s="22" t="inlineStr">
        <is>
          <t>덤프트럭</t>
        </is>
      </c>
      <c r="B16" s="6" t="n"/>
      <c r="C16" s="30" t="inlineStr">
        <is>
          <t>5톤</t>
        </is>
      </c>
      <c r="D16" s="6" t="n"/>
      <c r="E16" s="59" t="n"/>
      <c r="F16" s="59" t="n"/>
      <c r="G16" s="60">
        <f>IF(OR(N(E16)=0,N(F16)=0),"",E16*F16)</f>
        <v/>
      </c>
      <c r="H16" s="6" t="n"/>
      <c r="I16" s="24" t="inlineStr">
        <is>
          <t>사토 소운반</t>
        </is>
      </c>
      <c r="J16" s="6" t="n"/>
      <c r="K16" s="6" t="n"/>
      <c r="L16" s="6" t="n"/>
    </row>
    <row r="17" ht="22" customHeight="1">
      <c r="A17" s="22" t="inlineStr">
        <is>
          <t>덤프트럭</t>
        </is>
      </c>
      <c r="B17" s="6" t="n"/>
      <c r="C17" s="30" t="inlineStr">
        <is>
          <t>1.0톤</t>
        </is>
      </c>
      <c r="D17" s="6" t="n"/>
      <c r="E17" s="59" t="n"/>
      <c r="F17" s="59" t="n"/>
      <c r="G17" s="60">
        <f>IF(OR(N(E17)=0,N(F17)=0),"",E17*F17)</f>
        <v/>
      </c>
      <c r="H17" s="6" t="n"/>
      <c r="I17" s="24" t="inlineStr">
        <is>
          <t>지선 관로 사토 · 운반</t>
        </is>
      </c>
      <c r="J17" s="6" t="n"/>
      <c r="K17" s="6" t="n"/>
      <c r="L17" s="6" t="n"/>
    </row>
    <row r="18" ht="22" customHeight="1">
      <c r="A18" s="22" t="inlineStr">
        <is>
          <t>크레인</t>
        </is>
      </c>
      <c r="B18" s="6" t="n"/>
      <c r="C18" s="30" t="inlineStr">
        <is>
          <t>25톤</t>
        </is>
      </c>
      <c r="D18" s="6" t="n"/>
      <c r="E18" s="59" t="n"/>
      <c r="F18" s="59" t="n"/>
      <c r="G18" s="60">
        <f>IF(OR(N(E18)=0,N(F18)=0),"",E18*F18)</f>
        <v/>
      </c>
      <c r="H18" s="6" t="n"/>
      <c r="I18" s="24" t="inlineStr">
        <is>
          <t>가시설 · 맨홀 설치</t>
        </is>
      </c>
      <c r="J18" s="6" t="n"/>
      <c r="K18" s="6" t="n"/>
      <c r="L18" s="6" t="n"/>
    </row>
    <row r="19" ht="22" customHeight="1">
      <c r="A19" s="22" t="n"/>
      <c r="B19" s="6" t="n"/>
      <c r="C19" s="30" t="n"/>
      <c r="D19" s="6" t="n"/>
      <c r="E19" s="59" t="n"/>
      <c r="F19" s="59" t="n"/>
      <c r="G19" s="60">
        <f>IF(OR(N(E19)=0,N(F19)=0),"",E19*F19)</f>
        <v/>
      </c>
      <c r="H19" s="6" t="n"/>
      <c r="I19" s="24" t="n"/>
      <c r="J19" s="6" t="n"/>
      <c r="K19" s="6" t="n"/>
      <c r="L19" s="6" t="n"/>
    </row>
    <row r="20" ht="22" customHeight="1">
      <c r="A20" s="22" t="n"/>
      <c r="B20" s="6" t="n"/>
      <c r="C20" s="30" t="n"/>
      <c r="D20" s="6" t="n"/>
      <c r="E20" s="59" t="n"/>
      <c r="F20" s="59" t="n"/>
      <c r="G20" s="60">
        <f>IF(OR(N(E20)=0,N(F20)=0),"",E20*F20)</f>
        <v/>
      </c>
      <c r="H20" s="6" t="n"/>
      <c r="I20" s="24" t="n"/>
      <c r="J20" s="6" t="n"/>
      <c r="K20" s="6" t="n"/>
      <c r="L20" s="6" t="n"/>
    </row>
    <row r="21" ht="22" customHeight="1">
      <c r="A21" s="25" t="inlineStr">
        <is>
          <t>계</t>
        </is>
      </c>
      <c r="B21" s="6" t="n"/>
      <c r="C21" s="6" t="n"/>
      <c r="D21" s="6" t="n"/>
      <c r="E21" s="6" t="n"/>
      <c r="F21" s="6" t="n"/>
      <c r="G21" s="61">
        <f>IF(SUM(G7:G20)=0,"",SUM(G7:G20))</f>
        <v/>
      </c>
      <c r="H21" s="6" t="n"/>
      <c r="I21" s="25" t="inlineStr"/>
      <c r="J21" s="6" t="n"/>
      <c r="K21" s="6" t="n"/>
      <c r="L21" s="6" t="n"/>
    </row>
    <row r="22" ht="8" customHeight="1"/>
    <row r="23" ht="3" customHeight="1"/>
    <row r="24" ht="21" customHeight="1">
      <c r="A24" s="20" t="inlineStr">
        <is>
          <t>2) 인원 투입 계획</t>
        </is>
      </c>
    </row>
    <row r="25" ht="32" customHeight="1">
      <c r="A25" s="21" t="inlineStr">
        <is>
          <t>직  종</t>
        </is>
      </c>
      <c r="B25" s="6" t="n"/>
      <c r="C25" s="21" t="inlineStr">
        <is>
          <t>1일
(인)</t>
        </is>
      </c>
      <c r="D25" s="21" t="inlineStr">
        <is>
          <t>투입
일수</t>
        </is>
      </c>
      <c r="E25" s="21" t="inlineStr">
        <is>
          <t>누  계
(인·일)</t>
        </is>
      </c>
      <c r="F25" s="6" t="n"/>
      <c r="G25" s="21" t="inlineStr">
        <is>
          <t>작 업 내 용</t>
        </is>
      </c>
      <c r="H25" s="6" t="n"/>
      <c r="I25" s="6" t="n"/>
      <c r="J25" s="6" t="n"/>
      <c r="K25" s="6" t="n"/>
      <c r="L25" s="6" t="n"/>
    </row>
    <row r="26" ht="22" customHeight="1">
      <c r="A26" s="7" t="inlineStr">
        <is>
          <t>직원</t>
        </is>
      </c>
      <c r="B26" s="6" t="n"/>
      <c r="C26" s="59" t="n"/>
      <c r="D26" s="59" t="n"/>
      <c r="E26" s="60">
        <f>IF(OR(N(C26)=0,N(D26)=0),"",C26*D26)</f>
        <v/>
      </c>
      <c r="F26" s="6" t="n"/>
      <c r="G26" s="24" t="inlineStr">
        <is>
          <t>현장 작업 지시 · 관리</t>
        </is>
      </c>
      <c r="H26" s="6" t="n"/>
      <c r="I26" s="6" t="n"/>
      <c r="J26" s="6" t="n"/>
      <c r="K26" s="6" t="n"/>
      <c r="L26" s="6" t="n"/>
    </row>
    <row r="27" ht="22" customHeight="1">
      <c r="A27" s="7" t="inlineStr">
        <is>
          <t>작업반장</t>
        </is>
      </c>
      <c r="B27" s="6" t="n"/>
      <c r="C27" s="59" t="n"/>
      <c r="D27" s="59" t="n"/>
      <c r="E27" s="60">
        <f>IF(OR(N(C27)=0,N(D27)=0),"",C27*D27)</f>
        <v/>
      </c>
      <c r="F27" s="6" t="n"/>
      <c r="G27" s="24" t="inlineStr">
        <is>
          <t>구간별 작업 총괄</t>
        </is>
      </c>
      <c r="H27" s="6" t="n"/>
      <c r="I27" s="6" t="n"/>
      <c r="J27" s="6" t="n"/>
      <c r="K27" s="6" t="n"/>
      <c r="L27" s="6" t="n"/>
    </row>
    <row r="28" ht="22" customHeight="1">
      <c r="A28" s="7" t="inlineStr">
        <is>
          <t>배관공</t>
        </is>
      </c>
      <c r="B28" s="6" t="n"/>
      <c r="C28" s="59" t="n"/>
      <c r="D28" s="59" t="n"/>
      <c r="E28" s="60">
        <f>IF(OR(N(C28)=0,N(D28)=0),"",C28*D28)</f>
        <v/>
      </c>
      <c r="F28" s="6" t="n"/>
      <c r="G28" s="24" t="inlineStr">
        <is>
          <t>관 부설 · 접합</t>
        </is>
      </c>
      <c r="H28" s="6" t="n"/>
      <c r="I28" s="6" t="n"/>
      <c r="J28" s="6" t="n"/>
      <c r="K28" s="6" t="n"/>
      <c r="L28" s="6" t="n"/>
    </row>
    <row r="29" ht="22" customHeight="1">
      <c r="A29" s="7" t="inlineStr">
        <is>
          <t>보통인부</t>
        </is>
      </c>
      <c r="B29" s="6" t="n"/>
      <c r="C29" s="59" t="n"/>
      <c r="D29" s="59" t="n"/>
      <c r="E29" s="60">
        <f>IF(OR(N(C29)=0,N(D29)=0),"",C29*D29)</f>
        <v/>
      </c>
      <c r="F29" s="6" t="n"/>
      <c r="G29" s="24" t="inlineStr">
        <is>
          <t>현장 정리 · 기능공 보조</t>
        </is>
      </c>
      <c r="H29" s="6" t="n"/>
      <c r="I29" s="6" t="n"/>
      <c r="J29" s="6" t="n"/>
      <c r="K29" s="6" t="n"/>
      <c r="L29" s="6" t="n"/>
    </row>
    <row r="30" ht="22" customHeight="1">
      <c r="A30" s="7" t="inlineStr">
        <is>
          <t>포장공</t>
        </is>
      </c>
      <c r="B30" s="6" t="n"/>
      <c r="C30" s="59" t="n"/>
      <c r="D30" s="59" t="n"/>
      <c r="E30" s="60">
        <f>IF(OR(N(C30)=0,N(D30)=0),"",C30*D30)</f>
        <v/>
      </c>
      <c r="F30" s="6" t="n"/>
      <c r="G30" s="24" t="inlineStr">
        <is>
          <t>콘크리트 · 아스콘 포장</t>
        </is>
      </c>
      <c r="H30" s="6" t="n"/>
      <c r="I30" s="6" t="n"/>
      <c r="J30" s="6" t="n"/>
      <c r="K30" s="6" t="n"/>
      <c r="L30" s="6" t="n"/>
    </row>
    <row r="31" ht="22" customHeight="1">
      <c r="A31" s="7" t="inlineStr">
        <is>
          <t>특별인부</t>
        </is>
      </c>
      <c r="B31" s="6" t="n"/>
      <c r="C31" s="59" t="n"/>
      <c r="D31" s="59" t="n"/>
      <c r="E31" s="60">
        <f>IF(OR(N(C31)=0,N(D31)=0),"",C31*D31)</f>
        <v/>
      </c>
      <c r="F31" s="6" t="n"/>
      <c r="G31" s="24" t="inlineStr">
        <is>
          <t>용접공 · 기능공 보조 등 약간의 기능이 필요한 작업</t>
        </is>
      </c>
      <c r="H31" s="6" t="n"/>
      <c r="I31" s="6" t="n"/>
      <c r="J31" s="6" t="n"/>
      <c r="K31" s="6" t="n"/>
      <c r="L31" s="6" t="n"/>
    </row>
    <row r="32" ht="22" customHeight="1">
      <c r="A32" s="7" t="inlineStr">
        <is>
          <t>가시설공</t>
        </is>
      </c>
      <c r="B32" s="6" t="n"/>
      <c r="C32" s="59" t="n"/>
      <c r="D32" s="59" t="n"/>
      <c r="E32" s="60">
        <f>IF(OR(N(C32)=0,N(D32)=0),"",C32*D32)</f>
        <v/>
      </c>
      <c r="F32" s="6" t="n"/>
      <c r="G32" s="24" t="inlineStr">
        <is>
          <t>흙막이공</t>
        </is>
      </c>
      <c r="H32" s="6" t="n"/>
      <c r="I32" s="6" t="n"/>
      <c r="J32" s="6" t="n"/>
      <c r="K32" s="6" t="n"/>
      <c r="L32" s="6" t="n"/>
    </row>
    <row r="33" ht="22" customHeight="1">
      <c r="A33" s="7" t="inlineStr">
        <is>
          <t>목공</t>
        </is>
      </c>
      <c r="B33" s="6" t="n"/>
      <c r="C33" s="59" t="n"/>
      <c r="D33" s="59" t="n"/>
      <c r="E33" s="60">
        <f>IF(OR(N(C33)=0,N(D33)=0),"",C33*D33)</f>
        <v/>
      </c>
      <c r="F33" s="6" t="n"/>
      <c r="G33" s="24" t="inlineStr">
        <is>
          <t>거푸집 제작 · 조립</t>
        </is>
      </c>
      <c r="H33" s="6" t="n"/>
      <c r="I33" s="6" t="n"/>
      <c r="J33" s="6" t="n"/>
      <c r="K33" s="6" t="n"/>
      <c r="L33" s="6" t="n"/>
    </row>
    <row r="34" ht="22" customHeight="1">
      <c r="A34" s="7" t="inlineStr">
        <is>
          <t>콘크리트공</t>
        </is>
      </c>
      <c r="B34" s="6" t="n"/>
      <c r="C34" s="59" t="n"/>
      <c r="D34" s="59" t="n"/>
      <c r="E34" s="60">
        <f>IF(OR(N(C34)=0,N(D34)=0),"",C34*D34)</f>
        <v/>
      </c>
      <c r="F34" s="6" t="n"/>
      <c r="G34" s="24" t="inlineStr">
        <is>
          <t>콘크리트 타설</t>
        </is>
      </c>
      <c r="H34" s="6" t="n"/>
      <c r="I34" s="6" t="n"/>
      <c r="J34" s="6" t="n"/>
      <c r="K34" s="6" t="n"/>
      <c r="L34" s="6" t="n"/>
    </row>
    <row r="35" ht="22" customHeight="1">
      <c r="A35" s="7" t="n"/>
      <c r="B35" s="6" t="n"/>
      <c r="C35" s="59" t="n"/>
      <c r="D35" s="59" t="n"/>
      <c r="E35" s="60">
        <f>IF(OR(N(C35)=0,N(D35)=0),"",C35*D35)</f>
        <v/>
      </c>
      <c r="F35" s="6" t="n"/>
      <c r="G35" s="24" t="n"/>
      <c r="H35" s="6" t="n"/>
      <c r="I35" s="6" t="n"/>
      <c r="J35" s="6" t="n"/>
      <c r="K35" s="6" t="n"/>
      <c r="L35" s="6" t="n"/>
    </row>
    <row r="36" ht="22" customHeight="1">
      <c r="A36" s="7" t="n"/>
      <c r="B36" s="6" t="n"/>
      <c r="C36" s="59" t="n"/>
      <c r="D36" s="59" t="n"/>
      <c r="E36" s="60">
        <f>IF(OR(N(C36)=0,N(D36)=0),"",C36*D36)</f>
        <v/>
      </c>
      <c r="F36" s="6" t="n"/>
      <c r="G36" s="24" t="n"/>
      <c r="H36" s="6" t="n"/>
      <c r="I36" s="6" t="n"/>
      <c r="J36" s="6" t="n"/>
      <c r="K36" s="6" t="n"/>
      <c r="L36" s="6" t="n"/>
    </row>
    <row r="37" ht="22" customHeight="1">
      <c r="A37" s="25" t="inlineStr">
        <is>
          <t>계</t>
        </is>
      </c>
      <c r="B37" s="6" t="n"/>
      <c r="C37" s="6" t="n"/>
      <c r="D37" s="6" t="n"/>
      <c r="E37" s="61">
        <f>IF(SUM(E26:E36)=0,"",SUM(E26:E36))</f>
        <v/>
      </c>
      <c r="F37" s="6" t="n"/>
      <c r="G37" s="25" t="inlineStr"/>
      <c r="H37" s="6" t="n"/>
      <c r="I37" s="6" t="n"/>
      <c r="J37" s="6" t="n"/>
      <c r="K37" s="6" t="n"/>
      <c r="L37" s="6" t="n"/>
    </row>
    <row r="38" ht="16" customHeight="1">
      <c r="A38" s="10" t="inlineStr">
        <is>
          <t>※ 누계 = 1일 투입 × 투입일수. 장비 · 인원은 현장 여건을 감안해 투입합니다.</t>
        </is>
      </c>
    </row>
  </sheetData>
  <mergeCells count="108">
    <mergeCell ref="G21:H21"/>
    <mergeCell ref="I14:L14"/>
    <mergeCell ref="C6:D6"/>
    <mergeCell ref="A15:B15"/>
    <mergeCell ref="C15:D15"/>
    <mergeCell ref="G28:L28"/>
    <mergeCell ref="G30:L30"/>
    <mergeCell ref="A7:B7"/>
    <mergeCell ref="G18:H18"/>
    <mergeCell ref="A27:B27"/>
    <mergeCell ref="E34:F34"/>
    <mergeCell ref="G32:L32"/>
    <mergeCell ref="A33:B33"/>
    <mergeCell ref="E27:F27"/>
    <mergeCell ref="I16:L16"/>
    <mergeCell ref="E36:F36"/>
    <mergeCell ref="A17:B17"/>
    <mergeCell ref="C17:D17"/>
    <mergeCell ref="A35:B35"/>
    <mergeCell ref="G20:H20"/>
    <mergeCell ref="I18:L18"/>
    <mergeCell ref="A19:B19"/>
    <mergeCell ref="C19:D19"/>
    <mergeCell ref="A28:B28"/>
    <mergeCell ref="A9:B9"/>
    <mergeCell ref="A30:B30"/>
    <mergeCell ref="G12:H12"/>
    <mergeCell ref="A11:B11"/>
    <mergeCell ref="I20:L20"/>
    <mergeCell ref="C14:D14"/>
    <mergeCell ref="A3:L3"/>
    <mergeCell ref="G34:L34"/>
    <mergeCell ref="I13:L13"/>
    <mergeCell ref="G7:H7"/>
    <mergeCell ref="A5:L5"/>
    <mergeCell ref="I6:L6"/>
    <mergeCell ref="I15:L15"/>
    <mergeCell ref="G29:L29"/>
    <mergeCell ref="A38:L38"/>
    <mergeCell ref="A26:B26"/>
    <mergeCell ref="G31:L31"/>
    <mergeCell ref="I7:L7"/>
    <mergeCell ref="E26:F26"/>
    <mergeCell ref="A8:B8"/>
    <mergeCell ref="C8:D8"/>
    <mergeCell ref="A24:L24"/>
    <mergeCell ref="G16:H16"/>
    <mergeCell ref="E25:F25"/>
    <mergeCell ref="A10:B10"/>
    <mergeCell ref="C18:D18"/>
    <mergeCell ref="G9:H9"/>
    <mergeCell ref="A34:B34"/>
    <mergeCell ref="I17:L17"/>
    <mergeCell ref="G11:H11"/>
    <mergeCell ref="A36:B36"/>
    <mergeCell ref="I10:L10"/>
    <mergeCell ref="I19:L19"/>
    <mergeCell ref="C20:D20"/>
    <mergeCell ref="G33:L33"/>
    <mergeCell ref="I9:L9"/>
    <mergeCell ref="E29:F29"/>
    <mergeCell ref="G35:L35"/>
    <mergeCell ref="G13:H13"/>
    <mergeCell ref="I11:L11"/>
    <mergeCell ref="E31:F31"/>
    <mergeCell ref="A12:B12"/>
    <mergeCell ref="C12:D12"/>
    <mergeCell ref="G25:L25"/>
    <mergeCell ref="G15:H15"/>
    <mergeCell ref="A32:B32"/>
    <mergeCell ref="A14:B14"/>
    <mergeCell ref="A37:D37"/>
    <mergeCell ref="C7:D7"/>
    <mergeCell ref="E32:F32"/>
    <mergeCell ref="I21:L21"/>
    <mergeCell ref="A1:F1"/>
    <mergeCell ref="G37:L37"/>
    <mergeCell ref="I8:L8"/>
    <mergeCell ref="E33:F33"/>
    <mergeCell ref="G8:H8"/>
    <mergeCell ref="A21:F21"/>
    <mergeCell ref="A6:B6"/>
    <mergeCell ref="G17:H17"/>
    <mergeCell ref="E35:F35"/>
    <mergeCell ref="A16:B16"/>
    <mergeCell ref="C10:D10"/>
    <mergeCell ref="C16:D16"/>
    <mergeCell ref="A25:B25"/>
    <mergeCell ref="G10:H10"/>
    <mergeCell ref="G19:H19"/>
    <mergeCell ref="E28:F28"/>
    <mergeCell ref="G6:H6"/>
    <mergeCell ref="C9:D9"/>
    <mergeCell ref="A18:B18"/>
    <mergeCell ref="G26:L26"/>
    <mergeCell ref="G1:L1"/>
    <mergeCell ref="E30:F30"/>
    <mergeCell ref="C11:D11"/>
    <mergeCell ref="G14:H14"/>
    <mergeCell ref="A20:B20"/>
    <mergeCell ref="G27:L27"/>
    <mergeCell ref="A29:B29"/>
    <mergeCell ref="G36:L36"/>
    <mergeCell ref="I12:L12"/>
    <mergeCell ref="A13:B13"/>
    <mergeCell ref="E37:F37"/>
    <mergeCell ref="C13:D13"/>
    <mergeCell ref="A31:B3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6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8.  안전 및 환경관리 계획</t>
        </is>
      </c>
    </row>
    <row r="4" ht="3" customHeight="1"/>
    <row r="5" ht="21" customHeight="1">
      <c r="A5" s="20" t="inlineStr">
        <is>
          <t>제1장  안전관리</t>
        </is>
      </c>
    </row>
    <row r="6" ht="21" customHeight="1">
      <c r="A6" s="43" t="inlineStr">
        <is>
          <t>1. 일반 사항</t>
        </is>
      </c>
    </row>
    <row r="7" ht="20.5" customHeight="1">
      <c r="A7" s="44" t="inlineStr">
        <is>
          <t>1)</t>
        </is>
      </c>
      <c r="B7" s="45" t="inlineStr">
        <is>
          <t>경험 있는 감시원을 둡니다.</t>
        </is>
      </c>
    </row>
    <row r="8" ht="36" customHeight="1">
      <c r="A8" s="44" t="inlineStr">
        <is>
          <t>2)</t>
        </is>
      </c>
      <c r="B8" s="45" t="inlineStr">
        <is>
          <t>굴착 때 흙 · 돌이 떨어지지 않게 하고 그 아래 작업을 금지하며, 아래에 통로가 있으면 방호시설 · 감시원 · «낙하주의» 표지를 둡니다.</t>
        </is>
      </c>
    </row>
    <row r="9" ht="20.5" customHeight="1">
      <c r="A9" s="44" t="inlineStr">
        <is>
          <t>3)</t>
        </is>
      </c>
      <c r="B9" s="45" t="inlineStr">
        <is>
          <t>도로 가까이에서 작업하면 도로 감시원(신호수)과 안전표지를 둡니다.</t>
        </is>
      </c>
    </row>
    <row r="10" ht="20.5" customHeight="1">
      <c r="A10" s="44" t="inlineStr">
        <is>
          <t>4)</t>
        </is>
      </c>
      <c r="B10" s="45" t="inlineStr">
        <is>
          <t>위험이 많은 작업장에서 굴착 장비 · 트럭을 운전하면 신호수를 둡니다.</t>
        </is>
      </c>
    </row>
    <row r="11" ht="36" customHeight="1">
      <c r="A11" s="44" t="inlineStr">
        <is>
          <t>5)</t>
        </is>
      </c>
      <c r="B11" s="45" t="inlineStr">
        <is>
          <t>대피 · 신호 방법을 정하고, 소음이 큰 작업장은 소음에 영향받지 않는 신호 방법을 씁니다.</t>
        </is>
      </c>
    </row>
    <row r="12" ht="36" customHeight="1">
      <c r="A12" s="44" t="inlineStr">
        <is>
          <t>6)</t>
        </is>
      </c>
      <c r="B12" s="45" t="inlineStr">
        <is>
          <t>18세 미만인 사람은 법령이 금지하는 위험 작업에 배치하지 않고, 고령자 · 경험이 적은 근로자는 배치에 주의하며 비탈면 부근 작업에는 배치하지 않습니다.</t>
        </is>
      </c>
    </row>
    <row r="13" ht="20.5" customHeight="1">
      <c r="A13" s="44" t="inlineStr">
        <is>
          <t>7)</t>
        </is>
      </c>
      <c r="B13" s="45" t="inlineStr">
        <is>
          <t>매설물 가까운 작업은 원칙적으로 매설물 관리자의 입회 아래 합니다.</t>
        </is>
      </c>
    </row>
    <row r="14" ht="36" customHeight="1">
      <c r="A14" s="44" t="inlineStr">
        <is>
          <t>8)</t>
        </is>
      </c>
      <c r="B14" s="45" t="inlineStr">
        <is>
          <t>매설물은 매달기 · 받침 등으로 단단히 하고 필요하면 표시 · 방호물을 두며, 작업 중에는 감시자를 두고 끝나면 곧바로 복구합니다.</t>
        </is>
      </c>
    </row>
    <row r="15" ht="21" customHeight="1">
      <c r="A15" s="43" t="inlineStr">
        <is>
          <t>2. 인력 굴착 작업</t>
        </is>
      </c>
    </row>
    <row r="16" ht="20.5" customHeight="1">
      <c r="A16" s="44" t="inlineStr">
        <is>
          <t>1)</t>
        </is>
      </c>
      <c r="B16" s="45" t="inlineStr">
        <is>
          <t>무너뜨리거나 무너질 위험을 만드는 작업은 절대 하지 않습니다.</t>
        </is>
      </c>
    </row>
    <row r="17" ht="36" customHeight="1">
      <c r="A17" s="44" t="inlineStr">
        <is>
          <t>2)</t>
        </is>
      </c>
      <c r="B17" s="45" t="inlineStr">
        <is>
          <t>굴착은 설계서를 따르고, 깊은 굴착은 흙막이를 설치한 뒤 작업합니다. 비탈면은 토질별 굴착 높이에 맞는 안전한 기울기를 지킵니다.</t>
        </is>
      </c>
    </row>
    <row r="18" ht="20.5" customHeight="1">
      <c r="A18" s="44" t="inlineStr">
        <is>
          <t>3)</t>
        </is>
      </c>
      <c r="B18" s="45" t="inlineStr">
        <is>
          <t>굴착 흙과 자재를 굴착 옆 벽 위에 두지 않습니다.</t>
        </is>
      </c>
    </row>
    <row r="19" ht="20.5" customHeight="1">
      <c r="A19" s="44" t="inlineStr">
        <is>
          <t>4)</t>
        </is>
      </c>
      <c r="B19" s="45" t="inlineStr">
        <is>
          <t>작업 지휘자(작업반장급)의 지휘 아래 작업합니다.</t>
        </is>
      </c>
    </row>
    <row r="20" ht="21" customHeight="1">
      <c r="A20" s="43" t="inlineStr">
        <is>
          <t>3. 기계 굴착 작업</t>
        </is>
      </c>
    </row>
    <row r="21" ht="20.5" customHeight="1">
      <c r="A21" s="44" t="inlineStr">
        <is>
          <t>1)</t>
        </is>
      </c>
      <c r="B21" s="45" t="inlineStr">
        <is>
          <t>건설기계 · 트럭은 자격 있는 지명된 사람이 운전합니다.</t>
        </is>
      </c>
    </row>
    <row r="22" ht="36" customHeight="1">
      <c r="A22" s="44" t="inlineStr">
        <is>
          <t>2)</t>
        </is>
      </c>
      <c r="B22" s="45" t="inlineStr">
        <is>
          <t>운전 수칙을 지키고 무리한 운전을 하지 않으며, 작업 반경 안에는 다른 작업원이 들어오지 않게 하고 함께 일할 때는 긴밀히 협조합니다.</t>
        </is>
      </c>
    </row>
    <row r="23" ht="36" customHeight="1">
      <c r="A23" s="44" t="inlineStr">
        <is>
          <t>3)</t>
        </is>
      </c>
      <c r="B23" s="45" t="inlineStr">
        <is>
          <t>후진할 때는 유도원의 지시를 따르고, 노면 끝 작업에는 유도원을 둡니다. 무너지기 쉬운 지반 위에 기계를 두지 않습니다.</t>
        </is>
      </c>
    </row>
    <row r="24" ht="20.5" customHeight="1">
      <c r="A24" s="44" t="inlineStr">
        <is>
          <t>4)</t>
        </is>
      </c>
      <c r="B24" s="45" t="inlineStr">
        <is>
          <t>운전을 멈추면 반드시 시동을 끄고 잠금장치를 합니다.</t>
        </is>
      </c>
    </row>
    <row r="25" ht="36" customHeight="1">
      <c r="A25" s="44" t="inlineStr">
        <is>
          <t>5)</t>
        </is>
      </c>
      <c r="B25" s="45" t="inlineStr">
        <is>
          <t>도로 위 작업은 도로공사 안전시설 기준에 따라 표지 · 바리케이드 · 유도원을 두고, 야간에는 조명을 설치합니다.</t>
        </is>
      </c>
    </row>
    <row r="26" ht="51.5" customHeight="1">
      <c r="A26" s="44" t="inlineStr">
        <is>
          <t>6)</t>
        </is>
      </c>
      <c r="B26" s="45" t="inlineStr">
        <is>
          <t>고압선 부근은 방호 조치를 하고, 방호가 안 된 전선 아래에서 작업 · 이동할 때는 유도자를 두며 붐 등은 충전부에서 3m 이상(50kV 를 넘으면 10kV 마다 10cm 더) 떨어지게 합니다(산업안전보건기준에 관한 규칙).</t>
        </is>
      </c>
    </row>
    <row r="27" ht="36" customHeight="1">
      <c r="A27" s="44" t="inlineStr">
        <is>
          <t>7)</t>
        </is>
      </c>
      <c r="B27" s="45" t="inlineStr">
        <is>
          <t>굴착은 경험 많은 작업 지휘자가 직접 지휘하고, 굴착 높이가 높으면 중간에 폭 2m 이상의 소단을 둡니다. 기계를 능력 이상으로 쓰지 않습니다.</t>
        </is>
      </c>
    </row>
    <row r="28" ht="21" customHeight="1">
      <c r="A28" s="43" t="inlineStr">
        <is>
          <t>4. 가시설 작업</t>
        </is>
      </c>
    </row>
    <row r="29" ht="20.5" customHeight="1">
      <c r="A29" s="44" t="inlineStr">
        <is>
          <t>1)</t>
        </is>
      </c>
      <c r="B29" s="45" t="inlineStr">
        <is>
          <t>정기적으로 안전점검을 하고, 악천후에는 작업을 멈추고 특별 점검을 합니다.</t>
        </is>
      </c>
    </row>
    <row r="30" ht="20.5" customHeight="1">
      <c r="A30" s="44" t="inlineStr">
        <is>
          <t>2)</t>
        </is>
      </c>
      <c r="B30" s="45" t="inlineStr">
        <is>
          <t>안전모 · 안전대 등 보호구를 철저히 착용합니다.</t>
        </is>
      </c>
    </row>
    <row r="31" ht="20.5" customHeight="1">
      <c r="A31" s="44" t="inlineStr">
        <is>
          <t>3)</t>
        </is>
      </c>
      <c r="B31" s="45" t="inlineStr">
        <is>
          <t>기계 시동 · 전원 투입 때 주위를 확인하고 작업원 모두에게 알립니다.</t>
        </is>
      </c>
    </row>
    <row r="32" ht="20.5" customHeight="1">
      <c r="A32" s="44" t="inlineStr">
        <is>
          <t>4)</t>
        </is>
      </c>
      <c r="B32" s="45" t="inlineStr">
        <is>
          <t>전력 설비 · 시공 장치 등 전기 계통을 철저히 보수 · 점검해 누전 · 감전을 막습니다.</t>
        </is>
      </c>
    </row>
    <row r="33" ht="20.5" customHeight="1">
      <c r="A33" s="44" t="inlineStr">
        <is>
          <t>5)</t>
        </is>
      </c>
      <c r="B33" s="45" t="inlineStr">
        <is>
          <t>깎은 곳에서 시공할 때는 흙막이와 깎은 면이 안정한지 확인합니다.</t>
        </is>
      </c>
    </row>
    <row r="34" ht="36" customHeight="1">
      <c r="A34" s="44" t="inlineStr">
        <is>
          <t>6)</t>
        </is>
      </c>
      <c r="B34" s="45" t="inlineStr">
        <is>
          <t>울퉁불퉁하거나 연약하거나 굴착으로 불안정한 지반에서는 시공 기계의 주행에 주의하고 전도 방지 대책을 세웁니다.</t>
        </is>
      </c>
    </row>
    <row r="35" ht="36" customHeight="1">
      <c r="A35" s="44" t="inlineStr">
        <is>
          <t>7)</t>
        </is>
      </c>
      <c r="B35" s="45" t="inlineStr">
        <is>
          <t>철도 · 도로 · 고압선 · 통신선 · 건물 · 지하매설물 가까이에서 작업하면 방호하고 말뚝 · 시공 기계의 전도 방지 대책을 세우며, 고압선과는 충분히 떨어집니다.</t>
        </is>
      </c>
    </row>
    <row r="36" ht="20.5" customHeight="1">
      <c r="A36" s="44" t="inlineStr">
        <is>
          <t>8)</t>
        </is>
      </c>
      <c r="B36" s="45" t="inlineStr">
        <is>
          <t>시공 기계의 와이어로프는 손상 없는 것을 씁니다.</t>
        </is>
      </c>
    </row>
    <row r="37" ht="20.5" customHeight="1">
      <c r="A37" s="44" t="inlineStr">
        <is>
          <t>9)</t>
        </is>
      </c>
      <c r="B37" s="45" t="inlineStr">
        <is>
          <t>항타 경험이 충분한 사람이 작업을 감독하고 신호를 철저히 합니다.</t>
        </is>
      </c>
    </row>
    <row r="38" ht="36" customHeight="1">
      <c r="A38" s="44" t="inlineStr">
        <is>
          <t>10)</t>
        </is>
      </c>
      <c r="B38" s="45" t="inlineStr">
        <is>
          <t>작업을 잠시 멈추면 해머 등을 땅에 내려놓고, 굴착 구멍 근처 등 약한 곳에 기계를 두지 않으며, 폭풍우가 우려되면 미리 전도 방지 조치를 합니다.</t>
        </is>
      </c>
    </row>
    <row r="39" ht="3" customHeight="1"/>
    <row r="40" ht="21" customHeight="1">
      <c r="A40" s="20" t="inlineStr">
        <is>
          <t>제2장  환경관리</t>
        </is>
      </c>
    </row>
    <row r="41" ht="21" customHeight="1">
      <c r="A41" s="43" t="inlineStr">
        <is>
          <t>1) 대기(비산먼지) 관리</t>
        </is>
      </c>
    </row>
    <row r="42" ht="24" customHeight="1">
      <c r="A42" s="21" t="inlineStr">
        <is>
          <t>발생 요인</t>
        </is>
      </c>
      <c r="B42" s="6" t="n"/>
      <c r="C42" s="6" t="n"/>
      <c r="D42" s="21" t="inlineStr">
        <is>
          <t>대  책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63" customHeight="1">
      <c r="A43" s="50" t="inlineStr">
        <is>
          <t>관로 토공
(터파기 · 되메우기)</t>
        </is>
      </c>
      <c r="B43" s="6" t="n"/>
      <c r="C43" s="6" t="n"/>
      <c r="D43" s="62" t="inlineStr">
        <is>
          <t>시가지 공사가 많고 건물과 가까우므로 장비 운영에 신중 · 시가지 주행 속도 20km/h 이하 · 현장 주위 청소 · 먼지 날 곳 살수 · 도로에 주기적으로 물을 뿌려 알맞은 습기 유지 · 운반 차량 덮개 · 먼지가 많은 공정은 살수차와 인원을 배치해 특별 관리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26" customHeight="1">
      <c r="A44" s="50" t="inlineStr">
        <is>
          <t>야  적</t>
        </is>
      </c>
      <c r="B44" s="6" t="n"/>
      <c r="C44" s="6" t="n"/>
      <c r="D44" s="62" t="inlineStr">
        <is>
          <t>흙 · 모래 등 날리기 쉬운 물질은 방진덮개로 덮음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26" customHeight="1">
      <c r="A45" s="50" t="inlineStr">
        <is>
          <t>싣기 · 내리기</t>
        </is>
      </c>
      <c r="B45" s="6" t="n"/>
      <c r="C45" s="6" t="n"/>
      <c r="D45" s="62" t="inlineStr">
        <is>
          <t>싣고 내릴 때 물을 뿌려 흩날리지 않게 함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63" customHeight="1">
      <c r="A46" s="50" t="inlineStr">
        <is>
          <t>수  송</t>
        </is>
      </c>
      <c r="B46" s="6" t="n"/>
      <c r="C46" s="6" t="n"/>
      <c r="D46" s="62" t="inlineStr">
        <is>
          <t>덮개로 적재물이 밖에서 보이지 않고 흘리지 않게 · 적재함 상단에서 수평 5cm 이하까지만 싣기 · 사토장 · 임시 야적장 운반로는 살수 · 물청소 · 공사장 안 통행 차량 시속 20km 이하 · 운행 기간 중 공사장 안 통행로 1일 1회 이상 살수 · 세륜시설로 바퀴 씻기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16" customHeight="1">
      <c r="A47" s="10" t="inlineStr">
        <is>
          <t>※ 비산먼지 발생사업 신고 대상이면 착공 전에 관할 시 · 군 · 구에 신고합니다(대기환경보전법).</t>
        </is>
      </c>
    </row>
    <row r="48" ht="21" customHeight="1">
      <c r="A48" s="43" t="inlineStr">
        <is>
          <t>2) 소음 · 진동 관리</t>
        </is>
      </c>
    </row>
    <row r="49" ht="37" customHeight="1">
      <c r="A49" s="48" t="inlineStr">
        <is>
          <t>특정공사 사전신고 대상이면 공사 시작 전까지 관할 시 · 군 · 구에 특정공사 사전신고서를 냅니다(소음 · 진동관리법 제22조).</t>
        </is>
      </c>
    </row>
    <row r="50" ht="24" customHeight="1">
      <c r="A50" s="21" t="inlineStr">
        <is>
          <t>단 계</t>
        </is>
      </c>
      <c r="B50" s="6" t="n"/>
      <c r="C50" s="21" t="inlineStr">
        <is>
          <t>할  일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4.5" customHeight="1">
      <c r="A51" s="50" t="inlineStr">
        <is>
          <t>1단계</t>
        </is>
      </c>
      <c r="B51" s="6" t="n"/>
      <c r="C51" s="62" t="inlineStr">
        <is>
          <t>공사 전 주민에게 공사 목적 · 내용을 설명해 협조를 구함 · 주변 위험물 등 상황 조사 · 생활소음 규제 대상 여부 확인 · 관할 기관 행정 절차 숙지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4.5" customHeight="1">
      <c r="A52" s="50" t="inlineStr">
        <is>
          <t>2단계</t>
        </is>
      </c>
      <c r="B52" s="6" t="n"/>
      <c r="C52" s="62" t="inlineStr">
        <is>
          <t>현장이 어느 규제 지역에 해당하는지와 규제 기준 확인 · (대상이면) 특정공사 사전신고 · 공사 전 소음 · 진동 크기 예측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24" customHeight="1">
      <c r="A53" s="50" t="inlineStr">
        <is>
          <t>3단계</t>
        </is>
      </c>
      <c r="B53" s="6" t="n"/>
      <c r="C53" s="62" t="inlineStr">
        <is>
          <t>예측값이 기준을 넘으면 직접 재거나 측정 기관에 맡겨 잼</t>
        </is>
      </c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24" customHeight="1">
      <c r="A54" s="50" t="inlineStr">
        <is>
          <t>4단계</t>
        </is>
      </c>
      <c r="B54" s="6" t="n"/>
      <c r="C54" s="62" t="inlineStr">
        <is>
          <t>실측값이 기준을 넘으면 관련 부서에 알려 저감 방안 · 대책을 함께 세움</t>
        </is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4.5" customHeight="1">
      <c r="A55" s="50" t="inlineStr">
        <is>
          <t>5단계</t>
        </is>
      </c>
      <c r="B55" s="6" t="n"/>
      <c r="C55" s="62" t="inlineStr">
        <is>
          <t>저감 대책을 적용한 뒤 다시 재어 기준에 맞는지 확인하고 공법 확정 · 방지시설 설치와 효과를 확인받아 사용 · 방지시설 내용과 비용을 발주처에 보고해 설계변경에 반영</t>
        </is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24" customHeight="1">
      <c r="A56" s="50" t="inlineStr">
        <is>
          <t>6단계</t>
        </is>
      </c>
      <c r="B56" s="6" t="n"/>
      <c r="C56" s="62" t="inlineStr">
        <is>
          <t>현장 환경 점검표 등으로 계속 관리 · 주기적으로 재어 민원 최소화</t>
        </is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24" customHeight="1">
      <c r="A57" s="21" t="inlineStr">
        <is>
          <t>발생 요인</t>
        </is>
      </c>
      <c r="B57" s="6" t="n"/>
      <c r="C57" s="6" t="n"/>
      <c r="D57" s="6" t="n"/>
      <c r="E57" s="21" t="inlineStr">
        <is>
          <t>대  책</t>
        </is>
      </c>
      <c r="F57" s="6" t="n"/>
      <c r="G57" s="6" t="n"/>
      <c r="H57" s="6" t="n"/>
      <c r="I57" s="6" t="n"/>
      <c r="J57" s="6" t="n"/>
      <c r="K57" s="6" t="n"/>
      <c r="L57" s="6" t="n"/>
    </row>
    <row r="58" ht="34.5" customHeight="1">
      <c r="A58" s="63" t="inlineStr">
        <is>
          <t>관로 터파기 · 되메우기 장비 소음
(굴삭기 · 덤프트럭 · 발전기)</t>
        </is>
      </c>
      <c r="B58" s="6" t="n"/>
      <c r="C58" s="6" t="n"/>
      <c r="D58" s="6" t="n"/>
      <c r="E58" s="62" t="inlineStr">
        <is>
          <t>소음이 낮은 장비(저소음 · 저진동) 도입 · 알맞은 용량의 장비 사용 · 장비 서행 · 점검 · 정비 철저 · 급가동 · 공회전 금지</t>
        </is>
      </c>
      <c r="F58" s="6" t="n"/>
      <c r="G58" s="6" t="n"/>
      <c r="H58" s="6" t="n"/>
      <c r="I58" s="6" t="n"/>
      <c r="J58" s="6" t="n"/>
      <c r="K58" s="6" t="n"/>
      <c r="L58" s="6" t="n"/>
    </row>
    <row r="59" ht="30" customHeight="1">
      <c r="A59" s="63" t="inlineStr">
        <is>
          <t>H-PILE 박기</t>
        </is>
      </c>
      <c r="B59" s="6" t="n"/>
      <c r="C59" s="6" t="n"/>
      <c r="D59" s="6" t="n"/>
      <c r="E59" s="62" t="inlineStr">
        <is>
          <t>천공 · 삽입 공법으로 소음 · 진동을 줄임</t>
        </is>
      </c>
      <c r="F59" s="6" t="n"/>
      <c r="G59" s="6" t="n"/>
      <c r="H59" s="6" t="n"/>
      <c r="I59" s="6" t="n"/>
      <c r="J59" s="6" t="n"/>
      <c r="K59" s="6" t="n"/>
      <c r="L59" s="6" t="n"/>
    </row>
    <row r="60" ht="21" customHeight="1">
      <c r="A60" s="43" t="inlineStr">
        <is>
          <t>3) 폐기물 · 수질</t>
        </is>
      </c>
    </row>
    <row r="61" ht="20.5" customHeight="1">
      <c r="A61" s="44" t="inlineStr">
        <is>
          <t>·</t>
        </is>
      </c>
      <c r="B61" s="45" t="inlineStr">
        <is>
          <t>현장 폐기물(폐윤활유 · 쓰레기 · 잡자재 등)은 허가받은 업체에 맡겨 처리합니다.</t>
        </is>
      </c>
    </row>
    <row r="62" ht="20.5" customHeight="1">
      <c r="A62" s="44" t="inlineStr">
        <is>
          <t>·</t>
        </is>
      </c>
      <c r="B62" s="45" t="inlineStr">
        <is>
          <t>터파기 중 먼지가 나면 물을 뿌려 억제합니다.</t>
        </is>
      </c>
    </row>
    <row r="63" ht="36" customHeight="1">
      <c r="A63" s="44" t="inlineStr">
        <is>
          <t>·</t>
        </is>
      </c>
      <c r="B63" s="45" t="inlineStr">
        <is>
          <t>양수 · 세륜 · 콘크리트 세척수 등 흙탕물은 침사 후 방류해 하천 · 하수도를 오염시키지 않습니다.</t>
        </is>
      </c>
    </row>
  </sheetData>
  <mergeCells count="76">
    <mergeCell ref="B35:L35"/>
    <mergeCell ref="E58:L58"/>
    <mergeCell ref="B26:L26"/>
    <mergeCell ref="A41:L41"/>
    <mergeCell ref="B16:L16"/>
    <mergeCell ref="A46:C46"/>
    <mergeCell ref="C52:L52"/>
    <mergeCell ref="B7:L7"/>
    <mergeCell ref="B25:L25"/>
    <mergeCell ref="A51:B51"/>
    <mergeCell ref="B62:L62"/>
    <mergeCell ref="B22:L22"/>
    <mergeCell ref="A3:L3"/>
    <mergeCell ref="B31:L31"/>
    <mergeCell ref="B18:L18"/>
    <mergeCell ref="B27:L27"/>
    <mergeCell ref="A42:C42"/>
    <mergeCell ref="B12:L12"/>
    <mergeCell ref="D43:L43"/>
    <mergeCell ref="C53:L53"/>
    <mergeCell ref="A54:B54"/>
    <mergeCell ref="B21:L21"/>
    <mergeCell ref="A58:D58"/>
    <mergeCell ref="A47:L47"/>
    <mergeCell ref="A5:L5"/>
    <mergeCell ref="B11:L11"/>
    <mergeCell ref="A59:D59"/>
    <mergeCell ref="B14:L14"/>
    <mergeCell ref="A56:B56"/>
    <mergeCell ref="A43:C43"/>
    <mergeCell ref="B17:L17"/>
    <mergeCell ref="B23:L23"/>
    <mergeCell ref="A55:B55"/>
    <mergeCell ref="B8:L8"/>
    <mergeCell ref="A20:L20"/>
    <mergeCell ref="G1:L1"/>
    <mergeCell ref="A50:B50"/>
    <mergeCell ref="C51:L51"/>
    <mergeCell ref="B61:L61"/>
    <mergeCell ref="B13:L13"/>
    <mergeCell ref="A44:C44"/>
    <mergeCell ref="B38:L38"/>
    <mergeCell ref="D42:L42"/>
    <mergeCell ref="E59:L59"/>
    <mergeCell ref="B29:L29"/>
    <mergeCell ref="A28:L28"/>
    <mergeCell ref="B19:L19"/>
    <mergeCell ref="B34:L34"/>
    <mergeCell ref="B37:L37"/>
    <mergeCell ref="B10:L10"/>
    <mergeCell ref="A40:L40"/>
    <mergeCell ref="D44:L44"/>
    <mergeCell ref="C54:L54"/>
    <mergeCell ref="B9:L9"/>
    <mergeCell ref="C50:L50"/>
    <mergeCell ref="A48:L48"/>
    <mergeCell ref="A53:B53"/>
    <mergeCell ref="E57:L57"/>
    <mergeCell ref="C55:L55"/>
    <mergeCell ref="A15:L15"/>
    <mergeCell ref="A52:B52"/>
    <mergeCell ref="A60:L60"/>
    <mergeCell ref="B30:L30"/>
    <mergeCell ref="A45:C45"/>
    <mergeCell ref="A49:L49"/>
    <mergeCell ref="A1:F1"/>
    <mergeCell ref="B33:L33"/>
    <mergeCell ref="D46:L46"/>
    <mergeCell ref="B24:L24"/>
    <mergeCell ref="C56:L56"/>
    <mergeCell ref="A6:L6"/>
    <mergeCell ref="A57:D57"/>
    <mergeCell ref="D45:L45"/>
    <mergeCell ref="B36:L36"/>
    <mergeCell ref="B32:L32"/>
    <mergeCell ref="B63:L63"/>
  </mergeCells>
  <printOptions horizontalCentered="1"/>
  <pageMargins left="0.45" right="0.45" top="0.5" bottom="0.5" header="0.2" footer="0.2"/>
  <pageSetup orientation="portrait" paperSize="9" fitToHeight="0" fitToWidth="1"/>
  <rowBreaks count="2" manualBreakCount="2">
    <brk id="30" min="0" max="16383" man="1"/>
    <brk id="56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4" t="inlineStr">
        <is>
          <t xml:space="preserve">작성 예시 (가상의 현장)  </t>
        </is>
      </c>
    </row>
    <row r="2" ht="130" customHeight="1"/>
    <row r="3" ht="60" customHeight="1">
      <c r="A3" s="3" t="inlineStr">
        <is>
          <t>하 수 관 거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가나지구 하수관로 정비공사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>
        <v>46106</v>
      </c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 · 회사 · 사람).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1.  공 사 개 요</t>
        </is>
      </c>
    </row>
    <row r="4" ht="26" customHeight="1">
      <c r="A4" s="5" t="inlineStr">
        <is>
          <t>공 사 명</t>
        </is>
      </c>
      <c r="B4" s="6" t="n"/>
      <c r="C4" s="14">
        <f>IF('예시-표지'!E5="","",'예시-표지'!E5)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6" customHeight="1">
      <c r="A5" s="5" t="inlineStr">
        <is>
          <t>공사 금액</t>
        </is>
      </c>
      <c r="B5" s="6" t="n"/>
      <c r="C5" s="15" t="n">
        <v>2480000000</v>
      </c>
      <c r="D5" s="6" t="n"/>
      <c r="E5" s="6" t="n"/>
      <c r="F5" s="6" t="n"/>
      <c r="G5" s="5" t="inlineStr">
        <is>
          <t>발 주 처</t>
        </is>
      </c>
      <c r="H5" s="6" t="n"/>
      <c r="I5" s="16" t="inlineStr">
        <is>
          <t>가나시</t>
        </is>
      </c>
      <c r="J5" s="6" t="n"/>
      <c r="K5" s="6" t="n"/>
      <c r="L5" s="6" t="n"/>
    </row>
    <row r="6" ht="26" customHeight="1">
      <c r="A6" s="5" t="inlineStr">
        <is>
          <t>현장 위치</t>
        </is>
      </c>
      <c r="B6" s="6" t="n"/>
      <c r="C6" s="16" t="inlineStr">
        <is>
          <t>가나시 가나면 가나리 일원</t>
        </is>
      </c>
      <c r="D6" s="6" t="n"/>
      <c r="E6" s="6" t="n"/>
      <c r="F6" s="6" t="n"/>
      <c r="G6" s="5" t="inlineStr">
        <is>
          <t>도급 형태</t>
        </is>
      </c>
      <c r="H6" s="6" t="n"/>
      <c r="I6" s="16" t="inlineStr">
        <is>
          <t>총액입찰</t>
        </is>
      </c>
      <c r="J6" s="6" t="n"/>
      <c r="K6" s="6" t="n"/>
      <c r="L6" s="6" t="n"/>
    </row>
    <row r="7" ht="26" customHeight="1">
      <c r="A7" s="5" t="inlineStr">
        <is>
          <t>관할 행정기관</t>
        </is>
      </c>
      <c r="B7" s="6" t="n"/>
      <c r="C7" s="16" t="inlineStr">
        <is>
          <t>가나시 하수도과</t>
        </is>
      </c>
      <c r="D7" s="6" t="n"/>
      <c r="E7" s="6" t="n"/>
      <c r="F7" s="6" t="n"/>
      <c r="G7" s="5" t="inlineStr">
        <is>
          <t>공사 기간</t>
        </is>
      </c>
      <c r="H7" s="6" t="n"/>
      <c r="I7" s="17" t="n">
        <v>46113</v>
      </c>
      <c r="J7" s="6" t="n"/>
      <c r="K7" s="18" t="n">
        <v>46466</v>
      </c>
      <c r="L7" s="6" t="n"/>
    </row>
    <row r="8" ht="18" customHeight="1">
      <c r="A8" s="4" t="inlineStr"/>
      <c r="I8" s="19">
        <f>IF(OR(N(I7)=0,N(K7)=0),"",IF(K7&lt;I7,"⚠ 준공일이 착공일보다 빠름",K7-I7+1))</f>
        <v/>
      </c>
    </row>
    <row r="9" ht="6" customHeight="1"/>
    <row r="10" ht="3" customHeight="1"/>
    <row r="11" ht="21" customHeight="1">
      <c r="A11" s="20" t="inlineStr">
        <is>
          <t>공사 개요 (주요 물량)</t>
        </is>
      </c>
    </row>
    <row r="12" ht="24" customHeight="1">
      <c r="A12" s="21" t="inlineStr">
        <is>
          <t>공  종</t>
        </is>
      </c>
      <c r="B12" s="6" t="n"/>
      <c r="C12" s="6" t="n"/>
      <c r="D12" s="21" t="inlineStr">
        <is>
          <t>규  격</t>
        </is>
      </c>
      <c r="E12" s="6" t="n"/>
      <c r="F12" s="6" t="n"/>
      <c r="G12" s="6" t="n"/>
      <c r="H12" s="21" t="inlineStr">
        <is>
          <t>단위</t>
        </is>
      </c>
      <c r="I12" s="21" t="inlineStr">
        <is>
          <t>수  량</t>
        </is>
      </c>
      <c r="J12" s="6" t="n"/>
      <c r="K12" s="21" t="inlineStr">
        <is>
          <t>비  고</t>
        </is>
      </c>
      <c r="L12" s="6" t="n"/>
    </row>
    <row r="13" ht="24" customHeight="1">
      <c r="A13" s="7" t="inlineStr">
        <is>
          <t>오수관로</t>
        </is>
      </c>
      <c r="B13" s="6" t="n"/>
      <c r="C13" s="6" t="n"/>
      <c r="D13" s="22" t="inlineStr">
        <is>
          <t>D200mm 내충격 PVC</t>
        </is>
      </c>
      <c r="E13" s="6" t="n"/>
      <c r="F13" s="6" t="n"/>
      <c r="G13" s="6" t="n"/>
      <c r="H13" s="7" t="inlineStr">
        <is>
          <t>m</t>
        </is>
      </c>
      <c r="I13" s="23" t="n">
        <v>3250</v>
      </c>
      <c r="J13" s="6" t="n"/>
      <c r="K13" s="24" t="n"/>
      <c r="L13" s="6" t="n"/>
    </row>
    <row r="14" ht="24" customHeight="1">
      <c r="A14" s="7" t="inlineStr">
        <is>
          <t>오수관로</t>
        </is>
      </c>
      <c r="B14" s="6" t="n"/>
      <c r="C14" s="6" t="n"/>
      <c r="D14" s="22" t="inlineStr">
        <is>
          <t>D250mm 내충격 PVC</t>
        </is>
      </c>
      <c r="E14" s="6" t="n"/>
      <c r="F14" s="6" t="n"/>
      <c r="G14" s="6" t="n"/>
      <c r="H14" s="7" t="inlineStr">
        <is>
          <t>m</t>
        </is>
      </c>
      <c r="I14" s="23" t="n">
        <v>1180</v>
      </c>
      <c r="J14" s="6" t="n"/>
      <c r="K14" s="24" t="n"/>
      <c r="L14" s="6" t="n"/>
    </row>
    <row r="15" ht="24" customHeight="1">
      <c r="A15" s="7" t="inlineStr">
        <is>
          <t>오수관로</t>
        </is>
      </c>
      <c r="B15" s="6" t="n"/>
      <c r="C15" s="6" t="n"/>
      <c r="D15" s="22" t="inlineStr">
        <is>
          <t>D300mm 내충격 PVC</t>
        </is>
      </c>
      <c r="E15" s="6" t="n"/>
      <c r="F15" s="6" t="n"/>
      <c r="G15" s="6" t="n"/>
      <c r="H15" s="7" t="inlineStr">
        <is>
          <t>m</t>
        </is>
      </c>
      <c r="I15" s="23" t="n">
        <v>420</v>
      </c>
      <c r="J15" s="6" t="n"/>
      <c r="K15" s="24" t="n"/>
      <c r="L15" s="6" t="n"/>
    </row>
    <row r="16" ht="24" customHeight="1">
      <c r="A16" s="7" t="inlineStr">
        <is>
          <t>오수맨홀</t>
        </is>
      </c>
      <c r="B16" s="6" t="n"/>
      <c r="C16" s="6" t="n"/>
      <c r="D16" s="22" t="inlineStr">
        <is>
          <t>원형 1호(D900)</t>
        </is>
      </c>
      <c r="E16" s="6" t="n"/>
      <c r="F16" s="6" t="n"/>
      <c r="G16" s="6" t="n"/>
      <c r="H16" s="7" t="inlineStr">
        <is>
          <t>개소</t>
        </is>
      </c>
      <c r="I16" s="23" t="n">
        <v>186</v>
      </c>
      <c r="J16" s="6" t="n"/>
      <c r="K16" s="24" t="n"/>
      <c r="L16" s="6" t="n"/>
    </row>
    <row r="17" ht="24" customHeight="1">
      <c r="A17" s="7" t="inlineStr">
        <is>
          <t>배수설비</t>
        </is>
      </c>
      <c r="B17" s="6" t="n"/>
      <c r="C17" s="6" t="n"/>
      <c r="D17" s="22" t="inlineStr">
        <is>
          <t>PVC 오수받이 D300</t>
        </is>
      </c>
      <c r="E17" s="6" t="n"/>
      <c r="F17" s="6" t="n"/>
      <c r="G17" s="6" t="n"/>
      <c r="H17" s="7" t="inlineStr">
        <is>
          <t>가구</t>
        </is>
      </c>
      <c r="I17" s="23" t="n">
        <v>412</v>
      </c>
      <c r="J17" s="6" t="n"/>
      <c r="K17" s="24" t="inlineStr">
        <is>
          <t>연결관 포함</t>
        </is>
      </c>
      <c r="L17" s="6" t="n"/>
    </row>
    <row r="18" ht="24" customHeight="1">
      <c r="A18" s="7" t="inlineStr">
        <is>
          <t>오수맨홀 펌프장</t>
        </is>
      </c>
      <c r="B18" s="6" t="n"/>
      <c r="C18" s="6" t="n"/>
      <c r="D18" s="22" t="inlineStr">
        <is>
          <t>소형</t>
        </is>
      </c>
      <c r="E18" s="6" t="n"/>
      <c r="F18" s="6" t="n"/>
      <c r="G18" s="6" t="n"/>
      <c r="H18" s="7" t="inlineStr">
        <is>
          <t>개소</t>
        </is>
      </c>
      <c r="I18" s="23" t="n">
        <v>2</v>
      </c>
      <c r="J18" s="6" t="n"/>
      <c r="K18" s="24" t="n"/>
      <c r="L18" s="6" t="n"/>
    </row>
    <row r="19" ht="24" customHeight="1">
      <c r="A19" s="7" t="n"/>
      <c r="B19" s="6" t="n"/>
      <c r="C19" s="6" t="n"/>
      <c r="D19" s="22" t="n"/>
      <c r="E19" s="6" t="n"/>
      <c r="F19" s="6" t="n"/>
      <c r="G19" s="6" t="n"/>
      <c r="H19" s="7" t="n"/>
      <c r="I19" s="23" t="n"/>
      <c r="J19" s="6" t="n"/>
      <c r="K19" s="24" t="n"/>
      <c r="L19" s="6" t="n"/>
    </row>
    <row r="20" ht="24" customHeight="1">
      <c r="A20" s="7" t="n"/>
      <c r="B20" s="6" t="n"/>
      <c r="C20" s="6" t="n"/>
      <c r="D20" s="22" t="n"/>
      <c r="E20" s="6" t="n"/>
      <c r="F20" s="6" t="n"/>
      <c r="G20" s="6" t="n"/>
      <c r="H20" s="7" t="n"/>
      <c r="I20" s="23" t="n"/>
      <c r="J20" s="6" t="n"/>
      <c r="K20" s="24" t="n"/>
      <c r="L20" s="6" t="n"/>
    </row>
    <row r="21" ht="24" customHeight="1">
      <c r="A21" s="25" t="inlineStr">
        <is>
          <t>관로 연장 합계 (단위가 m 인 줄)</t>
        </is>
      </c>
      <c r="B21" s="6" t="n"/>
      <c r="C21" s="6" t="n"/>
      <c r="D21" s="6" t="n"/>
      <c r="E21" s="6" t="n"/>
      <c r="F21" s="6" t="n"/>
      <c r="G21" s="6" t="n"/>
      <c r="H21" s="6" t="n"/>
      <c r="I21" s="26">
        <f>IF(SUMIF(H13:H20,"m",I13:I20)=0,"",SUMIF(H13:H20,"m",I13:I20))</f>
        <v/>
      </c>
      <c r="J21" s="6" t="n"/>
      <c r="K21" s="25" t="inlineStr"/>
      <c r="L21" s="6" t="n"/>
    </row>
    <row r="22" ht="6" customHeight="1"/>
    <row r="23" ht="3" customHeight="1"/>
    <row r="24" ht="21" customHeight="1">
      <c r="A24" s="20" t="inlineStr">
        <is>
          <t>공사 목적</t>
        </is>
      </c>
    </row>
    <row r="25" ht="64" customHeight="1">
      <c r="A25" s="27">
        <f>"    "&amp;IF(C6="","대상 지역",C6)&amp;"의 합류식 하수관로를 분류식으로 바꾸고 하수관로를 체계적으로 정비하여 마을에서 생기는 오수를 모두 차집 · 처리함으로써, 하수처리 효율을 높이고 위생적인 생활환경을 만들며 방류 수역의 수질을 지키는 데 목적이 있습니다."</f>
        <v/>
      </c>
    </row>
    <row r="26" ht="3" customHeight="1"/>
    <row r="27" ht="21" customHeight="1">
      <c r="A27" s="20" t="inlineStr">
        <is>
          <t>특이 사항</t>
        </is>
      </c>
    </row>
    <row r="28" ht="40" customHeight="1">
      <c r="A28" s="28" t="inlineStr">
        <is>
          <t>면 소재지를 지나는 도로 구간이 많아 당일 굴착 · 당일 복구를 원칙으로 함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30" ht="19" customHeight="1">
      <c r="A30" s="10" t="inlineStr"/>
    </row>
  </sheetData>
  <mergeCells count="65">
    <mergeCell ref="K16:L16"/>
    <mergeCell ref="D18:G18"/>
    <mergeCell ref="A25:L25"/>
    <mergeCell ref="I8:L8"/>
    <mergeCell ref="D12:G12"/>
    <mergeCell ref="I15:J15"/>
    <mergeCell ref="K15:L15"/>
    <mergeCell ref="C7:F7"/>
    <mergeCell ref="A18:C18"/>
    <mergeCell ref="D15:G15"/>
    <mergeCell ref="A27:L27"/>
    <mergeCell ref="A12:C12"/>
    <mergeCell ref="A3:L3"/>
    <mergeCell ref="A6:B6"/>
    <mergeCell ref="D14:G14"/>
    <mergeCell ref="K21:L21"/>
    <mergeCell ref="K20:L20"/>
    <mergeCell ref="A7:B7"/>
    <mergeCell ref="G7:H7"/>
    <mergeCell ref="I16:J16"/>
    <mergeCell ref="I7:J7"/>
    <mergeCell ref="A14:C14"/>
    <mergeCell ref="D20:G20"/>
    <mergeCell ref="C6:F6"/>
    <mergeCell ref="I6:L6"/>
    <mergeCell ref="A17:C17"/>
    <mergeCell ref="D19:G19"/>
    <mergeCell ref="G6:H6"/>
    <mergeCell ref="C5:F5"/>
    <mergeCell ref="A20:C20"/>
    <mergeCell ref="I18:J18"/>
    <mergeCell ref="I21:J21"/>
    <mergeCell ref="G1:L1"/>
    <mergeCell ref="I12:J12"/>
    <mergeCell ref="A13:C13"/>
    <mergeCell ref="A19:C19"/>
    <mergeCell ref="K12:L12"/>
    <mergeCell ref="A21:H21"/>
    <mergeCell ref="C4:L4"/>
    <mergeCell ref="A28:L28"/>
    <mergeCell ref="A5:B5"/>
    <mergeCell ref="G5:H5"/>
    <mergeCell ref="D13:G13"/>
    <mergeCell ref="I14:J14"/>
    <mergeCell ref="A15:C15"/>
    <mergeCell ref="K14:L14"/>
    <mergeCell ref="A8:H8"/>
    <mergeCell ref="I17:J17"/>
    <mergeCell ref="K17:L17"/>
    <mergeCell ref="A4:B4"/>
    <mergeCell ref="A24:L24"/>
    <mergeCell ref="A30:L30"/>
    <mergeCell ref="K7:L7"/>
    <mergeCell ref="D17:G17"/>
    <mergeCell ref="I20:J20"/>
    <mergeCell ref="A11:L11"/>
    <mergeCell ref="A1:F1"/>
    <mergeCell ref="D16:G16"/>
    <mergeCell ref="I19:J19"/>
    <mergeCell ref="K19:L19"/>
    <mergeCell ref="I13:J13"/>
    <mergeCell ref="K13:L13"/>
    <mergeCell ref="K18:L18"/>
    <mergeCell ref="A16:C16"/>
    <mergeCell ref="I5:L5"/>
  </mergeCells>
  <conditionalFormatting sqref="I13:I20">
    <cfRule type="expression" priority="1" dxfId="0">
      <formula>AND(ISNUMBER(I13),MOD(I13,1)=0)</formula>
    </cfRule>
  </conditionalFormatting>
  <conditionalFormatting sqref="I21">
    <cfRule type="expression" priority="2" dxfId="1">
      <formula>AND(ISNUMBER(I21),MOD(I21,1)=0)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2.  위  치  도</t>
        </is>
      </c>
    </row>
    <row r="4" ht="20" customHeight="1">
      <c r="A4" s="29" t="inlineStr">
        <is>
          <t>(위치도를 붙이는 곳 — 현장 위치 · 공사 구간을 표시한 지도)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0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0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20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20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0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0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0" customHeight="1"/>
    <row r="19" ht="6" customHeight="1"/>
    <row r="20" ht="28" customHeight="1">
      <c r="A20" s="13" t="inlineStr">
        <is>
          <t>3.  현 장 조 직 도</t>
        </is>
      </c>
    </row>
    <row r="21" ht="8" customHeight="1"/>
    <row r="22" ht="20" customHeight="1">
      <c r="F22" s="5" t="inlineStr">
        <is>
          <t>현 장 소 장</t>
        </is>
      </c>
      <c r="G22" s="6" t="n"/>
    </row>
    <row r="23" ht="22" customHeight="1">
      <c r="F23" s="7" t="inlineStr">
        <is>
          <t>홍길동</t>
        </is>
      </c>
      <c r="G23" s="6" t="n"/>
    </row>
    <row r="24" ht="20" customHeight="1">
      <c r="F24" s="30" t="inlineStr">
        <is>
          <t>010-0000-0001</t>
        </is>
      </c>
      <c r="G24" s="6" t="n"/>
    </row>
    <row r="25" ht="12" customHeight="1">
      <c r="G25" s="31" t="n"/>
    </row>
    <row r="26" ht="20" customHeight="1">
      <c r="G26" s="32" t="n"/>
      <c r="H26" s="33" t="n"/>
      <c r="I26" s="5" t="inlineStr">
        <is>
          <t>안 전 담 당</t>
        </is>
      </c>
      <c r="J26" s="6" t="n"/>
    </row>
    <row r="27" ht="22" customHeight="1">
      <c r="G27" s="31" t="n"/>
      <c r="I27" s="7" t="inlineStr">
        <is>
          <t>김철수</t>
        </is>
      </c>
      <c r="J27" s="6" t="n"/>
    </row>
    <row r="28" ht="20" customHeight="1">
      <c r="G28" s="31" t="n"/>
      <c r="I28" s="30" t="inlineStr">
        <is>
          <t>010-0000-0002</t>
        </is>
      </c>
      <c r="J28" s="6" t="n"/>
    </row>
    <row r="29" ht="12" customHeight="1">
      <c r="G29" s="31" t="n"/>
    </row>
    <row r="30" ht="12" customHeight="1">
      <c r="D30" s="33" t="n"/>
      <c r="E30" s="33" t="n"/>
      <c r="F30" s="33" t="n"/>
      <c r="G30" s="32" t="n"/>
      <c r="H30" s="33" t="n"/>
      <c r="I30" s="33" t="n"/>
    </row>
    <row r="31" ht="12" customHeight="1">
      <c r="D31" s="31" t="n"/>
      <c r="J31" s="31" t="n"/>
    </row>
    <row r="32" ht="20" customHeight="1">
      <c r="C32" s="5" t="inlineStr">
        <is>
          <t>공 사 과 장</t>
        </is>
      </c>
      <c r="D32" s="6" t="n"/>
      <c r="I32" s="5" t="inlineStr">
        <is>
          <t>공 사 대 리</t>
        </is>
      </c>
      <c r="J32" s="6" t="n"/>
    </row>
    <row r="33" ht="22" customHeight="1">
      <c r="C33" s="7" t="inlineStr">
        <is>
          <t>이과장</t>
        </is>
      </c>
      <c r="D33" s="6" t="n"/>
      <c r="I33" s="7" t="inlineStr">
        <is>
          <t>박대리</t>
        </is>
      </c>
      <c r="J33" s="6" t="n"/>
    </row>
    <row r="34" ht="20" customHeight="1">
      <c r="C34" s="30" t="inlineStr">
        <is>
          <t>010-0000-0003</t>
        </is>
      </c>
      <c r="D34" s="6" t="n"/>
      <c r="I34" s="30" t="inlineStr">
        <is>
          <t>010-0000-0004</t>
        </is>
      </c>
      <c r="J34" s="6" t="n"/>
    </row>
    <row r="35" ht="14" customHeight="1">
      <c r="J35" s="31" t="n"/>
    </row>
    <row r="36" ht="20" customHeight="1">
      <c r="I36" s="5" t="inlineStr">
        <is>
          <t>작 업 반 장</t>
        </is>
      </c>
      <c r="J36" s="6" t="n"/>
    </row>
    <row r="37" ht="22" customHeight="1">
      <c r="I37" s="7" t="inlineStr">
        <is>
          <t>최반장</t>
        </is>
      </c>
      <c r="J37" s="6" t="n"/>
    </row>
    <row r="38" ht="20" customHeight="1">
      <c r="I38" s="30" t="inlineStr">
        <is>
          <t>010-0000-0005</t>
        </is>
      </c>
      <c r="J38" s="6" t="n"/>
    </row>
    <row r="39" ht="8" customHeight="1"/>
    <row r="40" ht="16" customHeight="1">
      <c r="A40" s="10" t="inlineStr">
        <is>
          <t>※ 칸마다 성명 · 연락처를 적습니다. 안전담당은 현장소장 직속으로 둡니다.</t>
        </is>
      </c>
    </row>
  </sheetData>
  <mergeCells count="21">
    <mergeCell ref="C34:D34"/>
    <mergeCell ref="I34:J34"/>
    <mergeCell ref="C33:D33"/>
    <mergeCell ref="I27:J27"/>
    <mergeCell ref="I36:J36"/>
    <mergeCell ref="A3:L3"/>
    <mergeCell ref="I26:J26"/>
    <mergeCell ref="F24:G24"/>
    <mergeCell ref="I32:J32"/>
    <mergeCell ref="I37:J37"/>
    <mergeCell ref="I28:J28"/>
    <mergeCell ref="A20:L20"/>
    <mergeCell ref="G1:L1"/>
    <mergeCell ref="A4:L17"/>
    <mergeCell ref="F23:G23"/>
    <mergeCell ref="I33:J33"/>
    <mergeCell ref="F22:G22"/>
    <mergeCell ref="A40:L40"/>
    <mergeCell ref="C32:D32"/>
    <mergeCell ref="I38:J38"/>
    <mergeCell ref="A1:F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C19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8" customWidth="1" min="29" max="29"/>
  </cols>
  <sheetData>
    <row r="1" ht="20" customHeight="1">
      <c r="A1" s="1" t="inlineStr">
        <is>
          <t xml:space="preserve">  K-건설맵  |  k-conmap.com  무료 건설 서식</t>
        </is>
      </c>
      <c r="I1" s="64" t="inlineStr">
        <is>
          <t xml:space="preserve">작성 예시 (가상의 현장)  </t>
        </is>
      </c>
    </row>
    <row r="2" ht="34" customHeight="1">
      <c r="A2" s="34" t="inlineStr">
        <is>
          <t>4.  예 정 공 정 표</t>
        </is>
      </c>
    </row>
    <row r="3" ht="22" customHeight="1">
      <c r="A3" s="5" t="inlineStr">
        <is>
          <t>착 공 일</t>
        </is>
      </c>
      <c r="B3" s="35">
        <f>IF(N('예시-1.공사개요'!I7)=0,"",'예시-1.공사개요'!I7)</f>
        <v/>
      </c>
      <c r="C3" s="6" t="n"/>
      <c r="D3" s="10" t="inlineStr">
        <is>
          <t>※ 착공일은 1. 공사개요에서 따라옵니다. 공종마다 착수 · 완료일을 적으면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6">
        <f>IF(N(B3)=0,"",EDATE(DATE(YEAR(B3),MONTH(B3),1),0))</f>
        <v/>
      </c>
      <c r="F4" s="6" t="n"/>
      <c r="G4" s="36">
        <f>IF(N(B3)=0,"",EDATE(DATE(YEAR(B3),MONTH(B3),1),1))</f>
        <v/>
      </c>
      <c r="H4" s="6" t="n"/>
      <c r="I4" s="36">
        <f>IF(N(B3)=0,"",EDATE(DATE(YEAR(B3),MONTH(B3),1),2))</f>
        <v/>
      </c>
      <c r="J4" s="6" t="n"/>
      <c r="K4" s="36">
        <f>IF(N(B3)=0,"",EDATE(DATE(YEAR(B3),MONTH(B3),1),3))</f>
        <v/>
      </c>
      <c r="L4" s="6" t="n"/>
      <c r="M4" s="36">
        <f>IF(N(B3)=0,"",EDATE(DATE(YEAR(B3),MONTH(B3),1),4))</f>
        <v/>
      </c>
      <c r="N4" s="6" t="n"/>
      <c r="O4" s="36">
        <f>IF(N(B3)=0,"",EDATE(DATE(YEAR(B3),MONTH(B3),1),5))</f>
        <v/>
      </c>
      <c r="P4" s="6" t="n"/>
      <c r="Q4" s="36">
        <f>IF(N(B3)=0,"",EDATE(DATE(YEAR(B3),MONTH(B3),1),6))</f>
        <v/>
      </c>
      <c r="R4" s="6" t="n"/>
      <c r="S4" s="36">
        <f>IF(N(B3)=0,"",EDATE(DATE(YEAR(B3),MONTH(B3),1),7))</f>
        <v/>
      </c>
      <c r="T4" s="6" t="n"/>
      <c r="U4" s="36">
        <f>IF(N(B3)=0,"",EDATE(DATE(YEAR(B3),MONTH(B3),1),8))</f>
        <v/>
      </c>
      <c r="V4" s="6" t="n"/>
      <c r="W4" s="36">
        <f>IF(N(B3)=0,"",EDATE(DATE(YEAR(B3),MONTH(B3),1),9))</f>
        <v/>
      </c>
      <c r="X4" s="6" t="n"/>
      <c r="Y4" s="36">
        <f>IF(N(B3)=0,"",EDATE(DATE(YEAR(B3),MONTH(B3),1),10))</f>
        <v/>
      </c>
      <c r="Z4" s="6" t="n"/>
      <c r="AA4" s="36">
        <f>IF(N(B3)=0,"",EDATE(DATE(YEAR(B3),MONTH(B3),1),11))</f>
        <v/>
      </c>
      <c r="AB4" s="6" t="n"/>
      <c r="AC4" s="21" t="inlineStr">
        <is>
          <t>비 고</t>
        </is>
      </c>
    </row>
    <row r="5" ht="15" customHeight="1">
      <c r="A5" s="6" t="n"/>
      <c r="B5" s="6" t="n"/>
      <c r="C5" s="6" t="n"/>
      <c r="D5" s="6" t="n"/>
      <c r="E5" s="37" t="inlineStr">
        <is>
          <t>상</t>
        </is>
      </c>
      <c r="F5" s="37" t="inlineStr">
        <is>
          <t>하</t>
        </is>
      </c>
      <c r="G5" s="37" t="inlineStr">
        <is>
          <t>상</t>
        </is>
      </c>
      <c r="H5" s="37" t="inlineStr">
        <is>
          <t>하</t>
        </is>
      </c>
      <c r="I5" s="37" t="inlineStr">
        <is>
          <t>상</t>
        </is>
      </c>
      <c r="J5" s="37" t="inlineStr">
        <is>
          <t>하</t>
        </is>
      </c>
      <c r="K5" s="37" t="inlineStr">
        <is>
          <t>상</t>
        </is>
      </c>
      <c r="L5" s="37" t="inlineStr">
        <is>
          <t>하</t>
        </is>
      </c>
      <c r="M5" s="37" t="inlineStr">
        <is>
          <t>상</t>
        </is>
      </c>
      <c r="N5" s="37" t="inlineStr">
        <is>
          <t>하</t>
        </is>
      </c>
      <c r="O5" s="37" t="inlineStr">
        <is>
          <t>상</t>
        </is>
      </c>
      <c r="P5" s="37" t="inlineStr">
        <is>
          <t>하</t>
        </is>
      </c>
      <c r="Q5" s="37" t="inlineStr">
        <is>
          <t>상</t>
        </is>
      </c>
      <c r="R5" s="37" t="inlineStr">
        <is>
          <t>하</t>
        </is>
      </c>
      <c r="S5" s="37" t="inlineStr">
        <is>
          <t>상</t>
        </is>
      </c>
      <c r="T5" s="37" t="inlineStr">
        <is>
          <t>하</t>
        </is>
      </c>
      <c r="U5" s="37" t="inlineStr">
        <is>
          <t>상</t>
        </is>
      </c>
      <c r="V5" s="37" t="inlineStr">
        <is>
          <t>하</t>
        </is>
      </c>
      <c r="W5" s="37" t="inlineStr">
        <is>
          <t>상</t>
        </is>
      </c>
      <c r="X5" s="37" t="inlineStr">
        <is>
          <t>하</t>
        </is>
      </c>
      <c r="Y5" s="37" t="inlineStr">
        <is>
          <t>상</t>
        </is>
      </c>
      <c r="Z5" s="37" t="inlineStr">
        <is>
          <t>하</t>
        </is>
      </c>
      <c r="AA5" s="37" t="inlineStr">
        <is>
          <t>상</t>
        </is>
      </c>
      <c r="AB5" s="37" t="inlineStr">
        <is>
          <t>하</t>
        </is>
      </c>
      <c r="AC5" s="6" t="n"/>
    </row>
    <row r="6" hidden="1" ht="12" customHeight="1">
      <c r="E6" s="38">
        <f>IF(N(B3)=0,"",EDATE(DATE(YEAR(B3),MONTH(B3),1),0))</f>
        <v/>
      </c>
      <c r="F6" s="38">
        <f>IF(N(B3)=0,"",EDATE(DATE(YEAR(B3),MONTH(B3),1),0)+15)</f>
        <v/>
      </c>
      <c r="G6" s="38">
        <f>IF(N(B3)=0,"",EDATE(DATE(YEAR(B3),MONTH(B3),1),1))</f>
        <v/>
      </c>
      <c r="H6" s="38">
        <f>IF(N(B3)=0,"",EDATE(DATE(YEAR(B3),MONTH(B3),1),1)+15)</f>
        <v/>
      </c>
      <c r="I6" s="38">
        <f>IF(N(B3)=0,"",EDATE(DATE(YEAR(B3),MONTH(B3),1),2))</f>
        <v/>
      </c>
      <c r="J6" s="38">
        <f>IF(N(B3)=0,"",EDATE(DATE(YEAR(B3),MONTH(B3),1),2)+15)</f>
        <v/>
      </c>
      <c r="K6" s="38">
        <f>IF(N(B3)=0,"",EDATE(DATE(YEAR(B3),MONTH(B3),1),3))</f>
        <v/>
      </c>
      <c r="L6" s="38">
        <f>IF(N(B3)=0,"",EDATE(DATE(YEAR(B3),MONTH(B3),1),3)+15)</f>
        <v/>
      </c>
      <c r="M6" s="38">
        <f>IF(N(B3)=0,"",EDATE(DATE(YEAR(B3),MONTH(B3),1),4))</f>
        <v/>
      </c>
      <c r="N6" s="38">
        <f>IF(N(B3)=0,"",EDATE(DATE(YEAR(B3),MONTH(B3),1),4)+15)</f>
        <v/>
      </c>
      <c r="O6" s="38">
        <f>IF(N(B3)=0,"",EDATE(DATE(YEAR(B3),MONTH(B3),1),5))</f>
        <v/>
      </c>
      <c r="P6" s="38">
        <f>IF(N(B3)=0,"",EDATE(DATE(YEAR(B3),MONTH(B3),1),5)+15)</f>
        <v/>
      </c>
      <c r="Q6" s="38">
        <f>IF(N(B3)=0,"",EDATE(DATE(YEAR(B3),MONTH(B3),1),6))</f>
        <v/>
      </c>
      <c r="R6" s="38">
        <f>IF(N(B3)=0,"",EDATE(DATE(YEAR(B3),MONTH(B3),1),6)+15)</f>
        <v/>
      </c>
      <c r="S6" s="38">
        <f>IF(N(B3)=0,"",EDATE(DATE(YEAR(B3),MONTH(B3),1),7))</f>
        <v/>
      </c>
      <c r="T6" s="38">
        <f>IF(N(B3)=0,"",EDATE(DATE(YEAR(B3),MONTH(B3),1),7)+15)</f>
        <v/>
      </c>
      <c r="U6" s="38">
        <f>IF(N(B3)=0,"",EDATE(DATE(YEAR(B3),MONTH(B3),1),8))</f>
        <v/>
      </c>
      <c r="V6" s="38">
        <f>IF(N(B3)=0,"",EDATE(DATE(YEAR(B3),MONTH(B3),1),8)+15)</f>
        <v/>
      </c>
      <c r="W6" s="38">
        <f>IF(N(B3)=0,"",EDATE(DATE(YEAR(B3),MONTH(B3),1),9))</f>
        <v/>
      </c>
      <c r="X6" s="38">
        <f>IF(N(B3)=0,"",EDATE(DATE(YEAR(B3),MONTH(B3),1),9)+15)</f>
        <v/>
      </c>
      <c r="Y6" s="38">
        <f>IF(N(B3)=0,"",EDATE(DATE(YEAR(B3),MONTH(B3),1),10))</f>
        <v/>
      </c>
      <c r="Z6" s="38">
        <f>IF(N(B3)=0,"",EDATE(DATE(YEAR(B3),MONTH(B3),1),10)+15)</f>
        <v/>
      </c>
      <c r="AA6" s="38">
        <f>IF(N(B3)=0,"",EDATE(DATE(YEAR(B3),MONTH(B3),1),11))</f>
        <v/>
      </c>
      <c r="AB6" s="38">
        <f>IF(N(B3)=0,"",EDATE(DATE(YEAR(B3),MONTH(B3),1),11)+15)</f>
        <v/>
      </c>
    </row>
    <row r="7" hidden="1" ht="12" customHeight="1">
      <c r="E7" s="38">
        <f>IF(N(B3)=0,"",EDATE(DATE(YEAR(B3),MONTH(B3),1),0)+14)</f>
        <v/>
      </c>
      <c r="F7" s="38">
        <f>IF(N(B3)=0,"",EDATE(DATE(YEAR(B3),MONTH(B3),1),1)-1)</f>
        <v/>
      </c>
      <c r="G7" s="38">
        <f>IF(N(B3)=0,"",EDATE(DATE(YEAR(B3),MONTH(B3),1),1)+14)</f>
        <v/>
      </c>
      <c r="H7" s="38">
        <f>IF(N(B3)=0,"",EDATE(DATE(YEAR(B3),MONTH(B3),1),2)-1)</f>
        <v/>
      </c>
      <c r="I7" s="38">
        <f>IF(N(B3)=0,"",EDATE(DATE(YEAR(B3),MONTH(B3),1),2)+14)</f>
        <v/>
      </c>
      <c r="J7" s="38">
        <f>IF(N(B3)=0,"",EDATE(DATE(YEAR(B3),MONTH(B3),1),3)-1)</f>
        <v/>
      </c>
      <c r="K7" s="38">
        <f>IF(N(B3)=0,"",EDATE(DATE(YEAR(B3),MONTH(B3),1),3)+14)</f>
        <v/>
      </c>
      <c r="L7" s="38">
        <f>IF(N(B3)=0,"",EDATE(DATE(YEAR(B3),MONTH(B3),1),4)-1)</f>
        <v/>
      </c>
      <c r="M7" s="38">
        <f>IF(N(B3)=0,"",EDATE(DATE(YEAR(B3),MONTH(B3),1),4)+14)</f>
        <v/>
      </c>
      <c r="N7" s="38">
        <f>IF(N(B3)=0,"",EDATE(DATE(YEAR(B3),MONTH(B3),1),5)-1)</f>
        <v/>
      </c>
      <c r="O7" s="38">
        <f>IF(N(B3)=0,"",EDATE(DATE(YEAR(B3),MONTH(B3),1),5)+14)</f>
        <v/>
      </c>
      <c r="P7" s="38">
        <f>IF(N(B3)=0,"",EDATE(DATE(YEAR(B3),MONTH(B3),1),6)-1)</f>
        <v/>
      </c>
      <c r="Q7" s="38">
        <f>IF(N(B3)=0,"",EDATE(DATE(YEAR(B3),MONTH(B3),1),6)+14)</f>
        <v/>
      </c>
      <c r="R7" s="38">
        <f>IF(N(B3)=0,"",EDATE(DATE(YEAR(B3),MONTH(B3),1),7)-1)</f>
        <v/>
      </c>
      <c r="S7" s="38">
        <f>IF(N(B3)=0,"",EDATE(DATE(YEAR(B3),MONTH(B3),1),7)+14)</f>
        <v/>
      </c>
      <c r="T7" s="38">
        <f>IF(N(B3)=0,"",EDATE(DATE(YEAR(B3),MONTH(B3),1),8)-1)</f>
        <v/>
      </c>
      <c r="U7" s="38">
        <f>IF(N(B3)=0,"",EDATE(DATE(YEAR(B3),MONTH(B3),1),8)+14)</f>
        <v/>
      </c>
      <c r="V7" s="38">
        <f>IF(N(B3)=0,"",EDATE(DATE(YEAR(B3),MONTH(B3),1),9)-1)</f>
        <v/>
      </c>
      <c r="W7" s="38">
        <f>IF(N(B3)=0,"",EDATE(DATE(YEAR(B3),MONTH(B3),1),9)+14)</f>
        <v/>
      </c>
      <c r="X7" s="38">
        <f>IF(N(B3)=0,"",EDATE(DATE(YEAR(B3),MONTH(B3),1),10)-1)</f>
        <v/>
      </c>
      <c r="Y7" s="38">
        <f>IF(N(B3)=0,"",EDATE(DATE(YEAR(B3),MONTH(B3),1),10)+14)</f>
        <v/>
      </c>
      <c r="Z7" s="38">
        <f>IF(N(B3)=0,"",EDATE(DATE(YEAR(B3),MONTH(B3),1),11)-1)</f>
        <v/>
      </c>
      <c r="AA7" s="38">
        <f>IF(N(B3)=0,"",EDATE(DATE(YEAR(B3),MONTH(B3),1),11)+14)</f>
        <v/>
      </c>
      <c r="AB7" s="38">
        <f>IF(N(B3)=0,"",EDATE(DATE(YEAR(B3),MONTH(B3),1),12)-1)</f>
        <v/>
      </c>
    </row>
    <row r="8" ht="24" customHeight="1">
      <c r="A8" s="24" t="inlineStr">
        <is>
          <t>준비공(측량 · 지장물 조사)</t>
        </is>
      </c>
      <c r="B8" s="39" t="n">
        <v>46113</v>
      </c>
      <c r="C8" s="39" t="n">
        <v>46142</v>
      </c>
      <c r="D8" s="40">
        <f>IF(OR(N(B8)=0,N(C8)=0),"",IF(C8&lt;B8,"⚠",C8-B8+1))</f>
        <v/>
      </c>
      <c r="E8" s="41" t="inlineStr"/>
      <c r="F8" s="41" t="inlineStr"/>
      <c r="G8" s="41" t="inlineStr"/>
      <c r="H8" s="41" t="inlineStr"/>
      <c r="I8" s="41" t="inlineStr"/>
      <c r="J8" s="41" t="inlineStr"/>
      <c r="K8" s="41" t="inlineStr"/>
      <c r="L8" s="41" t="inlineStr"/>
      <c r="M8" s="41" t="inlineStr"/>
      <c r="N8" s="41" t="inlineStr"/>
      <c r="O8" s="41" t="inlineStr"/>
      <c r="P8" s="41" t="inlineStr"/>
      <c r="Q8" s="41" t="inlineStr"/>
      <c r="R8" s="41" t="inlineStr"/>
      <c r="S8" s="41" t="inlineStr"/>
      <c r="T8" s="41" t="inlineStr"/>
      <c r="U8" s="41" t="inlineStr"/>
      <c r="V8" s="41" t="inlineStr"/>
      <c r="W8" s="41" t="inlineStr"/>
      <c r="X8" s="41" t="inlineStr"/>
      <c r="Y8" s="41" t="inlineStr"/>
      <c r="Z8" s="41" t="inlineStr"/>
      <c r="AA8" s="41" t="inlineStr"/>
      <c r="AB8" s="41" t="inlineStr"/>
      <c r="AC8" s="42" t="n"/>
    </row>
    <row r="9" ht="24" customHeight="1">
      <c r="A9" s="24" t="inlineStr">
        <is>
          <t>관로 터파기 · 가시설</t>
        </is>
      </c>
      <c r="B9" s="39" t="n">
        <v>46143</v>
      </c>
      <c r="C9" s="39" t="n">
        <v>46341</v>
      </c>
      <c r="D9" s="40">
        <f>IF(OR(N(B9)=0,N(C9)=0),"",IF(C9&lt;B9,"⚠",C9-B9+1))</f>
        <v/>
      </c>
      <c r="E9" s="41" t="inlineStr"/>
      <c r="F9" s="41" t="inlineStr"/>
      <c r="G9" s="41" t="inlineStr"/>
      <c r="H9" s="41" t="inlineStr"/>
      <c r="I9" s="41" t="inlineStr"/>
      <c r="J9" s="41" t="inlineStr"/>
      <c r="K9" s="41" t="inlineStr"/>
      <c r="L9" s="41" t="inlineStr"/>
      <c r="M9" s="41" t="inlineStr"/>
      <c r="N9" s="41" t="inlineStr"/>
      <c r="O9" s="41" t="inlineStr"/>
      <c r="P9" s="41" t="inlineStr"/>
      <c r="Q9" s="41" t="inlineStr"/>
      <c r="R9" s="41" t="inlineStr"/>
      <c r="S9" s="41" t="inlineStr"/>
      <c r="T9" s="41" t="inlineStr"/>
      <c r="U9" s="41" t="inlineStr"/>
      <c r="V9" s="41" t="inlineStr"/>
      <c r="W9" s="41" t="inlineStr"/>
      <c r="X9" s="41" t="inlineStr"/>
      <c r="Y9" s="41" t="inlineStr"/>
      <c r="Z9" s="41" t="inlineStr"/>
      <c r="AA9" s="41" t="inlineStr"/>
      <c r="AB9" s="41" t="inlineStr"/>
      <c r="AC9" s="42" t="n"/>
    </row>
    <row r="10" ht="24" customHeight="1">
      <c r="A10" s="24" t="inlineStr">
        <is>
          <t>관 부설 및 접합</t>
        </is>
      </c>
      <c r="B10" s="39" t="n">
        <v>46148</v>
      </c>
      <c r="C10" s="39" t="n">
        <v>46346</v>
      </c>
      <c r="D10" s="40">
        <f>IF(OR(N(B10)=0,N(C10)=0),"",IF(C10&lt;B10,"⚠",C10-B10+1))</f>
        <v/>
      </c>
      <c r="E10" s="41" t="inlineStr"/>
      <c r="F10" s="41" t="inlineStr"/>
      <c r="G10" s="41" t="inlineStr"/>
      <c r="H10" s="41" t="inlineStr"/>
      <c r="I10" s="41" t="inlineStr"/>
      <c r="J10" s="41" t="inlineStr"/>
      <c r="K10" s="41" t="inlineStr"/>
      <c r="L10" s="41" t="inlineStr"/>
      <c r="M10" s="41" t="inlineStr"/>
      <c r="N10" s="41" t="inlineStr"/>
      <c r="O10" s="41" t="inlineStr"/>
      <c r="P10" s="41" t="inlineStr"/>
      <c r="Q10" s="41" t="inlineStr"/>
      <c r="R10" s="41" t="inlineStr"/>
      <c r="S10" s="41" t="inlineStr"/>
      <c r="T10" s="41" t="inlineStr"/>
      <c r="U10" s="41" t="inlineStr"/>
      <c r="V10" s="41" t="inlineStr"/>
      <c r="W10" s="41" t="inlineStr"/>
      <c r="X10" s="41" t="inlineStr"/>
      <c r="Y10" s="41" t="inlineStr"/>
      <c r="Z10" s="41" t="inlineStr"/>
      <c r="AA10" s="41" t="inlineStr"/>
      <c r="AB10" s="41" t="inlineStr"/>
      <c r="AC10" s="42" t="n"/>
    </row>
    <row r="11" ht="24" customHeight="1">
      <c r="A11" s="24" t="inlineStr">
        <is>
          <t>맨홀 설치</t>
        </is>
      </c>
      <c r="B11" s="39" t="n">
        <v>46153</v>
      </c>
      <c r="C11" s="39" t="n">
        <v>46351</v>
      </c>
      <c r="D11" s="40">
        <f>IF(OR(N(B11)=0,N(C11)=0),"",IF(C11&lt;B11,"⚠",C11-B11+1))</f>
        <v/>
      </c>
      <c r="E11" s="41" t="inlineStr"/>
      <c r="F11" s="41" t="inlineStr"/>
      <c r="G11" s="41" t="inlineStr"/>
      <c r="H11" s="41" t="inlineStr"/>
      <c r="I11" s="41" t="inlineStr"/>
      <c r="J11" s="41" t="inlineStr"/>
      <c r="K11" s="41" t="inlineStr"/>
      <c r="L11" s="41" t="inlineStr"/>
      <c r="M11" s="41" t="inlineStr"/>
      <c r="N11" s="41" t="inlineStr"/>
      <c r="O11" s="41" t="inlineStr"/>
      <c r="P11" s="41" t="inlineStr"/>
      <c r="Q11" s="41" t="inlineStr"/>
      <c r="R11" s="41" t="inlineStr"/>
      <c r="S11" s="41" t="inlineStr"/>
      <c r="T11" s="41" t="inlineStr"/>
      <c r="U11" s="41" t="inlineStr"/>
      <c r="V11" s="41" t="inlineStr"/>
      <c r="W11" s="41" t="inlineStr"/>
      <c r="X11" s="41" t="inlineStr"/>
      <c r="Y11" s="41" t="inlineStr"/>
      <c r="Z11" s="41" t="inlineStr"/>
      <c r="AA11" s="41" t="inlineStr"/>
      <c r="AB11" s="41" t="inlineStr"/>
      <c r="AC11" s="42" t="n"/>
    </row>
    <row r="12" ht="24" customHeight="1">
      <c r="A12" s="24" t="inlineStr">
        <is>
          <t>되메우기 · 다짐 · 가복구</t>
        </is>
      </c>
      <c r="B12" s="39" t="n">
        <v>46148</v>
      </c>
      <c r="C12" s="39" t="n">
        <v>46356</v>
      </c>
      <c r="D12" s="40">
        <f>IF(OR(N(B12)=0,N(C12)=0),"",IF(C12&lt;B12,"⚠",C12-B12+1))</f>
        <v/>
      </c>
      <c r="E12" s="41" t="inlineStr"/>
      <c r="F12" s="41" t="inlineStr"/>
      <c r="G12" s="41" t="inlineStr"/>
      <c r="H12" s="41" t="inlineStr"/>
      <c r="I12" s="41" t="inlineStr"/>
      <c r="J12" s="41" t="inlineStr"/>
      <c r="K12" s="41" t="inlineStr"/>
      <c r="L12" s="41" t="inlineStr"/>
      <c r="M12" s="41" t="inlineStr"/>
      <c r="N12" s="41" t="inlineStr"/>
      <c r="O12" s="41" t="inlineStr"/>
      <c r="P12" s="41" t="inlineStr"/>
      <c r="Q12" s="41" t="inlineStr"/>
      <c r="R12" s="41" t="inlineStr"/>
      <c r="S12" s="41" t="inlineStr"/>
      <c r="T12" s="41" t="inlineStr"/>
      <c r="U12" s="41" t="inlineStr"/>
      <c r="V12" s="41" t="inlineStr"/>
      <c r="W12" s="41" t="inlineStr"/>
      <c r="X12" s="41" t="inlineStr"/>
      <c r="Y12" s="41" t="inlineStr"/>
      <c r="Z12" s="41" t="inlineStr"/>
      <c r="AA12" s="41" t="inlineStr"/>
      <c r="AB12" s="41" t="inlineStr"/>
      <c r="AC12" s="42" t="n"/>
    </row>
    <row r="13" ht="24" customHeight="1">
      <c r="A13" s="24" t="inlineStr">
        <is>
          <t>배수설비(오수받이 · 연결관)</t>
        </is>
      </c>
      <c r="B13" s="39" t="n">
        <v>46204</v>
      </c>
      <c r="C13" s="39" t="n">
        <v>46418</v>
      </c>
      <c r="D13" s="40">
        <f>IF(OR(N(B13)=0,N(C13)=0),"",IF(C13&lt;B13,"⚠",C13-B13+1))</f>
        <v/>
      </c>
      <c r="E13" s="41" t="inlineStr"/>
      <c r="F13" s="41" t="inlineStr"/>
      <c r="G13" s="41" t="inlineStr"/>
      <c r="H13" s="41" t="inlineStr"/>
      <c r="I13" s="41" t="inlineStr"/>
      <c r="J13" s="41" t="inlineStr"/>
      <c r="K13" s="41" t="inlineStr"/>
      <c r="L13" s="41" t="inlineStr"/>
      <c r="M13" s="41" t="inlineStr"/>
      <c r="N13" s="41" t="inlineStr"/>
      <c r="O13" s="41" t="inlineStr"/>
      <c r="P13" s="41" t="inlineStr"/>
      <c r="Q13" s="41" t="inlineStr"/>
      <c r="R13" s="41" t="inlineStr"/>
      <c r="S13" s="41" t="inlineStr"/>
      <c r="T13" s="41" t="inlineStr"/>
      <c r="U13" s="41" t="inlineStr"/>
      <c r="V13" s="41" t="inlineStr"/>
      <c r="W13" s="41" t="inlineStr"/>
      <c r="X13" s="41" t="inlineStr"/>
      <c r="Y13" s="41" t="inlineStr"/>
      <c r="Z13" s="41" t="inlineStr"/>
      <c r="AA13" s="41" t="inlineStr"/>
      <c r="AB13" s="41" t="inlineStr"/>
      <c r="AC13" s="42" t="n"/>
    </row>
    <row r="14" ht="24" customHeight="1">
      <c r="A14" s="24" t="inlineStr">
        <is>
          <t>수밀 · CCTV · 연막 검사</t>
        </is>
      </c>
      <c r="B14" s="39" t="n">
        <v>46235</v>
      </c>
      <c r="C14" s="39" t="n">
        <v>46433</v>
      </c>
      <c r="D14" s="40">
        <f>IF(OR(N(B14)=0,N(C14)=0),"",IF(C14&lt;B14,"⚠",C14-B14+1))</f>
        <v/>
      </c>
      <c r="E14" s="41" t="inlineStr"/>
      <c r="F14" s="41" t="inlineStr"/>
      <c r="G14" s="41" t="inlineStr"/>
      <c r="H14" s="41" t="inlineStr"/>
      <c r="I14" s="41" t="inlineStr"/>
      <c r="J14" s="41" t="inlineStr"/>
      <c r="K14" s="41" t="inlineStr"/>
      <c r="L14" s="41" t="inlineStr"/>
      <c r="M14" s="41" t="inlineStr"/>
      <c r="N14" s="41" t="inlineStr"/>
      <c r="O14" s="41" t="inlineStr"/>
      <c r="P14" s="41" t="inlineStr"/>
      <c r="Q14" s="41" t="inlineStr"/>
      <c r="R14" s="41" t="inlineStr"/>
      <c r="S14" s="41" t="inlineStr"/>
      <c r="T14" s="41" t="inlineStr"/>
      <c r="U14" s="41" t="inlineStr"/>
      <c r="V14" s="41" t="inlineStr"/>
      <c r="W14" s="41" t="inlineStr"/>
      <c r="X14" s="41" t="inlineStr"/>
      <c r="Y14" s="41" t="inlineStr"/>
      <c r="Z14" s="41" t="inlineStr"/>
      <c r="AA14" s="41" t="inlineStr"/>
      <c r="AB14" s="41" t="inlineStr"/>
      <c r="AC14" s="42" t="n"/>
    </row>
    <row r="15" ht="24" customHeight="1">
      <c r="A15" s="24" t="inlineStr">
        <is>
          <t>포장 본복구</t>
        </is>
      </c>
      <c r="B15" s="39" t="n">
        <v>46266</v>
      </c>
      <c r="C15" s="39" t="n">
        <v>46446</v>
      </c>
      <c r="D15" s="40">
        <f>IF(OR(N(B15)=0,N(C15)=0),"",IF(C15&lt;B15,"⚠",C15-B15+1))</f>
        <v/>
      </c>
      <c r="E15" s="41" t="inlineStr"/>
      <c r="F15" s="41" t="inlineStr"/>
      <c r="G15" s="41" t="inlineStr"/>
      <c r="H15" s="41" t="inlineStr"/>
      <c r="I15" s="41" t="inlineStr"/>
      <c r="J15" s="41" t="inlineStr"/>
      <c r="K15" s="41" t="inlineStr"/>
      <c r="L15" s="41" t="inlineStr"/>
      <c r="M15" s="41" t="inlineStr"/>
      <c r="N15" s="41" t="inlineStr"/>
      <c r="O15" s="41" t="inlineStr"/>
      <c r="P15" s="41" t="inlineStr"/>
      <c r="Q15" s="41" t="inlineStr"/>
      <c r="R15" s="41" t="inlineStr"/>
      <c r="S15" s="41" t="inlineStr"/>
      <c r="T15" s="41" t="inlineStr"/>
      <c r="U15" s="41" t="inlineStr"/>
      <c r="V15" s="41" t="inlineStr"/>
      <c r="W15" s="41" t="inlineStr"/>
      <c r="X15" s="41" t="inlineStr"/>
      <c r="Y15" s="41" t="inlineStr"/>
      <c r="Z15" s="41" t="inlineStr"/>
      <c r="AA15" s="41" t="inlineStr"/>
      <c r="AB15" s="41" t="inlineStr"/>
      <c r="AC15" s="42" t="n"/>
    </row>
    <row r="16" ht="24" customHeight="1">
      <c r="A16" s="24" t="inlineStr">
        <is>
          <t>정리 및 준공</t>
        </is>
      </c>
      <c r="B16" s="39" t="n">
        <v>46447</v>
      </c>
      <c r="C16" s="39" t="n">
        <v>46466</v>
      </c>
      <c r="D16" s="40">
        <f>IF(OR(N(B16)=0,N(C16)=0),"",IF(C16&lt;B16,"⚠",C16-B16+1))</f>
        <v/>
      </c>
      <c r="E16" s="41" t="inlineStr"/>
      <c r="F16" s="41" t="inlineStr"/>
      <c r="G16" s="41" t="inlineStr"/>
      <c r="H16" s="41" t="inlineStr"/>
      <c r="I16" s="41" t="inlineStr"/>
      <c r="J16" s="41" t="inlineStr"/>
      <c r="K16" s="41" t="inlineStr"/>
      <c r="L16" s="41" t="inlineStr"/>
      <c r="M16" s="41" t="inlineStr"/>
      <c r="N16" s="41" t="inlineStr"/>
      <c r="O16" s="41" t="inlineStr"/>
      <c r="P16" s="41" t="inlineStr"/>
      <c r="Q16" s="41" t="inlineStr"/>
      <c r="R16" s="41" t="inlineStr"/>
      <c r="S16" s="41" t="inlineStr"/>
      <c r="T16" s="41" t="inlineStr"/>
      <c r="U16" s="41" t="inlineStr"/>
      <c r="V16" s="41" t="inlineStr"/>
      <c r="W16" s="41" t="inlineStr"/>
      <c r="X16" s="41" t="inlineStr"/>
      <c r="Y16" s="41" t="inlineStr"/>
      <c r="Z16" s="41" t="inlineStr"/>
      <c r="AA16" s="41" t="inlineStr"/>
      <c r="AB16" s="41" t="inlineStr"/>
      <c r="AC16" s="42" t="n"/>
    </row>
    <row r="17" ht="24" customHeight="1">
      <c r="A17" s="24" t="n"/>
      <c r="B17" s="39" t="n"/>
      <c r="C17" s="39" t="n"/>
      <c r="D17" s="40">
        <f>IF(OR(N(B17)=0,N(C17)=0),"",IF(C17&lt;B17,"⚠",C17-B17+1))</f>
        <v/>
      </c>
      <c r="E17" s="41" t="inlineStr"/>
      <c r="F17" s="41" t="inlineStr"/>
      <c r="G17" s="41" t="inlineStr"/>
      <c r="H17" s="41" t="inlineStr"/>
      <c r="I17" s="41" t="inlineStr"/>
      <c r="J17" s="41" t="inlineStr"/>
      <c r="K17" s="41" t="inlineStr"/>
      <c r="L17" s="41" t="inlineStr"/>
      <c r="M17" s="41" t="inlineStr"/>
      <c r="N17" s="41" t="inlineStr"/>
      <c r="O17" s="41" t="inlineStr"/>
      <c r="P17" s="41" t="inlineStr"/>
      <c r="Q17" s="41" t="inlineStr"/>
      <c r="R17" s="41" t="inlineStr"/>
      <c r="S17" s="41" t="inlineStr"/>
      <c r="T17" s="41" t="inlineStr"/>
      <c r="U17" s="41" t="inlineStr"/>
      <c r="V17" s="41" t="inlineStr"/>
      <c r="W17" s="41" t="inlineStr"/>
      <c r="X17" s="41" t="inlineStr"/>
      <c r="Y17" s="41" t="inlineStr"/>
      <c r="Z17" s="41" t="inlineStr"/>
      <c r="AA17" s="41" t="inlineStr"/>
      <c r="AB17" s="41" t="inlineStr"/>
      <c r="AC17" s="42" t="n"/>
    </row>
    <row r="18" ht="24" customHeight="1">
      <c r="A18" s="24" t="n"/>
      <c r="B18" s="39" t="n"/>
      <c r="C18" s="39" t="n"/>
      <c r="D18" s="40">
        <f>IF(OR(N(B18)=0,N(C18)=0),"",IF(C18&lt;B18,"⚠",C18-B18+1))</f>
        <v/>
      </c>
      <c r="E18" s="41" t="inlineStr"/>
      <c r="F18" s="41" t="inlineStr"/>
      <c r="G18" s="41" t="inlineStr"/>
      <c r="H18" s="41" t="inlineStr"/>
      <c r="I18" s="41" t="inlineStr"/>
      <c r="J18" s="41" t="inlineStr"/>
      <c r="K18" s="41" t="inlineStr"/>
      <c r="L18" s="41" t="inlineStr"/>
      <c r="M18" s="41" t="inlineStr"/>
      <c r="N18" s="41" t="inlineStr"/>
      <c r="O18" s="41" t="inlineStr"/>
      <c r="P18" s="41" t="inlineStr"/>
      <c r="Q18" s="41" t="inlineStr"/>
      <c r="R18" s="41" t="inlineStr"/>
      <c r="S18" s="41" t="inlineStr"/>
      <c r="T18" s="41" t="inlineStr"/>
      <c r="U18" s="41" t="inlineStr"/>
      <c r="V18" s="41" t="inlineStr"/>
      <c r="W18" s="41" t="inlineStr"/>
      <c r="X18" s="41" t="inlineStr"/>
      <c r="Y18" s="41" t="inlineStr"/>
      <c r="Z18" s="41" t="inlineStr"/>
      <c r="AA18" s="41" t="inlineStr"/>
      <c r="AB18" s="41" t="inlineStr"/>
      <c r="AC18" s="42" t="n"/>
    </row>
    <row r="19" ht="16" customHeight="1">
      <c r="A19" s="10" t="inlineStr">
        <is>
          <t>※ 일수 = 완료 − 착수 + 1. 공정은 현장 여건 · 민원 · 날씨에 따라 바뀔 수 있습니다.</t>
        </is>
      </c>
    </row>
  </sheetData>
  <mergeCells count="23">
    <mergeCell ref="W4:X4"/>
    <mergeCell ref="A19:AC19"/>
    <mergeCell ref="Y4:Z4"/>
    <mergeCell ref="C4:C5"/>
    <mergeCell ref="B3:C3"/>
    <mergeCell ref="A1:H1"/>
    <mergeCell ref="E4:F4"/>
    <mergeCell ref="D4:D5"/>
    <mergeCell ref="AC4:AC5"/>
    <mergeCell ref="O4:P4"/>
    <mergeCell ref="AA4:AB4"/>
    <mergeCell ref="Q4:R4"/>
    <mergeCell ref="I1:AC1"/>
    <mergeCell ref="A4:A5"/>
    <mergeCell ref="A2:AC2"/>
    <mergeCell ref="G4:H4"/>
    <mergeCell ref="I4:J4"/>
    <mergeCell ref="B4:B5"/>
    <mergeCell ref="D3:AC3"/>
    <mergeCell ref="K4:L4"/>
    <mergeCell ref="M4:N4"/>
    <mergeCell ref="S4:T4"/>
    <mergeCell ref="U4:V4"/>
  </mergeCells>
  <conditionalFormatting sqref="E8:AB18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6.  일일 시공 일정</t>
        </is>
      </c>
    </row>
    <row r="4" ht="52.5" customHeight="1">
      <c r="A4" s="48" t="inlineStr">
        <is>
          <t>본 공사는 마을 안 도로를 지나는 작업이 많으므로, 하루 작업량은 관을 묻고 되메우기까지 끝내 보행자 · 차량 통행에 지장이 없게 정합니다. 휴식 · 점심 시간에 생길 수 있는 안전사고에 주의하고, 공사로 생긴 잡자재 · 쓰레기는 작업이 끝나기 전에 치웁니다.</t>
        </is>
      </c>
    </row>
    <row r="5" ht="4" customHeight="1"/>
    <row r="6" ht="24" customHeight="1">
      <c r="A6" s="21" t="inlineStr">
        <is>
          <t>시  작</t>
        </is>
      </c>
      <c r="B6" s="6" t="n"/>
      <c r="C6" s="21" t="inlineStr">
        <is>
          <t>끝</t>
        </is>
      </c>
      <c r="D6" s="6" t="n"/>
      <c r="E6" s="21" t="inlineStr">
        <is>
          <t>소요 시간</t>
        </is>
      </c>
      <c r="F6" s="6" t="n"/>
      <c r="G6" s="21" t="inlineStr">
        <is>
          <t>작 업 내 용</t>
        </is>
      </c>
      <c r="H6" s="6" t="n"/>
      <c r="I6" s="6" t="n"/>
      <c r="J6" s="6" t="n"/>
      <c r="K6" s="6" t="n"/>
      <c r="L6" s="6" t="n"/>
    </row>
    <row r="7" ht="24" customHeight="1">
      <c r="A7" s="52" t="n">
        <v>0.2916666666666667</v>
      </c>
      <c r="B7" s="6" t="n"/>
      <c r="C7" s="52" t="n">
        <v>0.3125</v>
      </c>
      <c r="D7" s="6" t="n"/>
      <c r="E7" s="53">
        <f>IF(OR(A7="",C7=""),"",IF(C7&lt;A7,"⚠",ROUND((C7-A7)*24*60,0)))</f>
        <v/>
      </c>
      <c r="F7" s="6" t="n"/>
      <c r="G7" s="28" t="inlineStr">
        <is>
          <t>TBM(작업 전 안전점검 회의) · 안전교육 · 건강 상태 확인</t>
        </is>
      </c>
      <c r="H7" s="6" t="n"/>
      <c r="I7" s="6" t="n"/>
      <c r="J7" s="6" t="n"/>
      <c r="K7" s="6" t="n"/>
      <c r="L7" s="6" t="n"/>
    </row>
    <row r="8" ht="24" customHeight="1">
      <c r="A8" s="52" t="n">
        <v>0.3125</v>
      </c>
      <c r="B8" s="6" t="n"/>
      <c r="C8" s="52" t="n">
        <v>0.3333333333333333</v>
      </c>
      <c r="D8" s="6" t="n"/>
      <c r="E8" s="53">
        <f>IF(OR(A8="",C8=""),"",IF(C8&lt;A8,"⚠",ROUND((C8-A8)*24*60,0)))</f>
        <v/>
      </c>
      <c r="F8" s="6" t="n"/>
      <c r="G8" s="28" t="inlineStr">
        <is>
          <t>장비 점검 · 교통 안전시설 설치</t>
        </is>
      </c>
      <c r="H8" s="6" t="n"/>
      <c r="I8" s="6" t="n"/>
      <c r="J8" s="6" t="n"/>
      <c r="K8" s="6" t="n"/>
      <c r="L8" s="6" t="n"/>
    </row>
    <row r="9" ht="24" customHeight="1">
      <c r="A9" s="52" t="n">
        <v>0.3333333333333333</v>
      </c>
      <c r="B9" s="6" t="n"/>
      <c r="C9" s="52" t="n">
        <v>0.375</v>
      </c>
      <c r="D9" s="6" t="n"/>
      <c r="E9" s="53">
        <f>IF(OR(A9="",C9=""),"",IF(C9&lt;A9,"⚠",ROUND((C9-A9)*24*60,0)))</f>
        <v/>
      </c>
      <c r="F9" s="6" t="n"/>
      <c r="G9" s="28" t="inlineStr">
        <is>
          <t>포장 절단 · 깨기</t>
        </is>
      </c>
      <c r="H9" s="6" t="n"/>
      <c r="I9" s="6" t="n"/>
      <c r="J9" s="6" t="n"/>
      <c r="K9" s="6" t="n"/>
      <c r="L9" s="6" t="n"/>
    </row>
    <row r="10" ht="24" customHeight="1">
      <c r="A10" s="52" t="n">
        <v>0.375</v>
      </c>
      <c r="B10" s="6" t="n"/>
      <c r="C10" s="52" t="n">
        <v>0.5</v>
      </c>
      <c r="D10" s="6" t="n"/>
      <c r="E10" s="53">
        <f>IF(OR(A10="",C10=""),"",IF(C10&lt;A10,"⚠",ROUND((C10-A10)*24*60,0)))</f>
        <v/>
      </c>
      <c r="F10" s="6" t="n"/>
      <c r="G10" s="28" t="inlineStr">
        <is>
          <t>터파기 · 가시설 · 관 부설 및 접합</t>
        </is>
      </c>
      <c r="H10" s="6" t="n"/>
      <c r="I10" s="6" t="n"/>
      <c r="J10" s="6" t="n"/>
      <c r="K10" s="6" t="n"/>
      <c r="L10" s="6" t="n"/>
    </row>
    <row r="11" ht="24" customHeight="1">
      <c r="A11" s="52" t="n">
        <v>0.5</v>
      </c>
      <c r="B11" s="6" t="n"/>
      <c r="C11" s="52" t="n">
        <v>0.5416666666666666</v>
      </c>
      <c r="D11" s="6" t="n"/>
      <c r="E11" s="53">
        <f>IF(OR(A11="",C11=""),"",IF(C11&lt;A11,"⚠",ROUND((C11-A11)*24*60,0)))</f>
        <v/>
      </c>
      <c r="F11" s="6" t="n"/>
      <c r="G11" s="28" t="inlineStr">
        <is>
          <t>점심 · 휴식(개착 구간 안전시설 확인)</t>
        </is>
      </c>
      <c r="H11" s="6" t="n"/>
      <c r="I11" s="6" t="n"/>
      <c r="J11" s="6" t="n"/>
      <c r="K11" s="6" t="n"/>
      <c r="L11" s="6" t="n"/>
    </row>
    <row r="12" ht="24" customHeight="1">
      <c r="A12" s="52" t="n">
        <v>0.5416666666666666</v>
      </c>
      <c r="B12" s="6" t="n"/>
      <c r="C12" s="52" t="n">
        <v>0.625</v>
      </c>
      <c r="D12" s="6" t="n"/>
      <c r="E12" s="53">
        <f>IF(OR(A12="",C12=""),"",IF(C12&lt;A12,"⚠",ROUND((C12-A12)*24*60,0)))</f>
        <v/>
      </c>
      <c r="F12" s="6" t="n"/>
      <c r="G12" s="28" t="inlineStr">
        <is>
          <t>관 부설 · 맨홀 · 되메우기</t>
        </is>
      </c>
      <c r="H12" s="6" t="n"/>
      <c r="I12" s="6" t="n"/>
      <c r="J12" s="6" t="n"/>
      <c r="K12" s="6" t="n"/>
      <c r="L12" s="6" t="n"/>
    </row>
    <row r="13" ht="24" customHeight="1">
      <c r="A13" s="52" t="n">
        <v>0.625</v>
      </c>
      <c r="B13" s="6" t="n"/>
      <c r="C13" s="52" t="n">
        <v>0.6458333333333334</v>
      </c>
      <c r="D13" s="6" t="n"/>
      <c r="E13" s="53">
        <f>IF(OR(A13="",C13=""),"",IF(C13&lt;A13,"⚠",ROUND((C13-A13)*24*60,0)))</f>
        <v/>
      </c>
      <c r="F13" s="6" t="n"/>
      <c r="G13" s="28" t="inlineStr">
        <is>
          <t>휴식</t>
        </is>
      </c>
      <c r="H13" s="6" t="n"/>
      <c r="I13" s="6" t="n"/>
      <c r="J13" s="6" t="n"/>
      <c r="K13" s="6" t="n"/>
      <c r="L13" s="6" t="n"/>
    </row>
    <row r="14" ht="24" customHeight="1">
      <c r="A14" s="52" t="n">
        <v>0.6458333333333334</v>
      </c>
      <c r="B14" s="6" t="n"/>
      <c r="C14" s="52" t="n">
        <v>0.6875</v>
      </c>
      <c r="D14" s="6" t="n"/>
      <c r="E14" s="53">
        <f>IF(OR(A14="",C14=""),"",IF(C14&lt;A14,"⚠",ROUND((C14-A14)*24*60,0)))</f>
        <v/>
      </c>
      <c r="F14" s="6" t="n"/>
      <c r="G14" s="28" t="inlineStr">
        <is>
          <t>되메우기 다짐 · 가복구</t>
        </is>
      </c>
      <c r="H14" s="6" t="n"/>
      <c r="I14" s="6" t="n"/>
      <c r="J14" s="6" t="n"/>
      <c r="K14" s="6" t="n"/>
      <c r="L14" s="6" t="n"/>
    </row>
    <row r="15" ht="24" customHeight="1">
      <c r="A15" s="52" t="n">
        <v>0.6875</v>
      </c>
      <c r="B15" s="6" t="n"/>
      <c r="C15" s="52" t="n">
        <v>0.7083333333333334</v>
      </c>
      <c r="D15" s="6" t="n"/>
      <c r="E15" s="53">
        <f>IF(OR(A15="",C15=""),"",IF(C15&lt;A15,"⚠",ROUND((C15-A15)*24*60,0)))</f>
        <v/>
      </c>
      <c r="F15" s="6" t="n"/>
      <c r="G15" s="28" t="inlineStr">
        <is>
          <t>현장 정리 · 청소 · 잔재 반출</t>
        </is>
      </c>
      <c r="H15" s="6" t="n"/>
      <c r="I15" s="6" t="n"/>
      <c r="J15" s="6" t="n"/>
      <c r="K15" s="6" t="n"/>
      <c r="L15" s="6" t="n"/>
    </row>
    <row r="16" ht="24" customHeight="1">
      <c r="A16" s="52" t="n"/>
      <c r="B16" s="6" t="n"/>
      <c r="C16" s="52" t="n"/>
      <c r="D16" s="6" t="n"/>
      <c r="E16" s="53">
        <f>IF(OR(A16="",C16=""),"",IF(C16&lt;A16,"⚠",ROUND((C16-A16)*24*60,0)))</f>
        <v/>
      </c>
      <c r="F16" s="6" t="n"/>
      <c r="G16" s="28" t="n"/>
      <c r="H16" s="6" t="n"/>
      <c r="I16" s="6" t="n"/>
      <c r="J16" s="6" t="n"/>
      <c r="K16" s="6" t="n"/>
      <c r="L16" s="6" t="n"/>
    </row>
    <row r="17" ht="24" customHeight="1">
      <c r="A17" s="25" t="inlineStr">
        <is>
          <t>하루 작업 시간 (처음 시작 ~ 마지막 끝)</t>
        </is>
      </c>
      <c r="B17" s="6" t="n"/>
      <c r="C17" s="6" t="n"/>
      <c r="D17" s="6" t="n"/>
      <c r="E17" s="54">
        <f>IF(OR(COUNT(A7:A16)=0,COUNT(C7:C16)=0),"",ROUND((MAX(C7:C16)-MIN(A7:A16))*24,2))</f>
        <v/>
      </c>
      <c r="F17" s="6" t="n"/>
      <c r="G17" s="25" t="inlineStr"/>
      <c r="H17" s="6" t="n"/>
      <c r="I17" s="6" t="n"/>
      <c r="J17" s="6" t="n"/>
      <c r="K17" s="6" t="n"/>
      <c r="L17" s="6" t="n"/>
    </row>
    <row r="18" ht="10" customHeight="1"/>
    <row r="19" ht="3" customHeight="1"/>
    <row r="20" ht="21" customHeight="1">
      <c r="A20" s="20" t="inlineStr">
        <is>
          <t>관로 부설 소요 일수 (어림)</t>
        </is>
      </c>
    </row>
    <row r="21" ht="26" customHeight="1">
      <c r="A21" s="5" t="inlineStr">
        <is>
          <t>관로 연장 합계</t>
        </is>
      </c>
      <c r="B21" s="6" t="n"/>
      <c r="C21" s="6" t="n"/>
      <c r="D21" s="6" t="n"/>
      <c r="E21" s="55">
        <f>IF(N('예시-1.공사개요'!I21)=0,"",'예시-1.공사개요'!I21)</f>
        <v/>
      </c>
      <c r="F21" s="6" t="n"/>
      <c r="G21" s="5" t="inlineStr">
        <is>
          <t>1조 하루 부설량</t>
        </is>
      </c>
      <c r="H21" s="6" t="n"/>
      <c r="I21" s="6" t="n"/>
      <c r="J21" s="6" t="n"/>
      <c r="K21" s="56" t="n">
        <v>25</v>
      </c>
      <c r="L21" s="6" t="n"/>
    </row>
    <row r="22" ht="26" customHeight="1">
      <c r="A22" s="5" t="inlineStr">
        <is>
          <t>작업 조 수</t>
        </is>
      </c>
      <c r="B22" s="6" t="n"/>
      <c r="C22" s="6" t="n"/>
      <c r="D22" s="6" t="n"/>
      <c r="E22" s="57" t="n">
        <v>3</v>
      </c>
      <c r="F22" s="6" t="n"/>
      <c r="G22" s="5" t="inlineStr">
        <is>
          <t>부설 소요 일수</t>
        </is>
      </c>
      <c r="H22" s="6" t="n"/>
      <c r="I22" s="6" t="n"/>
      <c r="J22" s="6" t="n"/>
      <c r="K22" s="58">
        <f>IF(OR(N(E21)=0,N(K21)=0,N(E22)=0),"",ROUNDUP(E21/(K21*E22),0))</f>
        <v/>
      </c>
      <c r="L22" s="6" t="n"/>
    </row>
    <row r="23" ht="28" customHeight="1">
      <c r="A23" s="10" t="inlineStr">
        <is>
          <t>※ 부설 소요 일수 = 관로 연장 ÷ (하루 부설량 × 조 수), 올림. 하루 부설량(노란 칸)은 관경 · 깊이 · 포장 · 민원 여건에 맞게 적습니다. 배관 1조의 하루 터파기는 그날 부설할 연장을 넘지 않게 합니다.</t>
        </is>
      </c>
    </row>
    <row r="25" ht="19" customHeight="1">
      <c r="A25" s="10" t="inlineStr"/>
    </row>
  </sheetData>
  <mergeCells count="62">
    <mergeCell ref="E12:F12"/>
    <mergeCell ref="A17:D17"/>
    <mergeCell ref="C6:D6"/>
    <mergeCell ref="A15:B15"/>
    <mergeCell ref="A25:L25"/>
    <mergeCell ref="A22:D22"/>
    <mergeCell ref="G10:L10"/>
    <mergeCell ref="C15:D15"/>
    <mergeCell ref="G6:L6"/>
    <mergeCell ref="A11:B11"/>
    <mergeCell ref="G13:L13"/>
    <mergeCell ref="C14:D14"/>
    <mergeCell ref="E14:F14"/>
    <mergeCell ref="A3:L3"/>
    <mergeCell ref="E17:F17"/>
    <mergeCell ref="E8:F8"/>
    <mergeCell ref="A6:B6"/>
    <mergeCell ref="K21:L21"/>
    <mergeCell ref="G15:L15"/>
    <mergeCell ref="G22:J22"/>
    <mergeCell ref="A16:B16"/>
    <mergeCell ref="C10:D10"/>
    <mergeCell ref="A7:B7"/>
    <mergeCell ref="C16:D16"/>
    <mergeCell ref="E10:F10"/>
    <mergeCell ref="G14:L14"/>
    <mergeCell ref="A23:L23"/>
    <mergeCell ref="G21:J21"/>
    <mergeCell ref="E13:F13"/>
    <mergeCell ref="C9:D9"/>
    <mergeCell ref="K22:L22"/>
    <mergeCell ref="E9:F9"/>
    <mergeCell ref="A4:L4"/>
    <mergeCell ref="A12:B12"/>
    <mergeCell ref="A20:L20"/>
    <mergeCell ref="G1:L1"/>
    <mergeCell ref="C12:D12"/>
    <mergeCell ref="E6:F6"/>
    <mergeCell ref="G16:L16"/>
    <mergeCell ref="E15:F15"/>
    <mergeCell ref="C11:D11"/>
    <mergeCell ref="E11:F11"/>
    <mergeCell ref="G9:L9"/>
    <mergeCell ref="A14:B14"/>
    <mergeCell ref="A8:B8"/>
    <mergeCell ref="G12:L12"/>
    <mergeCell ref="C8:D8"/>
    <mergeCell ref="G11:L11"/>
    <mergeCell ref="C7:D7"/>
    <mergeCell ref="E16:F16"/>
    <mergeCell ref="E21:F21"/>
    <mergeCell ref="E7:F7"/>
    <mergeCell ref="A1:F1"/>
    <mergeCell ref="A10:B10"/>
    <mergeCell ref="A21:D21"/>
    <mergeCell ref="A13:B13"/>
    <mergeCell ref="G17:L17"/>
    <mergeCell ref="E22:F22"/>
    <mergeCell ref="G8:L8"/>
    <mergeCell ref="C13:D13"/>
    <mergeCell ref="A9:B9"/>
    <mergeCell ref="G7:L7"/>
  </mergeCells>
  <conditionalFormatting sqref="E21">
    <cfRule type="expression" priority="1" dxfId="1">
      <formula>AND(ISNUMBER(E21),MOD(E21,1)=0)</formula>
    </cfRule>
  </conditionalFormatting>
  <conditionalFormatting sqref="K21">
    <cfRule type="expression" priority="2" dxfId="3">
      <formula>AND(ISNUMBER(K21),MOD(K21,1)=0)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7.  주요 장비 및 인력 투입 계획</t>
        </is>
      </c>
    </row>
    <row r="4" ht="3" customHeight="1"/>
    <row r="5" ht="21" customHeight="1">
      <c r="A5" s="20" t="inlineStr">
        <is>
          <t>1) 장비 투입 계획</t>
        </is>
      </c>
    </row>
    <row r="6" ht="32" customHeight="1">
      <c r="A6" s="21" t="inlineStr">
        <is>
          <t>장 비 명</t>
        </is>
      </c>
      <c r="B6" s="6" t="n"/>
      <c r="C6" s="21" t="inlineStr">
        <is>
          <t>규  격</t>
        </is>
      </c>
      <c r="D6" s="6" t="n"/>
      <c r="E6" s="21" t="inlineStr">
        <is>
          <t>1일
(대)</t>
        </is>
      </c>
      <c r="F6" s="21" t="inlineStr">
        <is>
          <t>투입
일수</t>
        </is>
      </c>
      <c r="G6" s="21" t="inlineStr">
        <is>
          <t>누  계
(대·일)</t>
        </is>
      </c>
      <c r="H6" s="6" t="n"/>
      <c r="I6" s="21" t="inlineStr">
        <is>
          <t>작 업 내 용</t>
        </is>
      </c>
      <c r="J6" s="6" t="n"/>
      <c r="K6" s="6" t="n"/>
      <c r="L6" s="6" t="n"/>
    </row>
    <row r="7" ht="22" customHeight="1">
      <c r="A7" s="22" t="inlineStr">
        <is>
          <t>굴삭기</t>
        </is>
      </c>
      <c r="B7" s="6" t="n"/>
      <c r="C7" s="30" t="inlineStr">
        <is>
          <t>0.6㎥</t>
        </is>
      </c>
      <c r="D7" s="6" t="n"/>
      <c r="E7" s="59" t="n">
        <v>1</v>
      </c>
      <c r="F7" s="59" t="n">
        <v>150</v>
      </c>
      <c r="G7" s="60">
        <f>IF(OR(N(E7)=0,N(F7)=0),"",E7*F7)</f>
        <v/>
      </c>
      <c r="H7" s="6" t="n"/>
      <c r="I7" s="24" t="inlineStr">
        <is>
          <t>포장 깨기 · 터파기 · 가시설 설치</t>
        </is>
      </c>
      <c r="J7" s="6" t="n"/>
      <c r="K7" s="6" t="n"/>
      <c r="L7" s="6" t="n"/>
    </row>
    <row r="8" ht="22" customHeight="1">
      <c r="A8" s="22" t="inlineStr">
        <is>
          <t>굴삭기</t>
        </is>
      </c>
      <c r="B8" s="6" t="n"/>
      <c r="C8" s="30" t="inlineStr">
        <is>
          <t>0.3㎥</t>
        </is>
      </c>
      <c r="D8" s="6" t="n"/>
      <c r="E8" s="59" t="n">
        <v>2</v>
      </c>
      <c r="F8" s="59" t="n">
        <v>180</v>
      </c>
      <c r="G8" s="60">
        <f>IF(OR(N(E8)=0,N(F8)=0),"",E8*F8)</f>
        <v/>
      </c>
      <c r="H8" s="6" t="n"/>
      <c r="I8" s="24" t="inlineStr">
        <is>
          <t>포장 깨기 · 터파기 · 되메우기</t>
        </is>
      </c>
      <c r="J8" s="6" t="n"/>
      <c r="K8" s="6" t="n"/>
      <c r="L8" s="6" t="n"/>
    </row>
    <row r="9" ht="22" customHeight="1">
      <c r="A9" s="22" t="inlineStr">
        <is>
          <t>굴삭기</t>
        </is>
      </c>
      <c r="B9" s="6" t="n"/>
      <c r="C9" s="30" t="inlineStr">
        <is>
          <t>0.15㎥</t>
        </is>
      </c>
      <c r="D9" s="6" t="n"/>
      <c r="E9" s="59" t="n">
        <v>1</v>
      </c>
      <c r="F9" s="59" t="n">
        <v>120</v>
      </c>
      <c r="G9" s="60">
        <f>IF(OR(N(E9)=0,N(F9)=0),"",E9*F9)</f>
        <v/>
      </c>
      <c r="H9" s="6" t="n"/>
      <c r="I9" s="24" t="inlineStr">
        <is>
          <t>지선 관로 터파기 · 되메우기</t>
        </is>
      </c>
      <c r="J9" s="6" t="n"/>
      <c r="K9" s="6" t="n"/>
      <c r="L9" s="6" t="n"/>
    </row>
    <row r="10" ht="22" customHeight="1">
      <c r="A10" s="22" t="inlineStr">
        <is>
          <t>다짐장비</t>
        </is>
      </c>
      <c r="B10" s="6" t="n"/>
      <c r="C10" s="30" t="inlineStr">
        <is>
          <t>진동롤러 1.0톤</t>
        </is>
      </c>
      <c r="D10" s="6" t="n"/>
      <c r="E10" s="59" t="n">
        <v>1</v>
      </c>
      <c r="F10" s="59" t="n">
        <v>150</v>
      </c>
      <c r="G10" s="60">
        <f>IF(OR(N(E10)=0,N(F10)=0),"",E10*F10)</f>
        <v/>
      </c>
      <c r="H10" s="6" t="n"/>
      <c r="I10" s="24" t="inlineStr">
        <is>
          <t>되메우기 다짐 · 아스콘 포장</t>
        </is>
      </c>
      <c r="J10" s="6" t="n"/>
      <c r="K10" s="6" t="n"/>
      <c r="L10" s="6" t="n"/>
    </row>
    <row r="11" ht="22" customHeight="1">
      <c r="A11" s="22" t="inlineStr">
        <is>
          <t>다짐장비</t>
        </is>
      </c>
      <c r="B11" s="6" t="n"/>
      <c r="C11" s="30" t="inlineStr">
        <is>
          <t>램머 80kg</t>
        </is>
      </c>
      <c r="D11" s="6" t="n"/>
      <c r="E11" s="59" t="n">
        <v>2</v>
      </c>
      <c r="F11" s="59" t="n">
        <v>180</v>
      </c>
      <c r="G11" s="60">
        <f>IF(OR(N(E11)=0,N(F11)=0),"",E11*F11)</f>
        <v/>
      </c>
      <c r="H11" s="6" t="n"/>
      <c r="I11" s="24" t="inlineStr">
        <is>
          <t>되메우기 · 모래 다짐</t>
        </is>
      </c>
      <c r="J11" s="6" t="n"/>
      <c r="K11" s="6" t="n"/>
      <c r="L11" s="6" t="n"/>
    </row>
    <row r="12" ht="22" customHeight="1">
      <c r="A12" s="22" t="inlineStr">
        <is>
          <t>다짐장비</t>
        </is>
      </c>
      <c r="B12" s="6" t="n"/>
      <c r="C12" s="30" t="inlineStr">
        <is>
          <t>플레이트 콤팩터</t>
        </is>
      </c>
      <c r="D12" s="6" t="n"/>
      <c r="E12" s="59" t="n">
        <v>2</v>
      </c>
      <c r="F12" s="59" t="n">
        <v>180</v>
      </c>
      <c r="G12" s="60">
        <f>IF(OR(N(E12)=0,N(F12)=0),"",E12*F12)</f>
        <v/>
      </c>
      <c r="H12" s="6" t="n"/>
      <c r="I12" s="24" t="inlineStr">
        <is>
          <t>되메우기 · 모래 다짐</t>
        </is>
      </c>
      <c r="J12" s="6" t="n"/>
      <c r="K12" s="6" t="n"/>
      <c r="L12" s="6" t="n"/>
    </row>
    <row r="13" ht="22" customHeight="1">
      <c r="A13" s="22" t="inlineStr">
        <is>
          <t>발전기</t>
        </is>
      </c>
      <c r="B13" s="6" t="n"/>
      <c r="C13" s="30" t="inlineStr">
        <is>
          <t>5kW</t>
        </is>
      </c>
      <c r="D13" s="6" t="n"/>
      <c r="E13" s="59" t="n">
        <v>1</v>
      </c>
      <c r="F13" s="59" t="n">
        <v>180</v>
      </c>
      <c r="G13" s="60">
        <f>IF(OR(N(E13)=0,N(F13)=0),"",E13*F13)</f>
        <v/>
      </c>
      <c r="H13" s="6" t="n"/>
      <c r="I13" s="24" t="inlineStr">
        <is>
          <t>소형 전동공구 동력</t>
        </is>
      </c>
      <c r="J13" s="6" t="n"/>
      <c r="K13" s="6" t="n"/>
      <c r="L13" s="6" t="n"/>
    </row>
    <row r="14" ht="22" customHeight="1">
      <c r="A14" s="22" t="inlineStr">
        <is>
          <t>양수기</t>
        </is>
      </c>
      <c r="B14" s="6" t="n"/>
      <c r="C14" s="30" t="inlineStr">
        <is>
          <t>3"</t>
        </is>
      </c>
      <c r="D14" s="6" t="n"/>
      <c r="E14" s="59" t="n">
        <v>1</v>
      </c>
      <c r="F14" s="59" t="n">
        <v>60</v>
      </c>
      <c r="G14" s="60">
        <f>IF(OR(N(E14)=0,N(F14)=0),"",E14*F14)</f>
        <v/>
      </c>
      <c r="H14" s="6" t="n"/>
      <c r="I14" s="24" t="inlineStr">
        <is>
          <t>양수 작업</t>
        </is>
      </c>
      <c r="J14" s="6" t="n"/>
      <c r="K14" s="6" t="n"/>
      <c r="L14" s="6" t="n"/>
    </row>
    <row r="15" ht="22" customHeight="1">
      <c r="A15" s="22" t="inlineStr">
        <is>
          <t>덤프트럭</t>
        </is>
      </c>
      <c r="B15" s="6" t="n"/>
      <c r="C15" s="30" t="inlineStr">
        <is>
          <t>15톤</t>
        </is>
      </c>
      <c r="D15" s="6" t="n"/>
      <c r="E15" s="59" t="n">
        <v>2</v>
      </c>
      <c r="F15" s="59" t="n">
        <v>150</v>
      </c>
      <c r="G15" s="60">
        <f>IF(OR(N(E15)=0,N(F15)=0),"",E15*F15)</f>
        <v/>
      </c>
      <c r="H15" s="6" t="n"/>
      <c r="I15" s="24" t="inlineStr">
        <is>
          <t>사토 반출 · 운반</t>
        </is>
      </c>
      <c r="J15" s="6" t="n"/>
      <c r="K15" s="6" t="n"/>
      <c r="L15" s="6" t="n"/>
    </row>
    <row r="16" ht="22" customHeight="1">
      <c r="A16" s="22" t="inlineStr">
        <is>
          <t>덤프트럭</t>
        </is>
      </c>
      <c r="B16" s="6" t="n"/>
      <c r="C16" s="30" t="inlineStr">
        <is>
          <t>5톤</t>
        </is>
      </c>
      <c r="D16" s="6" t="n"/>
      <c r="E16" s="59" t="n">
        <v>1</v>
      </c>
      <c r="F16" s="59" t="n">
        <v>150</v>
      </c>
      <c r="G16" s="60">
        <f>IF(OR(N(E16)=0,N(F16)=0),"",E16*F16)</f>
        <v/>
      </c>
      <c r="H16" s="6" t="n"/>
      <c r="I16" s="24" t="inlineStr">
        <is>
          <t>사토 소운반</t>
        </is>
      </c>
      <c r="J16" s="6" t="n"/>
      <c r="K16" s="6" t="n"/>
      <c r="L16" s="6" t="n"/>
    </row>
    <row r="17" ht="22" customHeight="1">
      <c r="A17" s="22" t="inlineStr">
        <is>
          <t>덤프트럭</t>
        </is>
      </c>
      <c r="B17" s="6" t="n"/>
      <c r="C17" s="30" t="inlineStr">
        <is>
          <t>1.0톤</t>
        </is>
      </c>
      <c r="D17" s="6" t="n"/>
      <c r="E17" s="59" t="n">
        <v>1</v>
      </c>
      <c r="F17" s="59" t="n">
        <v>120</v>
      </c>
      <c r="G17" s="60">
        <f>IF(OR(N(E17)=0,N(F17)=0),"",E17*F17)</f>
        <v/>
      </c>
      <c r="H17" s="6" t="n"/>
      <c r="I17" s="24" t="inlineStr">
        <is>
          <t>지선 관로 사토 · 운반</t>
        </is>
      </c>
      <c r="J17" s="6" t="n"/>
      <c r="K17" s="6" t="n"/>
      <c r="L17" s="6" t="n"/>
    </row>
    <row r="18" ht="22" customHeight="1">
      <c r="A18" s="22" t="inlineStr">
        <is>
          <t>크레인</t>
        </is>
      </c>
      <c r="B18" s="6" t="n"/>
      <c r="C18" s="30" t="inlineStr">
        <is>
          <t>25톤</t>
        </is>
      </c>
      <c r="D18" s="6" t="n"/>
      <c r="E18" s="59" t="n">
        <v>1</v>
      </c>
      <c r="F18" s="59" t="n">
        <v>20</v>
      </c>
      <c r="G18" s="60">
        <f>IF(OR(N(E18)=0,N(F18)=0),"",E18*F18)</f>
        <v/>
      </c>
      <c r="H18" s="6" t="n"/>
      <c r="I18" s="24" t="inlineStr">
        <is>
          <t>가시설 · 맨홀 설치</t>
        </is>
      </c>
      <c r="J18" s="6" t="n"/>
      <c r="K18" s="6" t="n"/>
      <c r="L18" s="6" t="n"/>
    </row>
    <row r="19" ht="22" customHeight="1">
      <c r="A19" s="22" t="n"/>
      <c r="B19" s="6" t="n"/>
      <c r="C19" s="30" t="n"/>
      <c r="D19" s="6" t="n"/>
      <c r="E19" s="59" t="n"/>
      <c r="F19" s="59" t="n"/>
      <c r="G19" s="60">
        <f>IF(OR(N(E19)=0,N(F19)=0),"",E19*F19)</f>
        <v/>
      </c>
      <c r="H19" s="6" t="n"/>
      <c r="I19" s="24" t="n"/>
      <c r="J19" s="6" t="n"/>
      <c r="K19" s="6" t="n"/>
      <c r="L19" s="6" t="n"/>
    </row>
    <row r="20" ht="22" customHeight="1">
      <c r="A20" s="22" t="n"/>
      <c r="B20" s="6" t="n"/>
      <c r="C20" s="30" t="n"/>
      <c r="D20" s="6" t="n"/>
      <c r="E20" s="59" t="n"/>
      <c r="F20" s="59" t="n"/>
      <c r="G20" s="60">
        <f>IF(OR(N(E20)=0,N(F20)=0),"",E20*F20)</f>
        <v/>
      </c>
      <c r="H20" s="6" t="n"/>
      <c r="I20" s="24" t="n"/>
      <c r="J20" s="6" t="n"/>
      <c r="K20" s="6" t="n"/>
      <c r="L20" s="6" t="n"/>
    </row>
    <row r="21" ht="22" customHeight="1">
      <c r="A21" s="25" t="inlineStr">
        <is>
          <t>계</t>
        </is>
      </c>
      <c r="B21" s="6" t="n"/>
      <c r="C21" s="6" t="n"/>
      <c r="D21" s="6" t="n"/>
      <c r="E21" s="6" t="n"/>
      <c r="F21" s="6" t="n"/>
      <c r="G21" s="61">
        <f>IF(SUM(G7:G20)=0,"",SUM(G7:G20))</f>
        <v/>
      </c>
      <c r="H21" s="6" t="n"/>
      <c r="I21" s="25" t="inlineStr"/>
      <c r="J21" s="6" t="n"/>
      <c r="K21" s="6" t="n"/>
      <c r="L21" s="6" t="n"/>
    </row>
    <row r="22" ht="8" customHeight="1"/>
    <row r="23" ht="3" customHeight="1"/>
    <row r="24" ht="21" customHeight="1">
      <c r="A24" s="20" t="inlineStr">
        <is>
          <t>2) 인원 투입 계획</t>
        </is>
      </c>
    </row>
    <row r="25" ht="32" customHeight="1">
      <c r="A25" s="21" t="inlineStr">
        <is>
          <t>직  종</t>
        </is>
      </c>
      <c r="B25" s="6" t="n"/>
      <c r="C25" s="21" t="inlineStr">
        <is>
          <t>1일
(인)</t>
        </is>
      </c>
      <c r="D25" s="21" t="inlineStr">
        <is>
          <t>투입
일수</t>
        </is>
      </c>
      <c r="E25" s="21" t="inlineStr">
        <is>
          <t>누  계
(인·일)</t>
        </is>
      </c>
      <c r="F25" s="6" t="n"/>
      <c r="G25" s="21" t="inlineStr">
        <is>
          <t>작 업 내 용</t>
        </is>
      </c>
      <c r="H25" s="6" t="n"/>
      <c r="I25" s="6" t="n"/>
      <c r="J25" s="6" t="n"/>
      <c r="K25" s="6" t="n"/>
      <c r="L25" s="6" t="n"/>
    </row>
    <row r="26" ht="22" customHeight="1">
      <c r="A26" s="7" t="inlineStr">
        <is>
          <t>직원</t>
        </is>
      </c>
      <c r="B26" s="6" t="n"/>
      <c r="C26" s="59" t="n">
        <v>2</v>
      </c>
      <c r="D26" s="59" t="n">
        <v>240</v>
      </c>
      <c r="E26" s="60">
        <f>IF(OR(N(C26)=0,N(D26)=0),"",C26*D26)</f>
        <v/>
      </c>
      <c r="F26" s="6" t="n"/>
      <c r="G26" s="24" t="inlineStr">
        <is>
          <t>현장 작업 지시 · 관리</t>
        </is>
      </c>
      <c r="H26" s="6" t="n"/>
      <c r="I26" s="6" t="n"/>
      <c r="J26" s="6" t="n"/>
      <c r="K26" s="6" t="n"/>
      <c r="L26" s="6" t="n"/>
    </row>
    <row r="27" ht="22" customHeight="1">
      <c r="A27" s="7" t="inlineStr">
        <is>
          <t>작업반장</t>
        </is>
      </c>
      <c r="B27" s="6" t="n"/>
      <c r="C27" s="59" t="n">
        <v>2</v>
      </c>
      <c r="D27" s="59" t="n">
        <v>200</v>
      </c>
      <c r="E27" s="60">
        <f>IF(OR(N(C27)=0,N(D27)=0),"",C27*D27)</f>
        <v/>
      </c>
      <c r="F27" s="6" t="n"/>
      <c r="G27" s="24" t="inlineStr">
        <is>
          <t>구간별 작업 총괄</t>
        </is>
      </c>
      <c r="H27" s="6" t="n"/>
      <c r="I27" s="6" t="n"/>
      <c r="J27" s="6" t="n"/>
      <c r="K27" s="6" t="n"/>
      <c r="L27" s="6" t="n"/>
    </row>
    <row r="28" ht="22" customHeight="1">
      <c r="A28" s="7" t="inlineStr">
        <is>
          <t>배관공</t>
        </is>
      </c>
      <c r="B28" s="6" t="n"/>
      <c r="C28" s="59" t="n">
        <v>4</v>
      </c>
      <c r="D28" s="59" t="n">
        <v>180</v>
      </c>
      <c r="E28" s="60">
        <f>IF(OR(N(C28)=0,N(D28)=0),"",C28*D28)</f>
        <v/>
      </c>
      <c r="F28" s="6" t="n"/>
      <c r="G28" s="24" t="inlineStr">
        <is>
          <t>관 부설 · 접합</t>
        </is>
      </c>
      <c r="H28" s="6" t="n"/>
      <c r="I28" s="6" t="n"/>
      <c r="J28" s="6" t="n"/>
      <c r="K28" s="6" t="n"/>
      <c r="L28" s="6" t="n"/>
    </row>
    <row r="29" ht="22" customHeight="1">
      <c r="A29" s="7" t="inlineStr">
        <is>
          <t>보통인부</t>
        </is>
      </c>
      <c r="B29" s="6" t="n"/>
      <c r="C29" s="59" t="n">
        <v>6</v>
      </c>
      <c r="D29" s="59" t="n">
        <v>200</v>
      </c>
      <c r="E29" s="60">
        <f>IF(OR(N(C29)=0,N(D29)=0),"",C29*D29)</f>
        <v/>
      </c>
      <c r="F29" s="6" t="n"/>
      <c r="G29" s="24" t="inlineStr">
        <is>
          <t>현장 정리 · 기능공 보조</t>
        </is>
      </c>
      <c r="H29" s="6" t="n"/>
      <c r="I29" s="6" t="n"/>
      <c r="J29" s="6" t="n"/>
      <c r="K29" s="6" t="n"/>
      <c r="L29" s="6" t="n"/>
    </row>
    <row r="30" ht="22" customHeight="1">
      <c r="A30" s="7" t="inlineStr">
        <is>
          <t>포장공</t>
        </is>
      </c>
      <c r="B30" s="6" t="n"/>
      <c r="C30" s="59" t="n">
        <v>2</v>
      </c>
      <c r="D30" s="59" t="n">
        <v>60</v>
      </c>
      <c r="E30" s="60">
        <f>IF(OR(N(C30)=0,N(D30)=0),"",C30*D30)</f>
        <v/>
      </c>
      <c r="F30" s="6" t="n"/>
      <c r="G30" s="24" t="inlineStr">
        <is>
          <t>콘크리트 · 아스콘 포장</t>
        </is>
      </c>
      <c r="H30" s="6" t="n"/>
      <c r="I30" s="6" t="n"/>
      <c r="J30" s="6" t="n"/>
      <c r="K30" s="6" t="n"/>
      <c r="L30" s="6" t="n"/>
    </row>
    <row r="31" ht="22" customHeight="1">
      <c r="A31" s="7" t="inlineStr">
        <is>
          <t>특별인부</t>
        </is>
      </c>
      <c r="B31" s="6" t="n"/>
      <c r="C31" s="59" t="n">
        <v>2</v>
      </c>
      <c r="D31" s="59" t="n">
        <v>120</v>
      </c>
      <c r="E31" s="60">
        <f>IF(OR(N(C31)=0,N(D31)=0),"",C31*D31)</f>
        <v/>
      </c>
      <c r="F31" s="6" t="n"/>
      <c r="G31" s="24" t="inlineStr">
        <is>
          <t>용접공 · 기능공 보조 등 약간의 기능이 필요한 작업</t>
        </is>
      </c>
      <c r="H31" s="6" t="n"/>
      <c r="I31" s="6" t="n"/>
      <c r="J31" s="6" t="n"/>
      <c r="K31" s="6" t="n"/>
      <c r="L31" s="6" t="n"/>
    </row>
    <row r="32" ht="22" customHeight="1">
      <c r="A32" s="7" t="inlineStr">
        <is>
          <t>가시설공</t>
        </is>
      </c>
      <c r="B32" s="6" t="n"/>
      <c r="C32" s="59" t="n">
        <v>2</v>
      </c>
      <c r="D32" s="59" t="n">
        <v>100</v>
      </c>
      <c r="E32" s="60">
        <f>IF(OR(N(C32)=0,N(D32)=0),"",C32*D32)</f>
        <v/>
      </c>
      <c r="F32" s="6" t="n"/>
      <c r="G32" s="24" t="inlineStr">
        <is>
          <t>흙막이공</t>
        </is>
      </c>
      <c r="H32" s="6" t="n"/>
      <c r="I32" s="6" t="n"/>
      <c r="J32" s="6" t="n"/>
      <c r="K32" s="6" t="n"/>
      <c r="L32" s="6" t="n"/>
    </row>
    <row r="33" ht="22" customHeight="1">
      <c r="A33" s="7" t="inlineStr">
        <is>
          <t>목공</t>
        </is>
      </c>
      <c r="B33" s="6" t="n"/>
      <c r="C33" s="59" t="n">
        <v>1</v>
      </c>
      <c r="D33" s="59" t="n">
        <v>40</v>
      </c>
      <c r="E33" s="60">
        <f>IF(OR(N(C33)=0,N(D33)=0),"",C33*D33)</f>
        <v/>
      </c>
      <c r="F33" s="6" t="n"/>
      <c r="G33" s="24" t="inlineStr">
        <is>
          <t>거푸집 제작 · 조립</t>
        </is>
      </c>
      <c r="H33" s="6" t="n"/>
      <c r="I33" s="6" t="n"/>
      <c r="J33" s="6" t="n"/>
      <c r="K33" s="6" t="n"/>
      <c r="L33" s="6" t="n"/>
    </row>
    <row r="34" ht="22" customHeight="1">
      <c r="A34" s="7" t="inlineStr">
        <is>
          <t>콘크리트공</t>
        </is>
      </c>
      <c r="B34" s="6" t="n"/>
      <c r="C34" s="59" t="n">
        <v>1</v>
      </c>
      <c r="D34" s="59" t="n">
        <v>40</v>
      </c>
      <c r="E34" s="60">
        <f>IF(OR(N(C34)=0,N(D34)=0),"",C34*D34)</f>
        <v/>
      </c>
      <c r="F34" s="6" t="n"/>
      <c r="G34" s="24" t="inlineStr">
        <is>
          <t>콘크리트 타설</t>
        </is>
      </c>
      <c r="H34" s="6" t="n"/>
      <c r="I34" s="6" t="n"/>
      <c r="J34" s="6" t="n"/>
      <c r="K34" s="6" t="n"/>
      <c r="L34" s="6" t="n"/>
    </row>
    <row r="35" ht="22" customHeight="1">
      <c r="A35" s="7" t="n"/>
      <c r="B35" s="6" t="n"/>
      <c r="C35" s="59" t="n"/>
      <c r="D35" s="59" t="n"/>
      <c r="E35" s="60">
        <f>IF(OR(N(C35)=0,N(D35)=0),"",C35*D35)</f>
        <v/>
      </c>
      <c r="F35" s="6" t="n"/>
      <c r="G35" s="24" t="n"/>
      <c r="H35" s="6" t="n"/>
      <c r="I35" s="6" t="n"/>
      <c r="J35" s="6" t="n"/>
      <c r="K35" s="6" t="n"/>
      <c r="L35" s="6" t="n"/>
    </row>
    <row r="36" ht="22" customHeight="1">
      <c r="A36" s="7" t="n"/>
      <c r="B36" s="6" t="n"/>
      <c r="C36" s="59" t="n"/>
      <c r="D36" s="59" t="n"/>
      <c r="E36" s="60">
        <f>IF(OR(N(C36)=0,N(D36)=0),"",C36*D36)</f>
        <v/>
      </c>
      <c r="F36" s="6" t="n"/>
      <c r="G36" s="24" t="n"/>
      <c r="H36" s="6" t="n"/>
      <c r="I36" s="6" t="n"/>
      <c r="J36" s="6" t="n"/>
      <c r="K36" s="6" t="n"/>
      <c r="L36" s="6" t="n"/>
    </row>
    <row r="37" ht="22" customHeight="1">
      <c r="A37" s="25" t="inlineStr">
        <is>
          <t>계</t>
        </is>
      </c>
      <c r="B37" s="6" t="n"/>
      <c r="C37" s="6" t="n"/>
      <c r="D37" s="6" t="n"/>
      <c r="E37" s="61">
        <f>IF(SUM(E26:E36)=0,"",SUM(E26:E36))</f>
        <v/>
      </c>
      <c r="F37" s="6" t="n"/>
      <c r="G37" s="25" t="inlineStr"/>
      <c r="H37" s="6" t="n"/>
      <c r="I37" s="6" t="n"/>
      <c r="J37" s="6" t="n"/>
      <c r="K37" s="6" t="n"/>
      <c r="L37" s="6" t="n"/>
    </row>
    <row r="38" ht="16" customHeight="1">
      <c r="A38" s="10" t="inlineStr">
        <is>
          <t>※ 누계 = 1일 투입 × 투입일수. 장비 · 인원은 현장 여건을 감안해 투입합니다.</t>
        </is>
      </c>
    </row>
  </sheetData>
  <mergeCells count="108">
    <mergeCell ref="G21:H21"/>
    <mergeCell ref="I14:L14"/>
    <mergeCell ref="C6:D6"/>
    <mergeCell ref="A15:B15"/>
    <mergeCell ref="C15:D15"/>
    <mergeCell ref="G28:L28"/>
    <mergeCell ref="G30:L30"/>
    <mergeCell ref="A7:B7"/>
    <mergeCell ref="G18:H18"/>
    <mergeCell ref="A27:B27"/>
    <mergeCell ref="E34:F34"/>
    <mergeCell ref="G32:L32"/>
    <mergeCell ref="A33:B33"/>
    <mergeCell ref="E27:F27"/>
    <mergeCell ref="I16:L16"/>
    <mergeCell ref="E36:F36"/>
    <mergeCell ref="A17:B17"/>
    <mergeCell ref="C17:D17"/>
    <mergeCell ref="A35:B35"/>
    <mergeCell ref="G20:H20"/>
    <mergeCell ref="I18:L18"/>
    <mergeCell ref="A19:B19"/>
    <mergeCell ref="C19:D19"/>
    <mergeCell ref="A28:B28"/>
    <mergeCell ref="A9:B9"/>
    <mergeCell ref="A30:B30"/>
    <mergeCell ref="G12:H12"/>
    <mergeCell ref="A11:B11"/>
    <mergeCell ref="I20:L20"/>
    <mergeCell ref="C14:D14"/>
    <mergeCell ref="A3:L3"/>
    <mergeCell ref="G34:L34"/>
    <mergeCell ref="I13:L13"/>
    <mergeCell ref="G7:H7"/>
    <mergeCell ref="A5:L5"/>
    <mergeCell ref="I6:L6"/>
    <mergeCell ref="I15:L15"/>
    <mergeCell ref="G29:L29"/>
    <mergeCell ref="A38:L38"/>
    <mergeCell ref="A26:B26"/>
    <mergeCell ref="G31:L31"/>
    <mergeCell ref="I7:L7"/>
    <mergeCell ref="E26:F26"/>
    <mergeCell ref="A8:B8"/>
    <mergeCell ref="C8:D8"/>
    <mergeCell ref="A24:L24"/>
    <mergeCell ref="G16:H16"/>
    <mergeCell ref="E25:F25"/>
    <mergeCell ref="A10:B10"/>
    <mergeCell ref="C18:D18"/>
    <mergeCell ref="G9:H9"/>
    <mergeCell ref="A34:B34"/>
    <mergeCell ref="I17:L17"/>
    <mergeCell ref="G11:H11"/>
    <mergeCell ref="A36:B36"/>
    <mergeCell ref="I10:L10"/>
    <mergeCell ref="I19:L19"/>
    <mergeCell ref="C20:D20"/>
    <mergeCell ref="G33:L33"/>
    <mergeCell ref="I9:L9"/>
    <mergeCell ref="E29:F29"/>
    <mergeCell ref="G35:L35"/>
    <mergeCell ref="G13:H13"/>
    <mergeCell ref="I11:L11"/>
    <mergeCell ref="E31:F31"/>
    <mergeCell ref="A12:B12"/>
    <mergeCell ref="C12:D12"/>
    <mergeCell ref="G25:L25"/>
    <mergeCell ref="G15:H15"/>
    <mergeCell ref="A32:B32"/>
    <mergeCell ref="A14:B14"/>
    <mergeCell ref="A37:D37"/>
    <mergeCell ref="C7:D7"/>
    <mergeCell ref="E32:F32"/>
    <mergeCell ref="I21:L21"/>
    <mergeCell ref="A1:F1"/>
    <mergeCell ref="G37:L37"/>
    <mergeCell ref="I8:L8"/>
    <mergeCell ref="E33:F33"/>
    <mergeCell ref="G8:H8"/>
    <mergeCell ref="A21:F21"/>
    <mergeCell ref="A6:B6"/>
    <mergeCell ref="G17:H17"/>
    <mergeCell ref="E35:F35"/>
    <mergeCell ref="A16:B16"/>
    <mergeCell ref="C10:D10"/>
    <mergeCell ref="C16:D16"/>
    <mergeCell ref="A25:B25"/>
    <mergeCell ref="G10:H10"/>
    <mergeCell ref="G19:H19"/>
    <mergeCell ref="E28:F28"/>
    <mergeCell ref="G6:H6"/>
    <mergeCell ref="C9:D9"/>
    <mergeCell ref="A18:B18"/>
    <mergeCell ref="G26:L26"/>
    <mergeCell ref="G1:L1"/>
    <mergeCell ref="E30:F30"/>
    <mergeCell ref="C11:D11"/>
    <mergeCell ref="G14:H14"/>
    <mergeCell ref="A20:B20"/>
    <mergeCell ref="G27:L27"/>
    <mergeCell ref="A29:B29"/>
    <mergeCell ref="G36:L36"/>
    <mergeCell ref="I12:L12"/>
    <mergeCell ref="A13:B13"/>
    <mergeCell ref="E37:F37"/>
    <mergeCell ref="C13:D13"/>
    <mergeCell ref="A31:B31"/>
  </mergeCells>
  <printOptions horizontalCentered="1"/>
  <pageMargins left="0.45" right="0.4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하수관거 시공계획서</dc:title>
  <dcterms:created xmlns:dcterms="http://purl.org/dc/terms/" xmlns:xsi="http://www.w3.org/2001/XMLSchema-instance" xsi:type="dcterms:W3CDTF">2026-09-29T07:35:59Z</dcterms:created>
  <dcterms:modified xmlns:dcterms="http://purl.org/dc/terms/" xmlns:xsi="http://www.w3.org/2001/XMLSchema-instance" xsi:type="dcterms:W3CDTF">2026-09-29T07:35:59Z</dcterms:modified>
</cp:coreProperties>
</file>