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처음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01 사용인감계" sheetId="3" state="visible" r:id="rId3"/>
    <sheet xmlns:r="http://schemas.openxmlformats.org/officeDocument/2006/relationships" name="02 계약보증금 납부서" sheetId="4" state="visible" r:id="rId4"/>
    <sheet xmlns:r="http://schemas.openxmlformats.org/officeDocument/2006/relationships" name="03 계약보증금 지급각서" sheetId="5" state="visible" r:id="rId5"/>
    <sheet xmlns:r="http://schemas.openxmlformats.org/officeDocument/2006/relationships" name="04 청렴계약 이행서약서" sheetId="6" state="visible" r:id="rId6"/>
    <sheet xmlns:r="http://schemas.openxmlformats.org/officeDocument/2006/relationships" name="05 수의계약 각서" sheetId="7" state="visible" r:id="rId7"/>
    <sheet xmlns:r="http://schemas.openxmlformats.org/officeDocument/2006/relationships" name="06 선금 신청서" sheetId="8" state="visible" r:id="rId8"/>
    <sheet xmlns:r="http://schemas.openxmlformats.org/officeDocument/2006/relationships" name="07 선금 사용계획서" sheetId="9" state="visible" r:id="rId9"/>
    <sheet xmlns:r="http://schemas.openxmlformats.org/officeDocument/2006/relationships" name="08 착공신고서" sheetId="10" state="visible" r:id="rId10"/>
    <sheet xmlns:r="http://schemas.openxmlformats.org/officeDocument/2006/relationships" name="09 현장대리인계" sheetId="11" state="visible" r:id="rId11"/>
    <sheet xmlns:r="http://schemas.openxmlformats.org/officeDocument/2006/relationships" name="10 예정공정표" sheetId="12" state="visible" r:id="rId12"/>
    <sheet xmlns:r="http://schemas.openxmlformats.org/officeDocument/2006/relationships" name="11 인력·장비 투입계획서" sheetId="13" state="visible" r:id="rId13"/>
    <sheet xmlns:r="http://schemas.openxmlformats.org/officeDocument/2006/relationships" name="12 직접시공계획서" sheetId="14" state="visible" r:id="rId14"/>
    <sheet xmlns:r="http://schemas.openxmlformats.org/officeDocument/2006/relationships" name="13 산안비 사용계획서" sheetId="15" state="visible" r:id="rId15"/>
    <sheet xmlns:r="http://schemas.openxmlformats.org/officeDocument/2006/relationships" name="14 수도전기료 납부각서" sheetId="16" state="visible" r:id="rId16"/>
    <sheet xmlns:r="http://schemas.openxmlformats.org/officeDocument/2006/relationships" name="15 월간 공정보고서" sheetId="17" state="visible" r:id="rId17"/>
    <sheet xmlns:r="http://schemas.openxmlformats.org/officeDocument/2006/relationships" name="16 노무비 청구내역서" sheetId="18" state="visible" r:id="rId18"/>
    <sheet xmlns:r="http://schemas.openxmlformats.org/officeDocument/2006/relationships" name="17 산안비 사용내역서" sheetId="19" state="visible" r:id="rId19"/>
    <sheet xmlns:r="http://schemas.openxmlformats.org/officeDocument/2006/relationships" name="18 하도급계약 통보서" sheetId="20" state="visible" r:id="rId20"/>
    <sheet xmlns:r="http://schemas.openxmlformats.org/officeDocument/2006/relationships" name="19 하도급계약 통보서 뒤쪽" sheetId="21" state="visible" r:id="rId21"/>
    <sheet xmlns:r="http://schemas.openxmlformats.org/officeDocument/2006/relationships" name="20 기성검사 요청서" sheetId="22" state="visible" r:id="rId22"/>
    <sheet xmlns:r="http://schemas.openxmlformats.org/officeDocument/2006/relationships" name="21 기성대가 청구서" sheetId="23" state="visible" r:id="rId23"/>
    <sheet xmlns:r="http://schemas.openxmlformats.org/officeDocument/2006/relationships" name="22 하도급대금 지급확인서" sheetId="24" state="visible" r:id="rId24"/>
    <sheet xmlns:r="http://schemas.openxmlformats.org/officeDocument/2006/relationships" name="23 공기연장 신청서" sheetId="25" state="visible" r:id="rId25"/>
    <sheet xmlns:r="http://schemas.openxmlformats.org/officeDocument/2006/relationships" name="24 계약금액 조정 신청서" sheetId="26" state="visible" r:id="rId26"/>
    <sheet xmlns:r="http://schemas.openxmlformats.org/officeDocument/2006/relationships" name="25 준공신고서" sheetId="27" state="visible" r:id="rId27"/>
    <sheet xmlns:r="http://schemas.openxmlformats.org/officeDocument/2006/relationships" name="26 준공검사 요청서" sheetId="28" state="visible" r:id="rId28"/>
    <sheet xmlns:r="http://schemas.openxmlformats.org/officeDocument/2006/relationships" name="27 준공대가 청구서" sheetId="29" state="visible" r:id="rId29"/>
    <sheet xmlns:r="http://schemas.openxmlformats.org/officeDocument/2006/relationships" name="28 준공정산 동의서" sheetId="30" state="visible" r:id="rId30"/>
    <sheet xmlns:r="http://schemas.openxmlformats.org/officeDocument/2006/relationships" name="29 하자보수보증금 납부서" sheetId="31" state="visible" r:id="rId31"/>
    <sheet xmlns:r="http://schemas.openxmlformats.org/officeDocument/2006/relationships" name="30 하자보수보증금 지급각서" sheetId="32" state="visible" r:id="rId32"/>
    <sheet xmlns:r="http://schemas.openxmlformats.org/officeDocument/2006/relationships" name="31 공사감독조서" sheetId="33" state="visible" r:id="rId33"/>
    <sheet xmlns:r="http://schemas.openxmlformats.org/officeDocument/2006/relationships" name="32 준공검사조서" sheetId="34" state="visible" r:id="rId34"/>
    <sheet xmlns:r="http://schemas.openxmlformats.org/officeDocument/2006/relationships" name="33 공사대장" sheetId="35" state="visible" r:id="rId35"/>
    <sheet xmlns:r="http://schemas.openxmlformats.org/officeDocument/2006/relationships" name="34 하자검사조서" sheetId="36" state="visible" r:id="rId36"/>
    <sheet xmlns:r="http://schemas.openxmlformats.org/officeDocument/2006/relationships" name="35 하자대장" sheetId="37" state="visible" r:id="rId37"/>
    <sheet xmlns:r="http://schemas.openxmlformats.org/officeDocument/2006/relationships" name="계산" sheetId="38" state="hidden" r:id="rId38"/>
  </sheets>
  <definedNames>
    <definedName name="_xlnm.Print_Area" localSheetId="0">'처음'!$A$1:$G$54</definedName>
    <definedName name="_xlnm.Print_Area" localSheetId="1">'입력'!$A$1:$D$147</definedName>
    <definedName name="_xlnm.Print_Area" localSheetId="2">'01 사용인감계'!$A$1:$M$25</definedName>
    <definedName name="_xlnm.Print_Area" localSheetId="3">'02 계약보증금 납부서'!$A$1:$M$25</definedName>
    <definedName name="_xlnm.Print_Area" localSheetId="4">'03 계약보증금 지급각서'!$A$1:$M$18</definedName>
    <definedName name="_xlnm.Print_Area" localSheetId="5">'04 청렴계약 이행서약서'!$A$1:$M$22</definedName>
    <definedName name="_xlnm.Print_Area" localSheetId="6">'05 수의계약 각서'!$A$1:$M$21</definedName>
    <definedName name="_xlnm.Print_Area" localSheetId="7">'06 선금 신청서'!$A$1:$M$28</definedName>
    <definedName name="_xlnm.Print_Area" localSheetId="8">'07 선금 사용계획서'!$A$1:$M$30</definedName>
    <definedName name="_xlnm.Print_Area" localSheetId="9">'08 착공신고서'!$A$1:$M$32</definedName>
    <definedName name="_xlnm.Print_Area" localSheetId="10">'09 현장대리인계'!$A$1:$M$30</definedName>
    <definedName name="_xlnm.Print_Area" localSheetId="11">'10 예정공정표'!$A$1:$M$32</definedName>
    <definedName name="_xlnm.Print_Area" localSheetId="12">'11 인력·장비 투입계획서'!$A$1:$M$38</definedName>
    <definedName name="_xlnm.Print_Area" localSheetId="13">'12 직접시공계획서'!$A$1:$M$30</definedName>
    <definedName name="_xlnm.Print_Area" localSheetId="14">'13 산안비 사용계획서'!$A$1:$M$30</definedName>
    <definedName name="_xlnm.Print_Area" localSheetId="15">'14 수도전기료 납부각서'!$A$1:$M$22</definedName>
    <definedName name="_xlnm.Print_Area" localSheetId="16">'15 월간 공정보고서'!$A$1:$M$32</definedName>
    <definedName name="_xlnm.Print_Area" localSheetId="17">'16 노무비 청구내역서'!$A$1:$M$36</definedName>
    <definedName name="_xlnm.Print_Area" localSheetId="18">'17 산안비 사용내역서'!$A$1:$M$28</definedName>
    <definedName name="_xlnm.Print_Area" localSheetId="19">'18 하도급계약 통보서'!$A$1:$M$36</definedName>
    <definedName name="_xlnm.Print_Area" localSheetId="20">'19 하도급계약 통보서 뒤쪽'!$A$1:$M$21</definedName>
    <definedName name="_xlnm.Print_Area" localSheetId="21">'20 기성검사 요청서'!$A$1:$M$31</definedName>
    <definedName name="_xlnm.Print_Area" localSheetId="22">'21 기성대가 청구서'!$A$1:$M$27</definedName>
    <definedName name="_xlnm.Print_Area" localSheetId="23">'22 하도급대금 지급확인서'!$A$1:$M$30</definedName>
    <definedName name="_xlnm.Print_Area" localSheetId="24">'23 공기연장 신청서'!$A$1:$M$25</definedName>
    <definedName name="_xlnm.Print_Area" localSheetId="25">'24 계약금액 조정 신청서'!$A$1:$M$37</definedName>
    <definedName name="_xlnm.Print_Area" localSheetId="26">'25 준공신고서'!$A$1:$M$29</definedName>
    <definedName name="_xlnm.Print_Area" localSheetId="27">'26 준공검사 요청서'!$A$1:$M$20</definedName>
    <definedName name="_xlnm.Print_Area" localSheetId="28">'27 준공대가 청구서'!$A$1:$M$28</definedName>
    <definedName name="_xlnm.Print_Area" localSheetId="29">'28 준공정산 동의서'!$A$1:$M$19</definedName>
    <definedName name="_xlnm.Print_Area" localSheetId="30">'29 하자보수보증금 납부서'!$A$1:$M$24</definedName>
    <definedName name="_xlnm.Print_Area" localSheetId="31">'30 하자보수보증금 지급각서'!$A$1:$M$18</definedName>
    <definedName name="_xlnm.Print_Area" localSheetId="32">'31 공사감독조서'!$A$1:$M$21</definedName>
    <definedName name="_xlnm.Print_Area" localSheetId="33">'32 준공검사조서'!$A$1:$M$23</definedName>
    <definedName name="_xlnm.Print_Area" localSheetId="34">'33 공사대장'!$A$1:$M$26</definedName>
    <definedName name="_xlnm.Print_Area" localSheetId="35">'34 하자검사조서'!$A$1:$M$28</definedName>
    <definedName name="_xlnm.Print_Area" localSheetId="36">'35 하자대장'!$A$1:$M$24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&quot;일&quot;"/>
    <numFmt numFmtId="166" formatCode="#,##0;[Red]-#,##0"/>
    <numFmt numFmtId="167" formatCode="0.0%"/>
  </numFmts>
  <fonts count="29">
    <font>
      <name val="맑은 고딕"/>
      <sz val="11"/>
    </font>
    <font>
      <name val="맑은 고딕"/>
      <sz val="11"/>
    </font>
    <font>
      <name val="맑은 고딕"/>
      <b val="1"/>
      <color rgb="00000000"/>
      <sz val="18"/>
    </font>
    <font>
      <name val="맑은 고딕"/>
      <color rgb="00333333"/>
      <sz val="10.5"/>
    </font>
    <font>
      <name val="맑은 고딕"/>
      <color rgb="001F5FBF"/>
      <sz val="10"/>
      <u val="single"/>
    </font>
    <font>
      <name val="맑은 고딕"/>
      <b val="1"/>
      <color rgb="00FFFFFF"/>
      <sz val="12"/>
    </font>
    <font>
      <name val="맑은 고딕"/>
      <b val="1"/>
      <color rgb="00000000"/>
      <sz val="10.5"/>
    </font>
    <font>
      <name val="맑은 고딕"/>
      <color rgb="00000000"/>
      <sz val="11"/>
    </font>
    <font>
      <name val="맑은 고딕"/>
      <color rgb="00666666"/>
      <sz val="9.5"/>
    </font>
    <font>
      <name val="맑은 고딕"/>
      <color rgb="00000000"/>
      <sz val="10.5"/>
    </font>
    <font>
      <name val="맑은 고딕"/>
      <b val="1"/>
      <color rgb="00000000"/>
      <sz val="20"/>
    </font>
    <font>
      <name val="맑은 고딕"/>
      <color rgb="00000000"/>
      <sz val="12"/>
    </font>
    <font>
      <name val="맑은 고딕"/>
      <b val="1"/>
      <color rgb="00000000"/>
      <sz val="11"/>
    </font>
    <font>
      <name val="맑은 고딕"/>
      <b val="1"/>
      <color rgb="00000000"/>
      <sz val="15"/>
    </font>
    <font>
      <name val="맑은 고딕"/>
      <color rgb="00777777"/>
      <sz val="9"/>
    </font>
    <font>
      <name val="맑은 고딕"/>
      <color rgb="00555555"/>
      <sz val="9.5"/>
    </font>
    <font>
      <name val="맑은 고딕"/>
      <color rgb="00333333"/>
      <sz val="9"/>
    </font>
    <font>
      <name val="맑은 고딕"/>
      <color rgb="00000000"/>
      <sz val="9.5"/>
    </font>
    <font>
      <name val="맑은 고딕"/>
      <color rgb="00000000"/>
      <sz val="8.5"/>
    </font>
    <font>
      <name val="맑은 고딕"/>
      <b val="1"/>
      <color rgb="001F3A5F"/>
      <sz val="22"/>
    </font>
    <font>
      <name val="맑은 고딕"/>
      <b val="1"/>
      <color rgb="001F5FBF"/>
      <sz val="13"/>
    </font>
    <font>
      <name val="맑은 고딕"/>
      <b val="1"/>
      <color rgb="001F5FBF"/>
      <sz val="11"/>
      <u val="single"/>
    </font>
    <font>
      <name val="맑은 고딕"/>
      <b val="1"/>
      <color rgb="00B25A00"/>
      <sz val="11"/>
    </font>
    <font>
      <name val="맑은 고딕"/>
      <b val="1"/>
      <color rgb="00FFFFFF"/>
      <sz val="10.5"/>
    </font>
    <font>
      <name val="맑은 고딕"/>
      <color rgb="002F6FB5"/>
      <sz val="10.5"/>
    </font>
    <font>
      <name val="맑은 고딕"/>
      <color rgb="00777777"/>
      <sz val="10"/>
    </font>
    <font>
      <name val="맑은 고딕"/>
      <color rgb="00444444"/>
      <sz val="9.5"/>
    </font>
    <font>
      <name val="맑은 고딕"/>
      <color rgb="00B7802F"/>
      <sz val="10.5"/>
    </font>
    <font>
      <name val="맑은 고딕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FFF7D6"/>
      </patternFill>
    </fill>
    <fill>
      <patternFill patternType="solid">
        <fgColor rgb="005A6B80"/>
      </patternFill>
    </fill>
    <fill>
      <patternFill patternType="solid">
        <fgColor rgb="00EEF2F7"/>
      </patternFill>
    </fill>
    <fill>
      <patternFill patternType="solid">
        <fgColor rgb="00FFF4E5"/>
      </patternFill>
    </fill>
  </fills>
  <borders count="1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top style="thin">
        <color rgb="00808080"/>
      </top>
      <bottom style="thin">
        <color rgb="00808080"/>
      </bottom>
    </border>
    <border>
      <top style="thin">
        <color rgb="00808080"/>
      </top>
      <bottom style="thin">
        <color rgb="00808080"/>
      </bottom>
    </border>
    <border>
      <right style="thin">
        <color rgb="00808080"/>
      </right>
      <top style="thin">
        <color rgb="00808080"/>
      </top>
      <bottom style="thin">
        <color rgb="00808080"/>
      </bottom>
    </border>
    <border/>
    <border>
      <left style="thin">
        <color rgb="00808080"/>
      </left>
      <top style="thin">
        <color rgb="00808080"/>
      </top>
    </border>
    <border>
      <right style="thin">
        <color rgb="00808080"/>
      </right>
      <top style="thin">
        <color rgb="00808080"/>
      </top>
    </border>
    <border>
      <left style="thin">
        <color rgb="00808080"/>
      </left>
    </border>
    <border>
      <right style="thin">
        <color rgb="00808080"/>
      </right>
    </border>
    <border>
      <left style="thin">
        <color rgb="00808080"/>
      </left>
      <bottom style="thin">
        <color rgb="00808080"/>
      </bottom>
    </border>
    <border>
      <right style="thin">
        <color rgb="00808080"/>
      </right>
      <bottom style="thin">
        <color rgb="00808080"/>
      </bottom>
    </border>
    <border>
      <top style="thin">
        <color rgb="00808080"/>
      </top>
    </border>
    <border>
      <bottom style="thin">
        <color rgb="00808080"/>
      </bottom>
    </border>
  </borders>
  <cellStyleXfs count="1">
    <xf numFmtId="0" fontId="1" fillId="0" borderId="0"/>
  </cellStyleXfs>
  <cellXfs count="8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0" fontId="22" fillId="7" borderId="0" applyAlignment="1" pivotButton="0" quotePrefix="0" xfId="0">
      <alignment vertical="center" indent="1"/>
    </xf>
    <xf numFmtId="0" fontId="0" fillId="7" borderId="0" pivotButton="0" quotePrefix="0" xfId="0"/>
    <xf numFmtId="0" fontId="23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center" indent="1"/>
    </xf>
    <xf numFmtId="0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 indent="1"/>
    </xf>
    <xf numFmtId="0" fontId="27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0" fillId="2" borderId="0" pivotButton="0" quotePrefix="0" xfId="0"/>
    <xf numFmtId="0" fontId="6" fillId="3" borderId="1" applyAlignment="1" pivotButton="0" quotePrefix="0" xfId="0">
      <alignment vertical="center" wrapText="1" indent="1"/>
    </xf>
    <xf numFmtId="0" fontId="7" fillId="4" borderId="1" applyAlignment="1" applyProtection="1" pivotButton="0" quotePrefix="0" xfId="0">
      <alignment vertical="center" wrapText="1" indent="1"/>
      <protection locked="0" hidden="0"/>
    </xf>
    <xf numFmtId="0" fontId="8" fillId="0" borderId="0" applyAlignment="1" pivotButton="0" quotePrefix="0" xfId="0">
      <alignment vertical="center" wrapText="1" indent="1"/>
    </xf>
    <xf numFmtId="164" fontId="7" fillId="4" borderId="1" applyAlignment="1" applyProtection="1" pivotButton="0" quotePrefix="0" xfId="0">
      <alignment horizontal="left" vertical="center" indent="1"/>
      <protection locked="0" hidden="0"/>
    </xf>
    <xf numFmtId="3" fontId="7" fillId="4" borderId="1" applyAlignment="1" applyProtection="1" pivotButton="0" quotePrefix="0" xfId="0">
      <alignment horizontal="right" vertical="center" indent="1"/>
      <protection locked="0" hidden="0"/>
    </xf>
    <xf numFmtId="0" fontId="7" fillId="4" borderId="1" applyAlignment="1" applyProtection="1" pivotButton="0" quotePrefix="0" xfId="0">
      <alignment horizontal="right" vertical="center" indent="1"/>
      <protection locked="0" hidden="0"/>
    </xf>
    <xf numFmtId="0" fontId="5" fillId="5" borderId="0" applyAlignment="1" pivotButton="0" quotePrefix="0" xfId="0">
      <alignment vertical="center" indent="1"/>
    </xf>
    <xf numFmtId="0" fontId="0" fillId="5" borderId="0" pivotButton="0" quotePrefix="0" xfId="0"/>
    <xf numFmtId="0" fontId="9" fillId="6" borderId="1" applyAlignment="1" pivotButton="0" quotePrefix="0" xfId="0">
      <alignment vertical="center" indent="1"/>
    </xf>
    <xf numFmtId="165" fontId="7" fillId="6" borderId="1" applyAlignment="1" pivotButton="0" quotePrefix="0" xfId="0">
      <alignment horizontal="right" vertical="center" indent="1"/>
    </xf>
    <xf numFmtId="3" fontId="7" fillId="6" borderId="1" applyAlignment="1" pivotButton="0" quotePrefix="0" xfId="0">
      <alignment horizontal="right" vertical="center" indent="1"/>
    </xf>
    <xf numFmtId="164" fontId="7" fillId="6" borderId="1" applyAlignment="1" pivotButton="0" quotePrefix="0" xfId="0">
      <alignment horizontal="right" vertical="center" indent="1"/>
    </xf>
    <xf numFmtId="10" fontId="7" fillId="6" borderId="1" applyAlignment="1" pivotButton="0" quotePrefix="0" xfId="0">
      <alignment horizontal="right" vertical="center" indent="1"/>
    </xf>
    <xf numFmtId="166" fontId="7" fillId="6" borderId="1" applyAlignment="1" pivotButton="0" quotePrefix="0" xfId="0">
      <alignment horizontal="right" vertical="center" indent="1"/>
    </xf>
    <xf numFmtId="0" fontId="10" fillId="0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0" fillId="3" borderId="3" pivotButton="0" quotePrefix="0" xfId="0"/>
    <xf numFmtId="0" fontId="0" fillId="3" borderId="4" pivotButton="0" quotePrefix="0" xfId="0"/>
    <xf numFmtId="0" fontId="7" fillId="0" borderId="2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0" fillId="0" borderId="4" pivotButton="0" quotePrefix="0" xfId="0"/>
    <xf numFmtId="0" fontId="14" fillId="0" borderId="0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distributed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shrinkToFit="1"/>
    </xf>
    <xf numFmtId="0" fontId="1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3" fontId="9" fillId="0" borderId="2" applyAlignment="1" pivotButton="0" quotePrefix="0" xfId="0">
      <alignment horizontal="right" vertical="center" indent="1"/>
    </xf>
    <xf numFmtId="0" fontId="9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right" vertical="center" wrapText="1" indent="1"/>
    </xf>
    <xf numFmtId="0" fontId="17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6" fillId="0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9" fillId="0" borderId="6" applyAlignment="1" pivotButton="0" quotePrefix="0" xfId="0">
      <alignment horizontal="left" vertical="center" wrapText="1" indent="1"/>
    </xf>
    <xf numFmtId="0" fontId="9" fillId="0" borderId="8" applyAlignment="1" pivotButton="0" quotePrefix="0" xfId="0">
      <alignment horizontal="left" vertical="center" wrapText="1" indent="1"/>
    </xf>
    <xf numFmtId="0" fontId="0" fillId="0" borderId="13" pivotButton="0" quotePrefix="0" xfId="0"/>
    <xf numFmtId="0" fontId="9" fillId="0" borderId="10" applyAlignment="1" pivotButton="0" quotePrefix="0" xfId="0">
      <alignment horizontal="left" vertical="center" wrapText="1" indent="1"/>
    </xf>
    <xf numFmtId="0" fontId="17" fillId="0" borderId="6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left" vertical="center" wrapText="1" indent="1"/>
    </xf>
    <xf numFmtId="0" fontId="17" fillId="0" borderId="10" applyAlignment="1" pivotButton="0" quotePrefix="0" xfId="0">
      <alignment horizontal="left" vertical="center" wrapText="1" indent="1"/>
    </xf>
    <xf numFmtId="0" fontId="17" fillId="0" borderId="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 indent="1"/>
    </xf>
    <xf numFmtId="0" fontId="9" fillId="0" borderId="5" applyAlignment="1" pivotButton="0" quotePrefix="0" xfId="0">
      <alignment horizontal="left" vertical="center" wrapText="1" indent="1"/>
    </xf>
    <xf numFmtId="0" fontId="17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left" vertical="center" wrapText="1" indent="1"/>
    </xf>
    <xf numFmtId="0" fontId="9" fillId="0" borderId="2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G53"/>
  <sheetViews>
    <sheetView showGridLines="0" tabSelected="1" workbookViewId="0">
      <selection activeCell="A1" sqref="A1"/>
    </sheetView>
  </sheetViews>
  <sheetFormatPr baseColWidth="8" defaultRowHeight="15"/>
  <cols>
    <col width="1.5" customWidth="1" min="1" max="1"/>
    <col width="6" customWidth="1" min="2" max="2"/>
    <col width="34" customWidth="1" min="3" max="3"/>
    <col width="12" customWidth="1" min="4" max="4"/>
    <col width="10" customWidth="1" min="5" max="5"/>
    <col width="10" customWidth="1" min="6" max="6"/>
    <col width="44" customWidth="1" min="7" max="7"/>
  </cols>
  <sheetData>
    <row r="1" ht="46" customHeight="1">
      <c r="B1" s="1" t="inlineStr">
        <is>
          <t>K-건설맵 공사서류 원클릭</t>
        </is>
      </c>
    </row>
    <row r="2" ht="34" customHeight="1">
      <c r="B2" s="2" t="inlineStr">
        <is>
          <t>한 번 입력하면 착공부터 준공·하자까지 서류 34가지가 채워집니다. 매크로 없이 수식만 써서 엑셀·한셀·구글 시트 어디서나 열립니다. 모든 공사 현장(관급·민간)에 쓸 수 있습니다.</t>
        </is>
      </c>
    </row>
    <row r="4" ht="24" customHeight="1">
      <c r="B4" s="3" t="inlineStr">
        <is>
          <t>①</t>
        </is>
      </c>
      <c r="C4" s="4" t="inlineStr">
        <is>
          <t>「입력」 시트의 노란 칸을 채웁니다.</t>
        </is>
      </c>
      <c r="G4" s="5" t="inlineStr">
        <is>
          <t>입력 하러 가기 →</t>
        </is>
      </c>
    </row>
    <row r="5" ht="24" customHeight="1">
      <c r="B5" s="3" t="inlineStr">
        <is>
          <t>②</t>
        </is>
      </c>
      <c r="C5" s="4" t="inlineStr">
        <is>
          <t>아래 목록에서 서류 이름을 누르면 그 서류로 갑니다. 서류 칸은 입력에서 저절로 채워집니다.</t>
        </is>
      </c>
    </row>
    <row r="6" ht="24" customHeight="1">
      <c r="B6" s="3" t="inlineStr">
        <is>
          <t>③</t>
        </is>
      </c>
      <c r="C6" s="4" t="inlineStr">
        <is>
          <t>인쇄하거나 PDF로 저장합니다 (한 서류가 A4 한 장).</t>
        </is>
      </c>
    </row>
    <row r="8" ht="26" customHeight="1">
      <c r="B8" s="6">
        <f>IF(('입력'!$C$6="")+('입력'!$C$7="")+('입력'!$C$11="")+('입력'!$C$12="")+('입력'!$C$13="")+('입력'!$C$14="")+('입력'!$C$17="")+('입력'!$C$18="")+('입력'!$C$27="")+('입력'!$C$28="")+('입력'!$C$30="")+('입력'!$C$38="")=0,"✔ 꼭 필요한 칸은 다 채웠습니다.","⚠ 꼭 필요한 칸 중 "&amp;(('입력'!$C$6="")+('입력'!$C$7="")+('입력'!$C$11="")+('입력'!$C$12="")+('입력'!$C$13="")+('입력'!$C$14="")+('입력'!$C$17="")+('입력'!$C$18="")+('입력'!$C$27="")+('입력'!$C$28="")+('입력'!$C$30="")+('입력'!$C$38=""))&amp;"개가 비어 있습니다 — 입력 시트를 확인하세요.")</f>
        <v/>
      </c>
      <c r="C8" s="7" t="n"/>
      <c r="D8" s="7" t="n"/>
      <c r="E8" s="7" t="n"/>
      <c r="F8" s="7" t="n"/>
      <c r="G8" s="7" t="n"/>
    </row>
    <row r="10" ht="24" customHeight="1">
      <c r="B10" s="8" t="inlineStr">
        <is>
          <t>번호</t>
        </is>
      </c>
      <c r="C10" s="8" t="inlineStr">
        <is>
          <t>서  류</t>
        </is>
      </c>
      <c r="D10" s="8" t="inlineStr">
        <is>
          <t>누가 내나</t>
        </is>
      </c>
      <c r="E10" s="8" t="inlineStr">
        <is>
          <t>언  제</t>
        </is>
      </c>
      <c r="F10" s="8" t="inlineStr">
        <is>
          <t>관급</t>
        </is>
      </c>
      <c r="G10" s="8" t="inlineStr">
        <is>
          <t>무엇인가</t>
        </is>
      </c>
    </row>
    <row r="11" ht="30" customHeight="1">
      <c r="B11" s="9" t="n">
        <v>1</v>
      </c>
      <c r="C11" s="10" t="inlineStr">
        <is>
          <t>사용인감계</t>
        </is>
      </c>
      <c r="D11" s="11" t="inlineStr">
        <is>
          <t>업체</t>
        </is>
      </c>
      <c r="E11" s="9" t="inlineStr">
        <is>
          <t>계약</t>
        </is>
      </c>
      <c r="F11" s="12" t="n"/>
      <c r="G11" s="13" t="inlineStr">
        <is>
          <t>법인 인감 대신 쓸 도장을 신고하는 서류.</t>
        </is>
      </c>
    </row>
    <row r="12" ht="30" customHeight="1">
      <c r="B12" s="9" t="n">
        <v>2</v>
      </c>
      <c r="C12" s="10" t="inlineStr">
        <is>
          <t>계약보증금 납부서</t>
        </is>
      </c>
      <c r="D12" s="11" t="inlineStr">
        <is>
          <t>업체</t>
        </is>
      </c>
      <c r="E12" s="9" t="inlineStr">
        <is>
          <t>계약</t>
        </is>
      </c>
      <c r="F12" s="12" t="inlineStr">
        <is>
          <t>관급</t>
        </is>
      </c>
      <c r="G12" s="13" t="inlineStr">
        <is>
          <t>계약보증금(보증서·현금)을 내는 서류. 금액은 요율로 자동 계산.</t>
        </is>
      </c>
    </row>
    <row r="13" ht="30" customHeight="1">
      <c r="B13" s="9" t="n">
        <v>3</v>
      </c>
      <c r="C13" s="10" t="inlineStr">
        <is>
          <t>계약보증금 지급각서</t>
        </is>
      </c>
      <c r="D13" s="11" t="inlineStr">
        <is>
          <t>업체</t>
        </is>
      </c>
      <c r="E13" s="9" t="inlineStr">
        <is>
          <t>계약</t>
        </is>
      </c>
      <c r="F13" s="12" t="inlineStr">
        <is>
          <t>관급</t>
        </is>
      </c>
      <c r="G13" s="13" t="inlineStr">
        <is>
          <t>계약보증금 대신 내는 지급각서 (면제 대상일 때).</t>
        </is>
      </c>
    </row>
    <row r="14" ht="30" customHeight="1">
      <c r="B14" s="9" t="n">
        <v>4</v>
      </c>
      <c r="C14" s="10" t="inlineStr">
        <is>
          <t>청렴계약 이행서약서</t>
        </is>
      </c>
      <c r="D14" s="11" t="inlineStr">
        <is>
          <t>업체</t>
        </is>
      </c>
      <c r="E14" s="9" t="inlineStr">
        <is>
          <t>계약</t>
        </is>
      </c>
      <c r="F14" s="12" t="inlineStr">
        <is>
          <t>관급</t>
        </is>
      </c>
      <c r="G14" s="13" t="inlineStr">
        <is>
          <t>금품·담합을 하지 않겠다는 서약서.</t>
        </is>
      </c>
    </row>
    <row r="15" ht="30" customHeight="1">
      <c r="B15" s="9" t="n">
        <v>5</v>
      </c>
      <c r="C15" s="10" t="inlineStr">
        <is>
          <t>수의계약 각서</t>
        </is>
      </c>
      <c r="D15" s="11" t="inlineStr">
        <is>
          <t>업체</t>
        </is>
      </c>
      <c r="E15" s="9" t="inlineStr">
        <is>
          <t>계약</t>
        </is>
      </c>
      <c r="F15" s="12" t="inlineStr">
        <is>
          <t>관급</t>
        </is>
      </c>
      <c r="G15" s="13" t="inlineStr">
        <is>
          <t>수의계약일 때 내는 각서.</t>
        </is>
      </c>
    </row>
    <row r="16" ht="30" customHeight="1">
      <c r="B16" s="9" t="n">
        <v>6</v>
      </c>
      <c r="C16" s="10" t="inlineStr">
        <is>
          <t>선금 신청서</t>
        </is>
      </c>
      <c r="D16" s="11" t="inlineStr">
        <is>
          <t>업체</t>
        </is>
      </c>
      <c r="E16" s="9" t="inlineStr">
        <is>
          <t>계약</t>
        </is>
      </c>
      <c r="F16" s="12" t="inlineStr">
        <is>
          <t>관급</t>
        </is>
      </c>
      <c r="G16" s="13" t="inlineStr">
        <is>
          <t>선금을 달라는 신청서. 신청률을 넣으면 금액·한글 금액 자동.</t>
        </is>
      </c>
    </row>
    <row r="17" ht="30" customHeight="1">
      <c r="B17" s="9" t="n">
        <v>7</v>
      </c>
      <c r="C17" s="10" t="inlineStr">
        <is>
          <t>선금 사용계획서</t>
        </is>
      </c>
      <c r="D17" s="11" t="inlineStr">
        <is>
          <t>업체</t>
        </is>
      </c>
      <c r="E17" s="9" t="inlineStr">
        <is>
          <t>계약</t>
        </is>
      </c>
      <c r="F17" s="12" t="inlineStr">
        <is>
          <t>관급</t>
        </is>
      </c>
      <c r="G17" s="13" t="inlineStr">
        <is>
          <t>선금을 어디에 쓸지 적는 계획서. 표는 빈 줄 — 합계만 자동.</t>
        </is>
      </c>
    </row>
    <row r="18" ht="30" customHeight="1">
      <c r="B18" s="9" t="n">
        <v>8</v>
      </c>
      <c r="C18" s="10" t="inlineStr">
        <is>
          <t>착공신고서</t>
        </is>
      </c>
      <c r="D18" s="11" t="inlineStr">
        <is>
          <t>업체</t>
        </is>
      </c>
      <c r="E18" s="9" t="inlineStr">
        <is>
          <t>착공</t>
        </is>
      </c>
      <c r="F18" s="12" t="n"/>
      <c r="G18" s="13" t="inlineStr">
        <is>
          <t>공사를 시작했다고 알리는 서류. 공사명·계약금액·공사기간이 입력에서 채워집니다.</t>
        </is>
      </c>
    </row>
    <row r="19" ht="30" customHeight="1">
      <c r="B19" s="9" t="n">
        <v>9</v>
      </c>
      <c r="C19" s="10" t="inlineStr">
        <is>
          <t>현장대리인계</t>
        </is>
      </c>
      <c r="D19" s="11" t="inlineStr">
        <is>
          <t>업체</t>
        </is>
      </c>
      <c r="E19" s="9" t="inlineStr">
        <is>
          <t>착공</t>
        </is>
      </c>
      <c r="F19" s="12" t="n"/>
      <c r="G19" s="13" t="inlineStr">
        <is>
          <t>현장대리인의 자격·연락처를 알리는 서류.</t>
        </is>
      </c>
    </row>
    <row r="20" ht="30" customHeight="1">
      <c r="B20" s="9" t="n">
        <v>10</v>
      </c>
      <c r="C20" s="10" t="inlineStr">
        <is>
          <t>예정공정표</t>
        </is>
      </c>
      <c r="D20" s="11" t="inlineStr">
        <is>
          <t>업체</t>
        </is>
      </c>
      <c r="E20" s="9" t="inlineStr">
        <is>
          <t>착공</t>
        </is>
      </c>
      <c r="F20" s="12" t="n"/>
      <c r="G20" s="13" t="inlineStr">
        <is>
          <t>공종별 공사 일정을 달 단위로 적는 표.</t>
        </is>
      </c>
    </row>
    <row r="21" ht="30" customHeight="1">
      <c r="B21" s="9" t="n">
        <v>11</v>
      </c>
      <c r="C21" s="10" t="inlineStr">
        <is>
          <t>인력·장비 투입계획서</t>
        </is>
      </c>
      <c r="D21" s="11" t="inlineStr">
        <is>
          <t>업체</t>
        </is>
      </c>
      <c r="E21" s="9" t="inlineStr">
        <is>
          <t>착공</t>
        </is>
      </c>
      <c r="F21" s="12" t="n"/>
      <c r="G21" s="13" t="inlineStr">
        <is>
          <t>착공신고서 붙임 «공정별 인력 및 장비투입계획서». 달은 착공일부터 저절로.</t>
        </is>
      </c>
    </row>
    <row r="22" ht="30" customHeight="1">
      <c r="B22" s="9" t="n">
        <v>12</v>
      </c>
      <c r="C22" s="10" t="inlineStr">
        <is>
          <t>직접시공계획서</t>
        </is>
      </c>
      <c r="D22" s="11" t="inlineStr">
        <is>
          <t>업체</t>
        </is>
      </c>
      <c r="E22" s="9" t="inlineStr">
        <is>
          <t>착공</t>
        </is>
      </c>
      <c r="F22" s="12" t="n"/>
      <c r="G22" s="13" t="inlineStr">
        <is>
          <t>우리 회사가 직접 시공할 공종·금액을 알리는 계획서.</t>
        </is>
      </c>
    </row>
    <row r="23" ht="30" customHeight="1">
      <c r="B23" s="9" t="n">
        <v>13</v>
      </c>
      <c r="C23" s="10" t="inlineStr">
        <is>
          <t>산안비 사용계획서</t>
        </is>
      </c>
      <c r="D23" s="11" t="inlineStr">
        <is>
          <t>업체</t>
        </is>
      </c>
      <c r="E23" s="9" t="inlineStr">
        <is>
          <t>착공</t>
        </is>
      </c>
      <c r="F23" s="12" t="n"/>
      <c r="G23" s="13" t="inlineStr">
        <is>
          <t>산안비를 항목별로 언제·얼마 쓸지 적는 계획서. 항목 9가지는 고시 서식 그대로.</t>
        </is>
      </c>
    </row>
    <row r="24" ht="30" customHeight="1">
      <c r="B24" s="9" t="n">
        <v>14</v>
      </c>
      <c r="C24" s="10" t="inlineStr">
        <is>
          <t>수도전기료 납부각서</t>
        </is>
      </c>
      <c r="D24" s="11" t="inlineStr">
        <is>
          <t>업체</t>
        </is>
      </c>
      <c r="E24" s="9" t="inlineStr">
        <is>
          <t>착공</t>
        </is>
      </c>
      <c r="F24" s="12" t="n"/>
      <c r="G24" s="13" t="inlineStr">
        <is>
          <t>기존 시설 안에서 공사할 때 — 수도·전기 요금 정산 각서.</t>
        </is>
      </c>
    </row>
    <row r="25" ht="30" customHeight="1">
      <c r="B25" s="9" t="n">
        <v>15</v>
      </c>
      <c r="C25" s="10" t="inlineStr">
        <is>
          <t>월간 공정보고서</t>
        </is>
      </c>
      <c r="D25" s="11" t="inlineStr">
        <is>
          <t>업체</t>
        </is>
      </c>
      <c r="E25" s="9" t="inlineStr">
        <is>
          <t>공사 중</t>
        </is>
      </c>
      <c r="F25" s="12" t="n"/>
      <c r="G25" s="13" t="inlineStr">
        <is>
          <t>달마다 내는 공정 보고. 계획·실적 공정률을 넣으면 앞섬·늦음 자동.</t>
        </is>
      </c>
    </row>
    <row r="26" ht="30" customHeight="1">
      <c r="B26" s="9" t="n">
        <v>16</v>
      </c>
      <c r="C26" s="10" t="inlineStr">
        <is>
          <t>노무비 청구내역서</t>
        </is>
      </c>
      <c r="D26" s="11" t="inlineStr">
        <is>
          <t>업체</t>
        </is>
      </c>
      <c r="E26" s="9" t="inlineStr">
        <is>
          <t>공사 중</t>
        </is>
      </c>
      <c r="F26" s="12" t="inlineStr">
        <is>
          <t>관급</t>
        </is>
      </c>
      <c r="G26" s="13" t="inlineStr">
        <is>
          <t>달마다 노무비를 청구할 때 직종별로 모은 표. 누계 자동 · 표는 빈 줄.</t>
        </is>
      </c>
    </row>
    <row r="27" ht="30" customHeight="1">
      <c r="B27" s="9" t="n">
        <v>17</v>
      </c>
      <c r="C27" s="10" t="inlineStr">
        <is>
          <t>산안비 사용내역서</t>
        </is>
      </c>
      <c r="D27" s="11" t="inlineStr">
        <is>
          <t>업체</t>
        </is>
      </c>
      <c r="E27" s="9" t="inlineStr">
        <is>
          <t>공사 중</t>
        </is>
      </c>
      <c r="F27" s="12" t="n"/>
      <c r="G27" s="13" t="inlineStr">
        <is>
          <t>고시 별지 제1호서식 첫 쪽(총괄) 칸 그대로. 항목별 사용내역 9쪽은 🦺 산안비 도구에서.</t>
        </is>
      </c>
    </row>
    <row r="28" ht="30" customHeight="1">
      <c r="B28" s="9" t="n">
        <v>18</v>
      </c>
      <c r="C28" s="10" t="inlineStr">
        <is>
          <t>하도급계약 통보서</t>
        </is>
      </c>
      <c r="D28" s="11" t="inlineStr">
        <is>
          <t>업체</t>
        </is>
      </c>
      <c r="E28" s="9" t="inlineStr">
        <is>
          <t>공사 중</t>
        </is>
      </c>
      <c r="F28" s="12" t="n"/>
      <c r="G28" s="13" t="inlineStr">
        <is>
          <t>법정 서식(건설산업기본법 시행규칙 별지 제23호서식) 앞·뒤쪽 칸 그대로 — 2장. 하도급률 자동.</t>
        </is>
      </c>
    </row>
    <row r="29" ht="30" customHeight="1">
      <c r="B29" s="9" t="n">
        <v>19</v>
      </c>
      <c r="C29" s="10" t="inlineStr">
        <is>
          <t>하도급계약 통보서 뒤쪽</t>
        </is>
      </c>
      <c r="D29" s="11" t="inlineStr">
        <is>
          <t>업체</t>
        </is>
      </c>
      <c r="E29" s="9" t="inlineStr">
        <is>
          <t>공사 중</t>
        </is>
      </c>
      <c r="F29" s="12" t="n"/>
      <c r="G29" s="13" t="inlineStr">
        <is>
          <t>별지 제23호서식 뒤쪽(첨부서류 · 유의사항 · 처리절차) 그대로. 앞쪽과 같이 인쇄하세요.</t>
        </is>
      </c>
    </row>
    <row r="30" ht="30" customHeight="1">
      <c r="B30" s="9" t="n">
        <v>20</v>
      </c>
      <c r="C30" s="10" t="inlineStr">
        <is>
          <t>기성검사 요청서</t>
        </is>
      </c>
      <c r="D30" s="11" t="inlineStr">
        <is>
          <t>업체</t>
        </is>
      </c>
      <c r="E30" s="9" t="inlineStr">
        <is>
          <t>공사 중</t>
        </is>
      </c>
      <c r="F30" s="12" t="n"/>
      <c r="G30" s="13" t="inlineStr">
        <is>
          <t>기성 부분 검사를 요청하는 서류. 누계·기성률 자동.</t>
        </is>
      </c>
    </row>
    <row r="31" ht="30" customHeight="1">
      <c r="B31" s="9" t="n">
        <v>21</v>
      </c>
      <c r="C31" s="10" t="inlineStr">
        <is>
          <t>기성대가 청구서</t>
        </is>
      </c>
      <c r="D31" s="11" t="inlineStr">
        <is>
          <t>업체</t>
        </is>
      </c>
      <c r="E31" s="9" t="inlineStr">
        <is>
          <t>공사 중</t>
        </is>
      </c>
      <c r="F31" s="12" t="n"/>
      <c r="G31" s="13" t="inlineStr">
        <is>
          <t>기성금을 청구하는 서류. 선금 정산을 빼고 계산.</t>
        </is>
      </c>
    </row>
    <row r="32" ht="30" customHeight="1">
      <c r="B32" s="9" t="n">
        <v>22</v>
      </c>
      <c r="C32" s="10" t="inlineStr">
        <is>
          <t>하도급대금 지급확인서</t>
        </is>
      </c>
      <c r="D32" s="11" t="inlineStr">
        <is>
          <t>업체</t>
        </is>
      </c>
      <c r="E32" s="9" t="inlineStr">
        <is>
          <t>공사 중</t>
        </is>
      </c>
      <c r="F32" s="12" t="inlineStr">
        <is>
          <t>관급</t>
        </is>
      </c>
      <c r="G32" s="13" t="inlineStr">
        <is>
          <t>하도급·자재·장비 대금을 준 것을 확인하는 서류(기성 청구 때). 기성 회차·기간 자동.</t>
        </is>
      </c>
    </row>
    <row r="33" ht="30" customHeight="1">
      <c r="B33" s="9" t="n">
        <v>23</v>
      </c>
      <c r="C33" s="10" t="inlineStr">
        <is>
          <t>공기연장 신청서</t>
        </is>
      </c>
      <c r="D33" s="11" t="inlineStr">
        <is>
          <t>업체</t>
        </is>
      </c>
      <c r="E33" s="9" t="inlineStr">
        <is>
          <t>공사 중</t>
        </is>
      </c>
      <c r="F33" s="12" t="n"/>
      <c r="G33" s="13" t="inlineStr">
        <is>
          <t>준공기한을 늘려 달라는 신청서. 연장 일수 자동.</t>
        </is>
      </c>
    </row>
    <row r="34" ht="30" customHeight="1">
      <c r="B34" s="9" t="n">
        <v>24</v>
      </c>
      <c r="C34" s="10" t="inlineStr">
        <is>
          <t>계약금액 조정 신청서</t>
        </is>
      </c>
      <c r="D34" s="11" t="inlineStr">
        <is>
          <t>업체</t>
        </is>
      </c>
      <c r="E34" s="9" t="inlineStr">
        <is>
          <t>공사 중</t>
        </is>
      </c>
      <c r="F34" s="12" t="inlineStr">
        <is>
          <t>관급</t>
        </is>
      </c>
      <c r="G34" s="13" t="inlineStr">
        <is>
          <t>설계변경·물가변동으로 계약금액을 고쳐 달라는 신청서. 조정 후 금액·한글 금액 자동.</t>
        </is>
      </c>
    </row>
    <row r="35" ht="30" customHeight="1">
      <c r="B35" s="9" t="n">
        <v>25</v>
      </c>
      <c r="C35" s="10" t="inlineStr">
        <is>
          <t>준공신고서</t>
        </is>
      </c>
      <c r="D35" s="11" t="inlineStr">
        <is>
          <t>업체</t>
        </is>
      </c>
      <c r="E35" s="9" t="inlineStr">
        <is>
          <t>준공</t>
        </is>
      </c>
      <c r="F35" s="12" t="n"/>
      <c r="G35" s="13" t="inlineStr">
        <is>
          <t>공사를 마쳤다고 알리는 서류(준공계).</t>
        </is>
      </c>
    </row>
    <row r="36" ht="30" customHeight="1">
      <c r="B36" s="9" t="n">
        <v>26</v>
      </c>
      <c r="C36" s="10" t="inlineStr">
        <is>
          <t>준공검사 요청서</t>
        </is>
      </c>
      <c r="D36" s="11" t="inlineStr">
        <is>
          <t>업체</t>
        </is>
      </c>
      <c r="E36" s="9" t="inlineStr">
        <is>
          <t>준공</t>
        </is>
      </c>
      <c r="F36" s="12" t="n"/>
      <c r="G36" s="13" t="inlineStr">
        <is>
          <t>준공검사를 해 달라는 요청서(준공검사원).</t>
        </is>
      </c>
    </row>
    <row r="37" ht="30" customHeight="1">
      <c r="B37" s="9" t="n">
        <v>27</v>
      </c>
      <c r="C37" s="10" t="inlineStr">
        <is>
          <t>준공대가 청구서</t>
        </is>
      </c>
      <c r="D37" s="11" t="inlineStr">
        <is>
          <t>업체</t>
        </is>
      </c>
      <c r="E37" s="9" t="inlineStr">
        <is>
          <t>준공</t>
        </is>
      </c>
      <c r="F37" s="12" t="n"/>
      <c r="G37" s="13" t="inlineStr">
        <is>
          <t>준공금을 청구하는 서류. 기성·선금·지체상금 공제 자동.</t>
        </is>
      </c>
    </row>
    <row r="38" ht="30" customHeight="1">
      <c r="B38" s="9" t="n">
        <v>28</v>
      </c>
      <c r="C38" s="10" t="inlineStr">
        <is>
          <t>준공정산 동의서</t>
        </is>
      </c>
      <c r="D38" s="11" t="inlineStr">
        <is>
          <t>업체</t>
        </is>
      </c>
      <c r="E38" s="9" t="inlineStr">
        <is>
          <t>준공</t>
        </is>
      </c>
      <c r="F38" s="12" t="n"/>
      <c r="G38" s="13" t="inlineStr">
        <is>
          <t>정산된 최종 금액에 동의하는 서류.</t>
        </is>
      </c>
    </row>
    <row r="39" ht="30" customHeight="1">
      <c r="B39" s="9" t="n">
        <v>29</v>
      </c>
      <c r="C39" s="10" t="inlineStr">
        <is>
          <t>하자보수보증금 납부서</t>
        </is>
      </c>
      <c r="D39" s="11" t="inlineStr">
        <is>
          <t>업체</t>
        </is>
      </c>
      <c r="E39" s="9" t="inlineStr">
        <is>
          <t>준공</t>
        </is>
      </c>
      <c r="F39" s="12" t="n"/>
      <c r="G39" s="13" t="inlineStr">
        <is>
          <t>하자보수보증금을 내는 서류. 금액·기간 자동.</t>
        </is>
      </c>
    </row>
    <row r="40" ht="30" customHeight="1">
      <c r="B40" s="9" t="n">
        <v>30</v>
      </c>
      <c r="C40" s="10" t="inlineStr">
        <is>
          <t>하자보수보증금 지급각서</t>
        </is>
      </c>
      <c r="D40" s="11" t="inlineStr">
        <is>
          <t>업체</t>
        </is>
      </c>
      <c r="E40" s="9" t="inlineStr">
        <is>
          <t>준공</t>
        </is>
      </c>
      <c r="F40" s="12" t="inlineStr">
        <is>
          <t>관급</t>
        </is>
      </c>
      <c r="G40" s="13" t="inlineStr">
        <is>
          <t>하자보수보증금 대신 내는 지급각서.</t>
        </is>
      </c>
    </row>
    <row r="41" ht="30" customHeight="1">
      <c r="B41" s="9" t="n">
        <v>31</v>
      </c>
      <c r="C41" s="10" t="inlineStr">
        <is>
          <t>공사감독조서</t>
        </is>
      </c>
      <c r="D41" s="14" t="inlineStr">
        <is>
          <t>발주기관</t>
        </is>
      </c>
      <c r="E41" s="9" t="inlineStr">
        <is>
          <t>준공</t>
        </is>
      </c>
      <c r="F41" s="12" t="n"/>
      <c r="G41" s="13" t="inlineStr">
        <is>
          <t>감독자가 쓰는 감독 결과 조서.</t>
        </is>
      </c>
    </row>
    <row r="42" ht="30" customHeight="1">
      <c r="B42" s="9" t="n">
        <v>32</v>
      </c>
      <c r="C42" s="10" t="inlineStr">
        <is>
          <t>준공검사조서</t>
        </is>
      </c>
      <c r="D42" s="14" t="inlineStr">
        <is>
          <t>발주기관</t>
        </is>
      </c>
      <c r="E42" s="9" t="inlineStr">
        <is>
          <t>준공</t>
        </is>
      </c>
      <c r="F42" s="12" t="n"/>
      <c r="G42" s="13" t="inlineStr">
        <is>
          <t>검사자가 쓰는 준공검사 조서.</t>
        </is>
      </c>
    </row>
    <row r="43" ht="30" customHeight="1">
      <c r="B43" s="9" t="n">
        <v>33</v>
      </c>
      <c r="C43" s="10" t="inlineStr">
        <is>
          <t>공사대장</t>
        </is>
      </c>
      <c r="D43" s="14" t="inlineStr">
        <is>
          <t>발주기관</t>
        </is>
      </c>
      <c r="E43" s="9" t="inlineStr">
        <is>
          <t>관리</t>
        </is>
      </c>
      <c r="F43" s="12" t="n"/>
      <c r="G43" s="13" t="inlineStr">
        <is>
          <t>공사 하나를 한 장으로 정리한 관리 카드.</t>
        </is>
      </c>
    </row>
    <row r="44" ht="30" customHeight="1">
      <c r="B44" s="9" t="n">
        <v>34</v>
      </c>
      <c r="C44" s="10" t="inlineStr">
        <is>
          <t>하자검사조서</t>
        </is>
      </c>
      <c r="D44" s="14" t="inlineStr">
        <is>
          <t>발주기관</t>
        </is>
      </c>
      <c r="E44" s="9" t="inlineStr">
        <is>
          <t>하자</t>
        </is>
      </c>
      <c r="F44" s="12" t="n"/>
      <c r="G44" s="13" t="inlineStr">
        <is>
          <t>하자 검사 결과를 적는 조서.</t>
        </is>
      </c>
    </row>
    <row r="45" ht="30" customHeight="1">
      <c r="B45" s="9" t="n">
        <v>35</v>
      </c>
      <c r="C45" s="10" t="inlineStr">
        <is>
          <t>하자대장</t>
        </is>
      </c>
      <c r="D45" s="14" t="inlineStr">
        <is>
          <t>발주기관</t>
        </is>
      </c>
      <c r="E45" s="9" t="inlineStr">
        <is>
          <t>하자</t>
        </is>
      </c>
      <c r="F45" s="12" t="n"/>
      <c r="G45" s="13" t="inlineStr">
        <is>
          <t>하자 접수부터 보수 완료까지 적는 대장.</t>
        </is>
      </c>
    </row>
    <row r="47" ht="20" customHeight="1">
      <c r="B47" s="15" t="inlineStr">
        <is>
          <t>• 보증금률·지체상금률·하자담보책임기간은 계약서(공고서)에 적힌 값을 넣으세요. 공종·계약마다 다릅니다.</t>
        </is>
      </c>
    </row>
    <row r="48" ht="30" customHeight="1">
      <c r="B48" s="15" t="inlineStr">
        <is>
          <t>• 발주기관이 정한 서식이 있으면 그 서식을 씁니다. 이 파일은 정해진 서식이 없을 때 쓰는 기본 양식입니다.</t>
        </is>
      </c>
    </row>
    <row r="49" ht="20" customHeight="1">
      <c r="B49" s="15" t="inlineStr">
        <is>
          <t>• 「관급」 표시는 관공서 발주 공사에서 주로 내는 서류입니다. 민간 공사는 필요한 것만 쓰세요.</t>
        </is>
      </c>
    </row>
    <row r="50" ht="30" customHeight="1">
      <c r="B50" s="15" t="inlineStr">
        <is>
          <t>• 입력 시트는 수식이 지워지지 않게 보호해 두었습니다(암호 없음). 칸 모양을 바꾸려면 검토 → 시트 보호 해제.</t>
        </is>
      </c>
    </row>
    <row r="51" ht="30" customHeight="1">
      <c r="B51" s="15" t="inlineStr">
        <is>
          <t>• 인쇄하면 머리글 오른쪽에 작은 K-건설맵 표시가 나옵니다. 지우려면 페이지 레이아웃 → 페이지 설정 → 머리글/바닥글에서 «(없음)».</t>
        </is>
      </c>
    </row>
    <row r="52" ht="30" customHeight="1">
      <c r="B52" s="15" t="inlineStr">
        <is>
          <t>• 사이트(k-conmap.com/tools/wonclick)에서 칸을 채우고 받으면, 입력이 채워진 파일을 바로 받을 수 있습니다.</t>
        </is>
      </c>
    </row>
    <row r="53" ht="30" customHeight="1">
      <c r="B53" s="15" t="inlineStr">
        <is>
          <t>• 「산업안전보건관리비 사용내역서」(고시 별지 제1호서식 첫 쪽)와 「건설공사의 하도급계약 통보서」(건설산업기본법 시행규칙 별지 제23호서식 앞·뒤쪽)는 법정 서식 칸 그대로입니다.</t>
        </is>
      </c>
    </row>
  </sheetData>
  <mergeCells count="13">
    <mergeCell ref="B47:G47"/>
    <mergeCell ref="B2:G2"/>
    <mergeCell ref="B51:G51"/>
    <mergeCell ref="C4:F4"/>
    <mergeCell ref="B1:G1"/>
    <mergeCell ref="C6:F6"/>
    <mergeCell ref="B8:G8"/>
    <mergeCell ref="B49:G49"/>
    <mergeCell ref="B50:G50"/>
    <mergeCell ref="B53:G53"/>
    <mergeCell ref="B52:G52"/>
    <mergeCell ref="C5:F5"/>
    <mergeCell ref="B48:G48"/>
  </mergeCells>
  <hyperlinks>
    <hyperlink ref="G4" location="'입력'!A1" display="입력 하러 가기 →"/>
    <hyperlink ref="C11" location="'01 사용인감계'!A1" display="사용인감계"/>
    <hyperlink ref="C12" location="'02 계약보증금 납부서'!A1" display="계약보증금 납부서"/>
    <hyperlink ref="C13" location="'03 계약보증금 지급각서'!A1" display="계약보증금 지급각서"/>
    <hyperlink ref="C14" location="'04 청렴계약 이행서약서'!A1" display="청렴계약 이행서약서"/>
    <hyperlink ref="C15" location="'05 수의계약 각서'!A1" display="수의계약 각서"/>
    <hyperlink ref="C16" location="'06 선금 신청서'!A1" display="선금 신청서"/>
    <hyperlink ref="C17" location="'07 선금 사용계획서'!A1" display="선금 사용계획서"/>
    <hyperlink ref="C18" location="'08 착공신고서'!A1" display="착공신고서"/>
    <hyperlink ref="C19" location="'09 현장대리인계'!A1" display="현장대리인계"/>
    <hyperlink ref="C20" location="'10 예정공정표'!A1" display="예정공정표"/>
    <hyperlink ref="C21" location="'11 인력·장비 투입계획서'!A1" display="인력·장비 투입계획서"/>
    <hyperlink ref="C22" location="'12 직접시공계획서'!A1" display="직접시공계획서"/>
    <hyperlink ref="C23" location="'13 산안비 사용계획서'!A1" display="산안비 사용계획서"/>
    <hyperlink ref="C24" location="'14 수도전기료 납부각서'!A1" display="수도전기료 납부각서"/>
    <hyperlink ref="C25" location="'15 월간 공정보고서'!A1" display="월간 공정보고서"/>
    <hyperlink ref="C26" location="'16 노무비 청구내역서'!A1" display="노무비 청구내역서"/>
    <hyperlink ref="C27" location="'17 산안비 사용내역서'!A1" display="산안비 사용내역서"/>
    <hyperlink ref="C28" location="'18 하도급계약 통보서'!A1" display="하도급계약 통보서"/>
    <hyperlink ref="C29" location="'19 하도급계약 통보서 뒤쪽'!A1" display="하도급계약 통보서 뒤쪽"/>
    <hyperlink ref="C30" location="'20 기성검사 요청서'!A1" display="기성검사 요청서"/>
    <hyperlink ref="C31" location="'21 기성대가 청구서'!A1" display="기성대가 청구서"/>
    <hyperlink ref="C32" location="'22 하도급대금 지급확인서'!A1" display="하도급대금 지급확인서"/>
    <hyperlink ref="C33" location="'23 공기연장 신청서'!A1" display="공기연장 신청서"/>
    <hyperlink ref="C34" location="'24 계약금액 조정 신청서'!A1" display="계약금액 조정 신청서"/>
    <hyperlink ref="C35" location="'25 준공신고서'!A1" display="준공신고서"/>
    <hyperlink ref="C36" location="'26 준공검사 요청서'!A1" display="준공검사 요청서"/>
    <hyperlink ref="C37" location="'27 준공대가 청구서'!A1" display="준공대가 청구서"/>
    <hyperlink ref="C38" location="'28 준공정산 동의서'!A1" display="준공정산 동의서"/>
    <hyperlink ref="C39" location="'29 하자보수보증금 납부서'!A1" display="하자보수보증금 납부서"/>
    <hyperlink ref="C40" location="'30 하자보수보증금 지급각서'!A1" display="하자보수보증금 지급각서"/>
    <hyperlink ref="C41" location="'31 공사감독조서'!A1" display="공사감독조서"/>
    <hyperlink ref="C42" location="'32 준공검사조서'!A1" display="준공검사조서"/>
    <hyperlink ref="C43" location="'33 공사대장'!A1" display="공사대장"/>
    <hyperlink ref="C44" location="'34 하자검사조서'!A1" display="하자검사조서"/>
    <hyperlink ref="C45" location="'35 하자대장'!A1" display="하자대장"/>
  </hyperlinks>
  <printOptions horizontalCentered="1"/>
  <pageMargins left="0.6" right="0.6" top="0.75" bottom="0.6" header="0.3" footer="0.3"/>
  <pageSetup orientation="portrait" paperSize="9" fitToHeight="0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0A800"/>
    <outlinePr summaryBelow="1" summaryRight="1"/>
    <pageSetUpPr fitToPage="1"/>
  </sheetPr>
  <dimension ref="B1:D146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.5" customWidth="1" min="1" max="1"/>
    <col width="30" customWidth="1" min="2" max="2"/>
    <col width="42" customWidth="1" min="3" max="3"/>
    <col width="60" customWidth="1" min="4" max="4"/>
  </cols>
  <sheetData>
    <row r="1" ht="36" customHeight="1">
      <c r="B1" s="16" t="inlineStr">
        <is>
          <t>공사서류 원클릭 — 입력</t>
        </is>
      </c>
    </row>
    <row r="2" ht="30" customHeight="1">
      <c r="B2" s="2" t="inlineStr">
        <is>
          <t>노란 칸만 채우면 서류 34가지에 저절로 들어갑니다. 모르는 칸은 비워 두세요 — 서류에서 그 자리만 빈칸으로 나옵니다.</t>
        </is>
      </c>
    </row>
    <row r="3">
      <c r="B3" s="17" t="inlineStr">
        <is>
          <t>← 처음(목록)으로</t>
        </is>
      </c>
    </row>
    <row r="5" ht="24" customHeight="1">
      <c r="B5" s="18" t="inlineStr">
        <is>
          <t>1. 공사</t>
        </is>
      </c>
      <c r="C5" s="19" t="n"/>
      <c r="D5" s="19" t="n"/>
    </row>
    <row r="6" ht="30" customHeight="1">
      <c r="B6" s="20" t="inlineStr">
        <is>
          <t>공 사 명</t>
        </is>
      </c>
      <c r="C6" s="21" t="n"/>
      <c r="D6" s="22" t="inlineStr">
        <is>
          <t>계약서에 적힌 이름 그대로</t>
        </is>
      </c>
    </row>
    <row r="7" ht="30" customHeight="1">
      <c r="B7" s="20" t="inlineStr">
        <is>
          <t>현장 위치</t>
        </is>
      </c>
      <c r="C7" s="21" t="n"/>
      <c r="D7" s="22" t="inlineStr">
        <is>
          <t>공사 현장 주소</t>
        </is>
      </c>
    </row>
    <row r="8" ht="30" customHeight="1">
      <c r="B8" s="20" t="inlineStr">
        <is>
          <t>공사 개요</t>
        </is>
      </c>
      <c r="C8" s="21" t="n"/>
      <c r="D8" s="22" t="inlineStr">
        <is>
          <t>주요 공사 내용 한 줄 (공사대장에 들어갑니다)</t>
        </is>
      </c>
    </row>
    <row r="9" ht="22" customHeight="1">
      <c r="B9" s="20" t="inlineStr">
        <is>
          <t>계약 번호</t>
        </is>
      </c>
      <c r="C9" s="21" t="n"/>
      <c r="D9" s="22" t="inlineStr">
        <is>
          <t>없으면 비워 두세요</t>
        </is>
      </c>
    </row>
    <row r="10" ht="22" customHeight="1">
      <c r="B10" s="20" t="inlineStr">
        <is>
          <t>계약 방법</t>
        </is>
      </c>
      <c r="C10" s="21" t="n"/>
      <c r="D10" s="22" t="inlineStr">
        <is>
          <t>고르세요</t>
        </is>
      </c>
    </row>
    <row r="11" ht="22" customHeight="1">
      <c r="B11" s="20" t="inlineStr">
        <is>
          <t>계 약 일</t>
        </is>
      </c>
      <c r="C11" s="23" t="n"/>
      <c r="D11" s="22" t="inlineStr">
        <is>
          <t>예: 2026-03-02</t>
        </is>
      </c>
    </row>
    <row r="12" ht="22" customHeight="1">
      <c r="B12" s="20" t="inlineStr">
        <is>
          <t>착 공 일</t>
        </is>
      </c>
      <c r="C12" s="23" t="n"/>
      <c r="D12" s="22" t="n"/>
    </row>
    <row r="13" ht="22" customHeight="1">
      <c r="B13" s="20" t="inlineStr">
        <is>
          <t>준공 기한 (계약상)</t>
        </is>
      </c>
      <c r="C13" s="23" t="n"/>
      <c r="D13" s="22" t="inlineStr">
        <is>
          <t>계약서의 준공 예정일</t>
        </is>
      </c>
    </row>
    <row r="14" ht="22" customHeight="1">
      <c r="B14" s="20" t="inlineStr">
        <is>
          <t>계약 금액 (원, 부가세 포함)</t>
        </is>
      </c>
      <c r="C14" s="24" t="n"/>
      <c r="D14" s="22" t="inlineStr">
        <is>
          <t>숫자만 — 예: 123456000</t>
        </is>
      </c>
    </row>
    <row r="16" ht="24" customHeight="1">
      <c r="B16" s="18" t="inlineStr">
        <is>
          <t>2. 발주기관 (발주자)</t>
        </is>
      </c>
      <c r="C16" s="19" t="n"/>
      <c r="D16" s="19" t="n"/>
    </row>
    <row r="17" ht="22" customHeight="1">
      <c r="B17" s="20" t="inlineStr">
        <is>
          <t>발주기관 이름</t>
        </is>
      </c>
      <c r="C17" s="21" t="n"/>
      <c r="D17" s="22" t="inlineStr">
        <is>
          <t>민간 공사면 건축주·회사 이름</t>
        </is>
      </c>
    </row>
    <row r="18" ht="22" customHeight="1">
      <c r="B18" s="20" t="inlineStr">
        <is>
          <t>서류 받는 사람 (귀하 앞)</t>
        </is>
      </c>
      <c r="C18" s="21" t="n"/>
      <c r="D18" s="22" t="inlineStr">
        <is>
          <t>서류 끝 「○○○ 귀하」 에 들어갈 이름·직함</t>
        </is>
      </c>
    </row>
    <row r="19" ht="22" customHeight="1">
      <c r="B19" s="20" t="inlineStr">
        <is>
          <t>발주기관 주소</t>
        </is>
      </c>
      <c r="C19" s="21" t="n"/>
      <c r="D19" s="22" t="n"/>
    </row>
    <row r="20" ht="22" customHeight="1">
      <c r="B20" s="20" t="inlineStr">
        <is>
          <t>공사 감독자 (직·성명)</t>
        </is>
      </c>
      <c r="C20" s="21" t="n"/>
      <c r="D20" s="22" t="inlineStr">
        <is>
          <t>예: 시설팀장 ○○○</t>
        </is>
      </c>
    </row>
    <row r="21" ht="22" customHeight="1">
      <c r="B21" s="20" t="inlineStr">
        <is>
          <t>준공 검사자 (직·성명)</t>
        </is>
      </c>
      <c r="C21" s="21" t="n"/>
      <c r="D21" s="22" t="n"/>
    </row>
    <row r="22" ht="22" customHeight="1">
      <c r="B22" s="20" t="inlineStr">
        <is>
          <t>검사 입회자 (직·성명)</t>
        </is>
      </c>
      <c r="C22" s="21" t="n"/>
      <c r="D22" s="22" t="n"/>
    </row>
    <row r="23" ht="22" customHeight="1">
      <c r="B23" s="20" t="inlineStr">
        <is>
          <t>설계자</t>
        </is>
      </c>
      <c r="C23" s="21" t="n"/>
      <c r="D23" s="22" t="inlineStr">
        <is>
          <t>설계사무소 (공사대장용, 없으면 비움)</t>
        </is>
      </c>
    </row>
    <row r="24" ht="22" customHeight="1">
      <c r="B24" s="20" t="inlineStr">
        <is>
          <t>감리자</t>
        </is>
      </c>
      <c r="C24" s="21" t="n"/>
      <c r="D24" s="22" t="inlineStr">
        <is>
          <t>감리단 (없으면 비움)</t>
        </is>
      </c>
    </row>
    <row r="26" ht="24" customHeight="1">
      <c r="B26" s="18" t="inlineStr">
        <is>
          <t>3. 계약상대자 (우리 회사)</t>
        </is>
      </c>
      <c r="C26" s="19" t="n"/>
      <c r="D26" s="19" t="n"/>
    </row>
    <row r="27" ht="22" customHeight="1">
      <c r="B27" s="20" t="inlineStr">
        <is>
          <t>상    호</t>
        </is>
      </c>
      <c r="C27" s="21" t="n"/>
      <c r="D27" s="22" t="n"/>
    </row>
    <row r="28" ht="22" customHeight="1">
      <c r="B28" s="20" t="inlineStr">
        <is>
          <t>대 표 자</t>
        </is>
      </c>
      <c r="C28" s="21" t="n"/>
      <c r="D28" s="22" t="n"/>
    </row>
    <row r="29" ht="22" customHeight="1">
      <c r="B29" s="20" t="inlineStr">
        <is>
          <t>사업자등록번호</t>
        </is>
      </c>
      <c r="C29" s="21" t="n"/>
      <c r="D29" s="22" t="inlineStr">
        <is>
          <t>000-00-00000</t>
        </is>
      </c>
    </row>
    <row r="30" ht="30" customHeight="1">
      <c r="B30" s="20" t="inlineStr">
        <is>
          <t>주    소</t>
        </is>
      </c>
      <c r="C30" s="21" t="n"/>
      <c r="D30" s="22" t="n"/>
    </row>
    <row r="31" ht="22" customHeight="1">
      <c r="B31" s="20" t="inlineStr">
        <is>
          <t>전화번호</t>
        </is>
      </c>
      <c r="C31" s="21" t="n"/>
      <c r="D31" s="22" t="n"/>
    </row>
    <row r="32" ht="22" customHeight="1">
      <c r="B32" s="20" t="inlineStr">
        <is>
          <t>업종 (면허)</t>
        </is>
      </c>
      <c r="C32" s="21" t="n"/>
      <c r="D32" s="22" t="inlineStr">
        <is>
          <t>예: 실내건축공사업</t>
        </is>
      </c>
    </row>
    <row r="33" ht="22" customHeight="1">
      <c r="B33" s="20" t="inlineStr">
        <is>
          <t>은 행 명</t>
        </is>
      </c>
      <c r="C33" s="21" t="n"/>
      <c r="D33" s="22" t="inlineStr">
        <is>
          <t>대금 받을 계좌 (계약 때 등록한 계좌)</t>
        </is>
      </c>
    </row>
    <row r="34" ht="22" customHeight="1">
      <c r="B34" s="20" t="inlineStr">
        <is>
          <t>예 금 주</t>
        </is>
      </c>
      <c r="C34" s="21" t="n"/>
      <c r="D34" s="22" t="n"/>
    </row>
    <row r="35" ht="22" customHeight="1">
      <c r="B35" s="20" t="inlineStr">
        <is>
          <t>계좌번호</t>
        </is>
      </c>
      <c r="C35" s="21" t="n"/>
      <c r="D35" s="22" t="n"/>
    </row>
    <row r="37" ht="24" customHeight="1">
      <c r="B37" s="18" t="inlineStr">
        <is>
          <t>4. 현장대리인</t>
        </is>
      </c>
      <c r="C37" s="19" t="n"/>
      <c r="D37" s="19" t="n"/>
    </row>
    <row r="38" ht="22" customHeight="1">
      <c r="B38" s="20" t="inlineStr">
        <is>
          <t>성    명</t>
        </is>
      </c>
      <c r="C38" s="21" t="n"/>
      <c r="D38" s="22" t="n"/>
    </row>
    <row r="39" ht="22" customHeight="1">
      <c r="B39" s="20" t="inlineStr">
        <is>
          <t>생년월일</t>
        </is>
      </c>
      <c r="C39" s="21" t="n"/>
      <c r="D39" s="22" t="inlineStr">
        <is>
          <t>예: 1980. 1. 1.</t>
        </is>
      </c>
    </row>
    <row r="40" ht="22" customHeight="1">
      <c r="B40" s="20" t="inlineStr">
        <is>
          <t>자격 종목·등급</t>
        </is>
      </c>
      <c r="C40" s="21" t="n"/>
      <c r="D40" s="22" t="inlineStr">
        <is>
          <t>예: 건축기사 / 건설기술인 중급</t>
        </is>
      </c>
    </row>
    <row r="41" ht="22" customHeight="1">
      <c r="B41" s="20" t="inlineStr">
        <is>
          <t>자격(등록) 번호</t>
        </is>
      </c>
      <c r="C41" s="21" t="n"/>
      <c r="D41" s="22" t="n"/>
    </row>
    <row r="42" ht="22" customHeight="1">
      <c r="B42" s="20" t="inlineStr">
        <is>
          <t>연 락 처</t>
        </is>
      </c>
      <c r="C42" s="21" t="n"/>
      <c r="D42" s="22" t="n"/>
    </row>
    <row r="44" ht="24" customHeight="1">
      <c r="B44" s="18" t="inlineStr">
        <is>
          <t>5. 보증·요율 — 계약서에 적힌 값을 넣으세요</t>
        </is>
      </c>
      <c r="C44" s="19" t="n"/>
      <c r="D44" s="19" t="n"/>
    </row>
    <row r="45" ht="22" customHeight="1">
      <c r="B45" s="20" t="inlineStr">
        <is>
          <t>계약보증금률 (%)</t>
        </is>
      </c>
      <c r="C45" s="25" t="n"/>
      <c r="D45" s="22" t="inlineStr">
        <is>
          <t>예: 10 → 10% (공고서·계약서 확인)</t>
        </is>
      </c>
    </row>
    <row r="46" ht="22" customHeight="1">
      <c r="B46" s="20" t="inlineStr">
        <is>
          <t>계약보증 방법</t>
        </is>
      </c>
      <c r="C46" s="21" t="n"/>
      <c r="D46" s="22" t="n"/>
    </row>
    <row r="47" ht="22" customHeight="1">
      <c r="B47" s="20" t="inlineStr">
        <is>
          <t>하자보수보증금률 (%)</t>
        </is>
      </c>
      <c r="C47" s="25" t="n"/>
      <c r="D47" s="22" t="inlineStr">
        <is>
          <t>계약서 확인 (공종마다 다름)</t>
        </is>
      </c>
    </row>
    <row r="48" ht="22" customHeight="1">
      <c r="B48" s="20" t="inlineStr">
        <is>
          <t>하자담보책임기간 (년)</t>
        </is>
      </c>
      <c r="C48" s="25" t="n"/>
      <c r="D48" s="22" t="inlineStr">
        <is>
          <t>계약서 확인 (공종마다 다름)</t>
        </is>
      </c>
    </row>
    <row r="49" ht="22" customHeight="1">
      <c r="B49" s="20" t="inlineStr">
        <is>
          <t>하자보수보증 방법</t>
        </is>
      </c>
      <c r="C49" s="21" t="n"/>
      <c r="D49" s="22" t="n"/>
    </row>
    <row r="50" ht="22" customHeight="1">
      <c r="B50" s="20" t="inlineStr">
        <is>
          <t>지체상금률 (1,000분의)</t>
        </is>
      </c>
      <c r="C50" s="25" t="n"/>
      <c r="D50" s="22" t="inlineStr">
        <is>
          <t>예: 0.5 → 1,000분의 0.5 (계약서 확인)</t>
        </is>
      </c>
    </row>
    <row r="52" ht="24" customHeight="1">
      <c r="B52" s="18" t="inlineStr">
        <is>
          <t>6. 기성 (이번 회차)</t>
        </is>
      </c>
      <c r="C52" s="19" t="n"/>
      <c r="D52" s="19" t="n"/>
    </row>
    <row r="53" ht="22" customHeight="1">
      <c r="B53" s="20" t="inlineStr">
        <is>
          <t>기성 회차</t>
        </is>
      </c>
      <c r="C53" s="25" t="n"/>
      <c r="D53" s="22" t="inlineStr">
        <is>
          <t>예: 1</t>
        </is>
      </c>
    </row>
    <row r="54" ht="22" customHeight="1">
      <c r="B54" s="20" t="inlineStr">
        <is>
          <t>기성 대상 기간 — 시작</t>
        </is>
      </c>
      <c r="C54" s="23" t="n"/>
      <c r="D54" s="22" t="n"/>
    </row>
    <row r="55" ht="22" customHeight="1">
      <c r="B55" s="20" t="inlineStr">
        <is>
          <t>기성 대상 기간 — 끝</t>
        </is>
      </c>
      <c r="C55" s="23" t="n"/>
      <c r="D55" s="22" t="n"/>
    </row>
    <row r="56" ht="22" customHeight="1">
      <c r="B56" s="20" t="inlineStr">
        <is>
          <t>기성검사 요청일</t>
        </is>
      </c>
      <c r="C56" s="23" t="n"/>
      <c r="D56" s="22" t="n"/>
    </row>
    <row r="57" ht="22" customHeight="1">
      <c r="B57" s="20" t="inlineStr">
        <is>
          <t>기성금 청구일</t>
        </is>
      </c>
      <c r="C57" s="23" t="n"/>
      <c r="D57" s="22" t="inlineStr">
        <is>
          <t>비우면 기성검사 요청일</t>
        </is>
      </c>
    </row>
    <row r="58" ht="22" customHeight="1">
      <c r="B58" s="20" t="inlineStr">
        <is>
          <t>전회까지 기성 누계 (원)</t>
        </is>
      </c>
      <c r="C58" s="24" t="n"/>
      <c r="D58" s="22" t="inlineStr">
        <is>
          <t>처음이면 0</t>
        </is>
      </c>
    </row>
    <row r="59" ht="22" customHeight="1">
      <c r="B59" s="20" t="inlineStr">
        <is>
          <t>이번 회 기성금액 (원)</t>
        </is>
      </c>
      <c r="C59" s="24" t="n"/>
      <c r="D59" s="22" t="n"/>
    </row>
    <row r="60" ht="22" customHeight="1">
      <c r="B60" s="20" t="inlineStr">
        <is>
          <t>이번 회 선금 정산액 (원)</t>
        </is>
      </c>
      <c r="C60" s="24" t="n"/>
      <c r="D60" s="22" t="inlineStr">
        <is>
          <t>선금이 없으면 0</t>
        </is>
      </c>
    </row>
    <row r="62" ht="24" customHeight="1">
      <c r="B62" s="18" t="inlineStr">
        <is>
          <t>7. 공기 연장 (필요할 때만)</t>
        </is>
      </c>
      <c r="C62" s="19" t="n"/>
      <c r="D62" s="19" t="n"/>
    </row>
    <row r="63" ht="22" customHeight="1">
      <c r="B63" s="20" t="inlineStr">
        <is>
          <t>연장 신청일</t>
        </is>
      </c>
      <c r="C63" s="23" t="n"/>
      <c r="D63" s="22" t="n"/>
    </row>
    <row r="64" ht="22" customHeight="1">
      <c r="B64" s="20" t="inlineStr">
        <is>
          <t>연장 요청 준공기한</t>
        </is>
      </c>
      <c r="C64" s="23" t="n"/>
      <c r="D64" s="22" t="n"/>
    </row>
    <row r="65" ht="30" customHeight="1">
      <c r="B65" s="20" t="inlineStr">
        <is>
          <t>연장 사유</t>
        </is>
      </c>
      <c r="C65" s="21" t="n"/>
      <c r="D65" s="22" t="inlineStr">
        <is>
          <t>짧게 — 자세한 것은 붙임으로</t>
        </is>
      </c>
    </row>
    <row r="67" ht="24" customHeight="1">
      <c r="B67" s="18" t="inlineStr">
        <is>
          <t>8. 준공</t>
        </is>
      </c>
      <c r="C67" s="19" t="n"/>
      <c r="D67" s="19" t="n"/>
    </row>
    <row r="68" ht="22" customHeight="1">
      <c r="B68" s="20" t="inlineStr">
        <is>
          <t>실제 준공일</t>
        </is>
      </c>
      <c r="C68" s="23" t="n"/>
      <c r="D68" s="22" t="inlineStr">
        <is>
          <t>준공신고서에 적는 준공일</t>
        </is>
      </c>
    </row>
    <row r="69" ht="22" customHeight="1">
      <c r="B69" s="20" t="inlineStr">
        <is>
          <t>준공검사 요청일</t>
        </is>
      </c>
      <c r="C69" s="23" t="n"/>
      <c r="D69" s="22" t="inlineStr">
        <is>
          <t>비우면 실제 준공일</t>
        </is>
      </c>
    </row>
    <row r="70" ht="22" customHeight="1">
      <c r="B70" s="20" t="inlineStr">
        <is>
          <t>준공검사일</t>
        </is>
      </c>
      <c r="C70" s="23" t="n"/>
      <c r="D70" s="22" t="inlineStr">
        <is>
          <t>보완 요구였으면 최종 합격한 날 — 관급은 준공기한을 넘겨 신고하면 이날까지가 지체일수</t>
        </is>
      </c>
    </row>
    <row r="71" ht="22" customHeight="1">
      <c r="B71" s="20" t="inlineStr">
        <is>
          <t>준공검사 결과</t>
        </is>
      </c>
      <c r="C71" s="21" t="n"/>
      <c r="D71" s="22" t="n"/>
    </row>
    <row r="72" ht="22" customHeight="1">
      <c r="B72" s="20" t="inlineStr">
        <is>
          <t>승인된 변경 준공기한</t>
        </is>
      </c>
      <c r="C72" s="23" t="n"/>
      <c r="D72" s="22" t="inlineStr">
        <is>
          <t>공기 연장이 승인됐을 때만 (지체일수 계산용)</t>
        </is>
      </c>
    </row>
    <row r="73" ht="22" customHeight="1">
      <c r="B73" s="20" t="inlineStr">
        <is>
          <t>최종 계약금액 (정산, 원)</t>
        </is>
      </c>
      <c r="C73" s="24" t="n"/>
      <c r="D73" s="22" t="inlineStr">
        <is>
          <t>비우면 계약 금액</t>
        </is>
      </c>
    </row>
    <row r="74" ht="22" customHeight="1">
      <c r="B74" s="20" t="inlineStr">
        <is>
          <t>기성 지급 누계 (원)</t>
        </is>
      </c>
      <c r="C74" s="24" t="n"/>
      <c r="D74" s="22" t="inlineStr">
        <is>
          <t>준공 전까지 받은 기성금 합계</t>
        </is>
      </c>
    </row>
    <row r="75" ht="22" customHeight="1">
      <c r="B75" s="20" t="inlineStr">
        <is>
          <t>선금 잔액 정산액 (원)</t>
        </is>
      </c>
      <c r="C75" s="24" t="n"/>
      <c r="D75" s="22" t="inlineStr">
        <is>
          <t>선금이 없으면 0</t>
        </is>
      </c>
    </row>
    <row r="76" ht="22" customHeight="1">
      <c r="B76" s="20" t="inlineStr">
        <is>
          <t>지체상금 (원)</t>
        </is>
      </c>
      <c r="C76" s="24" t="n"/>
      <c r="D76" s="22" t="inlineStr">
        <is>
          <t>비우면 자동 계산 — 최종 계약금액×요율×지체일수 · 관급은 계약금액의 30% 까지(국가계약법 시행령 제74조 ③). 면제·감면·기성 인수분 공제가 있으면 그 금액(0 포함)을 넣으세요</t>
        </is>
      </c>
    </row>
    <row r="77" ht="22" customHeight="1">
      <c r="B77" s="20" t="inlineStr">
        <is>
          <t>준공금 청구일</t>
        </is>
      </c>
      <c r="C77" s="23" t="n"/>
      <c r="D77" s="22" t="inlineStr">
        <is>
          <t>비우면 준공검사일</t>
        </is>
      </c>
    </row>
    <row r="78" ht="22" customHeight="1">
      <c r="B78" s="20" t="inlineStr">
        <is>
          <t>하자담보 시작일</t>
        </is>
      </c>
      <c r="C78" s="23" t="n"/>
      <c r="D78" s="22" t="inlineStr">
        <is>
          <t>비우면 준공검사일</t>
        </is>
      </c>
    </row>
    <row r="80" ht="24" customHeight="1">
      <c r="B80" s="18" t="inlineStr">
        <is>
          <t>9. 하자 검사</t>
        </is>
      </c>
      <c r="C80" s="19" t="n"/>
      <c r="D80" s="19" t="n"/>
    </row>
    <row r="81" ht="22" customHeight="1">
      <c r="B81" s="20" t="inlineStr">
        <is>
          <t>하자 검사일</t>
        </is>
      </c>
      <c r="C81" s="23" t="n"/>
      <c r="D81" s="22" t="n"/>
    </row>
    <row r="82" ht="22" customHeight="1">
      <c r="B82" s="20" t="inlineStr">
        <is>
          <t>하자 검사 결과</t>
        </is>
      </c>
      <c r="C82" s="21" t="n"/>
      <c r="D82" s="22" t="n"/>
    </row>
    <row r="84" ht="24" customHeight="1">
      <c r="B84" s="18" t="inlineStr">
        <is>
          <t>10. 선금 (받을 때만)</t>
        </is>
      </c>
      <c r="C84" s="19" t="n"/>
      <c r="D84" s="19" t="n"/>
    </row>
    <row r="85" ht="22" customHeight="1">
      <c r="B85" s="20" t="inlineStr">
        <is>
          <t>선금 신청일</t>
        </is>
      </c>
      <c r="C85" s="23" t="n"/>
      <c r="D85" s="22" t="n"/>
    </row>
    <row r="86" ht="22" customHeight="1">
      <c r="B86" s="20" t="inlineStr">
        <is>
          <t>선금 신청률 (%)</t>
        </is>
      </c>
      <c r="C86" s="25" t="n"/>
      <c r="D86" s="22" t="inlineStr">
        <is>
          <t>계약서·발주기관에서 정한 비율 — 예: 30</t>
        </is>
      </c>
    </row>
    <row r="87" ht="22" customHeight="1">
      <c r="B87" s="20" t="inlineStr">
        <is>
          <t>선금 신청 금액 (원)</t>
        </is>
      </c>
      <c r="C87" s="24" t="n"/>
      <c r="D87" s="22" t="inlineStr">
        <is>
          <t>비우면 계약 금액 × 신청률 (원 미만 버림)</t>
        </is>
      </c>
    </row>
    <row r="88" ht="22" customHeight="1">
      <c r="B88" s="20" t="inlineStr">
        <is>
          <t>보증기관 · 보증번호</t>
        </is>
      </c>
      <c r="C88" s="21" t="n"/>
      <c r="D88" s="22" t="inlineStr">
        <is>
          <t>선금 보증서(증권)에 적힌 그대로</t>
        </is>
      </c>
    </row>
    <row r="90" ht="24" customHeight="1">
      <c r="B90" s="18" t="inlineStr">
        <is>
          <t>11. 공사 중 — 달마다 내는 서류</t>
        </is>
      </c>
      <c r="C90" s="19" t="n"/>
      <c r="D90" s="19" t="n"/>
    </row>
    <row r="91" ht="22" customHeight="1">
      <c r="B91" s="20" t="inlineStr">
        <is>
          <t>대상 달</t>
        </is>
      </c>
      <c r="C91" s="23" t="n"/>
      <c r="D91" s="22" t="inlineStr">
        <is>
          <t>그 달의 아무 날 — 서류에는 «2026년 4월» 처럼 나옵니다</t>
        </is>
      </c>
    </row>
    <row r="92" ht="22" customHeight="1">
      <c r="B92" s="20" t="inlineStr">
        <is>
          <t>작성일 (제출일)</t>
        </is>
      </c>
      <c r="C92" s="23" t="n"/>
      <c r="D92" s="22" t="n"/>
    </row>
    <row r="93" ht="22" customHeight="1">
      <c r="B93" s="20" t="inlineStr">
        <is>
          <t>계획 공정률 — 누계 (%)</t>
        </is>
      </c>
      <c r="C93" s="25" t="n"/>
      <c r="D93" s="22" t="inlineStr">
        <is>
          <t>예정공정표의 그 달 말 누계</t>
        </is>
      </c>
    </row>
    <row r="94" ht="22" customHeight="1">
      <c r="B94" s="20" t="inlineStr">
        <is>
          <t>실적 공정률 — 누계 (%)</t>
        </is>
      </c>
      <c r="C94" s="25" t="n"/>
      <c r="D94" s="22" t="inlineStr">
        <is>
          <t>산안비 사용내역서 «누계공정률» 에도 들어갑니다</t>
        </is>
      </c>
    </row>
    <row r="95" ht="22" customHeight="1">
      <c r="B95" s="20" t="inlineStr">
        <is>
          <t>그 달 노무비 청구 금액 (원)</t>
        </is>
      </c>
      <c r="C95" s="24" t="n"/>
      <c r="D95" s="22" t="n"/>
    </row>
    <row r="96" ht="22" customHeight="1">
      <c r="B96" s="20" t="inlineStr">
        <is>
          <t>전월까지 노무비 누계 (원)</t>
        </is>
      </c>
      <c r="C96" s="24" t="n"/>
      <c r="D96" s="22" t="inlineStr">
        <is>
          <t>처음이면 0</t>
        </is>
      </c>
    </row>
    <row r="97" ht="22" customHeight="1">
      <c r="B97" s="20" t="inlineStr">
        <is>
          <t>계상된 산업안전보건관리비 (원)</t>
        </is>
      </c>
      <c r="C97" s="24" t="n"/>
      <c r="D97" s="22" t="inlineStr">
        <is>
          <t>도급 산출내역서에 계상된 금액 — 모르면 🦺 산안비 계상기(도구)로</t>
        </is>
      </c>
    </row>
    <row r="99" ht="24" customHeight="1">
      <c r="B99" s="18" t="inlineStr">
        <is>
          <t>12. 하도급 (통보 · 대금 지급확인)</t>
        </is>
      </c>
      <c r="C99" s="19" t="n"/>
      <c r="D99" s="19" t="n"/>
    </row>
    <row r="100" ht="22" customHeight="1">
      <c r="B100" s="20" t="inlineStr">
        <is>
          <t>하수급인 상호</t>
        </is>
      </c>
      <c r="C100" s="21" t="n"/>
      <c r="D100" s="22" t="n"/>
    </row>
    <row r="101" ht="22" customHeight="1">
      <c r="B101" s="20" t="inlineStr">
        <is>
          <t>하수급인 대표자</t>
        </is>
      </c>
      <c r="C101" s="21" t="n"/>
      <c r="D101" s="22" t="n"/>
    </row>
    <row r="102" ht="22" customHeight="1">
      <c r="B102" s="20" t="inlineStr">
        <is>
          <t>하수급인 업종 · 등록번호</t>
        </is>
      </c>
      <c r="C102" s="21" t="n"/>
      <c r="D102" s="22" t="inlineStr">
        <is>
          <t>건설업 등록증 그대로</t>
        </is>
      </c>
    </row>
    <row r="103" ht="30" customHeight="1">
      <c r="B103" s="20" t="inlineStr">
        <is>
          <t>하수급인 영업소 소재지</t>
        </is>
      </c>
      <c r="C103" s="21" t="n"/>
      <c r="D103" s="22" t="n"/>
    </row>
    <row r="104" ht="22" customHeight="1">
      <c r="B104" s="20" t="inlineStr">
        <is>
          <t>협력업자로 등록된 연월일</t>
        </is>
      </c>
      <c r="C104" s="23" t="n"/>
      <c r="D104" s="22" t="inlineStr">
        <is>
          <t>우리 회사에 협력업자로 등록된 날 — 없으면 비움</t>
        </is>
      </c>
    </row>
    <row r="105" ht="30" customHeight="1">
      <c r="B105" s="20" t="inlineStr">
        <is>
          <t>하도급 사유</t>
        </is>
      </c>
      <c r="C105" s="21" t="n"/>
      <c r="D105" s="22" t="n"/>
    </row>
    <row r="106" ht="22" customHeight="1">
      <c r="B106" s="20" t="inlineStr">
        <is>
          <t>하도급 공사의 종류</t>
        </is>
      </c>
      <c r="C106" s="21" t="n"/>
      <c r="D106" s="22" t="inlineStr">
        <is>
          <t>예: 철근콘크리트공사</t>
        </is>
      </c>
    </row>
    <row r="107" ht="22" customHeight="1">
      <c r="B107" s="20" t="inlineStr">
        <is>
          <t>도급액 — 하도급 부분 (원)</t>
        </is>
      </c>
      <c r="C107" s="24" t="n"/>
      <c r="D107" s="22" t="inlineStr">
        <is>
          <t>우리 계약 단가로 산출한 그 부분 금액 (통보서 뒤쪽 유의사항 ①)</t>
        </is>
      </c>
    </row>
    <row r="108" ht="22" customHeight="1">
      <c r="B108" s="20" t="inlineStr">
        <is>
          <t>하도급 (예정) 금액 (원)</t>
        </is>
      </c>
      <c r="C108" s="24" t="n"/>
      <c r="D108" s="22" t="n"/>
    </row>
    <row r="109" ht="22" customHeight="1">
      <c r="B109" s="20" t="inlineStr">
        <is>
          <t>하도급 계약 (예정 · 변경)일</t>
        </is>
      </c>
      <c r="C109" s="23" t="n"/>
      <c r="D109" s="22" t="n"/>
    </row>
    <row r="110" ht="22" customHeight="1">
      <c r="B110" s="20" t="inlineStr">
        <is>
          <t>하도급 착공 (예정)일</t>
        </is>
      </c>
      <c r="C110" s="23" t="n"/>
      <c r="D110" s="22" t="n"/>
    </row>
    <row r="111" ht="22" customHeight="1">
      <c r="B111" s="20" t="inlineStr">
        <is>
          <t>하도급 준공 (예정)일</t>
        </is>
      </c>
      <c r="C111" s="23" t="n"/>
      <c r="D111" s="22" t="n"/>
    </row>
    <row r="112" ht="22" customHeight="1">
      <c r="B112" s="20" t="inlineStr">
        <is>
          <t>통보일</t>
        </is>
      </c>
      <c r="C112" s="23" t="n"/>
      <c r="D112" s="22" t="n"/>
    </row>
    <row r="114" ht="24" customHeight="1">
      <c r="B114" s="18" t="inlineStr">
        <is>
          <t>13. 계약금액 조정 (설계변경 · 물가변동)</t>
        </is>
      </c>
      <c r="C114" s="19" t="n"/>
      <c r="D114" s="19" t="n"/>
    </row>
    <row r="115" ht="22" customHeight="1">
      <c r="B115" s="20" t="inlineStr">
        <is>
          <t>조정 구분</t>
        </is>
      </c>
      <c r="C115" s="21" t="n"/>
      <c r="D115" s="22" t="n"/>
    </row>
    <row r="116" ht="22" customHeight="1">
      <c r="B116" s="20" t="inlineStr">
        <is>
          <t>신청일</t>
        </is>
      </c>
      <c r="C116" s="23" t="n"/>
      <c r="D116" s="22" t="n"/>
    </row>
    <row r="117" ht="22" customHeight="1">
      <c r="B117" s="20" t="inlineStr">
        <is>
          <t>조정 기준일</t>
        </is>
      </c>
      <c r="C117" s="23" t="n"/>
      <c r="D117" s="22" t="inlineStr">
        <is>
          <t>물가변동이면 조정기준일 — 설계변경만이면 비워도 됩니다</t>
        </is>
      </c>
    </row>
    <row r="118" ht="22" customHeight="1">
      <c r="B118" s="20" t="inlineStr">
        <is>
          <t>증액 / 감액</t>
        </is>
      </c>
      <c r="C118" s="21" t="n"/>
      <c r="D118" s="22" t="n"/>
    </row>
    <row r="119" ht="22" customHeight="1">
      <c r="B119" s="20" t="inlineStr">
        <is>
          <t>조정 신청 금액 (원)</t>
        </is>
      </c>
      <c r="C119" s="24" t="n"/>
      <c r="D119" s="22" t="inlineStr">
        <is>
          <t>산출서의 합계 (부가세 포함)</t>
        </is>
      </c>
    </row>
    <row r="120" ht="30" customHeight="1">
      <c r="B120" s="20" t="inlineStr">
        <is>
          <t>조정 사유</t>
        </is>
      </c>
      <c r="C120" s="21" t="n"/>
      <c r="D120" s="22" t="inlineStr">
        <is>
          <t>짧게 — 자세한 것은 산출서로</t>
        </is>
      </c>
    </row>
    <row r="122" ht="24" customHeight="1">
      <c r="B122" s="26" t="inlineStr">
        <is>
          <t>자동 계산 — 고치지 마세요 (위 칸을 고치면 따라 바뀝니다)</t>
        </is>
      </c>
      <c r="C122" s="27" t="n"/>
      <c r="D122" s="27" t="n"/>
    </row>
    <row r="123" ht="20" customHeight="1">
      <c r="B123" s="28" t="inlineStr">
        <is>
          <t>공사 기간 (일)</t>
        </is>
      </c>
      <c r="C123" s="29">
        <f>IF(OR('입력'!$C$12="",'입력'!$C$13=""),"",'입력'!$C$13-'입력'!$C$12+1)</f>
        <v/>
      </c>
    </row>
    <row r="124" ht="20" customHeight="1">
      <c r="B124" s="28" t="inlineStr">
        <is>
          <t>계약보증금 (원)</t>
        </is>
      </c>
      <c r="C124" s="30">
        <f>IF(OR('입력'!$C$14="",'입력'!$C$45=""),"",ROUNDUP('입력'!$C$14*'입력'!$C$45/100,0))</f>
        <v/>
      </c>
    </row>
    <row r="125" ht="20" customHeight="1">
      <c r="B125" s="28" t="inlineStr">
        <is>
          <t>최종 계약금액 (원)</t>
        </is>
      </c>
      <c r="C125" s="30">
        <f>IF('입력'!$C$73="",'입력'!$C$14,'입력'!$C$73)</f>
        <v/>
      </c>
    </row>
    <row r="126" ht="20" customHeight="1">
      <c r="B126" s="28" t="inlineStr">
        <is>
          <t>하자보수보증금 (원)</t>
        </is>
      </c>
      <c r="C126" s="30">
        <f>IF(OR('입력'!$C$125="",'입력'!$C$47=""),"",ROUNDUP('입력'!$C$125*'입력'!$C$47/100,0))</f>
        <v/>
      </c>
    </row>
    <row r="127" ht="20" customHeight="1">
      <c r="B127" s="28" t="inlineStr">
        <is>
          <t>준공검사 요청일</t>
        </is>
      </c>
      <c r="C127" s="31">
        <f>IF('입력'!$C$69="",'입력'!$C$68,'입력'!$C$69)</f>
        <v/>
      </c>
    </row>
    <row r="128" ht="20" customHeight="1">
      <c r="B128" s="28" t="inlineStr">
        <is>
          <t>하자담보 시작일</t>
        </is>
      </c>
      <c r="C128" s="31">
        <f>IF('입력'!$C$78="",'입력'!$C$70,'입력'!$C$78)</f>
        <v/>
      </c>
    </row>
    <row r="129" ht="20" customHeight="1">
      <c r="B129" s="28" t="inlineStr">
        <is>
          <t>하자담보 끝나는 날</t>
        </is>
      </c>
      <c r="C129" s="31">
        <f>IF(OR('입력'!$C$128="",'입력'!$C$48=""),"",IF(DAY(EDATE('입력'!$C$128,'입력'!$C$48*12))&lt;&gt;DAY('입력'!$C$128),EDATE('입력'!$C$128,'입력'!$C$48*12),EDATE('입력'!$C$128,'입력'!$C$48*12)-1))</f>
        <v/>
      </c>
    </row>
    <row r="130" ht="20" customHeight="1">
      <c r="B130" s="28" t="inlineStr">
        <is>
          <t>지체 계산 기준 준공기한</t>
        </is>
      </c>
      <c r="C130" s="31">
        <f>IF('입력'!$C$72="",'입력'!$C$13,'입력'!$C$72)</f>
        <v/>
      </c>
    </row>
    <row r="131" ht="20" customHeight="1">
      <c r="B131" s="28" t="inlineStr">
        <is>
          <t>지체 일수</t>
        </is>
      </c>
      <c r="C131" s="29">
        <f>IF(OR('입력'!$C$68="",'입력'!$C$130=""),"",IF('입력'!$C$10="민간계약",MAX(0,'입력'!$C$68-'입력'!$C$130),IF('입력'!$C$127&lt;='입력'!$C$130,0,MAX(0,IF('입력'!$C$70="",'입력'!$C$127,'입력'!$C$70)-'입력'!$C$130))))</f>
        <v/>
      </c>
    </row>
    <row r="132" ht="20" customHeight="1">
      <c r="B132" s="28" t="inlineStr">
        <is>
          <t>지체상금 (자동 계산)</t>
        </is>
      </c>
      <c r="C132" s="30">
        <f>IF(OR('입력'!$C$131="",'입력'!$C$50=""),"",IF('입력'!$C$146="",ROUNDDOWN('입력'!$C$125*'입력'!$C$50/1000*'입력'!$C$131,0),MIN(ROUNDDOWN('입력'!$C$125*'입력'!$C$50/1000*'입력'!$C$131,0),'입력'!$C$146)))</f>
        <v/>
      </c>
    </row>
    <row r="133" ht="20" customHeight="1">
      <c r="B133" s="28" t="inlineStr">
        <is>
          <t>지체상금 (서류에 쓰는 값)</t>
        </is>
      </c>
      <c r="C133" s="30">
        <f>IF('입력'!$C$76="",IF('입력'!$C$132="",0,'입력'!$C$132),'입력'!$C$76)</f>
        <v/>
      </c>
    </row>
    <row r="134" ht="20" customHeight="1">
      <c r="B134" s="28" t="inlineStr">
        <is>
          <t>이번 회까지 기성 누계 (원)</t>
        </is>
      </c>
      <c r="C134" s="30">
        <f>IF('입력'!$C$59="","",N('입력'!$C$58)+'입력'!$C$59)</f>
        <v/>
      </c>
    </row>
    <row r="135" ht="20" customHeight="1">
      <c r="B135" s="28" t="inlineStr">
        <is>
          <t>기성률 (누계 ÷ 계약 금액)</t>
        </is>
      </c>
      <c r="C135" s="32">
        <f>IF(OR('입력'!$C$134="",N('입력'!$C$14)=0),"",'입력'!$C$134/'입력'!$C$14)</f>
        <v/>
      </c>
    </row>
    <row r="136" ht="20" customHeight="1">
      <c r="B136" s="28" t="inlineStr">
        <is>
          <t>기성금 청구액 (원)</t>
        </is>
      </c>
      <c r="C136" s="30">
        <f>IF('입력'!$C$59="","",'입력'!$C$59-N('입력'!$C$60))</f>
        <v/>
      </c>
    </row>
    <row r="137" ht="20" customHeight="1">
      <c r="B137" s="28" t="inlineStr">
        <is>
          <t>기성금 청구일</t>
        </is>
      </c>
      <c r="C137" s="31">
        <f>IF('입력'!$C$57="",'입력'!$C$56,'입력'!$C$57)</f>
        <v/>
      </c>
    </row>
    <row r="138" ht="20" customHeight="1">
      <c r="B138" s="28" t="inlineStr">
        <is>
          <t>준공금 청구액 (원)</t>
        </is>
      </c>
      <c r="C138" s="30">
        <f>IF('입력'!$C$125="","",'입력'!$C$125-N('입력'!$C$74)-N('입력'!$C$75)-N('입력'!$C$133))</f>
        <v/>
      </c>
    </row>
    <row r="139" ht="20" customHeight="1">
      <c r="B139" s="28" t="inlineStr">
        <is>
          <t>준공금 청구일</t>
        </is>
      </c>
      <c r="C139" s="31">
        <f>IF('입력'!$C$77="",'입력'!$C$70,'입력'!$C$77)</f>
        <v/>
      </c>
    </row>
    <row r="140" ht="20" customHeight="1">
      <c r="B140" s="28" t="inlineStr">
        <is>
          <t>연장 요청 일수</t>
        </is>
      </c>
      <c r="C140" s="29">
        <f>IF(OR('입력'!$C$64="",'입력'!$C$13=""),"",'입력'!$C$64-'입력'!$C$13)</f>
        <v/>
      </c>
    </row>
    <row r="141" ht="20" customHeight="1">
      <c r="B141" s="28" t="inlineStr">
        <is>
          <t>정산 증감액 (원)</t>
        </is>
      </c>
      <c r="C141" s="33">
        <f>IF(OR('입력'!$C$125="",'입력'!$C$14=""),"",'입력'!$C$125-'입력'!$C$14)</f>
        <v/>
      </c>
    </row>
    <row r="142" ht="20" customHeight="1">
      <c r="B142" s="28" t="inlineStr">
        <is>
          <t>선금 신청 금액 (원)</t>
        </is>
      </c>
      <c r="C142" s="30">
        <f>IF('입력'!$C$87="",IF(OR('입력'!$C$14="",'입력'!$C$86=""),"",ROUNDDOWN('입력'!$C$14*'입력'!$C$86/100,0)),'입력'!$C$87)</f>
        <v/>
      </c>
    </row>
    <row r="143" ht="20" customHeight="1">
      <c r="B143" s="28" t="inlineStr">
        <is>
          <t>노무비 누계 (원)</t>
        </is>
      </c>
      <c r="C143" s="30">
        <f>IF('입력'!$C$95="","",N('입력'!$C$96)+'입력'!$C$95)</f>
        <v/>
      </c>
    </row>
    <row r="144" ht="20" customHeight="1">
      <c r="B144" s="28" t="inlineStr">
        <is>
          <t>하도급률 (하도급 금액 ÷ 하도급 부분 도급액)</t>
        </is>
      </c>
      <c r="C144" s="32">
        <f>IF(OR('입력'!$C$108="",N('입력'!$C$107)=0),"",'입력'!$C$108/'입력'!$C$107)</f>
        <v/>
      </c>
    </row>
    <row r="145" ht="20" customHeight="1">
      <c r="B145" s="28" t="inlineStr">
        <is>
          <t>조정 후 계약금액 (원)</t>
        </is>
      </c>
      <c r="C145" s="30">
        <f>IF(OR('입력'!$C$14="",'입력'!$C$119=""),"",'입력'!$C$14+IF('입력'!$C$118="감액",-1,1)*'입력'!$C$119)</f>
        <v/>
      </c>
    </row>
    <row r="146" ht="20" customHeight="1">
      <c r="B146" s="28" t="inlineStr">
        <is>
          <t>지체상금 한도 (관급 — 계약금액의 30%)</t>
        </is>
      </c>
      <c r="C146" s="30">
        <f>IF('입력'!$C$125="","",IF('입력'!$C$10="민간계약","",ROUNDDOWN('입력'!$C$125*0.3,0)))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6">
    <mergeCell ref="B90:D90"/>
    <mergeCell ref="B5:D5"/>
    <mergeCell ref="B37:D37"/>
    <mergeCell ref="B67:D67"/>
    <mergeCell ref="B80:D80"/>
    <mergeCell ref="B114:D114"/>
    <mergeCell ref="B122:D122"/>
    <mergeCell ref="B99:D99"/>
    <mergeCell ref="B1:D1"/>
    <mergeCell ref="B84:D84"/>
    <mergeCell ref="B26:D26"/>
    <mergeCell ref="B2:D2"/>
    <mergeCell ref="B52:D52"/>
    <mergeCell ref="B44:D44"/>
    <mergeCell ref="B62:D62"/>
    <mergeCell ref="B16:D16"/>
  </mergeCells>
  <dataValidations count="8">
    <dataValidation sqref="C10" showDropDown="0" showInputMessage="0" showErrorMessage="0" allowBlank="1" type="list">
      <formula1>"일반경쟁,제한경쟁,지명경쟁,수의계약,민간계약,기타"</formula1>
    </dataValidation>
    <dataValidation sqref="C11 C12 C13 C54 C55 C56 C57 C63 C64 C68 C69 C70 C72 C77 C78 C81 C85 C91 C92 C104 C109 C110 C111 C112 C116 C117" showDropDown="0" showInputMessage="0" showErrorMessage="1" allowBlank="1" errorTitle="날짜" error="날짜로 넣어 주세요. 예: 2026-03-02" type="date" operator="greaterThan">
      <formula1>1</formula1>
    </dataValidation>
    <dataValidation sqref="C14 C45 C47 C48 C50 C53 C58 C59 C60 C73 C74 C75 C76 C86 C87 C93 C94 C95 C96 C97 C107 C108 C119" showDropDown="0" showInputMessage="0" showErrorMessage="1" allowBlank="1" errorTitle="숫자" error="숫자만 넣어 주세요 (쉼표·원 없이)." type="decimal" operator="greaterThanOrEqual">
      <formula1>0</formula1>
    </dataValidation>
    <dataValidation sqref="C46 C49" showDropDown="0" showInputMessage="0" showErrorMessage="0" allowBlank="1" type="list">
      <formula1>"보증서(증권),현금,지급각서,면제"</formula1>
    </dataValidation>
    <dataValidation sqref="C71" showDropDown="0" showInputMessage="0" showErrorMessage="0" allowBlank="1" type="list">
      <formula1>"합격,보완 요구"</formula1>
    </dataValidation>
    <dataValidation sqref="C82" showDropDown="0" showInputMessage="0" showErrorMessage="0" allowBlank="1" type="list">
      <formula1>"하자 없음,하자 있음 (보수 요구)"</formula1>
    </dataValidation>
    <dataValidation sqref="C115" showDropDown="0" showInputMessage="0" showErrorMessage="0" allowBlank="1" type="list">
      <formula1>"설계변경,물가변동,설계변경 · 물가변동"</formula1>
    </dataValidation>
    <dataValidation sqref="C118" showDropDown="0" showInputMessage="0" showErrorMessage="0" allowBlank="1" type="list">
      <formula1>"증액,감액"</formula1>
    </dataValidation>
  </dataValidations>
  <hyperlinks>
    <hyperlink ref="B3" location="'처음'!A1" display="← 처음(목록)으로"/>
  </hyperlinks>
  <printOptions horizontalCentered="1"/>
  <pageMargins left="0.6" right="0.6" top="0.75" bottom="0.6" header="0.3" footer="0.3"/>
  <pageSetup orientation="portrait" paperSize="9" fitToHeight="0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5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사 용 인 감 계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2.2" customHeight="1">
      <c r="B4" s="35" t="inlineStr">
        <is>
          <t>상    호</t>
        </is>
      </c>
      <c r="C4" s="36" t="n"/>
      <c r="D4" s="37" t="n"/>
      <c r="E4" s="38">
        <f>'입력'!$C$27&amp;""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2.2" customHeight="1">
      <c r="B5" s="35" t="inlineStr">
        <is>
          <t>대 표 자</t>
        </is>
      </c>
      <c r="C5" s="36" t="n"/>
      <c r="D5" s="37" t="n"/>
      <c r="E5" s="38">
        <f>'입력'!$C$28&amp;""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2.2" customHeight="1">
      <c r="B6" s="35" t="inlineStr">
        <is>
          <t>사업자등록번호</t>
        </is>
      </c>
      <c r="C6" s="36" t="n"/>
      <c r="D6" s="37" t="n"/>
      <c r="E6" s="38">
        <f>'입력'!$C$29&amp;""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42.1" customHeight="1">
      <c r="B7" s="35" t="inlineStr">
        <is>
          <t>주    소</t>
        </is>
      </c>
      <c r="C7" s="36" t="n"/>
      <c r="D7" s="37" t="n"/>
      <c r="E7" s="38">
        <f>'입력'!$C$30&amp;""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42.1" customHeight="1">
      <c r="B9" s="35" t="inlineStr">
        <is>
          <t>대상 계약</t>
        </is>
      </c>
      <c r="C9" s="36" t="n"/>
      <c r="D9" s="37" t="n"/>
      <c r="E9" s="38">
        <f>'입력'!$C$6&amp;""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32.2" customHeight="1">
      <c r="B10" s="35" t="inlineStr">
        <is>
          <t>사용 기간</t>
        </is>
      </c>
      <c r="C10" s="36" t="n"/>
      <c r="D10" s="37" t="n"/>
      <c r="E10" s="38" t="inlineStr">
        <is>
          <t>이 계약의 체결부터 하자담보책임기간이 끝날 때까지</t>
        </is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8" customHeight="1"/>
    <row r="12" ht="24" customHeight="1">
      <c r="B12" s="35" t="inlineStr">
        <is>
          <t>구  분</t>
        </is>
      </c>
      <c r="C12" s="36" t="n"/>
      <c r="D12" s="37" t="n"/>
      <c r="E12" s="35" t="inlineStr">
        <is>
          <t>인  감</t>
        </is>
      </c>
      <c r="F12" s="36" t="n"/>
      <c r="G12" s="36" t="n"/>
      <c r="H12" s="36" t="n"/>
      <c r="I12" s="37" t="n"/>
      <c r="J12" s="35" t="inlineStr">
        <is>
          <t>비  고</t>
        </is>
      </c>
      <c r="K12" s="36" t="n"/>
      <c r="L12" s="36" t="n"/>
      <c r="M12" s="37" t="n"/>
    </row>
    <row r="13" ht="86.59999999999999" customHeight="1">
      <c r="B13" s="42" t="inlineStr">
        <is>
          <t>법인(개인) 인감</t>
        </is>
      </c>
      <c r="C13" s="39" t="n"/>
      <c r="D13" s="40" t="n"/>
      <c r="E13" s="42" t="n"/>
      <c r="F13" s="39" t="n"/>
      <c r="G13" s="39" t="n"/>
      <c r="H13" s="39" t="n"/>
      <c r="I13" s="40" t="n"/>
      <c r="J13" s="42" t="inlineStr">
        <is>
          <t>인감증명서 붙임</t>
        </is>
      </c>
      <c r="K13" s="39" t="n"/>
      <c r="L13" s="39" t="n"/>
      <c r="M13" s="40" t="n"/>
    </row>
    <row r="14" ht="86.59999999999999" customHeight="1">
      <c r="B14" s="42" t="inlineStr">
        <is>
          <t>사용 인감</t>
        </is>
      </c>
      <c r="C14" s="39" t="n"/>
      <c r="D14" s="40" t="n"/>
      <c r="E14" s="42" t="n"/>
      <c r="F14" s="39" t="n"/>
      <c r="G14" s="39" t="n"/>
      <c r="H14" s="39" t="n"/>
      <c r="I14" s="40" t="n"/>
      <c r="J14" s="42" t="n"/>
      <c r="K14" s="39" t="n"/>
      <c r="L14" s="39" t="n"/>
      <c r="M14" s="40" t="n"/>
    </row>
    <row r="15" ht="8" customHeight="1"/>
    <row r="16" ht="42.1" customHeight="1">
      <c r="B16" s="43" t="inlineStr">
        <is>
          <t>위 사용 인감을 이 계약과 관련된 모든 서류에 법인(개인) 인감을 대신하여 사용하고자 신고하며, 이 인감을 사용하여 생기는 모든 책임은 우리 회사가 집니다.</t>
        </is>
      </c>
    </row>
    <row r="17" ht="8" customHeight="1"/>
    <row r="18" ht="30" customHeight="1">
      <c r="B18" s="44">
        <f>IF('입력'!$C$11="","          년      월      일",YEAR('입력'!$C$11)&amp;"년  "&amp;MONTH('입력'!$C$11)&amp;"월  "&amp;DAY('입력'!$C$11)&amp;"일")</f>
        <v/>
      </c>
    </row>
    <row r="19" ht="6" customHeight="1"/>
    <row r="20" ht="24" customHeight="1">
      <c r="B20" s="45" t="inlineStr">
        <is>
          <t>계약상대자</t>
        </is>
      </c>
      <c r="G20" s="46" t="inlineStr">
        <is>
          <t>상    호</t>
        </is>
      </c>
      <c r="I20" s="47" t="inlineStr">
        <is>
          <t>:</t>
        </is>
      </c>
      <c r="J20" s="48">
        <f>'입력'!$C$27&amp;""</f>
        <v/>
      </c>
    </row>
    <row r="21" ht="24" customHeight="1">
      <c r="G21" s="46" t="inlineStr">
        <is>
          <t>주    소</t>
        </is>
      </c>
      <c r="I21" s="47" t="inlineStr">
        <is>
          <t>:</t>
        </is>
      </c>
      <c r="J21" s="48">
        <f>'입력'!$C$30&amp;""</f>
        <v/>
      </c>
    </row>
    <row r="22" ht="24" customHeight="1">
      <c r="G22" s="46" t="inlineStr">
        <is>
          <t>대 표 자</t>
        </is>
      </c>
      <c r="I22" s="47" t="inlineStr">
        <is>
          <t>:</t>
        </is>
      </c>
      <c r="J22" s="48">
        <f>'입력'!$C$28&amp;"          (인)"</f>
        <v/>
      </c>
    </row>
    <row r="23" ht="8" customHeight="1"/>
    <row r="24" ht="8" customHeight="1"/>
    <row r="25" ht="30" customHeight="1">
      <c r="B25" s="49">
        <f>IF('입력'!$C$18="","                  귀하",'입력'!$C$18&amp;"  귀하")</f>
        <v/>
      </c>
    </row>
  </sheetData>
  <mergeCells count="32">
    <mergeCell ref="G21:H21"/>
    <mergeCell ref="B2:M2"/>
    <mergeCell ref="J22:M22"/>
    <mergeCell ref="E12:I12"/>
    <mergeCell ref="B14:D14"/>
    <mergeCell ref="E10:M10"/>
    <mergeCell ref="J12:M12"/>
    <mergeCell ref="B13:D13"/>
    <mergeCell ref="E9:M9"/>
    <mergeCell ref="J21:M21"/>
    <mergeCell ref="B20:E20"/>
    <mergeCell ref="E14:I14"/>
    <mergeCell ref="E6:M6"/>
    <mergeCell ref="B10:D10"/>
    <mergeCell ref="B9:D9"/>
    <mergeCell ref="E13:I13"/>
    <mergeCell ref="J14:M14"/>
    <mergeCell ref="B6:D6"/>
    <mergeCell ref="E7:M7"/>
    <mergeCell ref="B5:D5"/>
    <mergeCell ref="J13:M13"/>
    <mergeCell ref="B4:D4"/>
    <mergeCell ref="B7:D7"/>
    <mergeCell ref="B16:M16"/>
    <mergeCell ref="G20:H20"/>
    <mergeCell ref="B25:M25"/>
    <mergeCell ref="E5:M5"/>
    <mergeCell ref="J20:M20"/>
    <mergeCell ref="B18:M18"/>
    <mergeCell ref="G22:H22"/>
    <mergeCell ref="B12:D12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5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계 약 보 증 금 납 부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계약 금액</t>
        </is>
      </c>
      <c r="C6" s="36" t="n"/>
      <c r="D6" s="37" t="n"/>
      <c r="E6" s="38">
        <f>IF('입력'!$C$14="","",'계산'!$J$3&amp;"원정 (₩"&amp;FIXED('입력'!$C$14,0)&amp;")")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보증금률</t>
        </is>
      </c>
      <c r="C7" s="36" t="n"/>
      <c r="D7" s="37" t="n"/>
      <c r="E7" s="38">
        <f>IF('입력'!$C$45="","",'입력'!$C$45&amp;"%")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44.2" customHeight="1">
      <c r="B8" s="35" t="inlineStr">
        <is>
          <t>계약보증금</t>
        </is>
      </c>
      <c r="C8" s="36" t="n"/>
      <c r="D8" s="37" t="n"/>
      <c r="E8" s="38">
        <f>IF('입력'!$C$124="","",'계산'!$J$5&amp;"원정 (₩"&amp;FIXED('입력'!$C$124,0)&amp;")")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8" customHeight="1">
      <c r="B9" s="35" t="inlineStr">
        <is>
          <t>납부 방법</t>
        </is>
      </c>
      <c r="C9" s="36" t="n"/>
      <c r="D9" s="37" t="n"/>
      <c r="E9" s="38">
        <f>'입력'!$C$46&amp;""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33.8" customHeight="1">
      <c r="B10" s="35" t="inlineStr">
        <is>
          <t>보증 기간</t>
        </is>
      </c>
      <c r="C10" s="36" t="n"/>
      <c r="D10" s="37" t="n"/>
      <c r="E10" s="38">
        <f>IF(OR('입력'!$C$11="",'입력'!$C$13=""),"",IF('입력'!$C$11="","",YEAR('입력'!$C$11)&amp;". "&amp;MONTH('입력'!$C$11)&amp;". "&amp;DAY('입력'!$C$11)&amp;".")&amp;" ~ "&amp;IF('입력'!$C$13="","",YEAR('입력'!$C$13)&amp;". "&amp;MONTH('입력'!$C$13)&amp;". "&amp;DAY('입력'!$C$13)&amp;"."))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8" customHeight="1"/>
    <row r="12" ht="25.05" customHeight="1">
      <c r="B12" s="43" t="inlineStr">
        <is>
          <t>위 계약의 계약보증금을 위와 같이 납부합니다.</t>
        </is>
      </c>
    </row>
    <row r="13" ht="24" customHeight="1">
      <c r="B13" s="35" t="inlineStr">
        <is>
          <t>붙임 서류</t>
        </is>
      </c>
      <c r="C13" s="36" t="n"/>
      <c r="D13" s="36" t="n"/>
      <c r="E13" s="36" t="n"/>
      <c r="F13" s="36" t="n"/>
      <c r="G13" s="36" t="n"/>
      <c r="H13" s="37" t="n"/>
      <c r="I13" s="35" t="inlineStr">
        <is>
          <t>부수</t>
        </is>
      </c>
      <c r="J13" s="37" t="n"/>
      <c r="K13" s="35" t="inlineStr">
        <is>
          <t>비고</t>
        </is>
      </c>
      <c r="L13" s="36" t="n"/>
      <c r="M13" s="37" t="n"/>
    </row>
    <row r="14" ht="28.6" customHeight="1">
      <c r="B14" s="42" t="inlineStr">
        <is>
          <t>계약보증서(보증증권) — 현금이면 납부 영수증</t>
        </is>
      </c>
      <c r="C14" s="39" t="n"/>
      <c r="D14" s="39" t="n"/>
      <c r="E14" s="39" t="n"/>
      <c r="F14" s="39" t="n"/>
      <c r="G14" s="39" t="n"/>
      <c r="H14" s="40" t="n"/>
      <c r="I14" s="42" t="inlineStr">
        <is>
          <t>1부</t>
        </is>
      </c>
      <c r="J14" s="40" t="n"/>
      <c r="K14" s="42" t="n"/>
      <c r="L14" s="39" t="n"/>
      <c r="M14" s="40" t="n"/>
    </row>
    <row r="15" ht="8" customHeight="1"/>
    <row r="16" ht="22.725" customHeight="1">
      <c r="B16" s="50" t="inlineStr">
        <is>
          <t>※ 보증 기간은 보증서에 적힌 기간을 확인하세요.</t>
        </is>
      </c>
    </row>
    <row r="17" ht="99.82500000000005" customHeight="1"/>
    <row r="18" ht="30" customHeight="1">
      <c r="B18" s="44">
        <f>IF('입력'!$C$11="","          년      월      일",YEAR('입력'!$C$11)&amp;"년  "&amp;MONTH('입력'!$C$11)&amp;"월  "&amp;DAY('입력'!$C$11)&amp;"일")</f>
        <v/>
      </c>
    </row>
    <row r="19" ht="6" customHeight="1"/>
    <row r="20" ht="24" customHeight="1">
      <c r="B20" s="45" t="inlineStr">
        <is>
          <t>계약상대자</t>
        </is>
      </c>
      <c r="G20" s="46" t="inlineStr">
        <is>
          <t>상    호</t>
        </is>
      </c>
      <c r="I20" s="47" t="inlineStr">
        <is>
          <t>:</t>
        </is>
      </c>
      <c r="J20" s="48">
        <f>'입력'!$C$27&amp;""</f>
        <v/>
      </c>
    </row>
    <row r="21" ht="24" customHeight="1">
      <c r="G21" s="46" t="inlineStr">
        <is>
          <t>주    소</t>
        </is>
      </c>
      <c r="I21" s="47" t="inlineStr">
        <is>
          <t>:</t>
        </is>
      </c>
      <c r="J21" s="48">
        <f>'입력'!$C$30&amp;""</f>
        <v/>
      </c>
    </row>
    <row r="22" ht="24" customHeight="1">
      <c r="G22" s="46" t="inlineStr">
        <is>
          <t>대 표 자</t>
        </is>
      </c>
      <c r="I22" s="47" t="inlineStr">
        <is>
          <t>:</t>
        </is>
      </c>
      <c r="J22" s="48">
        <f>'입력'!$C$28&amp;"          (인)"</f>
        <v/>
      </c>
    </row>
    <row r="23" ht="8" customHeight="1"/>
    <row r="24" ht="8" customHeight="1"/>
    <row r="25" ht="30" customHeight="1">
      <c r="B25" s="49">
        <f>IF('입력'!$C$18="","                  귀하",'입력'!$C$18&amp;"  귀하")</f>
        <v/>
      </c>
    </row>
  </sheetData>
  <mergeCells count="32">
    <mergeCell ref="G21:H21"/>
    <mergeCell ref="B2:M2"/>
    <mergeCell ref="J22:M22"/>
    <mergeCell ref="E10:M10"/>
    <mergeCell ref="B8:D8"/>
    <mergeCell ref="E9:M9"/>
    <mergeCell ref="J21:M21"/>
    <mergeCell ref="B20:E20"/>
    <mergeCell ref="E6:M6"/>
    <mergeCell ref="B10:D10"/>
    <mergeCell ref="G22:H22"/>
    <mergeCell ref="K14:M14"/>
    <mergeCell ref="B9:D9"/>
    <mergeCell ref="B6:D6"/>
    <mergeCell ref="E7:M7"/>
    <mergeCell ref="B5:D5"/>
    <mergeCell ref="K13:M13"/>
    <mergeCell ref="B4:D4"/>
    <mergeCell ref="I14:J14"/>
    <mergeCell ref="B7:D7"/>
    <mergeCell ref="B14:H14"/>
    <mergeCell ref="B16:M16"/>
    <mergeCell ref="G20:H20"/>
    <mergeCell ref="B25:M25"/>
    <mergeCell ref="B13:H13"/>
    <mergeCell ref="E5:M5"/>
    <mergeCell ref="J20:M20"/>
    <mergeCell ref="E8:M8"/>
    <mergeCell ref="I13:J13"/>
    <mergeCell ref="B18:M18"/>
    <mergeCell ref="E4:M4"/>
    <mergeCell ref="B12:M1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18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계 약 보 증 금 지 급 각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계약 금액</t>
        </is>
      </c>
      <c r="C6" s="36" t="n"/>
      <c r="D6" s="37" t="n"/>
      <c r="E6" s="38">
        <f>IF('입력'!$C$14="","",'계산'!$J$3&amp;"원정 (₩"&amp;FIXED('입력'!$C$14,0)&amp;")")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44.2" customHeight="1">
      <c r="B7" s="35" t="inlineStr">
        <is>
          <t>계약보증금</t>
        </is>
      </c>
      <c r="C7" s="36" t="n"/>
      <c r="D7" s="37" t="n"/>
      <c r="E7" s="38">
        <f>IF('입력'!$C$124="","",'계산'!$J$5&amp;"원정 (₩"&amp;FIXED('입력'!$C$124,0)&amp;")")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59.15000000000001" customHeight="1">
      <c r="B9" s="43" t="inlineStr">
        <is>
          <t>우리 회사는 위 계약의 계약보증금 납부를 면제받는 대신, 계약상의 의무를 이행하지 아니하여 계약보증금이 발주기관에 귀속되는 사유가 생긴 때에는 위 계약보증금에 해당하는 금액을 발주기관의 청구에 따라 즉시 현금으로 납부할 것을 각서합니다.</t>
        </is>
      </c>
    </row>
    <row r="10" ht="128" customHeight="1"/>
    <row r="11" ht="30" customHeight="1">
      <c r="B11" s="44">
        <f>IF('입력'!$C$11="","          년      월      일",YEAR('입력'!$C$11)&amp;"년  "&amp;MONTH('입력'!$C$11)&amp;"월  "&amp;DAY('입력'!$C$11)&amp;"일")</f>
        <v/>
      </c>
    </row>
    <row r="12" ht="6" customHeight="1"/>
    <row r="13" ht="24" customHeight="1">
      <c r="B13" s="45" t="inlineStr">
        <is>
          <t>계약상대자</t>
        </is>
      </c>
      <c r="G13" s="46" t="inlineStr">
        <is>
          <t>상    호</t>
        </is>
      </c>
      <c r="I13" s="47" t="inlineStr">
        <is>
          <t>:</t>
        </is>
      </c>
      <c r="J13" s="48">
        <f>'입력'!$C$27&amp;""</f>
        <v/>
      </c>
    </row>
    <row r="14" ht="24" customHeight="1">
      <c r="G14" s="46" t="inlineStr">
        <is>
          <t>주    소</t>
        </is>
      </c>
      <c r="I14" s="47" t="inlineStr">
        <is>
          <t>:</t>
        </is>
      </c>
      <c r="J14" s="48">
        <f>'입력'!$C$30&amp;""</f>
        <v/>
      </c>
    </row>
    <row r="15" ht="24" customHeight="1">
      <c r="G15" s="46" t="inlineStr">
        <is>
          <t>대 표 자</t>
        </is>
      </c>
      <c r="I15" s="47" t="inlineStr">
        <is>
          <t>:</t>
        </is>
      </c>
      <c r="J15" s="48">
        <f>'입력'!$C$28&amp;"          (인)"</f>
        <v/>
      </c>
    </row>
    <row r="16" ht="8" customHeight="1"/>
    <row r="17" ht="8" customHeight="1"/>
    <row r="18" ht="30" customHeight="1">
      <c r="B18" s="49">
        <f>IF('입력'!$C$18="","                  귀하",'입력'!$C$18&amp;"  귀하")</f>
        <v/>
      </c>
    </row>
  </sheetData>
  <mergeCells count="19">
    <mergeCell ref="B2:M2"/>
    <mergeCell ref="B11:M11"/>
    <mergeCell ref="E6:M6"/>
    <mergeCell ref="B9:M9"/>
    <mergeCell ref="J14:M14"/>
    <mergeCell ref="G13:H13"/>
    <mergeCell ref="B6:D6"/>
    <mergeCell ref="E7:M7"/>
    <mergeCell ref="B5:D5"/>
    <mergeCell ref="J13:M13"/>
    <mergeCell ref="G15:H15"/>
    <mergeCell ref="B4:D4"/>
    <mergeCell ref="G14:H14"/>
    <mergeCell ref="J15:M15"/>
    <mergeCell ref="B7:D7"/>
    <mergeCell ref="E5:M5"/>
    <mergeCell ref="B13:E13"/>
    <mergeCell ref="B18:M18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2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청 렴 계 약 이 행 서 약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8" customHeight="1">
      <c r="B6" s="35" t="inlineStr">
        <is>
          <t>상    호</t>
        </is>
      </c>
      <c r="C6" s="36" t="n"/>
      <c r="D6" s="37" t="n"/>
      <c r="E6" s="38">
        <f>'입력'!$C$27&amp;""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대 표 자</t>
        </is>
      </c>
      <c r="C7" s="36" t="n"/>
      <c r="D7" s="37" t="n"/>
      <c r="E7" s="38">
        <f>'입력'!$C$28&amp;""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25.05" customHeight="1">
      <c r="B9" s="43" t="inlineStr">
        <is>
          <t>우리 회사는 위 공사의 입찰·계약 체결과 이행에 관련하여 다음 사항을 지킬 것을 서약합니다.</t>
        </is>
      </c>
    </row>
    <row r="10" ht="25.05" customHeight="1">
      <c r="B10" s="43" t="inlineStr">
        <is>
          <t>1. 관계 공무원(임직원)에게 직접 또는 간접으로 금품·향응 등을 주거나 받지 않겠습니다.</t>
        </is>
      </c>
    </row>
    <row r="11" ht="25.05" customHeight="1">
      <c r="B11" s="43" t="inlineStr">
        <is>
          <t>2. 담합 등 공정한 경쟁을 방해하는 행위를 하지 않겠습니다.</t>
        </is>
      </c>
    </row>
    <row r="12" ht="25.05" customHeight="1">
      <c r="B12" s="43" t="inlineStr">
        <is>
          <t>3. 하도급·자재·장비 업체와의 거래에서도 부당한 요구를 하거나 금품을 주고받지 않겠습니다.</t>
        </is>
      </c>
    </row>
    <row r="13" ht="42.1" customHeight="1">
      <c r="B13" s="43" t="inlineStr">
        <is>
          <t>4. 위 사항을 어긴 때에는 계약 해제·해지, 입찰참가자격 제한 등 관계 법령과 계약 조건에 따른 조치를 받아들이겠습니다.</t>
        </is>
      </c>
    </row>
    <row r="14" ht="128" customHeight="1"/>
    <row r="15" ht="30" customHeight="1">
      <c r="B15" s="44">
        <f>IF('입력'!$C$11="","          년      월      일",YEAR('입력'!$C$11)&amp;"년  "&amp;MONTH('입력'!$C$11)&amp;"월  "&amp;DAY('입력'!$C$11)&amp;"일")</f>
        <v/>
      </c>
    </row>
    <row r="16" ht="6" customHeight="1"/>
    <row r="17" ht="24" customHeight="1">
      <c r="B17" s="45" t="inlineStr">
        <is>
          <t>계약상대자</t>
        </is>
      </c>
      <c r="G17" s="46" t="inlineStr">
        <is>
          <t>상    호</t>
        </is>
      </c>
      <c r="I17" s="47" t="inlineStr">
        <is>
          <t>:</t>
        </is>
      </c>
      <c r="J17" s="48">
        <f>'입력'!$C$27&amp;""</f>
        <v/>
      </c>
    </row>
    <row r="18" ht="24" customHeight="1">
      <c r="G18" s="46" t="inlineStr">
        <is>
          <t>주    소</t>
        </is>
      </c>
      <c r="I18" s="47" t="inlineStr">
        <is>
          <t>:</t>
        </is>
      </c>
      <c r="J18" s="48">
        <f>'입력'!$C$30&amp;""</f>
        <v/>
      </c>
    </row>
    <row r="19" ht="24" customHeight="1">
      <c r="G19" s="46" t="inlineStr">
        <is>
          <t>대 표 자</t>
        </is>
      </c>
      <c r="I19" s="47" t="inlineStr">
        <is>
          <t>:</t>
        </is>
      </c>
      <c r="J19" s="48">
        <f>'입력'!$C$28&amp;"          (인)"</f>
        <v/>
      </c>
    </row>
    <row r="20" ht="8" customHeight="1"/>
    <row r="21" ht="8" customHeight="1"/>
    <row r="22" ht="30" customHeight="1">
      <c r="B22" s="49">
        <f>IF('입력'!$C$18="","                  귀하",'입력'!$C$18&amp;"  귀하")</f>
        <v/>
      </c>
    </row>
  </sheetData>
  <mergeCells count="23">
    <mergeCell ref="B2:M2"/>
    <mergeCell ref="B11:M11"/>
    <mergeCell ref="B13:M13"/>
    <mergeCell ref="G17:H17"/>
    <mergeCell ref="J18:M18"/>
    <mergeCell ref="E6:M6"/>
    <mergeCell ref="B10:M10"/>
    <mergeCell ref="J17:M17"/>
    <mergeCell ref="G19:H19"/>
    <mergeCell ref="B9:M9"/>
    <mergeCell ref="G18:H18"/>
    <mergeCell ref="B6:D6"/>
    <mergeCell ref="J19:M19"/>
    <mergeCell ref="E7:M7"/>
    <mergeCell ref="B5:D5"/>
    <mergeCell ref="B15:M15"/>
    <mergeCell ref="B4:D4"/>
    <mergeCell ref="B7:D7"/>
    <mergeCell ref="B17:E17"/>
    <mergeCell ref="E5:M5"/>
    <mergeCell ref="B22:M22"/>
    <mergeCell ref="E4:M4"/>
    <mergeCell ref="B12:M1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1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수 의 계 약 각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44.2" customHeight="1">
      <c r="B5" s="35" t="inlineStr">
        <is>
          <t>계약 금액</t>
        </is>
      </c>
      <c r="C5" s="36" t="n"/>
      <c r="D5" s="37" t="n"/>
      <c r="E5" s="38">
        <f>IF('입력'!$C$14="","",'계산'!$J$3&amp;"원정 (₩"&amp;FIXED('입력'!$C$14,0)&amp;")")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8" customHeight="1">
      <c r="B6" s="35" t="inlineStr">
        <is>
          <t>계약 방법</t>
        </is>
      </c>
      <c r="C6" s="36" t="n"/>
      <c r="D6" s="37" t="n"/>
      <c r="E6" s="38">
        <f>'입력'!$C$10&amp;""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8" customHeight="1"/>
    <row r="8" ht="25.05" customHeight="1">
      <c r="B8" s="43" t="inlineStr">
        <is>
          <t>우리 회사는 위 공사를 수의계약으로 체결하면서 다음 사항을 지킬 것을 각서합니다.</t>
        </is>
      </c>
    </row>
    <row r="9" ht="25.05" customHeight="1">
      <c r="B9" s="43" t="inlineStr">
        <is>
          <t>1. 견적서 제출과 계약 체결 과정에서 다른 업체와 짜거나 부정한 방법을 쓰지 않았습니다.</t>
        </is>
      </c>
    </row>
    <row r="10" ht="25.05" customHeight="1">
      <c r="B10" s="43" t="inlineStr">
        <is>
          <t>2. 수의계약 상대자가 되는 데 결격 사유가 없으며, 제출한 서류는 사실과 다르지 않습니다.</t>
        </is>
      </c>
    </row>
    <row r="11" ht="25.05" customHeight="1">
      <c r="B11" s="43" t="inlineStr">
        <is>
          <t>3. 계약을 이행하면서 관계 법령과 계약 조건을 성실히 지키겠습니다.</t>
        </is>
      </c>
    </row>
    <row r="12" ht="42.1" customHeight="1">
      <c r="B12" s="43" t="inlineStr">
        <is>
          <t>4. 위 사항이 사실과 다르거나 이를 어긴 때에는 계약 해제·해지 등 관계 법령에 따른 조치를 받아들이겠습니다.</t>
        </is>
      </c>
    </row>
    <row r="13" ht="128" customHeight="1"/>
    <row r="14" ht="30" customHeight="1">
      <c r="B14" s="44">
        <f>IF('입력'!$C$11="","          년      월      일",YEAR('입력'!$C$11)&amp;"년  "&amp;MONTH('입력'!$C$11)&amp;"월  "&amp;DAY('입력'!$C$11)&amp;"일")</f>
        <v/>
      </c>
    </row>
    <row r="15" ht="6" customHeight="1"/>
    <row r="16" ht="24" customHeight="1">
      <c r="B16" s="45" t="inlineStr">
        <is>
          <t>계약상대자</t>
        </is>
      </c>
      <c r="G16" s="46" t="inlineStr">
        <is>
          <t>상    호</t>
        </is>
      </c>
      <c r="I16" s="47" t="inlineStr">
        <is>
          <t>:</t>
        </is>
      </c>
      <c r="J16" s="48">
        <f>'입력'!$C$27&amp;""</f>
        <v/>
      </c>
    </row>
    <row r="17" ht="24" customHeight="1">
      <c r="G17" s="46" t="inlineStr">
        <is>
          <t>주    소</t>
        </is>
      </c>
      <c r="I17" s="47" t="inlineStr">
        <is>
          <t>:</t>
        </is>
      </c>
      <c r="J17" s="48">
        <f>'입력'!$C$30&amp;""</f>
        <v/>
      </c>
    </row>
    <row r="18" ht="24" customHeight="1">
      <c r="G18" s="46" t="inlineStr">
        <is>
          <t>대 표 자</t>
        </is>
      </c>
      <c r="I18" s="47" t="inlineStr">
        <is>
          <t>:</t>
        </is>
      </c>
      <c r="J18" s="48">
        <f>'입력'!$C$28&amp;"          (인)"</f>
        <v/>
      </c>
    </row>
    <row r="19" ht="8" customHeight="1"/>
    <row r="20" ht="8" customHeight="1"/>
    <row r="21" ht="30" customHeight="1">
      <c r="B21" s="49">
        <f>IF('입력'!$C$18="","                  귀하",'입력'!$C$18&amp;"  귀하")</f>
        <v/>
      </c>
    </row>
  </sheetData>
  <mergeCells count="21">
    <mergeCell ref="B2:M2"/>
    <mergeCell ref="B11:M11"/>
    <mergeCell ref="B8:M8"/>
    <mergeCell ref="B14:M14"/>
    <mergeCell ref="G17:H17"/>
    <mergeCell ref="J18:M18"/>
    <mergeCell ref="E6:M6"/>
    <mergeCell ref="B10:M10"/>
    <mergeCell ref="J17:M17"/>
    <mergeCell ref="B16:E16"/>
    <mergeCell ref="B9:M9"/>
    <mergeCell ref="G18:H18"/>
    <mergeCell ref="B6:D6"/>
    <mergeCell ref="B5:D5"/>
    <mergeCell ref="B4:D4"/>
    <mergeCell ref="G16:H16"/>
    <mergeCell ref="E5:M5"/>
    <mergeCell ref="J16:M16"/>
    <mergeCell ref="B21:M21"/>
    <mergeCell ref="E4:M4"/>
    <mergeCell ref="B12:M1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8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선  금  신  청 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계약 금액</t>
        </is>
      </c>
      <c r="C6" s="36" t="n"/>
      <c r="D6" s="37" t="n"/>
      <c r="E6" s="38">
        <f>IF('입력'!$C$14="","",'계산'!$J$3&amp;"원정 (₩"&amp;FIXED('입력'!$C$14,0)&amp;")")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선금 신청률</t>
        </is>
      </c>
      <c r="C7" s="36" t="n"/>
      <c r="D7" s="37" t="n"/>
      <c r="E7" s="38">
        <f>IF('입력'!$C$86="","",'입력'!$C$86&amp;"%")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44.2" customHeight="1">
      <c r="B8" s="35" t="inlineStr">
        <is>
          <t>선금 신청 금액</t>
        </is>
      </c>
      <c r="C8" s="36" t="n"/>
      <c r="D8" s="37" t="n"/>
      <c r="E8" s="38">
        <f>IF('입력'!$C$142="","",'계산'!$J$12&amp;"원정 (₩"&amp;FIXED('입력'!$C$142,0)&amp;")")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8" customHeight="1">
      <c r="B9" s="35" t="inlineStr">
        <is>
          <t>보증기관 · 보증번호</t>
        </is>
      </c>
      <c r="C9" s="36" t="n"/>
      <c r="D9" s="37" t="n"/>
      <c r="E9" s="38">
        <f>'입력'!$C$88&amp;""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8" customHeight="1"/>
    <row r="11" ht="33.8" customHeight="1">
      <c r="B11" s="35" t="inlineStr">
        <is>
          <t>은 행 명</t>
        </is>
      </c>
      <c r="C11" s="36" t="n"/>
      <c r="D11" s="37" t="n"/>
      <c r="E11" s="38">
        <f>'입력'!$C$33&amp;""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33.8" customHeight="1">
      <c r="B12" s="35" t="inlineStr">
        <is>
          <t>예 금 주</t>
        </is>
      </c>
      <c r="C12" s="36" t="n"/>
      <c r="D12" s="37" t="n"/>
      <c r="E12" s="38">
        <f>'입력'!$C$34&amp;""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33.8" customHeight="1">
      <c r="B13" s="35" t="inlineStr">
        <is>
          <t>계좌 번호</t>
        </is>
      </c>
      <c r="C13" s="36" t="n"/>
      <c r="D13" s="37" t="n"/>
      <c r="E13" s="38">
        <f>'입력'!$C$35&amp;""</f>
        <v/>
      </c>
      <c r="F13" s="39" t="n"/>
      <c r="G13" s="39" t="n"/>
      <c r="H13" s="39" t="n"/>
      <c r="I13" s="39" t="n"/>
      <c r="J13" s="39" t="n"/>
      <c r="K13" s="39" t="n"/>
      <c r="L13" s="39" t="n"/>
      <c r="M13" s="40" t="n"/>
    </row>
    <row r="14" ht="8" customHeight="1"/>
    <row r="15" ht="25.05" customHeight="1">
      <c r="B15" s="43" t="inlineStr">
        <is>
          <t>위와 같이 선금을 신청합니다.</t>
        </is>
      </c>
    </row>
    <row r="16" ht="24" customHeight="1">
      <c r="B16" s="35" t="inlineStr">
        <is>
          <t>붙임 서류</t>
        </is>
      </c>
      <c r="C16" s="36" t="n"/>
      <c r="D16" s="36" t="n"/>
      <c r="E16" s="36" t="n"/>
      <c r="F16" s="36" t="n"/>
      <c r="G16" s="36" t="n"/>
      <c r="H16" s="37" t="n"/>
      <c r="I16" s="35" t="inlineStr">
        <is>
          <t>부수</t>
        </is>
      </c>
      <c r="J16" s="37" t="n"/>
      <c r="K16" s="35" t="inlineStr">
        <is>
          <t>비고</t>
        </is>
      </c>
      <c r="L16" s="36" t="n"/>
      <c r="M16" s="37" t="n"/>
    </row>
    <row r="17" ht="28.6" customHeight="1">
      <c r="B17" s="42" t="inlineStr">
        <is>
          <t>선금 보증서(보증증권)</t>
        </is>
      </c>
      <c r="C17" s="39" t="n"/>
      <c r="D17" s="39" t="n"/>
      <c r="E17" s="39" t="n"/>
      <c r="F17" s="39" t="n"/>
      <c r="G17" s="39" t="n"/>
      <c r="H17" s="40" t="n"/>
      <c r="I17" s="42" t="inlineStr">
        <is>
          <t>1부</t>
        </is>
      </c>
      <c r="J17" s="40" t="n"/>
      <c r="K17" s="42" t="n"/>
      <c r="L17" s="39" t="n"/>
      <c r="M17" s="40" t="n"/>
    </row>
    <row r="18" ht="28.6" customHeight="1">
      <c r="B18" s="42" t="inlineStr">
        <is>
          <t>선금 사용계획서</t>
        </is>
      </c>
      <c r="C18" s="39" t="n"/>
      <c r="D18" s="39" t="n"/>
      <c r="E18" s="39" t="n"/>
      <c r="F18" s="39" t="n"/>
      <c r="G18" s="39" t="n"/>
      <c r="H18" s="40" t="n"/>
      <c r="I18" s="42" t="inlineStr">
        <is>
          <t>1부</t>
        </is>
      </c>
      <c r="J18" s="40" t="n"/>
      <c r="K18" s="42" t="n"/>
      <c r="L18" s="39" t="n"/>
      <c r="M18" s="40" t="n"/>
    </row>
    <row r="19" ht="8" customHeight="1"/>
    <row r="20" ht="18.35000000000002" customHeight="1"/>
    <row r="21" ht="30" customHeight="1">
      <c r="B21" s="44">
        <f>IF('입력'!$C$85="","          년      월      일",YEAR('입력'!$C$85)&amp;"년  "&amp;MONTH('입력'!$C$85)&amp;"월  "&amp;DAY('입력'!$C$85)&amp;"일")</f>
        <v/>
      </c>
    </row>
    <row r="22" ht="6" customHeight="1"/>
    <row r="23" ht="24" customHeight="1">
      <c r="B23" s="45" t="inlineStr">
        <is>
          <t>계약상대자</t>
        </is>
      </c>
      <c r="G23" s="46" t="inlineStr">
        <is>
          <t>상    호</t>
        </is>
      </c>
      <c r="I23" s="47" t="inlineStr">
        <is>
          <t>:</t>
        </is>
      </c>
      <c r="J23" s="48">
        <f>'입력'!$C$27&amp;""</f>
        <v/>
      </c>
    </row>
    <row r="24" ht="24" customHeight="1">
      <c r="G24" s="46" t="inlineStr">
        <is>
          <t>주    소</t>
        </is>
      </c>
      <c r="I24" s="47" t="inlineStr">
        <is>
          <t>:</t>
        </is>
      </c>
      <c r="J24" s="48">
        <f>'입력'!$C$30&amp;""</f>
        <v/>
      </c>
    </row>
    <row r="25" ht="24" customHeight="1">
      <c r="G25" s="46" t="inlineStr">
        <is>
          <t>대 표 자</t>
        </is>
      </c>
      <c r="I25" s="47" t="inlineStr">
        <is>
          <t>:</t>
        </is>
      </c>
      <c r="J25" s="48">
        <f>'입력'!$C$28&amp;"          (인)"</f>
        <v/>
      </c>
    </row>
    <row r="26" ht="8" customHeight="1"/>
    <row r="27" ht="8" customHeight="1"/>
    <row r="28" ht="30" customHeight="1">
      <c r="B28" s="49">
        <f>IF('입력'!$C$18="","                  귀하",'입력'!$C$18&amp;"  귀하")</f>
        <v/>
      </c>
    </row>
  </sheetData>
  <mergeCells count="38">
    <mergeCell ref="B11:D11"/>
    <mergeCell ref="B2:M2"/>
    <mergeCell ref="B8:D8"/>
    <mergeCell ref="E13:M13"/>
    <mergeCell ref="B13:D13"/>
    <mergeCell ref="E9:M9"/>
    <mergeCell ref="G23:H23"/>
    <mergeCell ref="E6:M6"/>
    <mergeCell ref="J23:M23"/>
    <mergeCell ref="B28:M28"/>
    <mergeCell ref="E11:M11"/>
    <mergeCell ref="I16:J16"/>
    <mergeCell ref="B9:D9"/>
    <mergeCell ref="B16:H16"/>
    <mergeCell ref="K17:M17"/>
    <mergeCell ref="B6:D6"/>
    <mergeCell ref="I18:J18"/>
    <mergeCell ref="E7:M7"/>
    <mergeCell ref="B5:D5"/>
    <mergeCell ref="B15:M15"/>
    <mergeCell ref="B18:H18"/>
    <mergeCell ref="G24:H24"/>
    <mergeCell ref="B4:D4"/>
    <mergeCell ref="J25:M25"/>
    <mergeCell ref="K18:M18"/>
    <mergeCell ref="J24:M24"/>
    <mergeCell ref="B7:D7"/>
    <mergeCell ref="K16:M16"/>
    <mergeCell ref="E12:M12"/>
    <mergeCell ref="I17:J17"/>
    <mergeCell ref="B23:E23"/>
    <mergeCell ref="B17:H17"/>
    <mergeCell ref="E5:M5"/>
    <mergeCell ref="G25:H25"/>
    <mergeCell ref="E8:M8"/>
    <mergeCell ref="B12:D12"/>
    <mergeCell ref="B21:M21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0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선 금 사 용 계 획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6.8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6.8" customHeight="1">
      <c r="B5" s="35" t="inlineStr">
        <is>
          <t>선금 수령액</t>
        </is>
      </c>
      <c r="C5" s="36" t="n"/>
      <c r="D5" s="37" t="n"/>
      <c r="E5" s="38">
        <f>IF('입력'!$C$142="","",'계산'!$J$12&amp;"원정 (₩"&amp;FIXED('입력'!$C$142,0)&amp;")")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8.1" customHeight="1">
      <c r="B6" s="35" t="inlineStr">
        <is>
          <t>사용 기간</t>
        </is>
      </c>
      <c r="C6" s="36" t="n"/>
      <c r="D6" s="37" t="n"/>
      <c r="E6" s="38" t="n"/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8" customHeight="1"/>
    <row r="8" ht="24" customHeight="1">
      <c r="B8" s="35" t="inlineStr">
        <is>
          <t>사용 항목</t>
        </is>
      </c>
      <c r="C8" s="36" t="n"/>
      <c r="D8" s="37" t="n"/>
      <c r="E8" s="35" t="inlineStr">
        <is>
          <t>세부 내용</t>
        </is>
      </c>
      <c r="F8" s="36" t="n"/>
      <c r="G8" s="36" t="n"/>
      <c r="H8" s="37" t="n"/>
      <c r="I8" s="35" t="inlineStr">
        <is>
          <t>금액 (원)</t>
        </is>
      </c>
      <c r="J8" s="37" t="n"/>
      <c r="K8" s="35" t="inlineStr">
        <is>
          <t>사용 시기</t>
        </is>
      </c>
      <c r="L8" s="37" t="n"/>
      <c r="M8" s="51" t="inlineStr">
        <is>
          <t>비  고</t>
        </is>
      </c>
    </row>
    <row r="9" ht="28.1" customHeight="1">
      <c r="B9" s="42" t="n"/>
      <c r="C9" s="39" t="n"/>
      <c r="D9" s="40" t="n"/>
      <c r="E9" s="42" t="n"/>
      <c r="F9" s="39" t="n"/>
      <c r="G9" s="39" t="n"/>
      <c r="H9" s="40" t="n"/>
      <c r="I9" s="52" t="n"/>
      <c r="J9" s="40" t="n"/>
      <c r="K9" s="42" t="n"/>
      <c r="L9" s="40" t="n"/>
      <c r="M9" s="53" t="n"/>
    </row>
    <row r="10" ht="28.1" customHeight="1">
      <c r="B10" s="42" t="n"/>
      <c r="C10" s="39" t="n"/>
      <c r="D10" s="40" t="n"/>
      <c r="E10" s="42" t="n"/>
      <c r="F10" s="39" t="n"/>
      <c r="G10" s="39" t="n"/>
      <c r="H10" s="40" t="n"/>
      <c r="I10" s="52" t="n"/>
      <c r="J10" s="40" t="n"/>
      <c r="K10" s="42" t="n"/>
      <c r="L10" s="40" t="n"/>
      <c r="M10" s="53" t="n"/>
    </row>
    <row r="11" ht="28.1" customHeight="1">
      <c r="B11" s="42" t="n"/>
      <c r="C11" s="39" t="n"/>
      <c r="D11" s="40" t="n"/>
      <c r="E11" s="42" t="n"/>
      <c r="F11" s="39" t="n"/>
      <c r="G11" s="39" t="n"/>
      <c r="H11" s="40" t="n"/>
      <c r="I11" s="52" t="n"/>
      <c r="J11" s="40" t="n"/>
      <c r="K11" s="42" t="n"/>
      <c r="L11" s="40" t="n"/>
      <c r="M11" s="53" t="n"/>
    </row>
    <row r="12" ht="28.1" customHeight="1">
      <c r="B12" s="42" t="n"/>
      <c r="C12" s="39" t="n"/>
      <c r="D12" s="40" t="n"/>
      <c r="E12" s="42" t="n"/>
      <c r="F12" s="39" t="n"/>
      <c r="G12" s="39" t="n"/>
      <c r="H12" s="40" t="n"/>
      <c r="I12" s="52" t="n"/>
      <c r="J12" s="40" t="n"/>
      <c r="K12" s="42" t="n"/>
      <c r="L12" s="40" t="n"/>
      <c r="M12" s="53" t="n"/>
    </row>
    <row r="13" ht="28.1" customHeight="1">
      <c r="B13" s="42" t="n"/>
      <c r="C13" s="39" t="n"/>
      <c r="D13" s="40" t="n"/>
      <c r="E13" s="42" t="n"/>
      <c r="F13" s="39" t="n"/>
      <c r="G13" s="39" t="n"/>
      <c r="H13" s="40" t="n"/>
      <c r="I13" s="52" t="n"/>
      <c r="J13" s="40" t="n"/>
      <c r="K13" s="42" t="n"/>
      <c r="L13" s="40" t="n"/>
      <c r="M13" s="53" t="n"/>
    </row>
    <row r="14" ht="28.1" customHeight="1">
      <c r="B14" s="42" t="n"/>
      <c r="C14" s="39" t="n"/>
      <c r="D14" s="40" t="n"/>
      <c r="E14" s="42" t="n"/>
      <c r="F14" s="39" t="n"/>
      <c r="G14" s="39" t="n"/>
      <c r="H14" s="40" t="n"/>
      <c r="I14" s="52" t="n"/>
      <c r="J14" s="40" t="n"/>
      <c r="K14" s="42" t="n"/>
      <c r="L14" s="40" t="n"/>
      <c r="M14" s="53" t="n"/>
    </row>
    <row r="15" ht="28.1" customHeight="1">
      <c r="B15" s="42" t="n"/>
      <c r="C15" s="39" t="n"/>
      <c r="D15" s="40" t="n"/>
      <c r="E15" s="42" t="n"/>
      <c r="F15" s="39" t="n"/>
      <c r="G15" s="39" t="n"/>
      <c r="H15" s="40" t="n"/>
      <c r="I15" s="52" t="n"/>
      <c r="J15" s="40" t="n"/>
      <c r="K15" s="42" t="n"/>
      <c r="L15" s="40" t="n"/>
      <c r="M15" s="53" t="n"/>
    </row>
    <row r="16" ht="28.1" customHeight="1">
      <c r="B16" s="42" t="n"/>
      <c r="C16" s="39" t="n"/>
      <c r="D16" s="40" t="n"/>
      <c r="E16" s="42" t="n"/>
      <c r="F16" s="39" t="n"/>
      <c r="G16" s="39" t="n"/>
      <c r="H16" s="40" t="n"/>
      <c r="I16" s="52" t="n"/>
      <c r="J16" s="40" t="n"/>
      <c r="K16" s="42" t="n"/>
      <c r="L16" s="40" t="n"/>
      <c r="M16" s="53" t="n"/>
    </row>
    <row r="17" ht="28.1" customHeight="1">
      <c r="B17" s="42" t="n"/>
      <c r="C17" s="39" t="n"/>
      <c r="D17" s="40" t="n"/>
      <c r="E17" s="42" t="n"/>
      <c r="F17" s="39" t="n"/>
      <c r="G17" s="39" t="n"/>
      <c r="H17" s="40" t="n"/>
      <c r="I17" s="52" t="n"/>
      <c r="J17" s="40" t="n"/>
      <c r="K17" s="42" t="n"/>
      <c r="L17" s="40" t="n"/>
      <c r="M17" s="53" t="n"/>
    </row>
    <row r="18" ht="28.1" customHeight="1">
      <c r="B18" s="42" t="n"/>
      <c r="C18" s="39" t="n"/>
      <c r="D18" s="40" t="n"/>
      <c r="E18" s="42" t="n"/>
      <c r="F18" s="39" t="n"/>
      <c r="G18" s="39" t="n"/>
      <c r="H18" s="40" t="n"/>
      <c r="I18" s="52" t="n"/>
      <c r="J18" s="40" t="n"/>
      <c r="K18" s="42" t="n"/>
      <c r="L18" s="40" t="n"/>
      <c r="M18" s="53" t="n"/>
    </row>
    <row r="19" ht="28.1" customHeight="1">
      <c r="B19" s="54" t="inlineStr">
        <is>
          <t>합  계</t>
        </is>
      </c>
      <c r="C19" s="39" t="n"/>
      <c r="D19" s="40" t="n"/>
      <c r="E19" s="54" t="n"/>
      <c r="F19" s="39" t="n"/>
      <c r="G19" s="39" t="n"/>
      <c r="H19" s="40" t="n"/>
      <c r="I19" s="55">
        <f>IF(SUM(I9:I18)=0,"",SUM(I9:I18))</f>
        <v/>
      </c>
      <c r="J19" s="40" t="n"/>
      <c r="K19" s="54" t="n"/>
      <c r="L19" s="40" t="n"/>
      <c r="M19" s="56" t="n"/>
    </row>
    <row r="20" ht="8" customHeight="1"/>
    <row r="21" ht="25.05" customHeight="1">
      <c r="B21" s="43" t="inlineStr">
        <is>
          <t>위와 같이 선금을 사용할 것을 계획하며, 계약 목적 외에는 사용하지 않겠습니다.</t>
        </is>
      </c>
    </row>
    <row r="22" ht="8.149999999999977" customHeight="1"/>
    <row r="23" ht="30" customHeight="1">
      <c r="B23" s="44">
        <f>IF('입력'!$C$85="","          년      월      일",YEAR('입력'!$C$85)&amp;"년  "&amp;MONTH('입력'!$C$85)&amp;"월  "&amp;DAY('입력'!$C$85)&amp;"일")</f>
        <v/>
      </c>
    </row>
    <row r="24" ht="6" customHeight="1"/>
    <row r="25" ht="24" customHeight="1">
      <c r="B25" s="45" t="inlineStr">
        <is>
          <t>계약상대자</t>
        </is>
      </c>
      <c r="G25" s="46" t="inlineStr">
        <is>
          <t>상    호</t>
        </is>
      </c>
      <c r="I25" s="47" t="inlineStr">
        <is>
          <t>:</t>
        </is>
      </c>
      <c r="J25" s="48">
        <f>'입력'!$C$27&amp;""</f>
        <v/>
      </c>
    </row>
    <row r="26" ht="24" customHeight="1">
      <c r="G26" s="46" t="inlineStr">
        <is>
          <t>주    소</t>
        </is>
      </c>
      <c r="I26" s="47" t="inlineStr">
        <is>
          <t>:</t>
        </is>
      </c>
      <c r="J26" s="48">
        <f>'입력'!$C$30&amp;""</f>
        <v/>
      </c>
    </row>
    <row r="27" ht="24" customHeight="1">
      <c r="G27" s="46" t="inlineStr">
        <is>
          <t>대 표 자</t>
        </is>
      </c>
      <c r="I27" s="47" t="inlineStr">
        <is>
          <t>:</t>
        </is>
      </c>
      <c r="J27" s="48">
        <f>'입력'!$C$28&amp;"          (인)"</f>
        <v/>
      </c>
    </row>
    <row r="28" ht="8" customHeight="1"/>
    <row r="29" ht="8" customHeight="1"/>
    <row r="30" ht="30" customHeight="1">
      <c r="B30" s="49">
        <f>IF('입력'!$C$18="","                  귀하",'입력'!$C$18&amp;"  귀하")</f>
        <v/>
      </c>
    </row>
  </sheetData>
  <mergeCells count="65">
    <mergeCell ref="K16:L16"/>
    <mergeCell ref="B11:D11"/>
    <mergeCell ref="B2:M2"/>
    <mergeCell ref="B14:D14"/>
    <mergeCell ref="I15:J15"/>
    <mergeCell ref="B8:D8"/>
    <mergeCell ref="K15:L15"/>
    <mergeCell ref="B23:M23"/>
    <mergeCell ref="G27:H27"/>
    <mergeCell ref="K9:L9"/>
    <mergeCell ref="I11:J11"/>
    <mergeCell ref="B13:D13"/>
    <mergeCell ref="E16:H16"/>
    <mergeCell ref="B17:D17"/>
    <mergeCell ref="E6:M6"/>
    <mergeCell ref="B10:D10"/>
    <mergeCell ref="K11:L11"/>
    <mergeCell ref="E18:H18"/>
    <mergeCell ref="B19:D19"/>
    <mergeCell ref="I16:J16"/>
    <mergeCell ref="E12:H12"/>
    <mergeCell ref="B9:D9"/>
    <mergeCell ref="K13:L13"/>
    <mergeCell ref="B25:E25"/>
    <mergeCell ref="B15:D15"/>
    <mergeCell ref="B30:M30"/>
    <mergeCell ref="B6:D6"/>
    <mergeCell ref="I18:J18"/>
    <mergeCell ref="E4:M4"/>
    <mergeCell ref="E14:H14"/>
    <mergeCell ref="I12:J12"/>
    <mergeCell ref="B5:D5"/>
    <mergeCell ref="E17:H17"/>
    <mergeCell ref="K12:L12"/>
    <mergeCell ref="E8:H8"/>
    <mergeCell ref="K8:L8"/>
    <mergeCell ref="B4:D4"/>
    <mergeCell ref="J25:M25"/>
    <mergeCell ref="I8:J8"/>
    <mergeCell ref="I14:J14"/>
    <mergeCell ref="E19:H19"/>
    <mergeCell ref="K14:L14"/>
    <mergeCell ref="E10:H10"/>
    <mergeCell ref="I17:J17"/>
    <mergeCell ref="B16:D16"/>
    <mergeCell ref="K17:L17"/>
    <mergeCell ref="E13:H13"/>
    <mergeCell ref="G26:H26"/>
    <mergeCell ref="J27:M27"/>
    <mergeCell ref="E9:H9"/>
    <mergeCell ref="J26:M26"/>
    <mergeCell ref="E5:M5"/>
    <mergeCell ref="I10:J10"/>
    <mergeCell ref="G25:H25"/>
    <mergeCell ref="K10:L10"/>
    <mergeCell ref="I19:J19"/>
    <mergeCell ref="B18:D18"/>
    <mergeCell ref="K19:L19"/>
    <mergeCell ref="E15:H15"/>
    <mergeCell ref="I13:J13"/>
    <mergeCell ref="B12:D12"/>
    <mergeCell ref="E11:H11"/>
    <mergeCell ref="B21:M21"/>
    <mergeCell ref="K18:L18"/>
    <mergeCell ref="I9:J9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2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착 공 신 고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4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6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6" customHeight="1">
      <c r="B6" s="35" t="inlineStr">
        <is>
          <t>계 약 일</t>
        </is>
      </c>
      <c r="C6" s="36" t="n"/>
      <c r="D6" s="37" t="n"/>
      <c r="E6" s="38">
        <f>IF('입력'!$C$11="","",YEAR('입력'!$C$11)&amp;". "&amp;MONTH('입력'!$C$11)&amp;". "&amp;DAY('입력'!$C$11)&amp;".")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4" customHeight="1">
      <c r="B7" s="35" t="inlineStr">
        <is>
          <t>계약 금액</t>
        </is>
      </c>
      <c r="C7" s="36" t="n"/>
      <c r="D7" s="37" t="n"/>
      <c r="E7" s="38">
        <f>IF('입력'!$C$14="","",'계산'!$J$3&amp;"원정 (₩"&amp;FIXED('입력'!$C$14,0)&amp;")")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26" customHeight="1">
      <c r="B8" s="35" t="inlineStr">
        <is>
          <t>공사 기간</t>
        </is>
      </c>
      <c r="C8" s="36" t="n"/>
      <c r="D8" s="37" t="n"/>
      <c r="E8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26" customHeight="1">
      <c r="B9" s="35" t="inlineStr">
        <is>
          <t>착 공 일</t>
        </is>
      </c>
      <c r="C9" s="36" t="n"/>
      <c r="D9" s="37" t="n"/>
      <c r="E9" s="38">
        <f>IF('입력'!$C$12="","",YEAR('입력'!$C$12)&amp;". "&amp;MONTH('입력'!$C$12)&amp;". "&amp;DAY('입력'!$C$12)&amp;".")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26" customHeight="1">
      <c r="B10" s="35" t="inlineStr">
        <is>
          <t>준공 기한</t>
        </is>
      </c>
      <c r="C10" s="36" t="n"/>
      <c r="D10" s="37" t="n"/>
      <c r="E10" s="38">
        <f>IF('입력'!$C$13="","",YEAR('입력'!$C$13)&amp;". "&amp;MONTH('입력'!$C$13)&amp;". "&amp;DAY('입력'!$C$13)&amp;".")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34" customHeight="1">
      <c r="B11" s="35" t="inlineStr">
        <is>
          <t>현장 위치</t>
        </is>
      </c>
      <c r="C11" s="36" t="n"/>
      <c r="D11" s="37" t="n"/>
      <c r="E11" s="38">
        <f>'입력'!$C$7&amp;""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26" customHeight="1">
      <c r="B12" s="35" t="inlineStr">
        <is>
          <t>현장대리인</t>
        </is>
      </c>
      <c r="C12" s="36" t="n"/>
      <c r="D12" s="37" t="n"/>
      <c r="E12" s="38">
        <f>'입력'!$C$38&amp;IF('입력'!$C$40="",""," ("&amp;'입력'!$C$40&amp;")")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8" customHeight="1"/>
    <row r="14" ht="25.05" customHeight="1">
      <c r="B14" s="43" t="inlineStr">
        <is>
          <t>위 공사를 계약 조건에 따라 착공하였기에 관계 서류를 붙여 신고합니다.</t>
        </is>
      </c>
    </row>
    <row r="15" ht="24" customHeight="1">
      <c r="B15" s="35" t="inlineStr">
        <is>
          <t>붙임 서류</t>
        </is>
      </c>
      <c r="C15" s="36" t="n"/>
      <c r="D15" s="36" t="n"/>
      <c r="E15" s="36" t="n"/>
      <c r="F15" s="36" t="n"/>
      <c r="G15" s="36" t="n"/>
      <c r="H15" s="37" t="n"/>
      <c r="I15" s="35" t="inlineStr">
        <is>
          <t>부수</t>
        </is>
      </c>
      <c r="J15" s="37" t="n"/>
      <c r="K15" s="35" t="inlineStr">
        <is>
          <t>비고</t>
        </is>
      </c>
      <c r="L15" s="36" t="n"/>
      <c r="M15" s="37" t="n"/>
    </row>
    <row r="16" ht="22" customHeight="1">
      <c r="B16" s="42" t="inlineStr">
        <is>
          <t>현장기술자 지정신고서 (현장대리인)</t>
        </is>
      </c>
      <c r="C16" s="39" t="n"/>
      <c r="D16" s="39" t="n"/>
      <c r="E16" s="39" t="n"/>
      <c r="F16" s="39" t="n"/>
      <c r="G16" s="39" t="n"/>
      <c r="H16" s="40" t="n"/>
      <c r="I16" s="42" t="inlineStr">
        <is>
          <t>1부</t>
        </is>
      </c>
      <c r="J16" s="40" t="n"/>
      <c r="K16" s="42" t="n"/>
      <c r="L16" s="39" t="n"/>
      <c r="M16" s="40" t="n"/>
    </row>
    <row r="17" ht="22" customHeight="1">
      <c r="B17" s="42" t="inlineStr">
        <is>
          <t>공사공정예정표</t>
        </is>
      </c>
      <c r="C17" s="39" t="n"/>
      <c r="D17" s="39" t="n"/>
      <c r="E17" s="39" t="n"/>
      <c r="F17" s="39" t="n"/>
      <c r="G17" s="39" t="n"/>
      <c r="H17" s="40" t="n"/>
      <c r="I17" s="42" t="inlineStr">
        <is>
          <t>1부</t>
        </is>
      </c>
      <c r="J17" s="40" t="n"/>
      <c r="K17" s="42" t="n"/>
      <c r="L17" s="39" t="n"/>
      <c r="M17" s="40" t="n"/>
    </row>
    <row r="18" ht="22" customHeight="1">
      <c r="B18" s="42" t="inlineStr">
        <is>
          <t>안전·환경 및 품질관리계획서</t>
        </is>
      </c>
      <c r="C18" s="39" t="n"/>
      <c r="D18" s="39" t="n"/>
      <c r="E18" s="39" t="n"/>
      <c r="F18" s="39" t="n"/>
      <c r="G18" s="39" t="n"/>
      <c r="H18" s="40" t="n"/>
      <c r="I18" s="42" t="inlineStr">
        <is>
          <t>1부</t>
        </is>
      </c>
      <c r="J18" s="40" t="n"/>
      <c r="K18" s="42" t="n"/>
      <c r="L18" s="39" t="n"/>
      <c r="M18" s="40" t="n"/>
    </row>
    <row r="19" ht="22" customHeight="1">
      <c r="B19" s="42" t="inlineStr">
        <is>
          <t>공정별 인력 및 장비투입계획서</t>
        </is>
      </c>
      <c r="C19" s="39" t="n"/>
      <c r="D19" s="39" t="n"/>
      <c r="E19" s="39" t="n"/>
      <c r="F19" s="39" t="n"/>
      <c r="G19" s="39" t="n"/>
      <c r="H19" s="40" t="n"/>
      <c r="I19" s="42" t="inlineStr">
        <is>
          <t>1부</t>
        </is>
      </c>
      <c r="J19" s="40" t="n"/>
      <c r="K19" s="42" t="n"/>
      <c r="L19" s="39" t="n"/>
      <c r="M19" s="40" t="n"/>
    </row>
    <row r="20" ht="22" customHeight="1">
      <c r="B20" s="42" t="inlineStr">
        <is>
          <t>착공 전 현장사진</t>
        </is>
      </c>
      <c r="C20" s="39" t="n"/>
      <c r="D20" s="39" t="n"/>
      <c r="E20" s="39" t="n"/>
      <c r="F20" s="39" t="n"/>
      <c r="G20" s="39" t="n"/>
      <c r="H20" s="40" t="n"/>
      <c r="I20" s="42" t="inlineStr">
        <is>
          <t>1부</t>
        </is>
      </c>
      <c r="J20" s="40" t="n"/>
      <c r="K20" s="42" t="n"/>
      <c r="L20" s="39" t="n"/>
      <c r="M20" s="40" t="n"/>
    </row>
    <row r="21" ht="22" customHeight="1">
      <c r="B21" s="42" t="inlineStr">
        <is>
          <t>그 밖에 발주기관이 정한 서류 (직접시공계획서 등)</t>
        </is>
      </c>
      <c r="C21" s="39" t="n"/>
      <c r="D21" s="39" t="n"/>
      <c r="E21" s="39" t="n"/>
      <c r="F21" s="39" t="n"/>
      <c r="G21" s="39" t="n"/>
      <c r="H21" s="40" t="n"/>
      <c r="I21" s="42" t="inlineStr">
        <is>
          <t>1부</t>
        </is>
      </c>
      <c r="J21" s="40" t="n"/>
      <c r="K21" s="42" t="n"/>
      <c r="L21" s="39" t="n"/>
      <c r="M21" s="40" t="n"/>
    </row>
    <row r="22" ht="8" customHeight="1"/>
    <row r="23" ht="37.45" customHeight="1">
      <c r="B23" s="50" t="inlineStr">
        <is>
          <t>※ 붙임은 공사계약일반조건 제17조①(착공신고서) 그대로입니다. 공사기간 30일 미만 등은 발주기관이 내지 않게 할 수 있습니다.</t>
        </is>
      </c>
    </row>
    <row r="24" ht="8" customHeight="1"/>
    <row r="25" ht="30" customHeight="1">
      <c r="B25" s="44">
        <f>IF('입력'!$C$12="","          년      월      일",YEAR('입력'!$C$12)&amp;"년  "&amp;MONTH('입력'!$C$12)&amp;"월  "&amp;DAY('입력'!$C$12)&amp;"일")</f>
        <v/>
      </c>
    </row>
    <row r="26" ht="6" customHeight="1"/>
    <row r="27" ht="24" customHeight="1">
      <c r="B27" s="45" t="inlineStr">
        <is>
          <t>계약상대자</t>
        </is>
      </c>
      <c r="G27" s="46" t="inlineStr">
        <is>
          <t>상    호</t>
        </is>
      </c>
      <c r="I27" s="47" t="inlineStr">
        <is>
          <t>:</t>
        </is>
      </c>
      <c r="J27" s="48">
        <f>'입력'!$C$27&amp;""</f>
        <v/>
      </c>
    </row>
    <row r="28" ht="24" customHeight="1">
      <c r="G28" s="46" t="inlineStr">
        <is>
          <t>주    소</t>
        </is>
      </c>
      <c r="I28" s="47" t="inlineStr">
        <is>
          <t>:</t>
        </is>
      </c>
      <c r="J28" s="48">
        <f>'입력'!$C$30&amp;""</f>
        <v/>
      </c>
    </row>
    <row r="29" ht="24" customHeight="1">
      <c r="G29" s="46" t="inlineStr">
        <is>
          <t>대 표 자</t>
        </is>
      </c>
      <c r="I29" s="47" t="inlineStr">
        <is>
          <t>:</t>
        </is>
      </c>
      <c r="J29" s="48">
        <f>'입력'!$C$28&amp;"          (인)"</f>
        <v/>
      </c>
    </row>
    <row r="30" ht="8" customHeight="1"/>
    <row r="31" ht="8" customHeight="1"/>
    <row r="32" ht="30" customHeight="1">
      <c r="B32" s="49">
        <f>IF('입력'!$C$18="","                  귀하",'입력'!$C$18&amp;"  귀하")</f>
        <v/>
      </c>
    </row>
  </sheetData>
  <mergeCells count="51">
    <mergeCell ref="B11:D11"/>
    <mergeCell ref="B2:M2"/>
    <mergeCell ref="E10:M10"/>
    <mergeCell ref="I15:J15"/>
    <mergeCell ref="B8:D8"/>
    <mergeCell ref="B23:M23"/>
    <mergeCell ref="G27:H27"/>
    <mergeCell ref="B14:M14"/>
    <mergeCell ref="E9:M9"/>
    <mergeCell ref="B15:H15"/>
    <mergeCell ref="B20:H20"/>
    <mergeCell ref="E6:M6"/>
    <mergeCell ref="B10:D10"/>
    <mergeCell ref="E11:M11"/>
    <mergeCell ref="I16:J16"/>
    <mergeCell ref="B9:D9"/>
    <mergeCell ref="B16:H16"/>
    <mergeCell ref="G28:H28"/>
    <mergeCell ref="K17:M17"/>
    <mergeCell ref="J29:M29"/>
    <mergeCell ref="B6:D6"/>
    <mergeCell ref="I18:J18"/>
    <mergeCell ref="I21:J21"/>
    <mergeCell ref="J28:M28"/>
    <mergeCell ref="E7:M7"/>
    <mergeCell ref="B5:D5"/>
    <mergeCell ref="K19:M19"/>
    <mergeCell ref="B27:E27"/>
    <mergeCell ref="B18:H18"/>
    <mergeCell ref="B21:H21"/>
    <mergeCell ref="B4:D4"/>
    <mergeCell ref="B32:M32"/>
    <mergeCell ref="K18:M18"/>
    <mergeCell ref="B7:D7"/>
    <mergeCell ref="K16:M16"/>
    <mergeCell ref="E12:M12"/>
    <mergeCell ref="I17:J17"/>
    <mergeCell ref="K15:M15"/>
    <mergeCell ref="J27:M27"/>
    <mergeCell ref="G29:H29"/>
    <mergeCell ref="B17:H17"/>
    <mergeCell ref="I20:J20"/>
    <mergeCell ref="B25:M25"/>
    <mergeCell ref="E5:M5"/>
    <mergeCell ref="I19:J19"/>
    <mergeCell ref="K21:M21"/>
    <mergeCell ref="E8:M8"/>
    <mergeCell ref="K20:M20"/>
    <mergeCell ref="B12:D12"/>
    <mergeCell ref="B19:H19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0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현 장 대 리 인 지 정 신 고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8" customHeight="1">
      <c r="B6" s="35" t="inlineStr">
        <is>
          <t>공사 기간</t>
        </is>
      </c>
      <c r="C6" s="36" t="n"/>
      <c r="D6" s="37" t="n"/>
      <c r="E6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44.2" customHeight="1">
      <c r="B7" s="35" t="inlineStr">
        <is>
          <t>현장 위치</t>
        </is>
      </c>
      <c r="C7" s="36" t="n"/>
      <c r="D7" s="37" t="n"/>
      <c r="E7" s="38">
        <f>'입력'!$C$7&amp;""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24" customHeight="1">
      <c r="B9" s="35" t="inlineStr">
        <is>
          <t>성  명</t>
        </is>
      </c>
      <c r="C9" s="37" t="n"/>
      <c r="D9" s="35" t="inlineStr">
        <is>
          <t>생년월일</t>
        </is>
      </c>
      <c r="E9" s="37" t="n"/>
      <c r="F9" s="35" t="inlineStr">
        <is>
          <t>자격 종목·등급</t>
        </is>
      </c>
      <c r="G9" s="36" t="n"/>
      <c r="H9" s="37" t="n"/>
      <c r="I9" s="35" t="inlineStr">
        <is>
          <t>자격(등록) 번호</t>
        </is>
      </c>
      <c r="J9" s="36" t="n"/>
      <c r="K9" s="37" t="n"/>
      <c r="L9" s="35" t="inlineStr">
        <is>
          <t>연 락 처</t>
        </is>
      </c>
      <c r="M9" s="37" t="n"/>
    </row>
    <row r="10" ht="44.2" customHeight="1">
      <c r="B10" s="42">
        <f>'입력'!$C$38&amp;""</f>
        <v/>
      </c>
      <c r="C10" s="40" t="n"/>
      <c r="D10" s="42">
        <f>'입력'!$C$39&amp;""</f>
        <v/>
      </c>
      <c r="E10" s="40" t="n"/>
      <c r="F10" s="42">
        <f>'입력'!$C$40&amp;""</f>
        <v/>
      </c>
      <c r="G10" s="39" t="n"/>
      <c r="H10" s="40" t="n"/>
      <c r="I10" s="42">
        <f>'입력'!$C$41&amp;""</f>
        <v/>
      </c>
      <c r="J10" s="39" t="n"/>
      <c r="K10" s="40" t="n"/>
      <c r="L10" s="42">
        <f>'입력'!$C$42&amp;""</f>
        <v/>
      </c>
      <c r="M10" s="40" t="n"/>
    </row>
    <row r="11" ht="8" customHeight="1"/>
    <row r="12" ht="33.8" customHeight="1">
      <c r="B12" s="35" t="inlineStr">
        <is>
          <t>배치 기간</t>
        </is>
      </c>
      <c r="C12" s="36" t="n"/>
      <c r="D12" s="37" t="n"/>
      <c r="E12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"&amp;DAY('입력'!$C$13)&amp;"."))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8" customHeight="1"/>
    <row r="14" ht="42.1" customHeight="1">
      <c r="B14" s="43" t="inlineStr">
        <is>
          <t>위 사람을 이 공사의 현장대리인으로 지정하여 배치하였기에 신고합니다. 현장대리인은 계약 조건과 관계 법령에 따라 이 공사의 현장 관리 업무를 맡습니다.</t>
        </is>
      </c>
    </row>
    <row r="15" ht="24" customHeight="1">
      <c r="B15" s="35" t="inlineStr">
        <is>
          <t>붙임 서류</t>
        </is>
      </c>
      <c r="C15" s="36" t="n"/>
      <c r="D15" s="36" t="n"/>
      <c r="E15" s="36" t="n"/>
      <c r="F15" s="36" t="n"/>
      <c r="G15" s="36" t="n"/>
      <c r="H15" s="37" t="n"/>
      <c r="I15" s="35" t="inlineStr">
        <is>
          <t>부수</t>
        </is>
      </c>
      <c r="J15" s="37" t="n"/>
      <c r="K15" s="35" t="inlineStr">
        <is>
          <t>비고</t>
        </is>
      </c>
      <c r="L15" s="36" t="n"/>
      <c r="M15" s="37" t="n"/>
    </row>
    <row r="16" ht="28.6" customHeight="1">
      <c r="B16" s="42" t="inlineStr">
        <is>
          <t>자격증(경력수첩) 사본</t>
        </is>
      </c>
      <c r="C16" s="39" t="n"/>
      <c r="D16" s="39" t="n"/>
      <c r="E16" s="39" t="n"/>
      <c r="F16" s="39" t="n"/>
      <c r="G16" s="39" t="n"/>
      <c r="H16" s="40" t="n"/>
      <c r="I16" s="42" t="inlineStr">
        <is>
          <t>1부</t>
        </is>
      </c>
      <c r="J16" s="40" t="n"/>
      <c r="K16" s="42" t="n"/>
      <c r="L16" s="39" t="n"/>
      <c r="M16" s="40" t="n"/>
    </row>
    <row r="17" ht="28.6" customHeight="1">
      <c r="B17" s="42" t="inlineStr">
        <is>
          <t>경력증명서</t>
        </is>
      </c>
      <c r="C17" s="39" t="n"/>
      <c r="D17" s="39" t="n"/>
      <c r="E17" s="39" t="n"/>
      <c r="F17" s="39" t="n"/>
      <c r="G17" s="39" t="n"/>
      <c r="H17" s="40" t="n"/>
      <c r="I17" s="42" t="inlineStr">
        <is>
          <t>1부</t>
        </is>
      </c>
      <c r="J17" s="40" t="n"/>
      <c r="K17" s="42" t="n"/>
      <c r="L17" s="39" t="n"/>
      <c r="M17" s="40" t="n"/>
    </row>
    <row r="18" ht="28.6" customHeight="1">
      <c r="B18" s="42" t="inlineStr">
        <is>
          <t>재직 증명 (4대 보험 가입 증명 등)</t>
        </is>
      </c>
      <c r="C18" s="39" t="n"/>
      <c r="D18" s="39" t="n"/>
      <c r="E18" s="39" t="n"/>
      <c r="F18" s="39" t="n"/>
      <c r="G18" s="39" t="n"/>
      <c r="H18" s="40" t="n"/>
      <c r="I18" s="42" t="inlineStr">
        <is>
          <t>1부</t>
        </is>
      </c>
      <c r="J18" s="40" t="n"/>
      <c r="K18" s="42" t="n"/>
      <c r="L18" s="39" t="n"/>
      <c r="M18" s="40" t="n"/>
    </row>
    <row r="19" ht="8" customHeight="1"/>
    <row r="20" ht="10.10000000000002" customHeight="1"/>
    <row r="21" ht="30" customHeight="1">
      <c r="B21" s="44">
        <f>IF('입력'!$C$12="","          년      월      일",YEAR('입력'!$C$12)&amp;"년  "&amp;MONTH('입력'!$C$12)&amp;"월  "&amp;DAY('입력'!$C$12)&amp;"일")</f>
        <v/>
      </c>
    </row>
    <row r="22" ht="6" customHeight="1"/>
    <row r="23" ht="24" customHeight="1">
      <c r="B23" s="45" t="inlineStr">
        <is>
          <t>현장대리인</t>
        </is>
      </c>
      <c r="G23" s="46" t="inlineStr">
        <is>
          <t>성    명</t>
        </is>
      </c>
      <c r="I23" s="47" t="inlineStr">
        <is>
          <t>:</t>
        </is>
      </c>
      <c r="J23" s="48">
        <f>'입력'!$C$38&amp;"          (인)"</f>
        <v/>
      </c>
    </row>
    <row r="24" ht="8" customHeight="1"/>
    <row r="25" ht="24" customHeight="1">
      <c r="B25" s="45" t="inlineStr">
        <is>
          <t>계약상대자</t>
        </is>
      </c>
      <c r="G25" s="46" t="inlineStr">
        <is>
          <t>상    호</t>
        </is>
      </c>
      <c r="I25" s="47" t="inlineStr">
        <is>
          <t>:</t>
        </is>
      </c>
      <c r="J25" s="48">
        <f>'입력'!$C$27&amp;""</f>
        <v/>
      </c>
    </row>
    <row r="26" ht="24" customHeight="1">
      <c r="G26" s="46" t="inlineStr">
        <is>
          <t>주    소</t>
        </is>
      </c>
      <c r="I26" s="47" t="inlineStr">
        <is>
          <t>:</t>
        </is>
      </c>
      <c r="J26" s="48">
        <f>'입력'!$C$30&amp;""</f>
        <v/>
      </c>
    </row>
    <row r="27" ht="24" customHeight="1">
      <c r="G27" s="46" t="inlineStr">
        <is>
          <t>대 표 자</t>
        </is>
      </c>
      <c r="I27" s="47" t="inlineStr">
        <is>
          <t>:</t>
        </is>
      </c>
      <c r="J27" s="48">
        <f>'입력'!$C$28&amp;"          (인)"</f>
        <v/>
      </c>
    </row>
    <row r="28" ht="8" customHeight="1"/>
    <row r="29" ht="8" customHeight="1"/>
    <row r="30" ht="30" customHeight="1">
      <c r="B30" s="49">
        <f>IF('입력'!$C$18="","                  귀하",'입력'!$C$18&amp;"  귀하")</f>
        <v/>
      </c>
    </row>
  </sheetData>
  <mergeCells count="46">
    <mergeCell ref="B2:M2"/>
    <mergeCell ref="D10:E10"/>
    <mergeCell ref="I15:J15"/>
    <mergeCell ref="G27:H27"/>
    <mergeCell ref="B14:M14"/>
    <mergeCell ref="B15:H15"/>
    <mergeCell ref="G23:H23"/>
    <mergeCell ref="E6:M6"/>
    <mergeCell ref="J23:M23"/>
    <mergeCell ref="I16:J16"/>
    <mergeCell ref="B16:H16"/>
    <mergeCell ref="B25:E25"/>
    <mergeCell ref="F9:H9"/>
    <mergeCell ref="K17:M17"/>
    <mergeCell ref="B30:M30"/>
    <mergeCell ref="B6:D6"/>
    <mergeCell ref="I18:J18"/>
    <mergeCell ref="E7:M7"/>
    <mergeCell ref="B5:D5"/>
    <mergeCell ref="I10:K10"/>
    <mergeCell ref="B18:H18"/>
    <mergeCell ref="L10:M10"/>
    <mergeCell ref="B4:D4"/>
    <mergeCell ref="I9:K9"/>
    <mergeCell ref="B10:C10"/>
    <mergeCell ref="J25:M25"/>
    <mergeCell ref="K18:M18"/>
    <mergeCell ref="B9:C9"/>
    <mergeCell ref="B7:D7"/>
    <mergeCell ref="D9:E9"/>
    <mergeCell ref="E12:M12"/>
    <mergeCell ref="K16:M16"/>
    <mergeCell ref="I17:J17"/>
    <mergeCell ref="L9:M9"/>
    <mergeCell ref="K15:M15"/>
    <mergeCell ref="G26:H26"/>
    <mergeCell ref="J27:M27"/>
    <mergeCell ref="F10:H10"/>
    <mergeCell ref="B23:E23"/>
    <mergeCell ref="B17:H17"/>
    <mergeCell ref="J26:M26"/>
    <mergeCell ref="E5:M5"/>
    <mergeCell ref="G25:H25"/>
    <mergeCell ref="B12:D12"/>
    <mergeCell ref="B21:M21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2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공 사 예 정 공 정 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6.2" customHeight="1">
      <c r="B5" s="35" t="inlineStr">
        <is>
          <t>공사 기간</t>
        </is>
      </c>
      <c r="C5" s="36" t="n"/>
      <c r="D5" s="37" t="n"/>
      <c r="E5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8" customHeight="1"/>
    <row r="7" ht="24" customHeight="1">
      <c r="B7" s="35" t="inlineStr">
        <is>
          <t>공  종</t>
        </is>
      </c>
      <c r="C7" s="36" t="n"/>
      <c r="D7" s="37" t="n"/>
      <c r="E7" s="51" t="inlineStr">
        <is>
          <t>비중(%)</t>
        </is>
      </c>
      <c r="F7" s="51">
        <f>IF('입력'!$C$12="","",MONTH(EDATE(DATE(YEAR('입력'!$C$12),MONTH('입력'!$C$12),1),0))&amp;"월")</f>
        <v/>
      </c>
      <c r="G7" s="51">
        <f>IF('입력'!$C$12="","",MONTH(EDATE(DATE(YEAR('입력'!$C$12),MONTH('입력'!$C$12),1),1))&amp;"월")</f>
        <v/>
      </c>
      <c r="H7" s="51">
        <f>IF('입력'!$C$12="","",MONTH(EDATE(DATE(YEAR('입력'!$C$12),MONTH('입력'!$C$12),1),2))&amp;"월")</f>
        <v/>
      </c>
      <c r="I7" s="51">
        <f>IF('입력'!$C$12="","",MONTH(EDATE(DATE(YEAR('입력'!$C$12),MONTH('입력'!$C$12),1),3))&amp;"월")</f>
        <v/>
      </c>
      <c r="J7" s="51">
        <f>IF('입력'!$C$12="","",MONTH(EDATE(DATE(YEAR('입력'!$C$12),MONTH('입력'!$C$12),1),4))&amp;"월")</f>
        <v/>
      </c>
      <c r="K7" s="51">
        <f>IF('입력'!$C$12="","",MONTH(EDATE(DATE(YEAR('입력'!$C$12),MONTH('입력'!$C$12),1),5))&amp;"월")</f>
        <v/>
      </c>
      <c r="L7" s="51">
        <f>IF('입력'!$C$12="","",MONTH(EDATE(DATE(YEAR('입력'!$C$12),MONTH('입력'!$C$12),1),6))&amp;"월")</f>
        <v/>
      </c>
      <c r="M7" s="51">
        <f>IF('입력'!$C$12="","",MONTH(EDATE(DATE(YEAR('입력'!$C$12),MONTH('입력'!$C$12),1),7))&amp;"월")</f>
        <v/>
      </c>
    </row>
    <row r="8" ht="24.2" customHeight="1">
      <c r="B8" s="42" t="n"/>
      <c r="C8" s="39" t="n"/>
      <c r="D8" s="40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</row>
    <row r="9" ht="24.2" customHeight="1">
      <c r="B9" s="42" t="n"/>
      <c r="C9" s="39" t="n"/>
      <c r="D9" s="40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</row>
    <row r="10" ht="24.2" customHeight="1">
      <c r="B10" s="42" t="n"/>
      <c r="C10" s="39" t="n"/>
      <c r="D10" s="40" t="n"/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</row>
    <row r="11" ht="24.2" customHeight="1">
      <c r="B11" s="42" t="n"/>
      <c r="C11" s="39" t="n"/>
      <c r="D11" s="40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</row>
    <row r="12" ht="24.2" customHeight="1">
      <c r="B12" s="42" t="n"/>
      <c r="C12" s="39" t="n"/>
      <c r="D12" s="40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</row>
    <row r="13" ht="24.2" customHeight="1">
      <c r="B13" s="42" t="n"/>
      <c r="C13" s="39" t="n"/>
      <c r="D13" s="40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</row>
    <row r="14" ht="24.2" customHeight="1">
      <c r="B14" s="42" t="n"/>
      <c r="C14" s="39" t="n"/>
      <c r="D14" s="40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5" ht="24.2" customHeight="1">
      <c r="B15" s="42" t="n"/>
      <c r="C15" s="39" t="n"/>
      <c r="D15" s="40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</row>
    <row r="16" ht="24.2" customHeight="1">
      <c r="B16" s="42" t="n"/>
      <c r="C16" s="39" t="n"/>
      <c r="D16" s="40" t="n"/>
      <c r="E16" s="53" t="n"/>
      <c r="F16" s="53" t="n"/>
      <c r="G16" s="53" t="n"/>
      <c r="H16" s="53" t="n"/>
      <c r="I16" s="53" t="n"/>
      <c r="J16" s="53" t="n"/>
      <c r="K16" s="53" t="n"/>
      <c r="L16" s="53" t="n"/>
      <c r="M16" s="53" t="n"/>
    </row>
    <row r="17" ht="24.2" customHeight="1">
      <c r="B17" s="42" t="n"/>
      <c r="C17" s="39" t="n"/>
      <c r="D17" s="40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</row>
    <row r="18" ht="24.2" customHeight="1">
      <c r="B18" s="42" t="n"/>
      <c r="C18" s="39" t="n"/>
      <c r="D18" s="40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</row>
    <row r="19" ht="24.2" customHeight="1">
      <c r="B19" s="42" t="n"/>
      <c r="C19" s="39" t="n"/>
      <c r="D19" s="40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</row>
    <row r="20" ht="24.2" customHeight="1">
      <c r="B20" s="54" t="inlineStr">
        <is>
          <t>월별 예정공정률(%)</t>
        </is>
      </c>
      <c r="C20" s="39" t="n"/>
      <c r="D20" s="40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</row>
    <row r="21" ht="24.2" customHeight="1">
      <c r="B21" s="54" t="inlineStr">
        <is>
          <t>누계 예정공정률(%)</t>
        </is>
      </c>
      <c r="C21" s="39" t="n"/>
      <c r="D21" s="40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</row>
    <row r="22" ht="8" customHeight="1"/>
    <row r="23" ht="37.45" customHeight="1">
      <c r="B23" s="50" t="inlineStr">
        <is>
          <t>※ 공종마다 시작하는 달부터 끝나는 달까지 칸을 칠하거나 선(━)을 긋습니다. 달 이름은 착공일에 맞춰 저절로 바뀝니다.</t>
        </is>
      </c>
    </row>
    <row r="24" ht="8" customHeight="1"/>
    <row r="25" ht="30" customHeight="1">
      <c r="B25" s="44">
        <f>IF('입력'!$C$12="","          년      월      일",YEAR('입력'!$C$12)&amp;"년  "&amp;MONTH('입력'!$C$12)&amp;"월  "&amp;DAY('입력'!$C$12)&amp;"일")</f>
        <v/>
      </c>
    </row>
    <row r="26" ht="6" customHeight="1"/>
    <row r="27" ht="24" customHeight="1">
      <c r="B27" s="45" t="inlineStr">
        <is>
          <t>계약상대자</t>
        </is>
      </c>
      <c r="G27" s="46" t="inlineStr">
        <is>
          <t>상    호</t>
        </is>
      </c>
      <c r="I27" s="47" t="inlineStr">
        <is>
          <t>:</t>
        </is>
      </c>
      <c r="J27" s="48">
        <f>'입력'!$C$27&amp;""</f>
        <v/>
      </c>
    </row>
    <row r="28" ht="24" customHeight="1">
      <c r="G28" s="46" t="inlineStr">
        <is>
          <t>주    소</t>
        </is>
      </c>
      <c r="I28" s="47" t="inlineStr">
        <is>
          <t>:</t>
        </is>
      </c>
      <c r="J28" s="48">
        <f>'입력'!$C$30&amp;""</f>
        <v/>
      </c>
    </row>
    <row r="29" ht="24" customHeight="1">
      <c r="G29" s="46" t="inlineStr">
        <is>
          <t>대 표 자</t>
        </is>
      </c>
      <c r="I29" s="47" t="inlineStr">
        <is>
          <t>:</t>
        </is>
      </c>
      <c r="J29" s="48">
        <f>'입력'!$C$28&amp;"          (인)"</f>
        <v/>
      </c>
    </row>
    <row r="30" ht="8" customHeight="1"/>
    <row r="31" ht="8" customHeight="1"/>
    <row r="32" ht="30" customHeight="1">
      <c r="B32" s="49">
        <f>IF('입력'!$C$18="","                  귀하",'입력'!$C$18&amp;"  귀하")</f>
        <v/>
      </c>
    </row>
  </sheetData>
  <mergeCells count="30">
    <mergeCell ref="B11:D11"/>
    <mergeCell ref="B2:M2"/>
    <mergeCell ref="B14:D14"/>
    <mergeCell ref="B8:D8"/>
    <mergeCell ref="B23:M23"/>
    <mergeCell ref="G27:H27"/>
    <mergeCell ref="B17:D17"/>
    <mergeCell ref="B13:D13"/>
    <mergeCell ref="B10:D10"/>
    <mergeCell ref="B19:D19"/>
    <mergeCell ref="B9:D9"/>
    <mergeCell ref="G28:H28"/>
    <mergeCell ref="B15:D15"/>
    <mergeCell ref="J29:M29"/>
    <mergeCell ref="B20:D20"/>
    <mergeCell ref="J28:M28"/>
    <mergeCell ref="B27:E27"/>
    <mergeCell ref="B5:D5"/>
    <mergeCell ref="B4:D4"/>
    <mergeCell ref="B32:M32"/>
    <mergeCell ref="B7:D7"/>
    <mergeCell ref="B16:D16"/>
    <mergeCell ref="J27:M27"/>
    <mergeCell ref="G29:H29"/>
    <mergeCell ref="B25:M25"/>
    <mergeCell ref="E5:M5"/>
    <mergeCell ref="B18:D18"/>
    <mergeCell ref="B21:D21"/>
    <mergeCell ref="B12:D12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8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공정별 인력 및 장비 투입계획서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4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6" customHeight="1">
      <c r="B5" s="35" t="inlineStr">
        <is>
          <t>공사 기간</t>
        </is>
      </c>
      <c r="C5" s="36" t="n"/>
      <c r="D5" s="37" t="n"/>
      <c r="E5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4" customHeight="1">
      <c r="B6" s="35" t="inlineStr">
        <is>
          <t>현장 위치</t>
        </is>
      </c>
      <c r="C6" s="36" t="n"/>
      <c r="D6" s="37" t="n"/>
      <c r="E6" s="38">
        <f>'입력'!$C$7&amp;""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8" customHeight="1"/>
    <row r="8" ht="25.05" customHeight="1">
      <c r="B8" s="43" t="inlineStr">
        <is>
          <t>■ 인력 (명)</t>
        </is>
      </c>
    </row>
    <row r="9" ht="24" customHeight="1">
      <c r="B9" s="35" t="inlineStr">
        <is>
          <t>공  종</t>
        </is>
      </c>
      <c r="C9" s="37" t="n"/>
      <c r="D9" s="35" t="inlineStr">
        <is>
          <t>직  종</t>
        </is>
      </c>
      <c r="E9" s="37" t="n"/>
      <c r="F9" s="51">
        <f>IF('입력'!$C$12="","",MONTH(EDATE(DATE(YEAR('입력'!$C$12),MONTH('입력'!$C$12),1),0))&amp;"월")</f>
        <v/>
      </c>
      <c r="G9" s="51">
        <f>IF('입력'!$C$12="","",MONTH(EDATE(DATE(YEAR('입력'!$C$12),MONTH('입력'!$C$12),1),1))&amp;"월")</f>
        <v/>
      </c>
      <c r="H9" s="51">
        <f>IF('입력'!$C$12="","",MONTH(EDATE(DATE(YEAR('입력'!$C$12),MONTH('입력'!$C$12),1),2))&amp;"월")</f>
        <v/>
      </c>
      <c r="I9" s="51">
        <f>IF('입력'!$C$12="","",MONTH(EDATE(DATE(YEAR('입력'!$C$12),MONTH('입력'!$C$12),1),3))&amp;"월")</f>
        <v/>
      </c>
      <c r="J9" s="51">
        <f>IF('입력'!$C$12="","",MONTH(EDATE(DATE(YEAR('입력'!$C$12),MONTH('입력'!$C$12),1),4))&amp;"월")</f>
        <v/>
      </c>
      <c r="K9" s="51">
        <f>IF('입력'!$C$12="","",MONTH(EDATE(DATE(YEAR('입력'!$C$12),MONTH('입력'!$C$12),1),5))&amp;"월")</f>
        <v/>
      </c>
      <c r="L9" s="51">
        <f>IF('입력'!$C$12="","",MONTH(EDATE(DATE(YEAR('입력'!$C$12),MONTH('입력'!$C$12),1),6))&amp;"월")</f>
        <v/>
      </c>
      <c r="M9" s="51">
        <f>IF('입력'!$C$12="","",MONTH(EDATE(DATE(YEAR('입력'!$C$12),MONTH('입력'!$C$12),1),7))&amp;"월")</f>
        <v/>
      </c>
    </row>
    <row r="10" ht="21" customHeight="1">
      <c r="B10" s="42" t="n"/>
      <c r="C10" s="40" t="n"/>
      <c r="D10" s="42" t="n"/>
      <c r="E10" s="40" t="n"/>
      <c r="F10" s="53" t="n"/>
      <c r="G10" s="53" t="n"/>
      <c r="H10" s="53" t="n"/>
      <c r="I10" s="53" t="n"/>
      <c r="J10" s="53" t="n"/>
      <c r="K10" s="53" t="n"/>
      <c r="L10" s="53" t="n"/>
      <c r="M10" s="53" t="n"/>
    </row>
    <row r="11" ht="21" customHeight="1">
      <c r="B11" s="42" t="n"/>
      <c r="C11" s="40" t="n"/>
      <c r="D11" s="42" t="n"/>
      <c r="E11" s="40" t="n"/>
      <c r="F11" s="53" t="n"/>
      <c r="G11" s="53" t="n"/>
      <c r="H11" s="53" t="n"/>
      <c r="I11" s="53" t="n"/>
      <c r="J11" s="53" t="n"/>
      <c r="K11" s="53" t="n"/>
      <c r="L11" s="53" t="n"/>
      <c r="M11" s="53" t="n"/>
    </row>
    <row r="12" ht="21" customHeight="1">
      <c r="B12" s="42" t="n"/>
      <c r="C12" s="40" t="n"/>
      <c r="D12" s="42" t="n"/>
      <c r="E12" s="40" t="n"/>
      <c r="F12" s="53" t="n"/>
      <c r="G12" s="53" t="n"/>
      <c r="H12" s="53" t="n"/>
      <c r="I12" s="53" t="n"/>
      <c r="J12" s="53" t="n"/>
      <c r="K12" s="53" t="n"/>
      <c r="L12" s="53" t="n"/>
      <c r="M12" s="53" t="n"/>
    </row>
    <row r="13" ht="21" customHeight="1">
      <c r="B13" s="42" t="n"/>
      <c r="C13" s="40" t="n"/>
      <c r="D13" s="42" t="n"/>
      <c r="E13" s="40" t="n"/>
      <c r="F13" s="53" t="n"/>
      <c r="G13" s="53" t="n"/>
      <c r="H13" s="53" t="n"/>
      <c r="I13" s="53" t="n"/>
      <c r="J13" s="53" t="n"/>
      <c r="K13" s="53" t="n"/>
      <c r="L13" s="53" t="n"/>
      <c r="M13" s="53" t="n"/>
    </row>
    <row r="14" ht="21" customHeight="1">
      <c r="B14" s="42" t="n"/>
      <c r="C14" s="40" t="n"/>
      <c r="D14" s="42" t="n"/>
      <c r="E14" s="40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5" ht="21" customHeight="1">
      <c r="B15" s="42" t="n"/>
      <c r="C15" s="40" t="n"/>
      <c r="D15" s="42" t="n"/>
      <c r="E15" s="40" t="n"/>
      <c r="F15" s="53" t="n"/>
      <c r="G15" s="53" t="n"/>
      <c r="H15" s="53" t="n"/>
      <c r="I15" s="53" t="n"/>
      <c r="J15" s="53" t="n"/>
      <c r="K15" s="53" t="n"/>
      <c r="L15" s="53" t="n"/>
      <c r="M15" s="53" t="n"/>
    </row>
    <row r="16" ht="21" customHeight="1">
      <c r="B16" s="42" t="n"/>
      <c r="C16" s="40" t="n"/>
      <c r="D16" s="42" t="n"/>
      <c r="E16" s="40" t="n"/>
      <c r="F16" s="53" t="n"/>
      <c r="G16" s="53" t="n"/>
      <c r="H16" s="53" t="n"/>
      <c r="I16" s="53" t="n"/>
      <c r="J16" s="53" t="n"/>
      <c r="K16" s="53" t="n"/>
      <c r="L16" s="53" t="n"/>
      <c r="M16" s="53" t="n"/>
    </row>
    <row r="17" ht="21" customHeight="1">
      <c r="B17" s="54" t="inlineStr">
        <is>
          <t>합  계</t>
        </is>
      </c>
      <c r="C17" s="40" t="n"/>
      <c r="D17" s="54" t="n"/>
      <c r="E17" s="40" t="n"/>
      <c r="F17" s="56">
        <f>IF(SUM(F10:F16)=0,"",SUM(F10:F16))</f>
        <v/>
      </c>
      <c r="G17" s="56">
        <f>IF(SUM(G10:G16)=0,"",SUM(G10:G16))</f>
        <v/>
      </c>
      <c r="H17" s="56">
        <f>IF(SUM(H10:H16)=0,"",SUM(H10:H16))</f>
        <v/>
      </c>
      <c r="I17" s="56">
        <f>IF(SUM(I10:I16)=0,"",SUM(I10:I16))</f>
        <v/>
      </c>
      <c r="J17" s="56">
        <f>IF(SUM(J10:J16)=0,"",SUM(J10:J16))</f>
        <v/>
      </c>
      <c r="K17" s="56">
        <f>IF(SUM(K10:K16)=0,"",SUM(K10:K16))</f>
        <v/>
      </c>
      <c r="L17" s="56">
        <f>IF(SUM(L10:L16)=0,"",SUM(L10:L16))</f>
        <v/>
      </c>
      <c r="M17" s="56">
        <f>IF(SUM(M10:M16)=0,"",SUM(M10:M16))</f>
        <v/>
      </c>
    </row>
    <row r="18" ht="8" customHeight="1"/>
    <row r="19" ht="25.05" customHeight="1">
      <c r="B19" s="43" t="inlineStr">
        <is>
          <t>■ 장비 (대)</t>
        </is>
      </c>
    </row>
    <row r="20" ht="24" customHeight="1">
      <c r="B20" s="35" t="inlineStr">
        <is>
          <t>공  종</t>
        </is>
      </c>
      <c r="C20" s="37" t="n"/>
      <c r="D20" s="35" t="inlineStr">
        <is>
          <t>장비 · 규격</t>
        </is>
      </c>
      <c r="E20" s="37" t="n"/>
      <c r="F20" s="51">
        <f>IF('입력'!$C$12="","",MONTH(EDATE(DATE(YEAR('입력'!$C$12),MONTH('입력'!$C$12),1),0))&amp;"월")</f>
        <v/>
      </c>
      <c r="G20" s="51">
        <f>IF('입력'!$C$12="","",MONTH(EDATE(DATE(YEAR('입력'!$C$12),MONTH('입력'!$C$12),1),1))&amp;"월")</f>
        <v/>
      </c>
      <c r="H20" s="51">
        <f>IF('입력'!$C$12="","",MONTH(EDATE(DATE(YEAR('입력'!$C$12),MONTH('입력'!$C$12),1),2))&amp;"월")</f>
        <v/>
      </c>
      <c r="I20" s="51">
        <f>IF('입력'!$C$12="","",MONTH(EDATE(DATE(YEAR('입력'!$C$12),MONTH('입력'!$C$12),1),3))&amp;"월")</f>
        <v/>
      </c>
      <c r="J20" s="51">
        <f>IF('입력'!$C$12="","",MONTH(EDATE(DATE(YEAR('입력'!$C$12),MONTH('입력'!$C$12),1),4))&amp;"월")</f>
        <v/>
      </c>
      <c r="K20" s="51">
        <f>IF('입력'!$C$12="","",MONTH(EDATE(DATE(YEAR('입력'!$C$12),MONTH('입력'!$C$12),1),5))&amp;"월")</f>
        <v/>
      </c>
      <c r="L20" s="51">
        <f>IF('입력'!$C$12="","",MONTH(EDATE(DATE(YEAR('입력'!$C$12),MONTH('입력'!$C$12),1),6))&amp;"월")</f>
        <v/>
      </c>
      <c r="M20" s="51">
        <f>IF('입력'!$C$12="","",MONTH(EDATE(DATE(YEAR('입력'!$C$12),MONTH('입력'!$C$12),1),7))&amp;"월")</f>
        <v/>
      </c>
    </row>
    <row r="21" ht="21" customHeight="1">
      <c r="B21" s="42" t="n"/>
      <c r="C21" s="40" t="n"/>
      <c r="D21" s="42" t="n"/>
      <c r="E21" s="40" t="n"/>
      <c r="F21" s="53" t="n"/>
      <c r="G21" s="53" t="n"/>
      <c r="H21" s="53" t="n"/>
      <c r="I21" s="53" t="n"/>
      <c r="J21" s="53" t="n"/>
      <c r="K21" s="53" t="n"/>
      <c r="L21" s="53" t="n"/>
      <c r="M21" s="53" t="n"/>
    </row>
    <row r="22" ht="21" customHeight="1">
      <c r="B22" s="42" t="n"/>
      <c r="C22" s="40" t="n"/>
      <c r="D22" s="42" t="n"/>
      <c r="E22" s="40" t="n"/>
      <c r="F22" s="53" t="n"/>
      <c r="G22" s="53" t="n"/>
      <c r="H22" s="53" t="n"/>
      <c r="I22" s="53" t="n"/>
      <c r="J22" s="53" t="n"/>
      <c r="K22" s="53" t="n"/>
      <c r="L22" s="53" t="n"/>
      <c r="M22" s="53" t="n"/>
    </row>
    <row r="23" ht="21" customHeight="1">
      <c r="B23" s="42" t="n"/>
      <c r="C23" s="40" t="n"/>
      <c r="D23" s="42" t="n"/>
      <c r="E23" s="40" t="n"/>
      <c r="F23" s="53" t="n"/>
      <c r="G23" s="53" t="n"/>
      <c r="H23" s="53" t="n"/>
      <c r="I23" s="53" t="n"/>
      <c r="J23" s="53" t="n"/>
      <c r="K23" s="53" t="n"/>
      <c r="L23" s="53" t="n"/>
      <c r="M23" s="53" t="n"/>
    </row>
    <row r="24" ht="21" customHeight="1">
      <c r="B24" s="42" t="n"/>
      <c r="C24" s="40" t="n"/>
      <c r="D24" s="42" t="n"/>
      <c r="E24" s="40" t="n"/>
      <c r="F24" s="53" t="n"/>
      <c r="G24" s="53" t="n"/>
      <c r="H24" s="53" t="n"/>
      <c r="I24" s="53" t="n"/>
      <c r="J24" s="53" t="n"/>
      <c r="K24" s="53" t="n"/>
      <c r="L24" s="53" t="n"/>
      <c r="M24" s="53" t="n"/>
    </row>
    <row r="25" ht="21" customHeight="1">
      <c r="B25" s="42" t="n"/>
      <c r="C25" s="40" t="n"/>
      <c r="D25" s="42" t="n"/>
      <c r="E25" s="40" t="n"/>
      <c r="F25" s="53" t="n"/>
      <c r="G25" s="53" t="n"/>
      <c r="H25" s="53" t="n"/>
      <c r="I25" s="53" t="n"/>
      <c r="J25" s="53" t="n"/>
      <c r="K25" s="53" t="n"/>
      <c r="L25" s="53" t="n"/>
      <c r="M25" s="53" t="n"/>
    </row>
    <row r="26" ht="21" customHeight="1">
      <c r="B26" s="42" t="n"/>
      <c r="C26" s="40" t="n"/>
      <c r="D26" s="42" t="n"/>
      <c r="E26" s="40" t="n"/>
      <c r="F26" s="53" t="n"/>
      <c r="G26" s="53" t="n"/>
      <c r="H26" s="53" t="n"/>
      <c r="I26" s="53" t="n"/>
      <c r="J26" s="53" t="n"/>
      <c r="K26" s="53" t="n"/>
      <c r="L26" s="53" t="n"/>
      <c r="M26" s="53" t="n"/>
    </row>
    <row r="27" ht="21" customHeight="1">
      <c r="B27" s="54" t="inlineStr">
        <is>
          <t>합  계</t>
        </is>
      </c>
      <c r="C27" s="40" t="n"/>
      <c r="D27" s="54" t="n"/>
      <c r="E27" s="40" t="n"/>
      <c r="F27" s="56">
        <f>IF(SUM(F21:F26)=0,"",SUM(F21:F26))</f>
        <v/>
      </c>
      <c r="G27" s="56">
        <f>IF(SUM(G21:G26)=0,"",SUM(G21:G26))</f>
        <v/>
      </c>
      <c r="H27" s="56">
        <f>IF(SUM(H21:H26)=0,"",SUM(H21:H26))</f>
        <v/>
      </c>
      <c r="I27" s="56">
        <f>IF(SUM(I21:I26)=0,"",SUM(I21:I26))</f>
        <v/>
      </c>
      <c r="J27" s="56">
        <f>IF(SUM(J21:J26)=0,"",SUM(J21:J26))</f>
        <v/>
      </c>
      <c r="K27" s="56">
        <f>IF(SUM(K21:K26)=0,"",SUM(K21:K26))</f>
        <v/>
      </c>
      <c r="L27" s="56">
        <f>IF(SUM(L21:L26)=0,"",SUM(L21:L26))</f>
        <v/>
      </c>
      <c r="M27" s="56">
        <f>IF(SUM(M21:M26)=0,"",SUM(M21:M26))</f>
        <v/>
      </c>
    </row>
    <row r="28" ht="8" customHeight="1"/>
    <row r="29" ht="22.725" customHeight="1">
      <c r="B29" s="50" t="inlineStr">
        <is>
          <t>※ 공종마다 달별 투입 인원(명)·장비(대)를 적습니다. 달 이름은 착공일에 맞춰 저절로 바뀝니다.</t>
        </is>
      </c>
    </row>
    <row r="30" ht="8" customHeight="1"/>
    <row r="31" ht="30" customHeight="1">
      <c r="B31" s="44">
        <f>IF('입력'!$C$12="","          년      월      일",YEAR('입력'!$C$12)&amp;"년  "&amp;MONTH('입력'!$C$12)&amp;"월  "&amp;DAY('입력'!$C$12)&amp;"일")</f>
        <v/>
      </c>
    </row>
    <row r="32" ht="6" customHeight="1"/>
    <row r="33" ht="24" customHeight="1">
      <c r="B33" s="45" t="inlineStr">
        <is>
          <t>계약상대자</t>
        </is>
      </c>
      <c r="G33" s="46" t="inlineStr">
        <is>
          <t>상    호</t>
        </is>
      </c>
      <c r="I33" s="47" t="inlineStr">
        <is>
          <t>:</t>
        </is>
      </c>
      <c r="J33" s="48">
        <f>'입력'!$C$27&amp;""</f>
        <v/>
      </c>
    </row>
    <row r="34" ht="24" customHeight="1">
      <c r="G34" s="46" t="inlineStr">
        <is>
          <t>주    소</t>
        </is>
      </c>
      <c r="I34" s="47" t="inlineStr">
        <is>
          <t>:</t>
        </is>
      </c>
      <c r="J34" s="48">
        <f>'입력'!$C$30&amp;""</f>
        <v/>
      </c>
    </row>
    <row r="35" ht="24" customHeight="1">
      <c r="G35" s="46" t="inlineStr">
        <is>
          <t>대 표 자</t>
        </is>
      </c>
      <c r="I35" s="47" t="inlineStr">
        <is>
          <t>:</t>
        </is>
      </c>
      <c r="J35" s="48">
        <f>'입력'!$C$28&amp;"          (인)"</f>
        <v/>
      </c>
    </row>
    <row r="36" ht="8" customHeight="1"/>
    <row r="37" ht="8" customHeight="1"/>
    <row r="38" ht="30" customHeight="1">
      <c r="B38" s="49">
        <f>IF('입력'!$C$18="","                  귀하",'입력'!$C$18&amp;"  귀하")</f>
        <v/>
      </c>
    </row>
  </sheetData>
  <mergeCells count="53">
    <mergeCell ref="D20:E20"/>
    <mergeCell ref="B2:M2"/>
    <mergeCell ref="B16:C16"/>
    <mergeCell ref="D10:E10"/>
    <mergeCell ref="B25:C25"/>
    <mergeCell ref="B8:M8"/>
    <mergeCell ref="B22:C22"/>
    <mergeCell ref="B33:E33"/>
    <mergeCell ref="D22:E22"/>
    <mergeCell ref="B27:C27"/>
    <mergeCell ref="B29:M29"/>
    <mergeCell ref="E6:M6"/>
    <mergeCell ref="B12:C12"/>
    <mergeCell ref="D21:E21"/>
    <mergeCell ref="J33:M33"/>
    <mergeCell ref="B38:M38"/>
    <mergeCell ref="B21:C21"/>
    <mergeCell ref="B11:C11"/>
    <mergeCell ref="B19:M19"/>
    <mergeCell ref="D11:E11"/>
    <mergeCell ref="D13:E13"/>
    <mergeCell ref="D27:E27"/>
    <mergeCell ref="B23:C23"/>
    <mergeCell ref="B14:C14"/>
    <mergeCell ref="B17:C17"/>
    <mergeCell ref="D17:E17"/>
    <mergeCell ref="B6:D6"/>
    <mergeCell ref="B13:C13"/>
    <mergeCell ref="D16:E16"/>
    <mergeCell ref="B5:D5"/>
    <mergeCell ref="G34:H34"/>
    <mergeCell ref="G33:H33"/>
    <mergeCell ref="B4:D4"/>
    <mergeCell ref="B10:C10"/>
    <mergeCell ref="J34:M34"/>
    <mergeCell ref="B9:C9"/>
    <mergeCell ref="D9:E9"/>
    <mergeCell ref="D12:E12"/>
    <mergeCell ref="D25:E25"/>
    <mergeCell ref="G35:H35"/>
    <mergeCell ref="B24:C24"/>
    <mergeCell ref="B15:C15"/>
    <mergeCell ref="D24:E24"/>
    <mergeCell ref="D15:E15"/>
    <mergeCell ref="E5:M5"/>
    <mergeCell ref="B20:C20"/>
    <mergeCell ref="B31:M31"/>
    <mergeCell ref="J35:M35"/>
    <mergeCell ref="D23:E23"/>
    <mergeCell ref="D14:E14"/>
    <mergeCell ref="B26:C26"/>
    <mergeCell ref="D26:E26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0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직 접 시 공 계 획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8.4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8.4" customHeight="1">
      <c r="B5" s="35" t="inlineStr">
        <is>
          <t>계약 금액</t>
        </is>
      </c>
      <c r="C5" s="36" t="n"/>
      <c r="D5" s="37" t="n"/>
      <c r="E5" s="38">
        <f>IF('입력'!$C$14="","",'계산'!$J$3&amp;"원정 (₩"&amp;FIXED('입력'!$C$14,0)&amp;")")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9.3" customHeight="1">
      <c r="B6" s="35" t="inlineStr">
        <is>
          <t>공사 기간</t>
        </is>
      </c>
      <c r="C6" s="36" t="n"/>
      <c r="D6" s="37" t="n"/>
      <c r="E6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8.4" customHeight="1">
      <c r="B7" s="35" t="inlineStr">
        <is>
          <t>현장 위치</t>
        </is>
      </c>
      <c r="C7" s="36" t="n"/>
      <c r="D7" s="37" t="n"/>
      <c r="E7" s="38">
        <f>'입력'!$C$7&amp;""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24" customHeight="1">
      <c r="B9" s="35" t="inlineStr">
        <is>
          <t>공  종</t>
        </is>
      </c>
      <c r="C9" s="37" t="n"/>
      <c r="D9" s="35" t="inlineStr">
        <is>
          <t>직접 시공할 내용</t>
        </is>
      </c>
      <c r="E9" s="36" t="n"/>
      <c r="F9" s="36" t="n"/>
      <c r="G9" s="37" t="n"/>
      <c r="H9" s="35" t="inlineStr">
        <is>
          <t>금액 (원)</t>
        </is>
      </c>
      <c r="I9" s="36" t="n"/>
      <c r="J9" s="37" t="n"/>
      <c r="K9" s="51" t="inlineStr">
        <is>
          <t>비율(%)</t>
        </is>
      </c>
      <c r="L9" s="35" t="inlineStr">
        <is>
          <t>비고</t>
        </is>
      </c>
      <c r="M9" s="37" t="n"/>
    </row>
    <row r="10" ht="27.1" customHeight="1">
      <c r="B10" s="42" t="n"/>
      <c r="C10" s="40" t="n"/>
      <c r="D10" s="42" t="n"/>
      <c r="E10" s="39" t="n"/>
      <c r="F10" s="39" t="n"/>
      <c r="G10" s="40" t="n"/>
      <c r="H10" s="52" t="n"/>
      <c r="I10" s="39" t="n"/>
      <c r="J10" s="40" t="n"/>
      <c r="K10" s="57" t="n"/>
      <c r="L10" s="42" t="n"/>
      <c r="M10" s="40" t="n"/>
    </row>
    <row r="11" ht="27.1" customHeight="1">
      <c r="B11" s="42" t="n"/>
      <c r="C11" s="40" t="n"/>
      <c r="D11" s="42" t="n"/>
      <c r="E11" s="39" t="n"/>
      <c r="F11" s="39" t="n"/>
      <c r="G11" s="40" t="n"/>
      <c r="H11" s="52" t="n"/>
      <c r="I11" s="39" t="n"/>
      <c r="J11" s="40" t="n"/>
      <c r="K11" s="57" t="n"/>
      <c r="L11" s="42" t="n"/>
      <c r="M11" s="40" t="n"/>
    </row>
    <row r="12" ht="27.1" customHeight="1">
      <c r="B12" s="42" t="n"/>
      <c r="C12" s="40" t="n"/>
      <c r="D12" s="42" t="n"/>
      <c r="E12" s="39" t="n"/>
      <c r="F12" s="39" t="n"/>
      <c r="G12" s="40" t="n"/>
      <c r="H12" s="52" t="n"/>
      <c r="I12" s="39" t="n"/>
      <c r="J12" s="40" t="n"/>
      <c r="K12" s="57" t="n"/>
      <c r="L12" s="42" t="n"/>
      <c r="M12" s="40" t="n"/>
    </row>
    <row r="13" ht="27.1" customHeight="1">
      <c r="B13" s="42" t="n"/>
      <c r="C13" s="40" t="n"/>
      <c r="D13" s="42" t="n"/>
      <c r="E13" s="39" t="n"/>
      <c r="F13" s="39" t="n"/>
      <c r="G13" s="40" t="n"/>
      <c r="H13" s="52" t="n"/>
      <c r="I13" s="39" t="n"/>
      <c r="J13" s="40" t="n"/>
      <c r="K13" s="57" t="n"/>
      <c r="L13" s="42" t="n"/>
      <c r="M13" s="40" t="n"/>
    </row>
    <row r="14" ht="27.1" customHeight="1">
      <c r="B14" s="42" t="n"/>
      <c r="C14" s="40" t="n"/>
      <c r="D14" s="42" t="n"/>
      <c r="E14" s="39" t="n"/>
      <c r="F14" s="39" t="n"/>
      <c r="G14" s="40" t="n"/>
      <c r="H14" s="52" t="n"/>
      <c r="I14" s="39" t="n"/>
      <c r="J14" s="40" t="n"/>
      <c r="K14" s="57" t="n"/>
      <c r="L14" s="42" t="n"/>
      <c r="M14" s="40" t="n"/>
    </row>
    <row r="15" ht="27.1" customHeight="1">
      <c r="B15" s="42" t="n"/>
      <c r="C15" s="40" t="n"/>
      <c r="D15" s="42" t="n"/>
      <c r="E15" s="39" t="n"/>
      <c r="F15" s="39" t="n"/>
      <c r="G15" s="40" t="n"/>
      <c r="H15" s="52" t="n"/>
      <c r="I15" s="39" t="n"/>
      <c r="J15" s="40" t="n"/>
      <c r="K15" s="57" t="n"/>
      <c r="L15" s="42" t="n"/>
      <c r="M15" s="40" t="n"/>
    </row>
    <row r="16" ht="27.1" customHeight="1">
      <c r="B16" s="42" t="n"/>
      <c r="C16" s="40" t="n"/>
      <c r="D16" s="42" t="n"/>
      <c r="E16" s="39" t="n"/>
      <c r="F16" s="39" t="n"/>
      <c r="G16" s="40" t="n"/>
      <c r="H16" s="52" t="n"/>
      <c r="I16" s="39" t="n"/>
      <c r="J16" s="40" t="n"/>
      <c r="K16" s="57" t="n"/>
      <c r="L16" s="42" t="n"/>
      <c r="M16" s="40" t="n"/>
    </row>
    <row r="17" ht="27.1" customHeight="1">
      <c r="B17" s="42" t="n"/>
      <c r="C17" s="40" t="n"/>
      <c r="D17" s="42" t="n"/>
      <c r="E17" s="39" t="n"/>
      <c r="F17" s="39" t="n"/>
      <c r="G17" s="40" t="n"/>
      <c r="H17" s="52" t="n"/>
      <c r="I17" s="39" t="n"/>
      <c r="J17" s="40" t="n"/>
      <c r="K17" s="57" t="n"/>
      <c r="L17" s="42" t="n"/>
      <c r="M17" s="40" t="n"/>
    </row>
    <row r="18" ht="27.1" customHeight="1">
      <c r="B18" s="54" t="inlineStr">
        <is>
          <t>합  계</t>
        </is>
      </c>
      <c r="C18" s="40" t="n"/>
      <c r="D18" s="54" t="n"/>
      <c r="E18" s="39" t="n"/>
      <c r="F18" s="39" t="n"/>
      <c r="G18" s="40" t="n"/>
      <c r="H18" s="55">
        <f>IF(SUM(H10:H17)=0,"",SUM(H10:H17))</f>
        <v/>
      </c>
      <c r="I18" s="39" t="n"/>
      <c r="J18" s="40" t="n"/>
      <c r="K18" s="58">
        <f>IF(OR(H18="",N('입력'!$C$14)=0),"",H18/'입력'!$C$14)</f>
        <v/>
      </c>
      <c r="L18" s="54" t="n"/>
      <c r="M18" s="40" t="n"/>
    </row>
    <row r="19" ht="8" customHeight="1"/>
    <row r="20" ht="25.05" customHeight="1">
      <c r="B20" s="43" t="inlineStr">
        <is>
          <t>위와 같이 이 공사를 직접 시공할 계획을 알려 드립니다.</t>
        </is>
      </c>
    </row>
    <row r="21" ht="22.725" customHeight="1">
      <c r="B21" s="50" t="inlineStr">
        <is>
          <t>※ 직접 시공 대상과 비율은 건설산업기본법(직접 시공 조항)과 계약 조건을 확인하세요.</t>
        </is>
      </c>
    </row>
    <row r="22" ht="8" customHeight="1"/>
    <row r="23" ht="30" customHeight="1">
      <c r="B23" s="44">
        <f>IF('입력'!$C$12="","          년      월      일",YEAR('입력'!$C$12)&amp;"년  "&amp;MONTH('입력'!$C$12)&amp;"월  "&amp;DAY('입력'!$C$12)&amp;"일")</f>
        <v/>
      </c>
    </row>
    <row r="24" ht="6" customHeight="1"/>
    <row r="25" ht="24" customHeight="1">
      <c r="B25" s="45" t="inlineStr">
        <is>
          <t>계약상대자</t>
        </is>
      </c>
      <c r="G25" s="46" t="inlineStr">
        <is>
          <t>상    호</t>
        </is>
      </c>
      <c r="I25" s="47" t="inlineStr">
        <is>
          <t>:</t>
        </is>
      </c>
      <c r="J25" s="48">
        <f>'입력'!$C$27&amp;""</f>
        <v/>
      </c>
    </row>
    <row r="26" ht="24" customHeight="1">
      <c r="G26" s="46" t="inlineStr">
        <is>
          <t>주    소</t>
        </is>
      </c>
      <c r="I26" s="47" t="inlineStr">
        <is>
          <t>:</t>
        </is>
      </c>
      <c r="J26" s="48">
        <f>'입력'!$C$30&amp;""</f>
        <v/>
      </c>
    </row>
    <row r="27" ht="24" customHeight="1">
      <c r="G27" s="46" t="inlineStr">
        <is>
          <t>대 표 자</t>
        </is>
      </c>
      <c r="I27" s="47" t="inlineStr">
        <is>
          <t>:</t>
        </is>
      </c>
      <c r="J27" s="48">
        <f>'입력'!$C$28&amp;"          (인)"</f>
        <v/>
      </c>
    </row>
    <row r="28" ht="8" customHeight="1"/>
    <row r="29" ht="8" customHeight="1"/>
    <row r="30" ht="30" customHeight="1">
      <c r="B30" s="49">
        <f>IF('입력'!$C$18="","                  귀하",'입력'!$C$18&amp;"  귀하")</f>
        <v/>
      </c>
    </row>
  </sheetData>
  <mergeCells count="60">
    <mergeCell ref="L17:M17"/>
    <mergeCell ref="B2:M2"/>
    <mergeCell ref="D18:G18"/>
    <mergeCell ref="B16:C16"/>
    <mergeCell ref="D9:G9"/>
    <mergeCell ref="D12:G12"/>
    <mergeCell ref="L16:M16"/>
    <mergeCell ref="B23:M23"/>
    <mergeCell ref="G27:H27"/>
    <mergeCell ref="D15:G15"/>
    <mergeCell ref="H17:J17"/>
    <mergeCell ref="B18:C18"/>
    <mergeCell ref="H11:J11"/>
    <mergeCell ref="L13:M13"/>
    <mergeCell ref="D14:G14"/>
    <mergeCell ref="E6:M6"/>
    <mergeCell ref="B12:C12"/>
    <mergeCell ref="H16:J16"/>
    <mergeCell ref="L12:M12"/>
    <mergeCell ref="B11:C11"/>
    <mergeCell ref="H13:J13"/>
    <mergeCell ref="L15:M15"/>
    <mergeCell ref="L18:M18"/>
    <mergeCell ref="B14:C14"/>
    <mergeCell ref="B25:E25"/>
    <mergeCell ref="H12:J12"/>
    <mergeCell ref="B17:C17"/>
    <mergeCell ref="D10:G10"/>
    <mergeCell ref="L14:M14"/>
    <mergeCell ref="B30:M30"/>
    <mergeCell ref="B6:D6"/>
    <mergeCell ref="B13:C13"/>
    <mergeCell ref="H15:J15"/>
    <mergeCell ref="E7:M7"/>
    <mergeCell ref="B5:D5"/>
    <mergeCell ref="H18:J18"/>
    <mergeCell ref="H14:J14"/>
    <mergeCell ref="B20:M20"/>
    <mergeCell ref="L10:M10"/>
    <mergeCell ref="B4:D4"/>
    <mergeCell ref="B10:C10"/>
    <mergeCell ref="J25:M25"/>
    <mergeCell ref="D11:G11"/>
    <mergeCell ref="D13:G13"/>
    <mergeCell ref="B9:C9"/>
    <mergeCell ref="B7:D7"/>
    <mergeCell ref="G26:H26"/>
    <mergeCell ref="L9:M9"/>
    <mergeCell ref="J27:M27"/>
    <mergeCell ref="H10:J10"/>
    <mergeCell ref="D17:G17"/>
    <mergeCell ref="B15:C15"/>
    <mergeCell ref="J26:M26"/>
    <mergeCell ref="E5:M5"/>
    <mergeCell ref="G25:H25"/>
    <mergeCell ref="D16:G16"/>
    <mergeCell ref="L11:M11"/>
    <mergeCell ref="H9:J9"/>
    <mergeCell ref="B21:M21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0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7.4" customWidth="1" min="2" max="2"/>
    <col width="7.4" customWidth="1" min="3" max="3"/>
    <col width="7.4" customWidth="1" min="4" max="4"/>
    <col width="7.4" customWidth="1" min="5" max="5"/>
    <col width="5.9" customWidth="1" min="6" max="6"/>
    <col width="5.9" customWidth="1" min="7" max="7"/>
    <col width="5.9" customWidth="1" min="8" max="8"/>
    <col width="5.9" customWidth="1" min="9" max="9"/>
    <col width="5.9" customWidth="1" min="10" max="10"/>
    <col width="5.9" customWidth="1" min="11" max="11"/>
    <col width="5.9" customWidth="1" min="12" max="12"/>
    <col width="5.9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산업안전보건관리비 사용계획서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4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4" customHeight="1">
      <c r="B5" s="35" t="inlineStr">
        <is>
          <t>계약 금액</t>
        </is>
      </c>
      <c r="C5" s="36" t="n"/>
      <c r="D5" s="37" t="n"/>
      <c r="E5" s="38">
        <f>IF('입력'!$C$14="","",'계산'!$J$3&amp;"원정 (₩"&amp;FIXED('입력'!$C$14,0)&amp;")")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4" customHeight="1">
      <c r="B6" s="35" t="inlineStr">
        <is>
          <t>계상된
산업안전보건관리비</t>
        </is>
      </c>
      <c r="C6" s="36" t="n"/>
      <c r="D6" s="37" t="n"/>
      <c r="E6" s="38">
        <f>IF('입력'!$C$97="","",FIXED('입력'!$C$97,0)&amp;"원")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26" customHeight="1">
      <c r="B7" s="35" t="inlineStr">
        <is>
          <t>공사 기간</t>
        </is>
      </c>
      <c r="C7" s="36" t="n"/>
      <c r="D7" s="37" t="n"/>
      <c r="E7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24" customHeight="1">
      <c r="B9" s="35" t="inlineStr">
        <is>
          <t>사 용 항 목</t>
        </is>
      </c>
      <c r="C9" s="36" t="n"/>
      <c r="D9" s="36" t="n"/>
      <c r="E9" s="37" t="n"/>
      <c r="F9" s="35" t="inlineStr">
        <is>
          <t>세부 내용</t>
        </is>
      </c>
      <c r="G9" s="36" t="n"/>
      <c r="H9" s="37" t="n"/>
      <c r="I9" s="35" t="inlineStr">
        <is>
          <t>예정 금액 (원)</t>
        </is>
      </c>
      <c r="J9" s="37" t="n"/>
      <c r="K9" s="35" t="inlineStr">
        <is>
          <t>사용 시기</t>
        </is>
      </c>
      <c r="L9" s="37" t="n"/>
      <c r="M9" s="51" t="inlineStr">
        <is>
          <t>비  고</t>
        </is>
      </c>
    </row>
    <row r="10" ht="28" customHeight="1">
      <c r="B10" s="59" t="inlineStr">
        <is>
          <t>1. 안전·보건관리자 임금 등</t>
        </is>
      </c>
      <c r="C10" s="39" t="n"/>
      <c r="D10" s="39" t="n"/>
      <c r="E10" s="40" t="n"/>
      <c r="F10" s="42" t="n"/>
      <c r="G10" s="39" t="n"/>
      <c r="H10" s="40" t="n"/>
      <c r="I10" s="52" t="n"/>
      <c r="J10" s="40" t="n"/>
      <c r="K10" s="42" t="n"/>
      <c r="L10" s="40" t="n"/>
      <c r="M10" s="53" t="n"/>
    </row>
    <row r="11" ht="28" customHeight="1">
      <c r="B11" s="59" t="inlineStr">
        <is>
          <t>2. 안전시설비 등</t>
        </is>
      </c>
      <c r="C11" s="39" t="n"/>
      <c r="D11" s="39" t="n"/>
      <c r="E11" s="40" t="n"/>
      <c r="F11" s="42" t="n"/>
      <c r="G11" s="39" t="n"/>
      <c r="H11" s="40" t="n"/>
      <c r="I11" s="52" t="n"/>
      <c r="J11" s="40" t="n"/>
      <c r="K11" s="42" t="n"/>
      <c r="L11" s="40" t="n"/>
      <c r="M11" s="53" t="n"/>
    </row>
    <row r="12" ht="28" customHeight="1">
      <c r="B12" s="59" t="inlineStr">
        <is>
          <t>3. 보호구 등</t>
        </is>
      </c>
      <c r="C12" s="39" t="n"/>
      <c r="D12" s="39" t="n"/>
      <c r="E12" s="40" t="n"/>
      <c r="F12" s="42" t="n"/>
      <c r="G12" s="39" t="n"/>
      <c r="H12" s="40" t="n"/>
      <c r="I12" s="52" t="n"/>
      <c r="J12" s="40" t="n"/>
      <c r="K12" s="42" t="n"/>
      <c r="L12" s="40" t="n"/>
      <c r="M12" s="53" t="n"/>
    </row>
    <row r="13" ht="28" customHeight="1">
      <c r="B13" s="59" t="inlineStr">
        <is>
          <t>4. 안전보건진단비 등</t>
        </is>
      </c>
      <c r="C13" s="39" t="n"/>
      <c r="D13" s="39" t="n"/>
      <c r="E13" s="40" t="n"/>
      <c r="F13" s="42" t="n"/>
      <c r="G13" s="39" t="n"/>
      <c r="H13" s="40" t="n"/>
      <c r="I13" s="52" t="n"/>
      <c r="J13" s="40" t="n"/>
      <c r="K13" s="42" t="n"/>
      <c r="L13" s="40" t="n"/>
      <c r="M13" s="53" t="n"/>
    </row>
    <row r="14" ht="28" customHeight="1">
      <c r="B14" s="59" t="inlineStr">
        <is>
          <t>5. 안전보건교육비 등</t>
        </is>
      </c>
      <c r="C14" s="39" t="n"/>
      <c r="D14" s="39" t="n"/>
      <c r="E14" s="40" t="n"/>
      <c r="F14" s="42" t="n"/>
      <c r="G14" s="39" t="n"/>
      <c r="H14" s="40" t="n"/>
      <c r="I14" s="52" t="n"/>
      <c r="J14" s="40" t="n"/>
      <c r="K14" s="42" t="n"/>
      <c r="L14" s="40" t="n"/>
      <c r="M14" s="53" t="n"/>
    </row>
    <row r="15" ht="28" customHeight="1">
      <c r="B15" s="59" t="inlineStr">
        <is>
          <t>6. 근로자 건강장해예방비 등</t>
        </is>
      </c>
      <c r="C15" s="39" t="n"/>
      <c r="D15" s="39" t="n"/>
      <c r="E15" s="40" t="n"/>
      <c r="F15" s="42" t="n"/>
      <c r="G15" s="39" t="n"/>
      <c r="H15" s="40" t="n"/>
      <c r="I15" s="52" t="n"/>
      <c r="J15" s="40" t="n"/>
      <c r="K15" s="42" t="n"/>
      <c r="L15" s="40" t="n"/>
      <c r="M15" s="53" t="n"/>
    </row>
    <row r="16" ht="28" customHeight="1">
      <c r="B16" s="59" t="inlineStr">
        <is>
          <t>7. 건설재해예방전문지도기관 기술지도비</t>
        </is>
      </c>
      <c r="C16" s="39" t="n"/>
      <c r="D16" s="39" t="n"/>
      <c r="E16" s="40" t="n"/>
      <c r="F16" s="42" t="n"/>
      <c r="G16" s="39" t="n"/>
      <c r="H16" s="40" t="n"/>
      <c r="I16" s="52" t="n"/>
      <c r="J16" s="40" t="n"/>
      <c r="K16" s="42" t="n"/>
      <c r="L16" s="40" t="n"/>
      <c r="M16" s="53" t="n"/>
    </row>
    <row r="17" ht="28" customHeight="1">
      <c r="B17" s="59" t="inlineStr">
        <is>
          <t>8. 본사 전담조직 근로자 임금 등</t>
        </is>
      </c>
      <c r="C17" s="39" t="n"/>
      <c r="D17" s="39" t="n"/>
      <c r="E17" s="40" t="n"/>
      <c r="F17" s="42" t="n"/>
      <c r="G17" s="39" t="n"/>
      <c r="H17" s="40" t="n"/>
      <c r="I17" s="52" t="n"/>
      <c r="J17" s="40" t="n"/>
      <c r="K17" s="42" t="n"/>
      <c r="L17" s="40" t="n"/>
      <c r="M17" s="53" t="n"/>
    </row>
    <row r="18" ht="28" customHeight="1">
      <c r="B18" s="59" t="inlineStr">
        <is>
          <t>9. 위험성평가 등에 따른 소요비용</t>
        </is>
      </c>
      <c r="C18" s="39" t="n"/>
      <c r="D18" s="39" t="n"/>
      <c r="E18" s="40" t="n"/>
      <c r="F18" s="42" t="n"/>
      <c r="G18" s="39" t="n"/>
      <c r="H18" s="40" t="n"/>
      <c r="I18" s="52" t="n"/>
      <c r="J18" s="40" t="n"/>
      <c r="K18" s="42" t="n"/>
      <c r="L18" s="40" t="n"/>
      <c r="M18" s="53" t="n"/>
    </row>
    <row r="19" ht="28" customHeight="1">
      <c r="B19" s="54" t="inlineStr">
        <is>
          <t>합  계</t>
        </is>
      </c>
      <c r="C19" s="39" t="n"/>
      <c r="D19" s="39" t="n"/>
      <c r="E19" s="40" t="n"/>
      <c r="F19" s="54" t="n"/>
      <c r="G19" s="39" t="n"/>
      <c r="H19" s="40" t="n"/>
      <c r="I19" s="55">
        <f>IF(SUM(I10:I18)=0,"",SUM(I10:I18))</f>
        <v/>
      </c>
      <c r="J19" s="40" t="n"/>
      <c r="K19" s="54" t="n"/>
      <c r="L19" s="40" t="n"/>
      <c r="M19" s="56" t="n"/>
    </row>
    <row r="20" ht="8" customHeight="1"/>
    <row r="21" ht="37.45" customHeight="1">
      <c r="B21" s="50" t="inlineStr">
        <is>
          <t>※ 항목은 「건설업 산업안전보건관리비 계상 및 사용기준」(고용노동부고시) 별지 제1호서식의 9가지입니다. 계상액은 🦺 산안비 계상기(k-conmap.com/tools/sanan)로 셀 수 있습니다.</t>
        </is>
      </c>
    </row>
    <row r="22" ht="8" customHeight="1"/>
    <row r="23" ht="30" customHeight="1">
      <c r="B23" s="44">
        <f>IF('입력'!$C$12="","          년      월      일",YEAR('입력'!$C$12)&amp;"년  "&amp;MONTH('입력'!$C$12)&amp;"월  "&amp;DAY('입력'!$C$12)&amp;"일")</f>
        <v/>
      </c>
    </row>
    <row r="24" ht="6" customHeight="1"/>
    <row r="25" ht="24" customHeight="1">
      <c r="B25" s="45" t="inlineStr">
        <is>
          <t>계약상대자</t>
        </is>
      </c>
      <c r="G25" s="46" t="inlineStr">
        <is>
          <t>상    호</t>
        </is>
      </c>
      <c r="I25" s="47" t="inlineStr">
        <is>
          <t>:</t>
        </is>
      </c>
      <c r="J25" s="48">
        <f>'입력'!$C$27&amp;""</f>
        <v/>
      </c>
    </row>
    <row r="26" ht="24" customHeight="1">
      <c r="G26" s="46" t="inlineStr">
        <is>
          <t>주    소</t>
        </is>
      </c>
      <c r="I26" s="47" t="inlineStr">
        <is>
          <t>:</t>
        </is>
      </c>
      <c r="J26" s="48">
        <f>'입력'!$C$30&amp;""</f>
        <v/>
      </c>
    </row>
    <row r="27" ht="24" customHeight="1">
      <c r="G27" s="46" t="inlineStr">
        <is>
          <t>대 표 자</t>
        </is>
      </c>
      <c r="I27" s="47" t="inlineStr">
        <is>
          <t>:</t>
        </is>
      </c>
      <c r="J27" s="48">
        <f>'입력'!$C$28&amp;"          (인)"</f>
        <v/>
      </c>
    </row>
    <row r="28" ht="8" customHeight="1"/>
    <row r="29" ht="8" customHeight="1"/>
    <row r="30" ht="30" customHeight="1">
      <c r="B30" s="49">
        <f>IF('입력'!$C$18="","                  귀하",'입력'!$C$18&amp;"  귀하")</f>
        <v/>
      </c>
    </row>
  </sheetData>
  <mergeCells count="63">
    <mergeCell ref="K16:L16"/>
    <mergeCell ref="B2:M2"/>
    <mergeCell ref="B9:E9"/>
    <mergeCell ref="F18:H18"/>
    <mergeCell ref="I15:J15"/>
    <mergeCell ref="K15:L15"/>
    <mergeCell ref="B23:M23"/>
    <mergeCell ref="G27:H27"/>
    <mergeCell ref="K9:L9"/>
    <mergeCell ref="I11:J11"/>
    <mergeCell ref="B15:E15"/>
    <mergeCell ref="F17:H17"/>
    <mergeCell ref="E6:M6"/>
    <mergeCell ref="K11:L11"/>
    <mergeCell ref="I16:J16"/>
    <mergeCell ref="F13:H13"/>
    <mergeCell ref="B21:M21"/>
    <mergeCell ref="B16:E16"/>
    <mergeCell ref="K13:L13"/>
    <mergeCell ref="B25:E25"/>
    <mergeCell ref="F9:H9"/>
    <mergeCell ref="B30:M30"/>
    <mergeCell ref="B6:D6"/>
    <mergeCell ref="I18:J18"/>
    <mergeCell ref="E4:M4"/>
    <mergeCell ref="E7:M7"/>
    <mergeCell ref="B5:D5"/>
    <mergeCell ref="I12:J12"/>
    <mergeCell ref="K12:L12"/>
    <mergeCell ref="F14:H14"/>
    <mergeCell ref="B18:E18"/>
    <mergeCell ref="B12:E12"/>
    <mergeCell ref="B4:D4"/>
    <mergeCell ref="J25:M25"/>
    <mergeCell ref="B11:E11"/>
    <mergeCell ref="I14:J14"/>
    <mergeCell ref="B7:D7"/>
    <mergeCell ref="K14:L14"/>
    <mergeCell ref="I17:J17"/>
    <mergeCell ref="F11:H11"/>
    <mergeCell ref="G26:H26"/>
    <mergeCell ref="B14:E14"/>
    <mergeCell ref="K17:L17"/>
    <mergeCell ref="J27:M27"/>
    <mergeCell ref="F10:H10"/>
    <mergeCell ref="F16:H16"/>
    <mergeCell ref="B17:E17"/>
    <mergeCell ref="F19:H19"/>
    <mergeCell ref="J26:M26"/>
    <mergeCell ref="E5:M5"/>
    <mergeCell ref="I10:J10"/>
    <mergeCell ref="B13:E13"/>
    <mergeCell ref="K10:L10"/>
    <mergeCell ref="I19:J19"/>
    <mergeCell ref="G25:H25"/>
    <mergeCell ref="K19:L19"/>
    <mergeCell ref="F12:H12"/>
    <mergeCell ref="I13:J13"/>
    <mergeCell ref="B19:E19"/>
    <mergeCell ref="B10:E10"/>
    <mergeCell ref="F15:H15"/>
    <mergeCell ref="K18:L18"/>
    <mergeCell ref="I9:J9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2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수 도 · 전 기 료 납 부 각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공사 기간</t>
        </is>
      </c>
      <c r="C5" s="36" t="n"/>
      <c r="D5" s="37" t="n"/>
      <c r="E5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현장 위치</t>
        </is>
      </c>
      <c r="C6" s="36" t="n"/>
      <c r="D6" s="37" t="n"/>
      <c r="E6" s="38">
        <f>'입력'!$C$7&amp;""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8" customHeight="1"/>
    <row r="8" ht="59.15000000000001" customHeight="1">
      <c r="B8" s="43" t="inlineStr">
        <is>
          <t>우리 회사는 위 공사 기간 동안 발주기관(시설)의 수도·전기 등을 공사에 쓰는 경우, 사용량을 계량하거나 발주기관과 협의한 방법으로 산정한 요금을 발주기관이 정한 기한까지 납부할 것을 각서합니다.</t>
        </is>
      </c>
    </row>
    <row r="9" ht="24" customHeight="1">
      <c r="B9" s="35" t="inlineStr">
        <is>
          <t>구  분</t>
        </is>
      </c>
      <c r="C9" s="37" t="n"/>
      <c r="D9" s="35" t="inlineStr">
        <is>
          <t>계량 방법</t>
        </is>
      </c>
      <c r="E9" s="36" t="n"/>
      <c r="F9" s="37" t="n"/>
      <c r="G9" s="35" t="inlineStr">
        <is>
          <t>시작 지침</t>
        </is>
      </c>
      <c r="H9" s="37" t="n"/>
      <c r="I9" s="35" t="inlineStr">
        <is>
          <t>끝 지침</t>
        </is>
      </c>
      <c r="J9" s="37" t="n"/>
      <c r="K9" s="35" t="inlineStr">
        <is>
          <t>비  고</t>
        </is>
      </c>
      <c r="L9" s="36" t="n"/>
      <c r="M9" s="37" t="n"/>
    </row>
    <row r="10" ht="33.8" customHeight="1">
      <c r="B10" s="42" t="inlineStr">
        <is>
          <t>수  도</t>
        </is>
      </c>
      <c r="C10" s="40" t="n"/>
      <c r="D10" s="42" t="n"/>
      <c r="E10" s="39" t="n"/>
      <c r="F10" s="40" t="n"/>
      <c r="G10" s="42" t="n"/>
      <c r="H10" s="40" t="n"/>
      <c r="I10" s="42" t="n"/>
      <c r="J10" s="40" t="n"/>
      <c r="K10" s="42" t="n"/>
      <c r="L10" s="39" t="n"/>
      <c r="M10" s="40" t="n"/>
    </row>
    <row r="11" ht="33.8" customHeight="1">
      <c r="B11" s="42" t="inlineStr">
        <is>
          <t>전  기</t>
        </is>
      </c>
      <c r="C11" s="40" t="n"/>
      <c r="D11" s="42" t="n"/>
      <c r="E11" s="39" t="n"/>
      <c r="F11" s="40" t="n"/>
      <c r="G11" s="42" t="n"/>
      <c r="H11" s="40" t="n"/>
      <c r="I11" s="42" t="n"/>
      <c r="J11" s="40" t="n"/>
      <c r="K11" s="42" t="n"/>
      <c r="L11" s="39" t="n"/>
      <c r="M11" s="40" t="n"/>
    </row>
    <row r="12" ht="33.8" customHeight="1">
      <c r="B12" s="42" t="inlineStr">
        <is>
          <t>기  타</t>
        </is>
      </c>
      <c r="C12" s="40" t="n"/>
      <c r="D12" s="42" t="n"/>
      <c r="E12" s="39" t="n"/>
      <c r="F12" s="40" t="n"/>
      <c r="G12" s="42" t="n"/>
      <c r="H12" s="40" t="n"/>
      <c r="I12" s="42" t="n"/>
      <c r="J12" s="40" t="n"/>
      <c r="K12" s="42" t="n"/>
      <c r="L12" s="39" t="n"/>
      <c r="M12" s="40" t="n"/>
    </row>
    <row r="13" ht="8" customHeight="1"/>
    <row r="14" ht="128" customHeight="1"/>
    <row r="15" ht="30" customHeight="1">
      <c r="B15" s="44">
        <f>IF('입력'!$C$12="","          년      월      일",YEAR('입력'!$C$12)&amp;"년  "&amp;MONTH('입력'!$C$12)&amp;"월  "&amp;DAY('입력'!$C$12)&amp;"일")</f>
        <v/>
      </c>
    </row>
    <row r="16" ht="6" customHeight="1"/>
    <row r="17" ht="24" customHeight="1">
      <c r="B17" s="45" t="inlineStr">
        <is>
          <t>계약상대자</t>
        </is>
      </c>
      <c r="G17" s="46" t="inlineStr">
        <is>
          <t>상    호</t>
        </is>
      </c>
      <c r="I17" s="47" t="inlineStr">
        <is>
          <t>:</t>
        </is>
      </c>
      <c r="J17" s="48">
        <f>'입력'!$C$27&amp;""</f>
        <v/>
      </c>
    </row>
    <row r="18" ht="24" customHeight="1">
      <c r="G18" s="46" t="inlineStr">
        <is>
          <t>주    소</t>
        </is>
      </c>
      <c r="I18" s="47" t="inlineStr">
        <is>
          <t>:</t>
        </is>
      </c>
      <c r="J18" s="48">
        <f>'입력'!$C$30&amp;""</f>
        <v/>
      </c>
    </row>
    <row r="19" ht="24" customHeight="1">
      <c r="G19" s="46" t="inlineStr">
        <is>
          <t>대 표 자</t>
        </is>
      </c>
      <c r="I19" s="47" t="inlineStr">
        <is>
          <t>:</t>
        </is>
      </c>
      <c r="J19" s="48">
        <f>'입력'!$C$28&amp;"          (인)"</f>
        <v/>
      </c>
    </row>
    <row r="20" ht="8" customHeight="1"/>
    <row r="21" ht="8" customHeight="1"/>
    <row r="22" ht="30" customHeight="1">
      <c r="B22" s="49">
        <f>IF('입력'!$C$18="","                  귀하",'입력'!$C$18&amp;"  귀하")</f>
        <v/>
      </c>
    </row>
  </sheetData>
  <mergeCells count="37">
    <mergeCell ref="B2:M2"/>
    <mergeCell ref="D11:F11"/>
    <mergeCell ref="G12:H12"/>
    <mergeCell ref="G11:H11"/>
    <mergeCell ref="I11:J11"/>
    <mergeCell ref="B8:M8"/>
    <mergeCell ref="K12:M12"/>
    <mergeCell ref="G17:H17"/>
    <mergeCell ref="J18:M18"/>
    <mergeCell ref="E6:M6"/>
    <mergeCell ref="B12:C12"/>
    <mergeCell ref="B11:C11"/>
    <mergeCell ref="J17:M17"/>
    <mergeCell ref="G10:H10"/>
    <mergeCell ref="D12:F12"/>
    <mergeCell ref="G19:H19"/>
    <mergeCell ref="D9:F9"/>
    <mergeCell ref="G18:H18"/>
    <mergeCell ref="B6:D6"/>
    <mergeCell ref="J19:M19"/>
    <mergeCell ref="E4:M4"/>
    <mergeCell ref="I12:J12"/>
    <mergeCell ref="B5:D5"/>
    <mergeCell ref="B15:M15"/>
    <mergeCell ref="K10:M10"/>
    <mergeCell ref="B4:D4"/>
    <mergeCell ref="B10:C10"/>
    <mergeCell ref="B9:C9"/>
    <mergeCell ref="D10:F10"/>
    <mergeCell ref="B17:E17"/>
    <mergeCell ref="K9:M9"/>
    <mergeCell ref="E5:M5"/>
    <mergeCell ref="I10:J10"/>
    <mergeCell ref="B22:M22"/>
    <mergeCell ref="G9:H9"/>
    <mergeCell ref="I9:J9"/>
    <mergeCell ref="K11:M11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2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월 간 공 정 보 고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4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6" customHeight="1">
      <c r="B5" s="35" t="inlineStr">
        <is>
          <t>대상 달</t>
        </is>
      </c>
      <c r="C5" s="36" t="n"/>
      <c r="D5" s="37" t="n"/>
      <c r="E5" s="38">
        <f>IF('입력'!$C$91="","",YEAR('입력'!$C$91)&amp;"년 "&amp;MONTH('입력'!$C$91)&amp;"월")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6" customHeight="1">
      <c r="B6" s="35" t="inlineStr">
        <is>
          <t>공사 기간</t>
        </is>
      </c>
      <c r="C6" s="36" t="n"/>
      <c r="D6" s="37" t="n"/>
      <c r="E6" s="38">
        <f>IF(OR('입력'!$C$12="",'입력'!$C$130=""),"",IF('입력'!$C$12="","",YEAR('입력'!$C$12)&amp;". "&amp;MONTH('입력'!$C$12)&amp;". "&amp;DAY('입력'!$C$12)&amp;".")&amp;" ~ "&amp;IF('입력'!$C$130="","",YEAR('입력'!$C$130)&amp;". "&amp;MONTH('입력'!$C$130)&amp;". "&amp;DAY('입력'!$C$130)&amp;".")&amp;" ("&amp;('입력'!$C$130-'입력'!$C$12+1)&amp;"일)")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26" customHeight="1">
      <c r="B7" s="35" t="inlineStr">
        <is>
          <t>계획 공정률 (누계)</t>
        </is>
      </c>
      <c r="C7" s="36" t="n"/>
      <c r="D7" s="37" t="n"/>
      <c r="E7" s="38">
        <f>IF('입력'!$C$93="","",'입력'!$C$93&amp;"%")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26" customHeight="1">
      <c r="B8" s="35" t="inlineStr">
        <is>
          <t>실적 공정률 (누계)</t>
        </is>
      </c>
      <c r="C8" s="36" t="n"/>
      <c r="D8" s="37" t="n"/>
      <c r="E8" s="38">
        <f>IF('입력'!$C$94="","",'입력'!$C$94&amp;"%")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26" customHeight="1">
      <c r="B9" s="35" t="inlineStr">
        <is>
          <t>계획 대비</t>
        </is>
      </c>
      <c r="C9" s="36" t="n"/>
      <c r="D9" s="37" t="n"/>
      <c r="E9" s="38">
        <f>IF(OR('입력'!$C$93="",'입력'!$C$94=""),"",IF('입력'!$C$94='입력'!$C$93,"계획대로",IF('입력'!$C$94&gt;'입력'!$C$93,"계획보다 "&amp;FIXED('입력'!$C$94-'입력'!$C$93,2)&amp;"%p 앞섬","계획보다 "&amp;FIXED('입력'!$C$93-'입력'!$C$94,2)&amp;"%p 늦음")))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8" customHeight="1"/>
    <row r="11" ht="24" customHeight="1">
      <c r="B11" s="35" t="inlineStr">
        <is>
          <t>공  종</t>
        </is>
      </c>
      <c r="C11" s="37" t="n"/>
      <c r="D11" s="35" t="inlineStr">
        <is>
          <t>이번 달 한 일</t>
        </is>
      </c>
      <c r="E11" s="36" t="n"/>
      <c r="F11" s="36" t="n"/>
      <c r="G11" s="37" t="n"/>
      <c r="H11" s="35" t="inlineStr">
        <is>
          <t>다음 달 할 일</t>
        </is>
      </c>
      <c r="I11" s="36" t="n"/>
      <c r="J11" s="36" t="n"/>
      <c r="K11" s="37" t="n"/>
      <c r="L11" s="35" t="inlineStr">
        <is>
          <t>비  고</t>
        </is>
      </c>
      <c r="M11" s="37" t="n"/>
    </row>
    <row r="12" ht="26" customHeight="1">
      <c r="B12" s="42" t="n"/>
      <c r="C12" s="40" t="n"/>
      <c r="D12" s="42" t="n"/>
      <c r="E12" s="39" t="n"/>
      <c r="F12" s="39" t="n"/>
      <c r="G12" s="40" t="n"/>
      <c r="H12" s="42" t="n"/>
      <c r="I12" s="39" t="n"/>
      <c r="J12" s="39" t="n"/>
      <c r="K12" s="40" t="n"/>
      <c r="L12" s="42" t="n"/>
      <c r="M12" s="40" t="n"/>
    </row>
    <row r="13" ht="26" customHeight="1">
      <c r="B13" s="42" t="n"/>
      <c r="C13" s="40" t="n"/>
      <c r="D13" s="42" t="n"/>
      <c r="E13" s="39" t="n"/>
      <c r="F13" s="39" t="n"/>
      <c r="G13" s="40" t="n"/>
      <c r="H13" s="42" t="n"/>
      <c r="I13" s="39" t="n"/>
      <c r="J13" s="39" t="n"/>
      <c r="K13" s="40" t="n"/>
      <c r="L13" s="42" t="n"/>
      <c r="M13" s="40" t="n"/>
    </row>
    <row r="14" ht="26" customHeight="1">
      <c r="B14" s="42" t="n"/>
      <c r="C14" s="40" t="n"/>
      <c r="D14" s="42" t="n"/>
      <c r="E14" s="39" t="n"/>
      <c r="F14" s="39" t="n"/>
      <c r="G14" s="40" t="n"/>
      <c r="H14" s="42" t="n"/>
      <c r="I14" s="39" t="n"/>
      <c r="J14" s="39" t="n"/>
      <c r="K14" s="40" t="n"/>
      <c r="L14" s="42" t="n"/>
      <c r="M14" s="40" t="n"/>
    </row>
    <row r="15" ht="26" customHeight="1">
      <c r="B15" s="42" t="n"/>
      <c r="C15" s="40" t="n"/>
      <c r="D15" s="42" t="n"/>
      <c r="E15" s="39" t="n"/>
      <c r="F15" s="39" t="n"/>
      <c r="G15" s="40" t="n"/>
      <c r="H15" s="42" t="n"/>
      <c r="I15" s="39" t="n"/>
      <c r="J15" s="39" t="n"/>
      <c r="K15" s="40" t="n"/>
      <c r="L15" s="42" t="n"/>
      <c r="M15" s="40" t="n"/>
    </row>
    <row r="16" ht="26" customHeight="1">
      <c r="B16" s="42" t="n"/>
      <c r="C16" s="40" t="n"/>
      <c r="D16" s="42" t="n"/>
      <c r="E16" s="39" t="n"/>
      <c r="F16" s="39" t="n"/>
      <c r="G16" s="40" t="n"/>
      <c r="H16" s="42" t="n"/>
      <c r="I16" s="39" t="n"/>
      <c r="J16" s="39" t="n"/>
      <c r="K16" s="40" t="n"/>
      <c r="L16" s="42" t="n"/>
      <c r="M16" s="40" t="n"/>
    </row>
    <row r="17" ht="26" customHeight="1">
      <c r="B17" s="42" t="n"/>
      <c r="C17" s="40" t="n"/>
      <c r="D17" s="42" t="n"/>
      <c r="E17" s="39" t="n"/>
      <c r="F17" s="39" t="n"/>
      <c r="G17" s="40" t="n"/>
      <c r="H17" s="42" t="n"/>
      <c r="I17" s="39" t="n"/>
      <c r="J17" s="39" t="n"/>
      <c r="K17" s="40" t="n"/>
      <c r="L17" s="42" t="n"/>
      <c r="M17" s="40" t="n"/>
    </row>
    <row r="18" ht="26" customHeight="1">
      <c r="B18" s="42" t="n"/>
      <c r="C18" s="40" t="n"/>
      <c r="D18" s="42" t="n"/>
      <c r="E18" s="39" t="n"/>
      <c r="F18" s="39" t="n"/>
      <c r="G18" s="40" t="n"/>
      <c r="H18" s="42" t="n"/>
      <c r="I18" s="39" t="n"/>
      <c r="J18" s="39" t="n"/>
      <c r="K18" s="40" t="n"/>
      <c r="L18" s="42" t="n"/>
      <c r="M18" s="40" t="n"/>
    </row>
    <row r="19" ht="26" customHeight="1">
      <c r="B19" s="42" t="n"/>
      <c r="C19" s="40" t="n"/>
      <c r="D19" s="42" t="n"/>
      <c r="E19" s="39" t="n"/>
      <c r="F19" s="39" t="n"/>
      <c r="G19" s="40" t="n"/>
      <c r="H19" s="42" t="n"/>
      <c r="I19" s="39" t="n"/>
      <c r="J19" s="39" t="n"/>
      <c r="K19" s="40" t="n"/>
      <c r="L19" s="42" t="n"/>
      <c r="M19" s="40" t="n"/>
    </row>
    <row r="20" ht="8" customHeight="1"/>
    <row r="21" ht="64" customHeight="1">
      <c r="B21" s="35" t="inlineStr">
        <is>
          <t>특기 사항
(문제점 · 대책)</t>
        </is>
      </c>
      <c r="C21" s="36" t="n"/>
      <c r="D21" s="37" t="n"/>
      <c r="E21" s="38" t="n"/>
      <c r="F21" s="39" t="n"/>
      <c r="G21" s="39" t="n"/>
      <c r="H21" s="39" t="n"/>
      <c r="I21" s="39" t="n"/>
      <c r="J21" s="39" t="n"/>
      <c r="K21" s="39" t="n"/>
      <c r="L21" s="39" t="n"/>
      <c r="M21" s="40" t="n"/>
    </row>
    <row r="22" ht="8" customHeight="1"/>
    <row r="23" ht="22.725" customHeight="1">
      <c r="B23" s="50" t="inlineStr">
        <is>
          <t>※ 붙임: 공정 사진, 예정·실적 공정표(S커브 — 📈 예정공정표 도구).</t>
        </is>
      </c>
    </row>
    <row r="24" ht="8" customHeight="1"/>
    <row r="25" ht="30" customHeight="1">
      <c r="B25" s="44">
        <f>IF('입력'!$C$92="","          년      월      일",YEAR('입력'!$C$92)&amp;"년  "&amp;MONTH('입력'!$C$92)&amp;"월  "&amp;DAY('입력'!$C$92)&amp;"일")</f>
        <v/>
      </c>
    </row>
    <row r="26" ht="6" customHeight="1"/>
    <row r="27" ht="24" customHeight="1">
      <c r="B27" s="45" t="inlineStr">
        <is>
          <t>계약상대자</t>
        </is>
      </c>
      <c r="G27" s="46" t="inlineStr">
        <is>
          <t>상    호</t>
        </is>
      </c>
      <c r="I27" s="47" t="inlineStr">
        <is>
          <t>:</t>
        </is>
      </c>
      <c r="J27" s="48">
        <f>'입력'!$C$27&amp;""</f>
        <v/>
      </c>
    </row>
    <row r="28" ht="24" customHeight="1">
      <c r="G28" s="46" t="inlineStr">
        <is>
          <t>주    소</t>
        </is>
      </c>
      <c r="I28" s="47" t="inlineStr">
        <is>
          <t>:</t>
        </is>
      </c>
      <c r="J28" s="48">
        <f>'입력'!$C$30&amp;""</f>
        <v/>
      </c>
    </row>
    <row r="29" ht="24" customHeight="1">
      <c r="G29" s="46" t="inlineStr">
        <is>
          <t>대 표 자</t>
        </is>
      </c>
      <c r="I29" s="47" t="inlineStr">
        <is>
          <t>:</t>
        </is>
      </c>
      <c r="J29" s="48">
        <f>'입력'!$C$28&amp;"          (인)"</f>
        <v/>
      </c>
    </row>
    <row r="30" ht="8" customHeight="1"/>
    <row r="31" ht="8" customHeight="1"/>
    <row r="32" ht="30" customHeight="1">
      <c r="B32" s="49">
        <f>IF('입력'!$C$18="","                  귀하",'입력'!$C$18&amp;"  귀하")</f>
        <v/>
      </c>
    </row>
  </sheetData>
  <mergeCells count="61">
    <mergeCell ref="L17:M17"/>
    <mergeCell ref="B2:M2"/>
    <mergeCell ref="D18:G18"/>
    <mergeCell ref="B16:C16"/>
    <mergeCell ref="H13:K13"/>
    <mergeCell ref="D12:G12"/>
    <mergeCell ref="L16:M16"/>
    <mergeCell ref="B8:D8"/>
    <mergeCell ref="H12:K12"/>
    <mergeCell ref="B23:M23"/>
    <mergeCell ref="G27:H27"/>
    <mergeCell ref="E9:M9"/>
    <mergeCell ref="D15:G15"/>
    <mergeCell ref="L19:M19"/>
    <mergeCell ref="B18:C18"/>
    <mergeCell ref="H15:K15"/>
    <mergeCell ref="L13:M13"/>
    <mergeCell ref="D14:G14"/>
    <mergeCell ref="E6:M6"/>
    <mergeCell ref="B12:C12"/>
    <mergeCell ref="H18:K18"/>
    <mergeCell ref="H14:K14"/>
    <mergeCell ref="L12:M12"/>
    <mergeCell ref="B11:C11"/>
    <mergeCell ref="L15:M15"/>
    <mergeCell ref="B9:D9"/>
    <mergeCell ref="L18:M18"/>
    <mergeCell ref="B14:C14"/>
    <mergeCell ref="G28:H28"/>
    <mergeCell ref="D19:G19"/>
    <mergeCell ref="B17:C17"/>
    <mergeCell ref="J29:M29"/>
    <mergeCell ref="L14:M14"/>
    <mergeCell ref="B6:D6"/>
    <mergeCell ref="B13:C13"/>
    <mergeCell ref="J28:M28"/>
    <mergeCell ref="E7:M7"/>
    <mergeCell ref="B5:D5"/>
    <mergeCell ref="B27:E27"/>
    <mergeCell ref="B19:C19"/>
    <mergeCell ref="B4:D4"/>
    <mergeCell ref="B32:M32"/>
    <mergeCell ref="D11:G11"/>
    <mergeCell ref="D13:G13"/>
    <mergeCell ref="E21:M21"/>
    <mergeCell ref="B7:D7"/>
    <mergeCell ref="J27:M27"/>
    <mergeCell ref="G29:H29"/>
    <mergeCell ref="D17:G17"/>
    <mergeCell ref="B15:C15"/>
    <mergeCell ref="B25:M25"/>
    <mergeCell ref="H17:K17"/>
    <mergeCell ref="E5:M5"/>
    <mergeCell ref="H11:K11"/>
    <mergeCell ref="D16:G16"/>
    <mergeCell ref="L11:M11"/>
    <mergeCell ref="H16:K16"/>
    <mergeCell ref="B21:D21"/>
    <mergeCell ref="E8:M8"/>
    <mergeCell ref="E4:M4"/>
    <mergeCell ref="H19:K19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6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노 무 비 청 구 내 역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4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6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6" customHeight="1">
      <c r="B6" s="35" t="inlineStr">
        <is>
          <t>대상 달</t>
        </is>
      </c>
      <c r="C6" s="36" t="n"/>
      <c r="D6" s="37" t="n"/>
      <c r="E6" s="38">
        <f>IF('입력'!$C$91="","",YEAR('입력'!$C$91)&amp;"년 "&amp;MONTH('입력'!$C$91)&amp;"월")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26" customHeight="1">
      <c r="B7" s="35" t="inlineStr">
        <is>
          <t>이번 달 청구 금액</t>
        </is>
      </c>
      <c r="C7" s="36" t="n"/>
      <c r="D7" s="37" t="n"/>
      <c r="E7" s="38">
        <f>IF('입력'!$C$95="","",FIXED('입력'!$C$95,0)&amp;"원")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26" customHeight="1">
      <c r="B8" s="35" t="inlineStr">
        <is>
          <t>전월까지 누계</t>
        </is>
      </c>
      <c r="C8" s="36" t="n"/>
      <c r="D8" s="37" t="n"/>
      <c r="E8" s="38">
        <f>IF('입력'!$C$96="","",FIXED('입력'!$C$96,0)&amp;"원")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26" customHeight="1">
      <c r="B9" s="35" t="inlineStr">
        <is>
          <t>누      계</t>
        </is>
      </c>
      <c r="C9" s="36" t="n"/>
      <c r="D9" s="37" t="n"/>
      <c r="E9" s="38">
        <f>IF('입력'!$C$143="","",FIXED('입력'!$C$143,0)&amp;"원")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8" customHeight="1"/>
    <row r="11" ht="25.05" customHeight="1">
      <c r="B11" s="43" t="inlineStr">
        <is>
          <t>■ 직종별 집계</t>
        </is>
      </c>
    </row>
    <row r="12" ht="24" customHeight="1">
      <c r="B12" s="35" t="inlineStr">
        <is>
          <t>직  종</t>
        </is>
      </c>
      <c r="C12" s="37" t="n"/>
      <c r="D12" s="35" t="inlineStr">
        <is>
          <t>인원 (명)</t>
        </is>
      </c>
      <c r="E12" s="37" t="n"/>
      <c r="F12" s="35" t="inlineStr">
        <is>
          <t>연인원 (공수)</t>
        </is>
      </c>
      <c r="G12" s="37" t="n"/>
      <c r="H12" s="35" t="inlineStr">
        <is>
          <t>단가 (원)</t>
        </is>
      </c>
      <c r="I12" s="37" t="n"/>
      <c r="J12" s="35" t="inlineStr">
        <is>
          <t>금액 (원)</t>
        </is>
      </c>
      <c r="K12" s="37" t="n"/>
      <c r="L12" s="35" t="inlineStr">
        <is>
          <t>비  고</t>
        </is>
      </c>
      <c r="M12" s="37" t="n"/>
    </row>
    <row r="13" ht="22" customHeight="1">
      <c r="B13" s="42" t="n"/>
      <c r="C13" s="40" t="n"/>
      <c r="D13" s="42" t="n"/>
      <c r="E13" s="40" t="n"/>
      <c r="F13" s="42" t="n"/>
      <c r="G13" s="40" t="n"/>
      <c r="H13" s="52" t="n"/>
      <c r="I13" s="40" t="n"/>
      <c r="J13" s="52" t="n"/>
      <c r="K13" s="40" t="n"/>
      <c r="L13" s="42" t="n"/>
      <c r="M13" s="40" t="n"/>
    </row>
    <row r="14" ht="22" customHeight="1">
      <c r="B14" s="42" t="n"/>
      <c r="C14" s="40" t="n"/>
      <c r="D14" s="42" t="n"/>
      <c r="E14" s="40" t="n"/>
      <c r="F14" s="42" t="n"/>
      <c r="G14" s="40" t="n"/>
      <c r="H14" s="52" t="n"/>
      <c r="I14" s="40" t="n"/>
      <c r="J14" s="52" t="n"/>
      <c r="K14" s="40" t="n"/>
      <c r="L14" s="42" t="n"/>
      <c r="M14" s="40" t="n"/>
    </row>
    <row r="15" ht="22" customHeight="1">
      <c r="B15" s="42" t="n"/>
      <c r="C15" s="40" t="n"/>
      <c r="D15" s="42" t="n"/>
      <c r="E15" s="40" t="n"/>
      <c r="F15" s="42" t="n"/>
      <c r="G15" s="40" t="n"/>
      <c r="H15" s="52" t="n"/>
      <c r="I15" s="40" t="n"/>
      <c r="J15" s="52" t="n"/>
      <c r="K15" s="40" t="n"/>
      <c r="L15" s="42" t="n"/>
      <c r="M15" s="40" t="n"/>
    </row>
    <row r="16" ht="22" customHeight="1">
      <c r="B16" s="42" t="n"/>
      <c r="C16" s="40" t="n"/>
      <c r="D16" s="42" t="n"/>
      <c r="E16" s="40" t="n"/>
      <c r="F16" s="42" t="n"/>
      <c r="G16" s="40" t="n"/>
      <c r="H16" s="52" t="n"/>
      <c r="I16" s="40" t="n"/>
      <c r="J16" s="52" t="n"/>
      <c r="K16" s="40" t="n"/>
      <c r="L16" s="42" t="n"/>
      <c r="M16" s="40" t="n"/>
    </row>
    <row r="17" ht="22" customHeight="1">
      <c r="B17" s="42" t="n"/>
      <c r="C17" s="40" t="n"/>
      <c r="D17" s="42" t="n"/>
      <c r="E17" s="40" t="n"/>
      <c r="F17" s="42" t="n"/>
      <c r="G17" s="40" t="n"/>
      <c r="H17" s="52" t="n"/>
      <c r="I17" s="40" t="n"/>
      <c r="J17" s="52" t="n"/>
      <c r="K17" s="40" t="n"/>
      <c r="L17" s="42" t="n"/>
      <c r="M17" s="40" t="n"/>
    </row>
    <row r="18" ht="22" customHeight="1">
      <c r="B18" s="42" t="n"/>
      <c r="C18" s="40" t="n"/>
      <c r="D18" s="42" t="n"/>
      <c r="E18" s="40" t="n"/>
      <c r="F18" s="42" t="n"/>
      <c r="G18" s="40" t="n"/>
      <c r="H18" s="52" t="n"/>
      <c r="I18" s="40" t="n"/>
      <c r="J18" s="52" t="n"/>
      <c r="K18" s="40" t="n"/>
      <c r="L18" s="42" t="n"/>
      <c r="M18" s="40" t="n"/>
    </row>
    <row r="19" ht="22" customHeight="1">
      <c r="B19" s="42" t="n"/>
      <c r="C19" s="40" t="n"/>
      <c r="D19" s="42" t="n"/>
      <c r="E19" s="40" t="n"/>
      <c r="F19" s="42" t="n"/>
      <c r="G19" s="40" t="n"/>
      <c r="H19" s="52" t="n"/>
      <c r="I19" s="40" t="n"/>
      <c r="J19" s="52" t="n"/>
      <c r="K19" s="40" t="n"/>
      <c r="L19" s="42" t="n"/>
      <c r="M19" s="40" t="n"/>
    </row>
    <row r="20" ht="22" customHeight="1">
      <c r="B20" s="42" t="n"/>
      <c r="C20" s="40" t="n"/>
      <c r="D20" s="42" t="n"/>
      <c r="E20" s="40" t="n"/>
      <c r="F20" s="42" t="n"/>
      <c r="G20" s="40" t="n"/>
      <c r="H20" s="52" t="n"/>
      <c r="I20" s="40" t="n"/>
      <c r="J20" s="52" t="n"/>
      <c r="K20" s="40" t="n"/>
      <c r="L20" s="42" t="n"/>
      <c r="M20" s="40" t="n"/>
    </row>
    <row r="21" ht="22" customHeight="1">
      <c r="B21" s="42" t="n"/>
      <c r="C21" s="40" t="n"/>
      <c r="D21" s="42" t="n"/>
      <c r="E21" s="40" t="n"/>
      <c r="F21" s="42" t="n"/>
      <c r="G21" s="40" t="n"/>
      <c r="H21" s="52" t="n"/>
      <c r="I21" s="40" t="n"/>
      <c r="J21" s="52" t="n"/>
      <c r="K21" s="40" t="n"/>
      <c r="L21" s="42" t="n"/>
      <c r="M21" s="40" t="n"/>
    </row>
    <row r="22" ht="22" customHeight="1">
      <c r="B22" s="42" t="n"/>
      <c r="C22" s="40" t="n"/>
      <c r="D22" s="42" t="n"/>
      <c r="E22" s="40" t="n"/>
      <c r="F22" s="42" t="n"/>
      <c r="G22" s="40" t="n"/>
      <c r="H22" s="52" t="n"/>
      <c r="I22" s="40" t="n"/>
      <c r="J22" s="52" t="n"/>
      <c r="K22" s="40" t="n"/>
      <c r="L22" s="42" t="n"/>
      <c r="M22" s="40" t="n"/>
    </row>
    <row r="23" ht="22" customHeight="1">
      <c r="B23" s="42" t="n"/>
      <c r="C23" s="40" t="n"/>
      <c r="D23" s="42" t="n"/>
      <c r="E23" s="40" t="n"/>
      <c r="F23" s="42" t="n"/>
      <c r="G23" s="40" t="n"/>
      <c r="H23" s="52" t="n"/>
      <c r="I23" s="40" t="n"/>
      <c r="J23" s="52" t="n"/>
      <c r="K23" s="40" t="n"/>
      <c r="L23" s="42" t="n"/>
      <c r="M23" s="40" t="n"/>
    </row>
    <row r="24" ht="22" customHeight="1">
      <c r="B24" s="42" t="n"/>
      <c r="C24" s="40" t="n"/>
      <c r="D24" s="42" t="n"/>
      <c r="E24" s="40" t="n"/>
      <c r="F24" s="42" t="n"/>
      <c r="G24" s="40" t="n"/>
      <c r="H24" s="52" t="n"/>
      <c r="I24" s="40" t="n"/>
      <c r="J24" s="52" t="n"/>
      <c r="K24" s="40" t="n"/>
      <c r="L24" s="42" t="n"/>
      <c r="M24" s="40" t="n"/>
    </row>
    <row r="25" ht="22" customHeight="1">
      <c r="B25" s="54" t="inlineStr">
        <is>
          <t>합  계</t>
        </is>
      </c>
      <c r="C25" s="40" t="n"/>
      <c r="D25" s="54">
        <f>IF(SUM(D13:D24)=0,"",SUM(D13:D24))</f>
        <v/>
      </c>
      <c r="E25" s="40" t="n"/>
      <c r="F25" s="54">
        <f>IF(SUM(F13:F24)=0,"",SUM(F13:F24))</f>
        <v/>
      </c>
      <c r="G25" s="40" t="n"/>
      <c r="H25" s="55" t="n"/>
      <c r="I25" s="40" t="n"/>
      <c r="J25" s="55">
        <f>IF(SUM(J13:J24)=0,"",SUM(J13:J24))</f>
        <v/>
      </c>
      <c r="K25" s="40" t="n"/>
      <c r="L25" s="54" t="n"/>
      <c r="M25" s="40" t="n"/>
    </row>
    <row r="26" ht="8" customHeight="1"/>
    <row r="27" ht="37.45" customHeight="1">
      <c r="B27" s="50" t="inlineStr">
        <is>
          <t>※ 표의 금액 합계가 «이번 달 청구 금액» 과 같은지 확인하세요. 붙임: 임금대장 · 노무비 지급확인서 · 출역일보 · 근로자 명부.</t>
        </is>
      </c>
    </row>
    <row r="28" ht="8" customHeight="1"/>
    <row r="29" ht="30" customHeight="1">
      <c r="B29" s="44">
        <f>IF('입력'!$C$92="","          년      월      일",YEAR('입력'!$C$92)&amp;"년  "&amp;MONTH('입력'!$C$92)&amp;"월  "&amp;DAY('입력'!$C$92)&amp;"일")</f>
        <v/>
      </c>
    </row>
    <row r="30" ht="6" customHeight="1"/>
    <row r="31" ht="24" customHeight="1">
      <c r="B31" s="45" t="inlineStr">
        <is>
          <t>계약상대자</t>
        </is>
      </c>
      <c r="G31" s="46" t="inlineStr">
        <is>
          <t>상    호</t>
        </is>
      </c>
      <c r="I31" s="47" t="inlineStr">
        <is>
          <t>:</t>
        </is>
      </c>
      <c r="J31" s="48">
        <f>'입력'!$C$27&amp;""</f>
        <v/>
      </c>
    </row>
    <row r="32" ht="24" customHeight="1">
      <c r="G32" s="46" t="inlineStr">
        <is>
          <t>주    소</t>
        </is>
      </c>
      <c r="I32" s="47" t="inlineStr">
        <is>
          <t>:</t>
        </is>
      </c>
      <c r="J32" s="48">
        <f>'입력'!$C$30&amp;""</f>
        <v/>
      </c>
    </row>
    <row r="33" ht="24" customHeight="1">
      <c r="G33" s="46" t="inlineStr">
        <is>
          <t>대 표 자</t>
        </is>
      </c>
      <c r="I33" s="47" t="inlineStr">
        <is>
          <t>:</t>
        </is>
      </c>
      <c r="J33" s="48">
        <f>'입력'!$C$28&amp;"          (인)"</f>
        <v/>
      </c>
    </row>
    <row r="34" ht="8" customHeight="1"/>
    <row r="35" ht="8" customHeight="1"/>
    <row r="36" ht="30" customHeight="1">
      <c r="B36" s="49">
        <f>IF('입력'!$C$18="","                  귀하",'입력'!$C$18&amp;"  귀하")</f>
        <v/>
      </c>
    </row>
  </sheetData>
  <mergeCells count="108">
    <mergeCell ref="L17:M17"/>
    <mergeCell ref="B2:M2"/>
    <mergeCell ref="D20:E20"/>
    <mergeCell ref="B11:M11"/>
    <mergeCell ref="F16:G16"/>
    <mergeCell ref="F25:G25"/>
    <mergeCell ref="J19:K19"/>
    <mergeCell ref="B22:C22"/>
    <mergeCell ref="L19:M19"/>
    <mergeCell ref="D22:E22"/>
    <mergeCell ref="J33:M33"/>
    <mergeCell ref="B12:C12"/>
    <mergeCell ref="B21:C21"/>
    <mergeCell ref="L12:M12"/>
    <mergeCell ref="F15:G15"/>
    <mergeCell ref="D13:E13"/>
    <mergeCell ref="B14:C14"/>
    <mergeCell ref="L14:M14"/>
    <mergeCell ref="B6:D6"/>
    <mergeCell ref="B13:C13"/>
    <mergeCell ref="B31:E31"/>
    <mergeCell ref="B4:D4"/>
    <mergeCell ref="F23:G23"/>
    <mergeCell ref="F13:G13"/>
    <mergeCell ref="H13:I13"/>
    <mergeCell ref="J21:K21"/>
    <mergeCell ref="B24:C24"/>
    <mergeCell ref="L21:M21"/>
    <mergeCell ref="D24:E24"/>
    <mergeCell ref="E5:M5"/>
    <mergeCell ref="H15:I15"/>
    <mergeCell ref="H23:I23"/>
    <mergeCell ref="J23:K23"/>
    <mergeCell ref="E4:M4"/>
    <mergeCell ref="B16:C16"/>
    <mergeCell ref="B25:C25"/>
    <mergeCell ref="L16:M16"/>
    <mergeCell ref="D19:E19"/>
    <mergeCell ref="B8:D8"/>
    <mergeCell ref="F19:G19"/>
    <mergeCell ref="B18:C18"/>
    <mergeCell ref="H25:I25"/>
    <mergeCell ref="F20:G20"/>
    <mergeCell ref="F18:G18"/>
    <mergeCell ref="B9:D9"/>
    <mergeCell ref="F17:G17"/>
    <mergeCell ref="H17:I17"/>
    <mergeCell ref="B5:D5"/>
    <mergeCell ref="J20:K20"/>
    <mergeCell ref="L20:M20"/>
    <mergeCell ref="G33:H33"/>
    <mergeCell ref="H19:I19"/>
    <mergeCell ref="J22:K22"/>
    <mergeCell ref="L22:M22"/>
    <mergeCell ref="H12:I12"/>
    <mergeCell ref="J12:K12"/>
    <mergeCell ref="B15:C15"/>
    <mergeCell ref="D15:E15"/>
    <mergeCell ref="D23:E23"/>
    <mergeCell ref="H14:I14"/>
    <mergeCell ref="J31:M31"/>
    <mergeCell ref="E6:M6"/>
    <mergeCell ref="F21:G21"/>
    <mergeCell ref="H21:I21"/>
    <mergeCell ref="J24:K24"/>
    <mergeCell ref="L24:M24"/>
    <mergeCell ref="L18:M18"/>
    <mergeCell ref="B17:C17"/>
    <mergeCell ref="D17:E17"/>
    <mergeCell ref="E7:M7"/>
    <mergeCell ref="H16:I16"/>
    <mergeCell ref="J16:K16"/>
    <mergeCell ref="B19:C19"/>
    <mergeCell ref="J25:K25"/>
    <mergeCell ref="B36:M36"/>
    <mergeCell ref="L25:M25"/>
    <mergeCell ref="F22:G22"/>
    <mergeCell ref="H22:I22"/>
    <mergeCell ref="D12:E12"/>
    <mergeCell ref="D25:E25"/>
    <mergeCell ref="G32:H32"/>
    <mergeCell ref="B20:C20"/>
    <mergeCell ref="D14:E14"/>
    <mergeCell ref="F14:G14"/>
    <mergeCell ref="H20:I20"/>
    <mergeCell ref="J14:K14"/>
    <mergeCell ref="E9:M9"/>
    <mergeCell ref="J13:K13"/>
    <mergeCell ref="L13:M13"/>
    <mergeCell ref="B29:M29"/>
    <mergeCell ref="D21:E21"/>
    <mergeCell ref="F12:G12"/>
    <mergeCell ref="F24:G24"/>
    <mergeCell ref="J15:K15"/>
    <mergeCell ref="L15:M15"/>
    <mergeCell ref="B23:C23"/>
    <mergeCell ref="L23:M23"/>
    <mergeCell ref="D16:E16"/>
    <mergeCell ref="D18:E18"/>
    <mergeCell ref="B7:D7"/>
    <mergeCell ref="H24:I24"/>
    <mergeCell ref="H18:I18"/>
    <mergeCell ref="J18:K18"/>
    <mergeCell ref="G31:H31"/>
    <mergeCell ref="E8:M8"/>
    <mergeCell ref="B27:M27"/>
    <mergeCell ref="J32:M32"/>
    <mergeCell ref="J17:K17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1:O27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7.6" customWidth="1" min="2" max="2"/>
    <col width="7.6" customWidth="1" min="3" max="3"/>
    <col width="6.16" customWidth="1" min="4" max="4"/>
    <col width="6.16" customWidth="1" min="5" max="5"/>
    <col width="6.16" customWidth="1" min="6" max="6"/>
    <col width="6.16" customWidth="1" min="7" max="7"/>
    <col width="6.16" customWidth="1" min="8" max="8"/>
    <col width="6.16" customWidth="1" min="9" max="9"/>
    <col width="6.16" customWidth="1" min="10" max="10"/>
    <col width="6.16" customWidth="1" min="11" max="11"/>
    <col width="6.16" customWidth="1" min="12" max="12"/>
    <col width="6.16" customWidth="1" min="13" max="13"/>
    <col width="2" customWidth="1" min="14" max="14"/>
    <col width="18" customWidth="1" min="15" max="15"/>
  </cols>
  <sheetData>
    <row r="1" ht="18" customHeight="1">
      <c r="B1" s="60" t="inlineStr">
        <is>
          <t>【별지 제1호 서식】</t>
        </is>
      </c>
    </row>
    <row r="2" ht="44" customHeight="1">
      <c r="B2" s="34" t="inlineStr">
        <is>
          <t>산업안전보건관리비 사용내역서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0" customHeight="1">
      <c r="B4" s="42" t="inlineStr">
        <is>
          <t>건설업체명</t>
        </is>
      </c>
      <c r="C4" s="40" t="n"/>
      <c r="D4" s="59">
        <f>'입력'!$C$27&amp;""</f>
        <v/>
      </c>
      <c r="E4" s="39" t="n"/>
      <c r="F4" s="39" t="n"/>
      <c r="G4" s="40" t="n"/>
      <c r="H4" s="42" t="inlineStr">
        <is>
          <t>공 사 명</t>
        </is>
      </c>
      <c r="I4" s="40" t="n"/>
      <c r="J4" s="59">
        <f>'입력'!$C$6&amp;""</f>
        <v/>
      </c>
      <c r="K4" s="39" t="n"/>
      <c r="L4" s="39" t="n"/>
      <c r="M4" s="40" t="n"/>
    </row>
    <row r="5" ht="30" customHeight="1">
      <c r="B5" s="42" t="inlineStr">
        <is>
          <t>소 재 지</t>
        </is>
      </c>
      <c r="C5" s="40" t="n"/>
      <c r="D5" s="59">
        <f>'입력'!$C$30&amp;""</f>
        <v/>
      </c>
      <c r="E5" s="39" t="n"/>
      <c r="F5" s="39" t="n"/>
      <c r="G5" s="40" t="n"/>
      <c r="H5" s="42" t="inlineStr">
        <is>
          <t>대 표 자</t>
        </is>
      </c>
      <c r="I5" s="40" t="n"/>
      <c r="J5" s="59">
        <f>'입력'!$C$28&amp;""</f>
        <v/>
      </c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0" customHeight="1">
      <c r="B6" s="42" t="inlineStr">
        <is>
          <t>공 사 금 액</t>
        </is>
      </c>
      <c r="C6" s="40" t="n"/>
      <c r="D6" s="61">
        <f>IF('입력'!$C$14="","원",FIXED('입력'!$C$14,0)&amp;" 원")</f>
        <v/>
      </c>
      <c r="E6" s="39" t="n"/>
      <c r="F6" s="39" t="n"/>
      <c r="G6" s="40" t="n"/>
      <c r="H6" s="42" t="inlineStr">
        <is>
          <t>공 사 기 간</t>
        </is>
      </c>
      <c r="I6" s="40" t="n"/>
      <c r="J6" s="62">
        <f>IF(OR('입력'!$C$12="",'입력'!$C$130=""),"~",IF('입력'!$C$12="","",YEAR('입력'!$C$12)&amp;". "&amp;MONTH('입력'!$C$12)&amp;". "&amp;DAY('입력'!$C$12)&amp;".")&amp;" ~ "&amp;IF('입력'!$C$130="","",YEAR('입력'!$C$130)&amp;". "&amp;MONTH('입력'!$C$130)&amp;". "&amp;DAY('입력'!$C$130)&amp;"."))</f>
        <v/>
      </c>
      <c r="K6" s="39" t="n"/>
      <c r="L6" s="39" t="n"/>
      <c r="M6" s="40" t="n"/>
    </row>
    <row r="7" ht="30" customHeight="1">
      <c r="B7" s="42" t="inlineStr">
        <is>
          <t>발 주 자</t>
        </is>
      </c>
      <c r="C7" s="40" t="n"/>
      <c r="D7" s="59">
        <f>'입력'!$C$17&amp;""</f>
        <v/>
      </c>
      <c r="E7" s="39" t="n"/>
      <c r="F7" s="39" t="n"/>
      <c r="G7" s="40" t="n"/>
      <c r="H7" s="42" t="inlineStr">
        <is>
          <t>누계공정률</t>
        </is>
      </c>
      <c r="I7" s="40" t="n"/>
      <c r="J7" s="61">
        <f>IF('입력'!$C$94="","%",'입력'!$C$94&amp;" %")</f>
        <v/>
      </c>
      <c r="K7" s="39" t="n"/>
      <c r="L7" s="39" t="n"/>
      <c r="M7" s="40" t="n"/>
    </row>
    <row r="8" ht="34" customHeight="1">
      <c r="B8" s="63" t="inlineStr">
        <is>
          <t>계 상 된
산업안전보건관리비</t>
        </is>
      </c>
      <c r="C8" s="40" t="n"/>
      <c r="D8" s="42">
        <f>IF('입력'!$C$97="","원",FIXED('입력'!$C$97,0)&amp;" 원")</f>
        <v/>
      </c>
      <c r="E8" s="39" t="n"/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28" customHeight="1">
      <c r="B9" s="42" t="inlineStr">
        <is>
          <t>사          용          금          액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28" customHeight="1">
      <c r="B10" s="42" t="inlineStr">
        <is>
          <t>항                    목</t>
        </is>
      </c>
      <c r="C10" s="39" t="n"/>
      <c r="D10" s="39" t="n"/>
      <c r="E10" s="39" t="n"/>
      <c r="F10" s="39" t="n"/>
      <c r="G10" s="40" t="n"/>
      <c r="H10" s="42">
        <f>IF('입력'!$C$91="","(      )월 사용금액","( "&amp;MONTH('입력'!$C$91)&amp;" )월 사용금액")</f>
        <v/>
      </c>
      <c r="I10" s="39" t="n"/>
      <c r="J10" s="40" t="n"/>
      <c r="K10" s="42" t="inlineStr">
        <is>
          <t>누계 사용금액</t>
        </is>
      </c>
      <c r="L10" s="39" t="n"/>
      <c r="M10" s="40" t="n"/>
    </row>
    <row r="11" ht="28" customHeight="1">
      <c r="B11" s="42" t="inlineStr">
        <is>
          <t>계</t>
        </is>
      </c>
      <c r="C11" s="39" t="n"/>
      <c r="D11" s="39" t="n"/>
      <c r="E11" s="39" t="n"/>
      <c r="F11" s="39" t="n"/>
      <c r="G11" s="40" t="n"/>
      <c r="H11" s="52">
        <f>IF(SUM(H12:H20)=0,"",SUM(H12:H20))</f>
        <v/>
      </c>
      <c r="I11" s="39" t="n"/>
      <c r="J11" s="40" t="n"/>
      <c r="K11" s="52">
        <f>IF(SUM(K12:K20)=0,"",SUM(K12:K20))</f>
        <v/>
      </c>
      <c r="L11" s="39" t="n"/>
      <c r="M11" s="40" t="n"/>
    </row>
    <row r="12" ht="28" customHeight="1">
      <c r="B12" s="59" t="inlineStr">
        <is>
          <t>1. 안전·보건관리자 임금 등</t>
        </is>
      </c>
      <c r="C12" s="39" t="n"/>
      <c r="D12" s="39" t="n"/>
      <c r="E12" s="39" t="n"/>
      <c r="F12" s="39" t="n"/>
      <c r="G12" s="40" t="n"/>
      <c r="H12" s="52" t="n"/>
      <c r="I12" s="39" t="n"/>
      <c r="J12" s="40" t="n"/>
      <c r="K12" s="52" t="n"/>
      <c r="L12" s="39" t="n"/>
      <c r="M12" s="40" t="n"/>
    </row>
    <row r="13" ht="28" customHeight="1">
      <c r="B13" s="59" t="inlineStr">
        <is>
          <t>2. 안전시설비 등</t>
        </is>
      </c>
      <c r="C13" s="39" t="n"/>
      <c r="D13" s="39" t="n"/>
      <c r="E13" s="39" t="n"/>
      <c r="F13" s="39" t="n"/>
      <c r="G13" s="40" t="n"/>
      <c r="H13" s="52" t="n"/>
      <c r="I13" s="39" t="n"/>
      <c r="J13" s="40" t="n"/>
      <c r="K13" s="52" t="n"/>
      <c r="L13" s="39" t="n"/>
      <c r="M13" s="40" t="n"/>
    </row>
    <row r="14" ht="28" customHeight="1">
      <c r="B14" s="59" t="inlineStr">
        <is>
          <t>3. 보호구 등</t>
        </is>
      </c>
      <c r="C14" s="39" t="n"/>
      <c r="D14" s="39" t="n"/>
      <c r="E14" s="39" t="n"/>
      <c r="F14" s="39" t="n"/>
      <c r="G14" s="40" t="n"/>
      <c r="H14" s="52" t="n"/>
      <c r="I14" s="39" t="n"/>
      <c r="J14" s="40" t="n"/>
      <c r="K14" s="52" t="n"/>
      <c r="L14" s="39" t="n"/>
      <c r="M14" s="40" t="n"/>
    </row>
    <row r="15" ht="28" customHeight="1">
      <c r="B15" s="59" t="inlineStr">
        <is>
          <t>4. 안전보건진단비 등</t>
        </is>
      </c>
      <c r="C15" s="39" t="n"/>
      <c r="D15" s="39" t="n"/>
      <c r="E15" s="39" t="n"/>
      <c r="F15" s="39" t="n"/>
      <c r="G15" s="40" t="n"/>
      <c r="H15" s="52" t="n"/>
      <c r="I15" s="39" t="n"/>
      <c r="J15" s="40" t="n"/>
      <c r="K15" s="52" t="n"/>
      <c r="L15" s="39" t="n"/>
      <c r="M15" s="40" t="n"/>
    </row>
    <row r="16" ht="28" customHeight="1">
      <c r="B16" s="59" t="inlineStr">
        <is>
          <t>5. 안전보건교육비 등</t>
        </is>
      </c>
      <c r="C16" s="39" t="n"/>
      <c r="D16" s="39" t="n"/>
      <c r="E16" s="39" t="n"/>
      <c r="F16" s="39" t="n"/>
      <c r="G16" s="40" t="n"/>
      <c r="H16" s="52" t="n"/>
      <c r="I16" s="39" t="n"/>
      <c r="J16" s="40" t="n"/>
      <c r="K16" s="52" t="n"/>
      <c r="L16" s="39" t="n"/>
      <c r="M16" s="40" t="n"/>
    </row>
    <row r="17" ht="28" customHeight="1">
      <c r="B17" s="59" t="inlineStr">
        <is>
          <t>6. 근로자 건강장해예방비 등</t>
        </is>
      </c>
      <c r="C17" s="39" t="n"/>
      <c r="D17" s="39" t="n"/>
      <c r="E17" s="39" t="n"/>
      <c r="F17" s="39" t="n"/>
      <c r="G17" s="40" t="n"/>
      <c r="H17" s="52" t="n"/>
      <c r="I17" s="39" t="n"/>
      <c r="J17" s="40" t="n"/>
      <c r="K17" s="52" t="n"/>
      <c r="L17" s="39" t="n"/>
      <c r="M17" s="40" t="n"/>
    </row>
    <row r="18" ht="28" customHeight="1">
      <c r="B18" s="59" t="inlineStr">
        <is>
          <t>7. 건설재해예방전문지도기관 기술지도비</t>
        </is>
      </c>
      <c r="C18" s="39" t="n"/>
      <c r="D18" s="39" t="n"/>
      <c r="E18" s="39" t="n"/>
      <c r="F18" s="39" t="n"/>
      <c r="G18" s="40" t="n"/>
      <c r="H18" s="52" t="n"/>
      <c r="I18" s="39" t="n"/>
      <c r="J18" s="40" t="n"/>
      <c r="K18" s="52" t="n"/>
      <c r="L18" s="39" t="n"/>
      <c r="M18" s="40" t="n"/>
    </row>
    <row r="19" ht="28" customHeight="1">
      <c r="B19" s="59" t="inlineStr">
        <is>
          <t>8. 본사 전담조직 근로자 임금 등</t>
        </is>
      </c>
      <c r="C19" s="39" t="n"/>
      <c r="D19" s="39" t="n"/>
      <c r="E19" s="39" t="n"/>
      <c r="F19" s="39" t="n"/>
      <c r="G19" s="40" t="n"/>
      <c r="H19" s="52" t="n"/>
      <c r="I19" s="39" t="n"/>
      <c r="J19" s="40" t="n"/>
      <c r="K19" s="52" t="n"/>
      <c r="L19" s="39" t="n"/>
      <c r="M19" s="40" t="n"/>
    </row>
    <row r="20" ht="28" customHeight="1">
      <c r="B20" s="59" t="inlineStr">
        <is>
          <t>9. 위험성평가 등에 따른 소요비용</t>
        </is>
      </c>
      <c r="C20" s="39" t="n"/>
      <c r="D20" s="39" t="n"/>
      <c r="E20" s="39" t="n"/>
      <c r="F20" s="39" t="n"/>
      <c r="G20" s="40" t="n"/>
      <c r="H20" s="52" t="n"/>
      <c r="I20" s="39" t="n"/>
      <c r="J20" s="40" t="n"/>
      <c r="K20" s="52" t="n"/>
      <c r="L20" s="39" t="n"/>
      <c r="M20" s="40" t="n"/>
    </row>
    <row r="21" ht="8" customHeight="1"/>
    <row r="22" ht="42.1" customHeight="1">
      <c r="B22" s="43" t="inlineStr">
        <is>
          <t>「건설업 산업안전보건관리비 계상 및 사용기준」 제10조제1항에 따라 위와 같이 사용내역서를 작성하였습니다.</t>
        </is>
      </c>
    </row>
    <row r="23" ht="8" customHeight="1"/>
    <row r="24" ht="30" customHeight="1">
      <c r="B24" s="44">
        <f>IF('입력'!$C$92="","          년      월      일",YEAR('입력'!$C$92)&amp;"년  "&amp;MONTH('입력'!$C$92)&amp;"월  "&amp;DAY('입력'!$C$92)&amp;"일")</f>
        <v/>
      </c>
    </row>
    <row r="25" ht="6" customHeight="1"/>
    <row r="26" ht="26" customHeight="1">
      <c r="B26" s="64" t="inlineStr">
        <is>
          <t>작 성 자</t>
        </is>
      </c>
      <c r="C26" s="65" t="n"/>
      <c r="D26" s="64" t="inlineStr">
        <is>
          <t>직책</t>
        </is>
      </c>
      <c r="E26" s="64" t="n"/>
      <c r="F26" s="65" t="n"/>
      <c r="G26" s="64" t="inlineStr">
        <is>
          <t>성명</t>
        </is>
      </c>
      <c r="H26" s="64" t="n"/>
      <c r="I26" s="65" t="n"/>
      <c r="J26" s="65" t="n"/>
      <c r="K26" s="64" t="inlineStr">
        <is>
          <t>(서명 또는 인)</t>
        </is>
      </c>
      <c r="L26" s="65" t="n"/>
      <c r="M26" s="65" t="n"/>
    </row>
    <row r="27" ht="26" customHeight="1">
      <c r="B27" s="64" t="inlineStr">
        <is>
          <t>확 인 자</t>
        </is>
      </c>
      <c r="C27" s="65" t="n"/>
      <c r="D27" s="64" t="inlineStr">
        <is>
          <t>직책</t>
        </is>
      </c>
      <c r="E27" s="64" t="n"/>
      <c r="F27" s="65" t="n"/>
      <c r="G27" s="64" t="inlineStr">
        <is>
          <t>성명</t>
        </is>
      </c>
      <c r="H27" s="64" t="n"/>
      <c r="I27" s="65" t="n"/>
      <c r="J27" s="65" t="n"/>
      <c r="K27" s="64" t="inlineStr">
        <is>
          <t>(서명 또는 인)</t>
        </is>
      </c>
      <c r="L27" s="65" t="n"/>
      <c r="M27" s="65" t="n"/>
    </row>
    <row r="28" ht="8" customHeight="1"/>
  </sheetData>
  <mergeCells count="64">
    <mergeCell ref="B2:M2"/>
    <mergeCell ref="B7:C7"/>
    <mergeCell ref="B14:G14"/>
    <mergeCell ref="B17:G17"/>
    <mergeCell ref="D8:M8"/>
    <mergeCell ref="H4:I4"/>
    <mergeCell ref="B13:G13"/>
    <mergeCell ref="K12:M12"/>
    <mergeCell ref="D5:G5"/>
    <mergeCell ref="H17:J17"/>
    <mergeCell ref="H11:J11"/>
    <mergeCell ref="B27:C27"/>
    <mergeCell ref="H16:J16"/>
    <mergeCell ref="B19:G19"/>
    <mergeCell ref="B10:G10"/>
    <mergeCell ref="H6:I6"/>
    <mergeCell ref="K27:M27"/>
    <mergeCell ref="H13:J13"/>
    <mergeCell ref="K14:M14"/>
    <mergeCell ref="H19:J19"/>
    <mergeCell ref="H27:J27"/>
    <mergeCell ref="H12:J12"/>
    <mergeCell ref="B9:M9"/>
    <mergeCell ref="K17:M17"/>
    <mergeCell ref="B8:C8"/>
    <mergeCell ref="J5:M5"/>
    <mergeCell ref="B15:G15"/>
    <mergeCell ref="H15:J15"/>
    <mergeCell ref="B24:M24"/>
    <mergeCell ref="B20:G20"/>
    <mergeCell ref="K19:M19"/>
    <mergeCell ref="K10:M10"/>
    <mergeCell ref="H18:J18"/>
    <mergeCell ref="H14:J14"/>
    <mergeCell ref="H7:I7"/>
    <mergeCell ref="D6:G6"/>
    <mergeCell ref="K13:M13"/>
    <mergeCell ref="E27:F27"/>
    <mergeCell ref="J6:M6"/>
    <mergeCell ref="K18:M18"/>
    <mergeCell ref="H26:J26"/>
    <mergeCell ref="K16:M16"/>
    <mergeCell ref="E26:F26"/>
    <mergeCell ref="K15:M15"/>
    <mergeCell ref="H20:J20"/>
    <mergeCell ref="B16:G16"/>
    <mergeCell ref="B6:C6"/>
    <mergeCell ref="H10:J10"/>
    <mergeCell ref="B1:K1"/>
    <mergeCell ref="B26:C26"/>
    <mergeCell ref="B5:C5"/>
    <mergeCell ref="J4:M4"/>
    <mergeCell ref="K26:M26"/>
    <mergeCell ref="B22:M22"/>
    <mergeCell ref="D7:G7"/>
    <mergeCell ref="H5:I5"/>
    <mergeCell ref="B12:G12"/>
    <mergeCell ref="B18:G18"/>
    <mergeCell ref="K20:M20"/>
    <mergeCell ref="J7:M7"/>
    <mergeCell ref="B4:C4"/>
    <mergeCell ref="K11:M11"/>
    <mergeCell ref="B11:G11"/>
    <mergeCell ref="D4:G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1:O35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4.6" customWidth="1" min="2" max="2"/>
    <col width="4.6" customWidth="1" min="3" max="3"/>
    <col width="7" customWidth="1" min="4" max="4"/>
    <col width="7" customWidth="1" min="5" max="5"/>
    <col width="7" customWidth="1" min="6" max="6"/>
    <col width="6.2" customWidth="1" min="7" max="7"/>
    <col width="6.2" customWidth="1" min="8" max="8"/>
    <col width="4.6" customWidth="1" min="9" max="9"/>
    <col width="6.2" customWidth="1" min="10" max="10"/>
    <col width="6.2" customWidth="1" min="11" max="11"/>
    <col width="8.4" customWidth="1" min="12" max="12"/>
    <col width="8.4" customWidth="1" min="13" max="13"/>
    <col width="2" customWidth="1" min="14" max="14"/>
    <col width="18" customWidth="1" min="15" max="15"/>
  </cols>
  <sheetData>
    <row r="1" ht="18" customHeight="1">
      <c r="B1" s="60" t="inlineStr">
        <is>
          <t>■ 건설산업기본법 시행규칙 [별지 제23호서식] &lt;개정 2021. 8. 27.&gt;</t>
        </is>
      </c>
      <c r="L1" s="66" t="inlineStr">
        <is>
          <t>(앞쪽)</t>
        </is>
      </c>
    </row>
    <row r="2" ht="44" customHeight="1">
      <c r="B2" s="34" t="inlineStr">
        <is>
          <t>건설공사의 하도급계약 통보서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28" customHeight="1">
      <c r="B4" s="42" t="inlineStr">
        <is>
          <t>공사명</t>
        </is>
      </c>
      <c r="C4" s="39" t="n"/>
      <c r="D4" s="39" t="n"/>
      <c r="E4" s="39" t="n"/>
      <c r="F4" s="40" t="n"/>
      <c r="G4" s="59">
        <f>'입력'!$C$6&amp;""</f>
        <v/>
      </c>
      <c r="H4" s="39" t="n"/>
      <c r="I4" s="39" t="n"/>
      <c r="J4" s="39" t="n"/>
      <c r="K4" s="39" t="n"/>
      <c r="L4" s="39" t="n"/>
      <c r="M4" s="40" t="n"/>
    </row>
    <row r="5" ht="26" customHeight="1">
      <c r="B5" s="67" t="inlineStr">
        <is>
          <t>수급인</t>
        </is>
      </c>
      <c r="C5" s="68" t="n"/>
      <c r="D5" s="42" t="inlineStr">
        <is>
          <t>상호 및 대표자</t>
        </is>
      </c>
      <c r="E5" s="39" t="n"/>
      <c r="F5" s="40" t="n"/>
      <c r="G5" s="59">
        <f>'입력'!$C$27&amp;IF('입력'!$C$28="",""," / "&amp;'입력'!$C$28)</f>
        <v/>
      </c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6" customHeight="1">
      <c r="B6" s="69" t="n"/>
      <c r="C6" s="70" t="n"/>
      <c r="D6" s="42" t="inlineStr">
        <is>
          <t>영업소 소재지</t>
        </is>
      </c>
      <c r="E6" s="39" t="n"/>
      <c r="F6" s="40" t="n"/>
      <c r="G6" s="59">
        <f>'입력'!$C$30&amp;""</f>
        <v/>
      </c>
      <c r="H6" s="39" t="n"/>
      <c r="I6" s="39" t="n"/>
      <c r="J6" s="39" t="n"/>
      <c r="K6" s="39" t="n"/>
      <c r="L6" s="39" t="n"/>
      <c r="M6" s="40" t="n"/>
    </row>
    <row r="7" ht="26" customHeight="1">
      <c r="B7" s="71" t="n"/>
      <c r="C7" s="72" t="n"/>
      <c r="D7" s="42" t="inlineStr">
        <is>
          <t>하도급 사유</t>
        </is>
      </c>
      <c r="E7" s="39" t="n"/>
      <c r="F7" s="40" t="n"/>
      <c r="G7" s="59">
        <f>'입력'!$C$105&amp;""</f>
        <v/>
      </c>
      <c r="H7" s="39" t="n"/>
      <c r="I7" s="39" t="n"/>
      <c r="J7" s="39" t="n"/>
      <c r="K7" s="39" t="n"/>
      <c r="L7" s="39" t="n"/>
      <c r="M7" s="40" t="n"/>
    </row>
    <row r="8" ht="26" customHeight="1">
      <c r="B8" s="67" t="inlineStr">
        <is>
          <t>하수급인</t>
        </is>
      </c>
      <c r="C8" s="68" t="n"/>
      <c r="D8" s="42" t="inlineStr">
        <is>
          <t>상호 및 대표자</t>
        </is>
      </c>
      <c r="E8" s="39" t="n"/>
      <c r="F8" s="40" t="n"/>
      <c r="G8" s="59">
        <f>'입력'!$C$100&amp;IF('입력'!$C$101="",""," / "&amp;'입력'!$C$101)</f>
        <v/>
      </c>
      <c r="H8" s="39" t="n"/>
      <c r="I8" s="39" t="n"/>
      <c r="J8" s="39" t="n"/>
      <c r="K8" s="39" t="n"/>
      <c r="L8" s="39" t="n"/>
      <c r="M8" s="40" t="n"/>
    </row>
    <row r="9" ht="26" customHeight="1">
      <c r="B9" s="69" t="n"/>
      <c r="C9" s="70" t="n"/>
      <c r="D9" s="42" t="inlineStr">
        <is>
          <t>업종 및 등록번호</t>
        </is>
      </c>
      <c r="E9" s="39" t="n"/>
      <c r="F9" s="40" t="n"/>
      <c r="G9" s="59">
        <f>'입력'!$C$102&amp;""</f>
        <v/>
      </c>
      <c r="H9" s="39" t="n"/>
      <c r="I9" s="39" t="n"/>
      <c r="J9" s="39" t="n"/>
      <c r="K9" s="39" t="n"/>
      <c r="L9" s="39" t="n"/>
      <c r="M9" s="40" t="n"/>
    </row>
    <row r="10" ht="26" customHeight="1">
      <c r="B10" s="69" t="n"/>
      <c r="C10" s="70" t="n"/>
      <c r="D10" s="42" t="inlineStr">
        <is>
          <t>영업소 소재지</t>
        </is>
      </c>
      <c r="E10" s="39" t="n"/>
      <c r="F10" s="40" t="n"/>
      <c r="G10" s="59">
        <f>'입력'!$C$103&amp;""</f>
        <v/>
      </c>
      <c r="H10" s="39" t="n"/>
      <c r="I10" s="39" t="n"/>
      <c r="J10" s="39" t="n"/>
      <c r="K10" s="39" t="n"/>
      <c r="L10" s="39" t="n"/>
      <c r="M10" s="40" t="n"/>
    </row>
    <row r="11" ht="30" customHeight="1">
      <c r="B11" s="71" t="n"/>
      <c r="C11" s="72" t="n"/>
      <c r="D11" s="62" t="inlineStr">
        <is>
          <t>수급인에게 협력업자로
등록된 연월일</t>
        </is>
      </c>
      <c r="E11" s="39" t="n"/>
      <c r="F11" s="40" t="n"/>
      <c r="G11" s="59">
        <f>IF('입력'!$C$104="","",YEAR('입력'!$C$104)&amp;". "&amp;MONTH('입력'!$C$104)&amp;". "&amp;DAY('입력'!$C$104)&amp;".")</f>
        <v/>
      </c>
      <c r="H11" s="39" t="n"/>
      <c r="I11" s="39" t="n"/>
      <c r="J11" s="39" t="n"/>
      <c r="K11" s="39" t="n"/>
      <c r="L11" s="39" t="n"/>
      <c r="M11" s="40" t="n"/>
    </row>
    <row r="12" ht="26" customHeight="1">
      <c r="B12" s="67" t="inlineStr">
        <is>
          <t>하도급
내용</t>
        </is>
      </c>
      <c r="C12" s="68" t="n"/>
      <c r="D12" s="42" t="inlineStr">
        <is>
          <t>공사의 종류</t>
        </is>
      </c>
      <c r="E12" s="39" t="n"/>
      <c r="F12" s="40" t="n"/>
      <c r="G12" s="59">
        <f>'입력'!$C$106&amp;""</f>
        <v/>
      </c>
      <c r="H12" s="39" t="n"/>
      <c r="I12" s="39" t="n"/>
      <c r="J12" s="39" t="n"/>
      <c r="K12" s="39" t="n"/>
      <c r="L12" s="39" t="n"/>
      <c r="M12" s="40" t="n"/>
    </row>
    <row r="13" ht="22" customHeight="1">
      <c r="B13" s="69" t="n"/>
      <c r="C13" s="70" t="n"/>
      <c r="D13" s="67" t="inlineStr">
        <is>
          <t>하도급내용(율)</t>
        </is>
      </c>
      <c r="E13" s="73" t="n"/>
      <c r="F13" s="68" t="n"/>
      <c r="G13" s="74">
        <f>"도급액(① 하도급 부분):  "&amp;IF('입력'!$C$107="","",FIXED('입력'!$C$107,0)&amp;"원")</f>
        <v/>
      </c>
      <c r="H13" s="73" t="n"/>
      <c r="I13" s="73" t="n"/>
      <c r="J13" s="73" t="n"/>
      <c r="K13" s="73" t="n"/>
      <c r="L13" s="73" t="n"/>
      <c r="M13" s="68" t="n"/>
    </row>
    <row r="14" ht="22" customHeight="1">
      <c r="B14" s="69" t="n"/>
      <c r="C14" s="70" t="n"/>
      <c r="D14" s="69" t="n"/>
      <c r="E14" s="65" t="n"/>
      <c r="F14" s="70" t="n"/>
      <c r="G14" s="75">
        <f>"하도급(예정)금액:  "&amp;IF('입력'!$C$108="","",FIXED('입력'!$C$108,0)&amp;"원")</f>
        <v/>
      </c>
      <c r="H14" s="65" t="n"/>
      <c r="I14" s="65" t="n"/>
      <c r="J14" s="65" t="n"/>
      <c r="K14" s="65" t="n"/>
      <c r="L14" s="65" t="n"/>
      <c r="M14" s="70" t="n"/>
    </row>
    <row r="15" ht="22" customHeight="1">
      <c r="B15" s="69" t="n"/>
      <c r="C15" s="70" t="n"/>
      <c r="D15" s="71" t="n"/>
      <c r="E15" s="76" t="n"/>
      <c r="F15" s="72" t="n"/>
      <c r="G15" s="77">
        <f>"② 하도급률:  "&amp;IF('입력'!$C$144="","",FIXED('입력'!$C$144*100,2)&amp;"%")</f>
        <v/>
      </c>
      <c r="H15" s="76" t="n"/>
      <c r="I15" s="76" t="n"/>
      <c r="J15" s="76" t="n"/>
      <c r="K15" s="76" t="n"/>
      <c r="L15" s="76" t="n"/>
      <c r="M15" s="72" t="n"/>
    </row>
    <row r="16" ht="22" customHeight="1">
      <c r="B16" s="69" t="n"/>
      <c r="C16" s="70" t="n"/>
      <c r="D16" s="78" t="inlineStr">
        <is>
          <t>하도급내용
(예정·변경)일</t>
        </is>
      </c>
      <c r="E16" s="73" t="n"/>
      <c r="F16" s="68" t="n"/>
      <c r="G16" s="67">
        <f>IF('입력'!$C$109="","",YEAR('입력'!$C$109)&amp;". "&amp;MONTH('입력'!$C$109)&amp;". "&amp;DAY('입력'!$C$109)&amp;".")</f>
        <v/>
      </c>
      <c r="H16" s="68" t="n"/>
      <c r="I16" s="78" t="inlineStr">
        <is>
          <t>하도급
공사기간</t>
        </is>
      </c>
      <c r="J16" s="68" t="n"/>
      <c r="K16" s="79">
        <f>"착공(예정): "&amp;IF('입력'!$C$110="","",YEAR('입력'!$C$110)&amp;". "&amp;MONTH('입력'!$C$110)&amp;". "&amp;DAY('입력'!$C$110)&amp;".")</f>
        <v/>
      </c>
      <c r="L16" s="73" t="n"/>
      <c r="M16" s="68" t="n"/>
    </row>
    <row r="17" ht="22" customHeight="1">
      <c r="B17" s="69" t="n"/>
      <c r="C17" s="70" t="n"/>
      <c r="D17" s="71" t="n"/>
      <c r="E17" s="76" t="n"/>
      <c r="F17" s="72" t="n"/>
      <c r="G17" s="71" t="n"/>
      <c r="H17" s="72" t="n"/>
      <c r="I17" s="71" t="n"/>
      <c r="J17" s="72" t="n"/>
      <c r="K17" s="80">
        <f>"준공(예정): "&amp;IF('입력'!$C$111="","",YEAR('입력'!$C$111)&amp;". "&amp;MONTH('입력'!$C$111)&amp;". "&amp;DAY('입력'!$C$111)&amp;".")</f>
        <v/>
      </c>
      <c r="L17" s="76" t="n"/>
      <c r="M17" s="72" t="n"/>
    </row>
    <row r="18" ht="30" customHeight="1">
      <c r="B18" s="69" t="n"/>
      <c r="C18" s="70" t="n"/>
      <c r="D18" s="42" t="inlineStr">
        <is>
          <t>사회보험료</t>
        </is>
      </c>
      <c r="E18" s="39" t="n"/>
      <c r="F18" s="40" t="n"/>
      <c r="G18" s="62" t="inlineStr">
        <is>
          <t>직접노무비
또는 노무비</t>
        </is>
      </c>
      <c r="H18" s="40" t="n"/>
      <c r="I18" s="81" t="inlineStr">
        <is>
          <t>반영
요율</t>
        </is>
      </c>
      <c r="J18" s="42" t="inlineStr">
        <is>
          <t>반영금액</t>
        </is>
      </c>
      <c r="K18" s="40" t="n"/>
      <c r="L18" s="42" t="inlineStr">
        <is>
          <t>부담방법</t>
        </is>
      </c>
      <c r="M18" s="40" t="n"/>
    </row>
    <row r="19" ht="24" customHeight="1">
      <c r="B19" s="69" t="n"/>
      <c r="C19" s="70" t="n"/>
      <c r="D19" s="82" t="inlineStr">
        <is>
          <t>③ 고용보험</t>
        </is>
      </c>
      <c r="E19" s="39" t="n"/>
      <c r="F19" s="40" t="n"/>
      <c r="G19" s="52" t="n"/>
      <c r="H19" s="40" t="n"/>
      <c r="I19" s="53" t="n"/>
      <c r="J19" s="52" t="n"/>
      <c r="K19" s="40" t="n"/>
      <c r="L19" s="62" t="inlineStr">
        <is>
          <t>[  ] 일괄  [  ] 개별</t>
        </is>
      </c>
      <c r="M19" s="40" t="n"/>
    </row>
    <row r="20" ht="24" customHeight="1">
      <c r="B20" s="69" t="n"/>
      <c r="C20" s="70" t="n"/>
      <c r="D20" s="82" t="inlineStr">
        <is>
          <t>④ 산재해보상보험</t>
        </is>
      </c>
      <c r="E20" s="39" t="n"/>
      <c r="F20" s="40" t="n"/>
      <c r="G20" s="52" t="n"/>
      <c r="H20" s="40" t="n"/>
      <c r="I20" s="53" t="n"/>
      <c r="J20" s="52" t="n"/>
      <c r="K20" s="40" t="n"/>
      <c r="L20" s="62" t="inlineStr">
        <is>
          <t>[  ] 일괄  [  ] 개별</t>
        </is>
      </c>
      <c r="M20" s="40" t="n"/>
    </row>
    <row r="21" ht="24" customHeight="1">
      <c r="B21" s="69" t="n"/>
      <c r="C21" s="70" t="n"/>
      <c r="D21" s="82" t="inlineStr">
        <is>
          <t>⑤ 국민연금보험</t>
        </is>
      </c>
      <c r="E21" s="39" t="n"/>
      <c r="F21" s="40" t="n"/>
      <c r="G21" s="52" t="n"/>
      <c r="H21" s="40" t="n"/>
      <c r="I21" s="53" t="n"/>
      <c r="J21" s="52" t="n"/>
      <c r="K21" s="40" t="n"/>
      <c r="L21" s="62" t="n"/>
      <c r="M21" s="40" t="n"/>
    </row>
    <row r="22" ht="24" customHeight="1">
      <c r="B22" s="69" t="n"/>
      <c r="C22" s="70" t="n"/>
      <c r="D22" s="82" t="inlineStr">
        <is>
          <t>⑥ 국민건강보험</t>
        </is>
      </c>
      <c r="E22" s="39" t="n"/>
      <c r="F22" s="40" t="n"/>
      <c r="G22" s="52" t="n"/>
      <c r="H22" s="40" t="n"/>
      <c r="I22" s="53" t="n"/>
      <c r="J22" s="52" t="n"/>
      <c r="K22" s="40" t="n"/>
      <c r="L22" s="62" t="n"/>
      <c r="M22" s="40" t="n"/>
    </row>
    <row r="23" ht="24" customHeight="1">
      <c r="B23" s="69" t="n"/>
      <c r="C23" s="70" t="n"/>
      <c r="D23" s="82" t="inlineStr">
        <is>
          <t>⑦ 노인장기요양보험</t>
        </is>
      </c>
      <c r="E23" s="39" t="n"/>
      <c r="F23" s="40" t="n"/>
      <c r="G23" s="52" t="n"/>
      <c r="H23" s="40" t="n"/>
      <c r="I23" s="53" t="n"/>
      <c r="J23" s="52" t="n"/>
      <c r="K23" s="40" t="n"/>
      <c r="L23" s="62" t="n"/>
      <c r="M23" s="40" t="n"/>
    </row>
    <row r="24" ht="24" customHeight="1">
      <c r="B24" s="69" t="n"/>
      <c r="C24" s="70" t="n"/>
      <c r="D24" s="82" t="inlineStr">
        <is>
          <t>⑧ 퇴직공제부금</t>
        </is>
      </c>
      <c r="E24" s="39" t="n"/>
      <c r="F24" s="40" t="n"/>
      <c r="G24" s="52" t="n"/>
      <c r="H24" s="40" t="n"/>
      <c r="I24" s="53" t="n"/>
      <c r="J24" s="52" t="n"/>
      <c r="K24" s="40" t="n"/>
      <c r="L24" s="62" t="inlineStr">
        <is>
          <t>[  ] 일괄  [  ] 개별</t>
        </is>
      </c>
      <c r="M24" s="40" t="n"/>
    </row>
    <row r="25" ht="24" customHeight="1">
      <c r="B25" s="71" t="n"/>
      <c r="C25" s="72" t="n"/>
      <c r="D25" s="82" t="inlineStr">
        <is>
          <t>*③~⑧에서 보험료를 일괄 부담할 경우에는 부담방법 중 일괄란에만 표시합니다.</t>
        </is>
      </c>
      <c r="E25" s="39" t="n"/>
      <c r="F25" s="39" t="n"/>
      <c r="G25" s="39" t="n"/>
      <c r="H25" s="39" t="n"/>
      <c r="I25" s="39" t="n"/>
      <c r="J25" s="39" t="n"/>
      <c r="K25" s="39" t="n"/>
      <c r="L25" s="39" t="n"/>
      <c r="M25" s="40" t="n"/>
    </row>
    <row r="26" ht="8" customHeight="1"/>
    <row r="27" ht="42.1" customHeight="1">
      <c r="B27" s="43" t="inlineStr">
        <is>
          <t>「건설산업기본법」 제29조제6항 및 같은 법 시행령 제32조제1항에 따라 위와 같이 건설공사의 하도급계약내용을 통보합니다.</t>
        </is>
      </c>
    </row>
    <row r="28" ht="8" customHeight="1"/>
    <row r="29" ht="30" customHeight="1">
      <c r="B29" s="83">
        <f>IF('입력'!$C$112="","          년      월      일",YEAR('입력'!$C$112)&amp;"년  "&amp;MONTH('입력'!$C$112)&amp;"월  "&amp;DAY('입력'!$C$112)&amp;"일")</f>
        <v/>
      </c>
    </row>
    <row r="30" ht="6" customHeight="1"/>
    <row r="31" ht="26" customHeight="1">
      <c r="B31" s="64" t="n"/>
      <c r="C31" s="65" t="n"/>
      <c r="D31" s="65" t="n"/>
      <c r="E31" s="65" t="n"/>
      <c r="F31" s="64" t="inlineStr">
        <is>
          <t>수급인</t>
        </is>
      </c>
      <c r="G31" s="65" t="n"/>
      <c r="H31" s="84">
        <f>'입력'!$C$27&amp;IF('입력'!$C$28="",""," / "&amp;'입력'!$C$28)</f>
        <v/>
      </c>
      <c r="I31" s="65" t="n"/>
      <c r="J31" s="65" t="n"/>
      <c r="K31" s="65" t="n"/>
      <c r="L31" s="85" t="inlineStr">
        <is>
          <t>(서명 또는 인)</t>
        </is>
      </c>
      <c r="M31" s="65" t="n"/>
    </row>
    <row r="32" ht="8" customHeight="1"/>
    <row r="33" ht="8" customHeight="1"/>
    <row r="34" ht="30" customHeight="1">
      <c r="B34" s="49">
        <f>IF('입력'!$C$18="","                  귀하",'입력'!$C$18&amp;"  귀하")</f>
        <v/>
      </c>
    </row>
    <row r="35" ht="26" customHeight="1">
      <c r="B35" s="42" t="inlineStr">
        <is>
          <t>첨부서류</t>
        </is>
      </c>
      <c r="C35" s="40" t="n"/>
      <c r="D35" s="59" t="inlineStr">
        <is>
          <t>뒤쪽 참조</t>
        </is>
      </c>
      <c r="E35" s="39" t="n"/>
      <c r="F35" s="39" t="n"/>
      <c r="G35" s="39" t="n"/>
      <c r="H35" s="39" t="n"/>
      <c r="I35" s="39" t="n"/>
      <c r="J35" s="39" t="n"/>
      <c r="K35" s="39" t="n"/>
      <c r="L35" s="39" t="n"/>
      <c r="M35" s="40" t="n"/>
    </row>
    <row r="36" ht="8" customHeight="1"/>
  </sheetData>
  <mergeCells count="71">
    <mergeCell ref="B4:F4"/>
    <mergeCell ref="G21:H21"/>
    <mergeCell ref="B2:M2"/>
    <mergeCell ref="G14:M14"/>
    <mergeCell ref="D11:F11"/>
    <mergeCell ref="G4:M4"/>
    <mergeCell ref="J19:K19"/>
    <mergeCell ref="D25:M25"/>
    <mergeCell ref="L19:M19"/>
    <mergeCell ref="G23:H23"/>
    <mergeCell ref="D7:F7"/>
    <mergeCell ref="D13:F15"/>
    <mergeCell ref="B29:M29"/>
    <mergeCell ref="B34:M34"/>
    <mergeCell ref="B12:C25"/>
    <mergeCell ref="J23:K23"/>
    <mergeCell ref="G9:M9"/>
    <mergeCell ref="J24:K24"/>
    <mergeCell ref="D35:M35"/>
    <mergeCell ref="G16:H17"/>
    <mergeCell ref="L24:M24"/>
    <mergeCell ref="D12:F12"/>
    <mergeCell ref="D18:F18"/>
    <mergeCell ref="L18:M18"/>
    <mergeCell ref="D9:F9"/>
    <mergeCell ref="G12:M12"/>
    <mergeCell ref="G19:H19"/>
    <mergeCell ref="L23:M23"/>
    <mergeCell ref="K17:M17"/>
    <mergeCell ref="D8:F8"/>
    <mergeCell ref="G18:H18"/>
    <mergeCell ref="G11:M11"/>
    <mergeCell ref="D24:F24"/>
    <mergeCell ref="B31:E31"/>
    <mergeCell ref="J20:K20"/>
    <mergeCell ref="D5:F5"/>
    <mergeCell ref="G8:M8"/>
    <mergeCell ref="L20:M20"/>
    <mergeCell ref="G15:M15"/>
    <mergeCell ref="D23:F23"/>
    <mergeCell ref="G24:H24"/>
    <mergeCell ref="H31:K31"/>
    <mergeCell ref="L1:M1"/>
    <mergeCell ref="G7:M7"/>
    <mergeCell ref="F31:G31"/>
    <mergeCell ref="K16:M16"/>
    <mergeCell ref="D20:F20"/>
    <mergeCell ref="G10:M10"/>
    <mergeCell ref="J22:K22"/>
    <mergeCell ref="L22:M22"/>
    <mergeCell ref="L31:M31"/>
    <mergeCell ref="D10:F10"/>
    <mergeCell ref="D16:F17"/>
    <mergeCell ref="B35:C35"/>
    <mergeCell ref="D19:F19"/>
    <mergeCell ref="G20:H20"/>
    <mergeCell ref="B1:K1"/>
    <mergeCell ref="G6:M6"/>
    <mergeCell ref="G13:M13"/>
    <mergeCell ref="J21:K21"/>
    <mergeCell ref="L21:M21"/>
    <mergeCell ref="I16:J17"/>
    <mergeCell ref="D22:F22"/>
    <mergeCell ref="B5:C7"/>
    <mergeCell ref="J18:K18"/>
    <mergeCell ref="B27:M27"/>
    <mergeCell ref="G22:H22"/>
    <mergeCell ref="D21:F21"/>
    <mergeCell ref="D6:F6"/>
    <mergeCell ref="B8:C11"/>
    <mergeCell ref="G5:M5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1:O20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18" customHeight="1">
      <c r="L1" s="66" t="inlineStr">
        <is>
          <t>(뒤쪽)</t>
        </is>
      </c>
    </row>
    <row r="2" ht="10" customHeight="1"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9" customHeight="1">
      <c r="B4" s="67" t="inlineStr">
        <is>
          <t>첨부서류</t>
        </is>
      </c>
      <c r="C4" s="68" t="n"/>
      <c r="D4" s="82" t="inlineStr">
        <is>
          <t>1. 하도급계약서(변경계약서를 포함하고, 특수조건이 있는 경우 특수조건을 포함합니다) 사본</t>
        </is>
      </c>
      <c r="E4" s="39" t="n"/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1.2" customHeight="1">
      <c r="B5" s="69" t="n"/>
      <c r="C5" s="70" t="n"/>
      <c r="D5" s="82" t="inlineStr">
        <is>
          <t>2. 공사량(규모)·공사단가 및 공사금액 등이 분명하게 적힌 공사내역서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1.2" customHeight="1">
      <c r="B6" s="69" t="n"/>
      <c r="C6" s="70" t="n"/>
      <c r="D6" s="82" t="inlineStr">
        <is>
          <t>3. 예정공정표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1.2" customHeight="1">
      <c r="B7" s="69" t="n"/>
      <c r="C7" s="70" t="n"/>
      <c r="D7" s="82" t="inlineStr">
        <is>
          <t>4. 하도급대금지급보증서 교부의무가 면제되는 경우에는 그 증빙서류</t>
        </is>
      </c>
      <c r="E7" s="39" t="n"/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1.2" customHeight="1">
      <c r="B8" s="69" t="n"/>
      <c r="C8" s="70" t="n"/>
      <c r="D8" s="82" t="inlineStr">
        <is>
          <t>5. 현장설명서(현장설명을 실시한 경우만 해당합니다)</t>
        </is>
      </c>
      <c r="E8" s="39" t="n"/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46.8" customHeight="1">
      <c r="B9" s="71" t="n"/>
      <c r="C9" s="72" t="n"/>
      <c r="D9" s="82" t="inlineStr">
        <is>
          <t>6. 공동도급인 경우 공동수급체 구성원 간에 체결한 협정서 사본. 다만, 별지 제17호서식의 건설공사대장에 해당 협정서의 내용을 첨부한 경우는 제외합니다.</t>
        </is>
      </c>
      <c r="E9" s="39" t="n"/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31.2" customHeight="1">
      <c r="B10" s="35" t="inlineStr">
        <is>
          <t>유의사항</t>
        </is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7" t="n"/>
    </row>
    <row r="11" ht="91" customHeight="1">
      <c r="B11" s="82" t="inlineStr">
        <is>
          <t>① 하도급 부분 금액은 하도급하려는 공사 부분에 대하여 수급인의 계약단가(직접·간접 노무비, 재료비 및 경비를 포함합니다)를 기준으로 산출한 금액에 일반관리비, 이윤 및 부가가치세를 포함한 금액을 말하며, 수급인이 하수급인에게 직접 지급하는 자재의 비용과 「건설산업기본법」 제34조제3항에 따른 하도급대금 지급보증서 발급에 드는 금액 등 관계 법령에 따라 수급인이 부담하는 금액은 제외합니다.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31.2" customHeight="1">
      <c r="B12" s="82" t="inlineStr">
        <is>
          <t>② 하도급률은 하도급 계약금액을 하도급 부분 금액으로 나눈 비율을 말합니다.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31.2" customHeight="1">
      <c r="B13" s="35" t="inlineStr">
        <is>
          <t>처리절차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7" t="n"/>
    </row>
    <row r="14" ht="31.2" customHeight="1">
      <c r="B14" s="86" t="inlineStr">
        <is>
          <t>이 통보서는 아래와 같이 처리됩니다.</t>
        </is>
      </c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</row>
    <row r="15" ht="33.8" customHeight="1">
      <c r="B15" s="42" t="inlineStr">
        <is>
          <t>건설사업자</t>
        </is>
      </c>
      <c r="C15" s="39" t="n"/>
      <c r="D15" s="39" t="n"/>
      <c r="E15" s="39" t="n"/>
      <c r="F15" s="39" t="n"/>
      <c r="G15" s="40" t="n"/>
      <c r="H15" s="42" t="inlineStr">
        <is>
          <t>발주자(담당부서)</t>
        </is>
      </c>
      <c r="I15" s="39" t="n"/>
      <c r="J15" s="39" t="n"/>
      <c r="K15" s="39" t="n"/>
      <c r="L15" s="39" t="n"/>
      <c r="M15" s="40" t="n"/>
    </row>
    <row r="16" ht="44.2" customHeight="1">
      <c r="B16" s="67" t="inlineStr">
        <is>
          <t>통보서 작성·제출   ──▶</t>
        </is>
      </c>
      <c r="C16" s="73" t="n"/>
      <c r="D16" s="73" t="n"/>
      <c r="E16" s="73" t="n"/>
      <c r="F16" s="73" t="n"/>
      <c r="G16" s="68" t="n"/>
      <c r="H16" s="42" t="inlineStr">
        <is>
          <t>접수</t>
        </is>
      </c>
      <c r="I16" s="39" t="n"/>
      <c r="J16" s="39" t="n"/>
      <c r="K16" s="39" t="n"/>
      <c r="L16" s="39" t="n"/>
      <c r="M16" s="40" t="n"/>
    </row>
    <row r="17" ht="26" customHeight="1">
      <c r="B17" s="69" t="n"/>
      <c r="C17" s="65" t="n"/>
      <c r="D17" s="65" t="n"/>
      <c r="E17" s="65" t="n"/>
      <c r="F17" s="65" t="n"/>
      <c r="G17" s="70" t="n"/>
      <c r="H17" s="42" t="inlineStr">
        <is>
          <t>▼</t>
        </is>
      </c>
      <c r="I17" s="39" t="n"/>
      <c r="J17" s="39" t="n"/>
      <c r="K17" s="39" t="n"/>
      <c r="L17" s="39" t="n"/>
      <c r="M17" s="40" t="n"/>
    </row>
    <row r="18" ht="44.2" customHeight="1">
      <c r="B18" s="69" t="n"/>
      <c r="C18" s="65" t="n"/>
      <c r="D18" s="65" t="n"/>
      <c r="E18" s="65" t="n"/>
      <c r="F18" s="65" t="n"/>
      <c r="G18" s="70" t="n"/>
      <c r="H18" s="42" t="inlineStr">
        <is>
          <t>통보내용 확인
(적정성)</t>
        </is>
      </c>
      <c r="I18" s="39" t="n"/>
      <c r="J18" s="39" t="n"/>
      <c r="K18" s="39" t="n"/>
      <c r="L18" s="39" t="n"/>
      <c r="M18" s="40" t="n"/>
    </row>
    <row r="19" ht="26" customHeight="1">
      <c r="B19" s="69" t="n"/>
      <c r="C19" s="65" t="n"/>
      <c r="D19" s="65" t="n"/>
      <c r="E19" s="65" t="n"/>
      <c r="F19" s="65" t="n"/>
      <c r="G19" s="70" t="n"/>
      <c r="H19" s="42" t="inlineStr">
        <is>
          <t>▼</t>
        </is>
      </c>
      <c r="I19" s="39" t="n"/>
      <c r="J19" s="39" t="n"/>
      <c r="K19" s="39" t="n"/>
      <c r="L19" s="39" t="n"/>
      <c r="M19" s="40" t="n"/>
    </row>
    <row r="20" ht="44.2" customHeight="1">
      <c r="B20" s="71" t="n"/>
      <c r="C20" s="76" t="n"/>
      <c r="D20" s="76" t="n"/>
      <c r="E20" s="76" t="n"/>
      <c r="F20" s="76" t="n"/>
      <c r="G20" s="72" t="n"/>
      <c r="H20" s="42" t="inlineStr">
        <is>
          <t>결재</t>
        </is>
      </c>
      <c r="I20" s="39" t="n"/>
      <c r="J20" s="39" t="n"/>
      <c r="K20" s="39" t="n"/>
      <c r="L20" s="39" t="n"/>
      <c r="M20" s="40" t="n"/>
    </row>
    <row r="21" ht="8" customHeight="1"/>
  </sheetData>
  <mergeCells count="21">
    <mergeCell ref="B11:M11"/>
    <mergeCell ref="D4:M4"/>
    <mergeCell ref="D9:M9"/>
    <mergeCell ref="B14:M14"/>
    <mergeCell ref="D8:M8"/>
    <mergeCell ref="H17:M17"/>
    <mergeCell ref="B13:M13"/>
    <mergeCell ref="H16:M16"/>
    <mergeCell ref="D5:M5"/>
    <mergeCell ref="B10:M10"/>
    <mergeCell ref="H19:M19"/>
    <mergeCell ref="B15:G15"/>
    <mergeCell ref="H15:M15"/>
    <mergeCell ref="H18:M18"/>
    <mergeCell ref="L1:M1"/>
    <mergeCell ref="D6:M6"/>
    <mergeCell ref="B4:C9"/>
    <mergeCell ref="H20:M20"/>
    <mergeCell ref="B16:G20"/>
    <mergeCell ref="D7:M7"/>
    <mergeCell ref="B12:M1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1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기 성 부 분 검 사 요 청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7.7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8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7.7" customHeight="1">
      <c r="B6" s="35" t="inlineStr">
        <is>
          <t>계약 금액</t>
        </is>
      </c>
      <c r="C6" s="36" t="n"/>
      <c r="D6" s="37" t="n"/>
      <c r="E6" s="38">
        <f>IF('입력'!$C$14="","",'계산'!$J$3&amp;"원정 (₩"&amp;FIXED('입력'!$C$14,0)&amp;")")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28.8" customHeight="1">
      <c r="B7" s="35" t="inlineStr">
        <is>
          <t>공사 기간</t>
        </is>
      </c>
      <c r="C7" s="36" t="n"/>
      <c r="D7" s="37" t="n"/>
      <c r="E7" s="38">
        <f>IF(OR('입력'!$C$12="",'입력'!$C$130=""),"",IF('입력'!$C$12="","",YEAR('입력'!$C$12)&amp;". "&amp;MONTH('입력'!$C$12)&amp;". "&amp;DAY('입력'!$C$12)&amp;".")&amp;" ~ "&amp;IF('입력'!$C$130="","",YEAR('입력'!$C$130)&amp;". "&amp;MONTH('입력'!$C$130)&amp;". "&amp;DAY('입력'!$C$130)&amp;".")&amp;" ("&amp;('입력'!$C$130-'입력'!$C$12+1)&amp;"일)")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28.8" customHeight="1">
      <c r="B8" s="35" t="inlineStr">
        <is>
          <t>기성 회차</t>
        </is>
      </c>
      <c r="C8" s="36" t="n"/>
      <c r="D8" s="37" t="n"/>
      <c r="E8" s="38">
        <f>IF('입력'!$C$53="","","제 "&amp;'입력'!$C$53&amp;" 회")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28.8" customHeight="1">
      <c r="B9" s="35" t="inlineStr">
        <is>
          <t>기성 대상기간</t>
        </is>
      </c>
      <c r="C9" s="36" t="n"/>
      <c r="D9" s="37" t="n"/>
      <c r="E9" s="38">
        <f>IF(OR('입력'!$C$54="",'입력'!$C$55=""),"",IF('입력'!$C$54="","",YEAR('입력'!$C$54)&amp;". "&amp;MONTH('입력'!$C$54)&amp;". "&amp;DAY('입력'!$C$54)&amp;".")&amp;" ~ "&amp;IF('입력'!$C$55="","",YEAR('입력'!$C$55)&amp;". "&amp;MONTH('입력'!$C$55)&amp;". "&amp;DAY('입력'!$C$55)&amp;"."))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8" customHeight="1"/>
    <row r="11" ht="24" customHeight="1">
      <c r="B11" s="35" t="inlineStr">
        <is>
          <t>구  분</t>
        </is>
      </c>
      <c r="C11" s="36" t="n"/>
      <c r="D11" s="36" t="n"/>
      <c r="E11" s="37" t="n"/>
      <c r="F11" s="35" t="inlineStr">
        <is>
          <t>금  액 (원)</t>
        </is>
      </c>
      <c r="G11" s="36" t="n"/>
      <c r="H11" s="36" t="n"/>
      <c r="I11" s="36" t="n"/>
      <c r="J11" s="37" t="n"/>
      <c r="K11" s="35" t="inlineStr">
        <is>
          <t>계약 금액 대비</t>
        </is>
      </c>
      <c r="L11" s="36" t="n"/>
      <c r="M11" s="37" t="n"/>
    </row>
    <row r="12" ht="28.8" customHeight="1">
      <c r="B12" s="87" t="inlineStr">
        <is>
          <t>계약 금액</t>
        </is>
      </c>
      <c r="C12" s="39" t="n"/>
      <c r="D12" s="39" t="n"/>
      <c r="E12" s="40" t="n"/>
      <c r="F12" s="52">
        <f>IF('입력'!$C$14="","",FIXED('입력'!$C$14,0)&amp;"원")</f>
        <v/>
      </c>
      <c r="G12" s="39" t="n"/>
      <c r="H12" s="39" t="n"/>
      <c r="I12" s="39" t="n"/>
      <c r="J12" s="40" t="n"/>
      <c r="K12" s="42" t="n"/>
      <c r="L12" s="39" t="n"/>
      <c r="M12" s="40" t="n"/>
    </row>
    <row r="13" ht="28.8" customHeight="1">
      <c r="B13" s="87" t="inlineStr">
        <is>
          <t>전회까지 기성 누계</t>
        </is>
      </c>
      <c r="C13" s="39" t="n"/>
      <c r="D13" s="39" t="n"/>
      <c r="E13" s="40" t="n"/>
      <c r="F13" s="52">
        <f>IF('입력'!$C$58="","",FIXED('입력'!$C$58,0)&amp;"원")</f>
        <v/>
      </c>
      <c r="G13" s="39" t="n"/>
      <c r="H13" s="39" t="n"/>
      <c r="I13" s="39" t="n"/>
      <c r="J13" s="40" t="n"/>
      <c r="K13" s="42">
        <f>IF(OR('입력'!$C$58="",N('입력'!$C$14)=0),"",TEXT('입력'!$C$58/'입력'!$C$14,"0.00%"))</f>
        <v/>
      </c>
      <c r="L13" s="39" t="n"/>
      <c r="M13" s="40" t="n"/>
    </row>
    <row r="14" ht="28.8" customHeight="1">
      <c r="B14" s="87" t="inlineStr">
        <is>
          <t>이번 회 기성</t>
        </is>
      </c>
      <c r="C14" s="39" t="n"/>
      <c r="D14" s="39" t="n"/>
      <c r="E14" s="40" t="n"/>
      <c r="F14" s="52">
        <f>IF('입력'!$C$59="","",FIXED('입력'!$C$59,0)&amp;"원")</f>
        <v/>
      </c>
      <c r="G14" s="39" t="n"/>
      <c r="H14" s="39" t="n"/>
      <c r="I14" s="39" t="n"/>
      <c r="J14" s="40" t="n"/>
      <c r="K14" s="42">
        <f>IF(OR('입력'!$C$59="",N('입력'!$C$14)=0),"",TEXT('입력'!$C$59/'입력'!$C$14,"0.00%"))</f>
        <v/>
      </c>
      <c r="L14" s="39" t="n"/>
      <c r="M14" s="40" t="n"/>
    </row>
    <row r="15" ht="28.8" customHeight="1">
      <c r="B15" s="87" t="inlineStr">
        <is>
          <t>이번 회까지 누계</t>
        </is>
      </c>
      <c r="C15" s="39" t="n"/>
      <c r="D15" s="39" t="n"/>
      <c r="E15" s="40" t="n"/>
      <c r="F15" s="52">
        <f>IF('입력'!$C$134="","",FIXED('입력'!$C$134,0)&amp;"원")</f>
        <v/>
      </c>
      <c r="G15" s="39" t="n"/>
      <c r="H15" s="39" t="n"/>
      <c r="I15" s="39" t="n"/>
      <c r="J15" s="40" t="n"/>
      <c r="K15" s="42">
        <f>IF('입력'!$C$135="","",TEXT('입력'!$C$135,"0.00%"))</f>
        <v/>
      </c>
      <c r="L15" s="39" t="n"/>
      <c r="M15" s="40" t="n"/>
    </row>
    <row r="16" ht="8" customHeight="1"/>
    <row r="17" ht="25.05" customHeight="1">
      <c r="B17" s="43" t="inlineStr">
        <is>
          <t>위 공사의 기성 부분에 대하여 검사를 요청합니다.</t>
        </is>
      </c>
    </row>
    <row r="18" ht="24" customHeight="1">
      <c r="B18" s="35" t="inlineStr">
        <is>
          <t>붙임 서류</t>
        </is>
      </c>
      <c r="C18" s="36" t="n"/>
      <c r="D18" s="36" t="n"/>
      <c r="E18" s="36" t="n"/>
      <c r="F18" s="36" t="n"/>
      <c r="G18" s="36" t="n"/>
      <c r="H18" s="37" t="n"/>
      <c r="I18" s="35" t="inlineStr">
        <is>
          <t>부수</t>
        </is>
      </c>
      <c r="J18" s="37" t="n"/>
      <c r="K18" s="35" t="inlineStr">
        <is>
          <t>비고</t>
        </is>
      </c>
      <c r="L18" s="36" t="n"/>
      <c r="M18" s="37" t="n"/>
    </row>
    <row r="19" ht="24.4" customHeight="1">
      <c r="B19" s="42" t="inlineStr">
        <is>
          <t>기성 내역서</t>
        </is>
      </c>
      <c r="C19" s="39" t="n"/>
      <c r="D19" s="39" t="n"/>
      <c r="E19" s="39" t="n"/>
      <c r="F19" s="39" t="n"/>
      <c r="G19" s="39" t="n"/>
      <c r="H19" s="40" t="n"/>
      <c r="I19" s="42" t="inlineStr">
        <is>
          <t>1부</t>
        </is>
      </c>
      <c r="J19" s="40" t="n"/>
      <c r="K19" s="42" t="n"/>
      <c r="L19" s="39" t="n"/>
      <c r="M19" s="40" t="n"/>
    </row>
    <row r="20" ht="24.4" customHeight="1">
      <c r="B20" s="42" t="inlineStr">
        <is>
          <t>기성 부분 사진</t>
        </is>
      </c>
      <c r="C20" s="39" t="n"/>
      <c r="D20" s="39" t="n"/>
      <c r="E20" s="39" t="n"/>
      <c r="F20" s="39" t="n"/>
      <c r="G20" s="39" t="n"/>
      <c r="H20" s="40" t="n"/>
      <c r="I20" s="42" t="inlineStr">
        <is>
          <t>1부</t>
        </is>
      </c>
      <c r="J20" s="40" t="n"/>
      <c r="K20" s="42" t="n"/>
      <c r="L20" s="39" t="n"/>
      <c r="M20" s="40" t="n"/>
    </row>
    <row r="21" ht="24.4" customHeight="1">
      <c r="B21" s="42" t="inlineStr">
        <is>
          <t>품질시험 성과 (해당 시)</t>
        </is>
      </c>
      <c r="C21" s="39" t="n"/>
      <c r="D21" s="39" t="n"/>
      <c r="E21" s="39" t="n"/>
      <c r="F21" s="39" t="n"/>
      <c r="G21" s="39" t="n"/>
      <c r="H21" s="40" t="n"/>
      <c r="I21" s="42" t="inlineStr">
        <is>
          <t>1부</t>
        </is>
      </c>
      <c r="J21" s="40" t="n"/>
      <c r="K21" s="42" t="n"/>
      <c r="L21" s="39" t="n"/>
      <c r="M21" s="40" t="n"/>
    </row>
    <row r="22" ht="8" customHeight="1"/>
    <row r="23" ht="8" customHeight="1"/>
    <row r="24" ht="30" customHeight="1">
      <c r="B24" s="44">
        <f>IF('입력'!$C$56="","          년      월      일",YEAR('입력'!$C$56)&amp;"년  "&amp;MONTH('입력'!$C$56)&amp;"월  "&amp;DAY('입력'!$C$56)&amp;"일")</f>
        <v/>
      </c>
    </row>
    <row r="25" ht="6" customHeight="1"/>
    <row r="26" ht="24" customHeight="1">
      <c r="B26" s="45" t="inlineStr">
        <is>
          <t>계약상대자</t>
        </is>
      </c>
      <c r="G26" s="46" t="inlineStr">
        <is>
          <t>상    호</t>
        </is>
      </c>
      <c r="I26" s="47" t="inlineStr">
        <is>
          <t>:</t>
        </is>
      </c>
      <c r="J26" s="48">
        <f>'입력'!$C$27&amp;""</f>
        <v/>
      </c>
    </row>
    <row r="27" ht="24" customHeight="1">
      <c r="G27" s="46" t="inlineStr">
        <is>
          <t>주    소</t>
        </is>
      </c>
      <c r="I27" s="47" t="inlineStr">
        <is>
          <t>:</t>
        </is>
      </c>
      <c r="J27" s="48">
        <f>'입력'!$C$30&amp;""</f>
        <v/>
      </c>
    </row>
    <row r="28" ht="24" customHeight="1">
      <c r="G28" s="46" t="inlineStr">
        <is>
          <t>대 표 자</t>
        </is>
      </c>
      <c r="I28" s="47" t="inlineStr">
        <is>
          <t>:</t>
        </is>
      </c>
      <c r="J28" s="48">
        <f>'입력'!$C$28&amp;"          (인)"</f>
        <v/>
      </c>
    </row>
    <row r="29" ht="8" customHeight="1"/>
    <row r="30" ht="8" customHeight="1"/>
    <row r="31" ht="30" customHeight="1">
      <c r="B31" s="49">
        <f>IF('입력'!$C$18="","                  귀하",'입력'!$C$18&amp;"  귀하")</f>
        <v/>
      </c>
    </row>
  </sheetData>
  <mergeCells count="50">
    <mergeCell ref="B2:M2"/>
    <mergeCell ref="F11:J11"/>
    <mergeCell ref="B8:D8"/>
    <mergeCell ref="G27:H27"/>
    <mergeCell ref="B15:E15"/>
    <mergeCell ref="E9:M9"/>
    <mergeCell ref="B17:M17"/>
    <mergeCell ref="K12:M12"/>
    <mergeCell ref="B20:H20"/>
    <mergeCell ref="E6:M6"/>
    <mergeCell ref="B26:E26"/>
    <mergeCell ref="F15:J15"/>
    <mergeCell ref="F12:J12"/>
    <mergeCell ref="K14:M14"/>
    <mergeCell ref="B9:D9"/>
    <mergeCell ref="G28:H28"/>
    <mergeCell ref="B6:D6"/>
    <mergeCell ref="I18:J18"/>
    <mergeCell ref="I21:J21"/>
    <mergeCell ref="B24:M24"/>
    <mergeCell ref="J28:M28"/>
    <mergeCell ref="E7:M7"/>
    <mergeCell ref="B5:D5"/>
    <mergeCell ref="K19:M19"/>
    <mergeCell ref="B18:H18"/>
    <mergeCell ref="B12:E12"/>
    <mergeCell ref="K13:M13"/>
    <mergeCell ref="B21:H21"/>
    <mergeCell ref="B4:D4"/>
    <mergeCell ref="B11:E11"/>
    <mergeCell ref="K18:M18"/>
    <mergeCell ref="B7:D7"/>
    <mergeCell ref="F13:J13"/>
    <mergeCell ref="G26:H26"/>
    <mergeCell ref="B14:E14"/>
    <mergeCell ref="K15:M15"/>
    <mergeCell ref="J27:M27"/>
    <mergeCell ref="I20:J20"/>
    <mergeCell ref="J26:M26"/>
    <mergeCell ref="E5:M5"/>
    <mergeCell ref="B13:E13"/>
    <mergeCell ref="B31:M31"/>
    <mergeCell ref="I19:J19"/>
    <mergeCell ref="K21:M21"/>
    <mergeCell ref="E8:M8"/>
    <mergeCell ref="K20:M20"/>
    <mergeCell ref="F14:J14"/>
    <mergeCell ref="B19:H19"/>
    <mergeCell ref="E4:M4"/>
    <mergeCell ref="K11:M11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7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기 성 대 가 청 구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8" customHeight="1">
      <c r="B6" s="35" t="inlineStr">
        <is>
          <t>기성 회차</t>
        </is>
      </c>
      <c r="C6" s="36" t="n"/>
      <c r="D6" s="37" t="n"/>
      <c r="E6" s="38">
        <f>IF('입력'!$C$53="","","제 "&amp;'입력'!$C$53&amp;" 회")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8" customHeight="1"/>
    <row r="8" ht="33.8" customHeight="1">
      <c r="B8" s="35" t="inlineStr">
        <is>
          <t>이번 회 기성금액</t>
        </is>
      </c>
      <c r="C8" s="36" t="n"/>
      <c r="D8" s="37" t="n"/>
      <c r="E8" s="38">
        <f>IF('입력'!$C$59="","",FIXED('입력'!$C$59,0)&amp;"원")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8" customHeight="1">
      <c r="B9" s="35" t="inlineStr">
        <is>
          <t>선금 정산액 (공제)</t>
        </is>
      </c>
      <c r="C9" s="36" t="n"/>
      <c r="D9" s="37" t="n"/>
      <c r="E9" s="38">
        <f>IF('입력'!$C$60="","",FIXED('입력'!$C$60,0)&amp;"원")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44.2" customHeight="1">
      <c r="B10" s="35" t="inlineStr">
        <is>
          <t>청구 금액</t>
        </is>
      </c>
      <c r="C10" s="36" t="n"/>
      <c r="D10" s="37" t="n"/>
      <c r="E10" s="38">
        <f>IF('입력'!$C$136="","",'계산'!$J$7&amp;"원정 (₩"&amp;FIXED('입력'!$C$136,0)&amp;")")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33.8" customHeight="1">
      <c r="B11" s="35" t="inlineStr">
        <is>
          <t>공급가액 / 부가세</t>
        </is>
      </c>
      <c r="C11" s="36" t="n"/>
      <c r="D11" s="37" t="n"/>
      <c r="E11" s="38">
        <f>IF('입력'!$C$136="","",FIXED(ROUND('입력'!$C$136/1.1,0),0)&amp;"원  /  "&amp;FIXED('입력'!$C$136-ROUND('입력'!$C$136/1.1,0),0)&amp;"원")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8" customHeight="1"/>
    <row r="13" ht="33.8" customHeight="1">
      <c r="B13" s="35" t="inlineStr">
        <is>
          <t>은 행 명</t>
        </is>
      </c>
      <c r="C13" s="36" t="n"/>
      <c r="D13" s="37" t="n"/>
      <c r="E13" s="38">
        <f>'입력'!$C$33&amp;""</f>
        <v/>
      </c>
      <c r="F13" s="39" t="n"/>
      <c r="G13" s="39" t="n"/>
      <c r="H13" s="39" t="n"/>
      <c r="I13" s="39" t="n"/>
      <c r="J13" s="39" t="n"/>
      <c r="K13" s="39" t="n"/>
      <c r="L13" s="39" t="n"/>
      <c r="M13" s="40" t="n"/>
    </row>
    <row r="14" ht="33.8" customHeight="1">
      <c r="B14" s="35" t="inlineStr">
        <is>
          <t>예 금 주</t>
        </is>
      </c>
      <c r="C14" s="36" t="n"/>
      <c r="D14" s="37" t="n"/>
      <c r="E14" s="38">
        <f>'입력'!$C$34&amp;""</f>
        <v/>
      </c>
      <c r="F14" s="39" t="n"/>
      <c r="G14" s="39" t="n"/>
      <c r="H14" s="39" t="n"/>
      <c r="I14" s="39" t="n"/>
      <c r="J14" s="39" t="n"/>
      <c r="K14" s="39" t="n"/>
      <c r="L14" s="39" t="n"/>
      <c r="M14" s="40" t="n"/>
    </row>
    <row r="15" ht="33.8" customHeight="1">
      <c r="B15" s="35" t="inlineStr">
        <is>
          <t>계좌 번호</t>
        </is>
      </c>
      <c r="C15" s="36" t="n"/>
      <c r="D15" s="37" t="n"/>
      <c r="E15" s="38">
        <f>'입력'!$C$35&amp;""</f>
        <v/>
      </c>
      <c r="F15" s="39" t="n"/>
      <c r="G15" s="39" t="n"/>
      <c r="H15" s="39" t="n"/>
      <c r="I15" s="39" t="n"/>
      <c r="J15" s="39" t="n"/>
      <c r="K15" s="39" t="n"/>
      <c r="L15" s="39" t="n"/>
      <c r="M15" s="40" t="n"/>
    </row>
    <row r="16" ht="8" customHeight="1"/>
    <row r="17" ht="25.05" customHeight="1">
      <c r="B17" s="43" t="inlineStr">
        <is>
          <t>위 공사의 기성 대가를 위와 같이 청구합니다.</t>
        </is>
      </c>
    </row>
    <row r="18" ht="22.725" customHeight="1">
      <c r="B18" s="50" t="inlineStr">
        <is>
          <t>※ 공급가액·부가세는 청구 금액을 1.1로 나눠 계산한 값입니다. 세금계산서 금액과 맞는지 확인하세요.</t>
        </is>
      </c>
    </row>
    <row r="19" ht="53.42500000000007" customHeight="1"/>
    <row r="20" ht="30" customHeight="1">
      <c r="B20" s="44">
        <f>IF('입력'!$C$137="","          년      월      일",YEAR('입력'!$C$137)&amp;"년  "&amp;MONTH('입력'!$C$137)&amp;"월  "&amp;DAY('입력'!$C$137)&amp;"일")</f>
        <v/>
      </c>
    </row>
    <row r="21" ht="6" customHeight="1"/>
    <row r="22" ht="24" customHeight="1">
      <c r="B22" s="45" t="inlineStr">
        <is>
          <t>계약상대자</t>
        </is>
      </c>
      <c r="G22" s="46" t="inlineStr">
        <is>
          <t>상    호</t>
        </is>
      </c>
      <c r="I22" s="47" t="inlineStr">
        <is>
          <t>:</t>
        </is>
      </c>
      <c r="J22" s="48">
        <f>'입력'!$C$27&amp;""</f>
        <v/>
      </c>
    </row>
    <row r="23" ht="24" customHeight="1">
      <c r="G23" s="46" t="inlineStr">
        <is>
          <t>주    소</t>
        </is>
      </c>
      <c r="I23" s="47" t="inlineStr">
        <is>
          <t>:</t>
        </is>
      </c>
      <c r="J23" s="48">
        <f>'입력'!$C$30&amp;""</f>
        <v/>
      </c>
    </row>
    <row r="24" ht="24" customHeight="1">
      <c r="G24" s="46" t="inlineStr">
        <is>
          <t>대 표 자</t>
        </is>
      </c>
      <c r="I24" s="47" t="inlineStr">
        <is>
          <t>:</t>
        </is>
      </c>
      <c r="J24" s="48">
        <f>'입력'!$C$28&amp;"          (인)"</f>
        <v/>
      </c>
    </row>
    <row r="25" ht="8" customHeight="1"/>
    <row r="26" ht="8" customHeight="1"/>
    <row r="27" ht="30" customHeight="1">
      <c r="B27" s="49">
        <f>IF('입력'!$C$18="","                  귀하",'입력'!$C$18&amp;"  귀하")</f>
        <v/>
      </c>
    </row>
  </sheetData>
  <mergeCells count="32">
    <mergeCell ref="B11:D11"/>
    <mergeCell ref="B2:M2"/>
    <mergeCell ref="J22:M22"/>
    <mergeCell ref="B14:D14"/>
    <mergeCell ref="E10:M10"/>
    <mergeCell ref="B8:D8"/>
    <mergeCell ref="E13:M13"/>
    <mergeCell ref="B13:D13"/>
    <mergeCell ref="E9:M9"/>
    <mergeCell ref="B17:M17"/>
    <mergeCell ref="G23:H23"/>
    <mergeCell ref="E6:M6"/>
    <mergeCell ref="B10:D10"/>
    <mergeCell ref="E15:M15"/>
    <mergeCell ref="J23:M23"/>
    <mergeCell ref="G22:H22"/>
    <mergeCell ref="E11:M11"/>
    <mergeCell ref="B9:D9"/>
    <mergeCell ref="B15:D15"/>
    <mergeCell ref="B6:D6"/>
    <mergeCell ref="B22:E22"/>
    <mergeCell ref="B5:D5"/>
    <mergeCell ref="G24:H24"/>
    <mergeCell ref="B20:M20"/>
    <mergeCell ref="B4:D4"/>
    <mergeCell ref="J24:M24"/>
    <mergeCell ref="E5:M5"/>
    <mergeCell ref="E14:M14"/>
    <mergeCell ref="E8:M8"/>
    <mergeCell ref="B18:M18"/>
    <mergeCell ref="B27:M27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0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하 도 급 대 금 지 급 확 인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8.1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9.2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9.2" customHeight="1">
      <c r="B6" s="35" t="inlineStr">
        <is>
          <t>기성 회차</t>
        </is>
      </c>
      <c r="C6" s="36" t="n"/>
      <c r="D6" s="37" t="n"/>
      <c r="E6" s="38">
        <f>IF('입력'!$C$53="","","제 "&amp;'입력'!$C$53&amp;" 회")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29.2" customHeight="1">
      <c r="B7" s="35" t="inlineStr">
        <is>
          <t>대상 기간</t>
        </is>
      </c>
      <c r="C7" s="36" t="n"/>
      <c r="D7" s="37" t="n"/>
      <c r="E7" s="38">
        <f>IF(OR('입력'!$C$54="",'입력'!$C$55=""),"",IF('입력'!$C$54="","",YEAR('입력'!$C$54)&amp;". "&amp;MONTH('입력'!$C$54)&amp;". "&amp;DAY('입력'!$C$54)&amp;".")&amp;" ~ "&amp;IF('입력'!$C$55="","",YEAR('입력'!$C$55)&amp;". "&amp;MONTH('입력'!$C$55)&amp;". "&amp;DAY('입력'!$C$55)&amp;"."))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24" customHeight="1">
      <c r="B9" s="51" t="inlineStr">
        <is>
          <t>구  분</t>
        </is>
      </c>
      <c r="C9" s="35" t="inlineStr">
        <is>
          <t>상  호</t>
        </is>
      </c>
      <c r="D9" s="37" t="n"/>
      <c r="E9" s="35" t="inlineStr">
        <is>
          <t>계약 금액 (원)</t>
        </is>
      </c>
      <c r="F9" s="37" t="n"/>
      <c r="G9" s="35" t="inlineStr">
        <is>
          <t>금회 지급액 (원)</t>
        </is>
      </c>
      <c r="H9" s="37" t="n"/>
      <c r="I9" s="35" t="inlineStr">
        <is>
          <t>누계 지급액 (원)</t>
        </is>
      </c>
      <c r="J9" s="37" t="n"/>
      <c r="K9" s="35" t="inlineStr">
        <is>
          <t>지 급 일</t>
        </is>
      </c>
      <c r="L9" s="37" t="n"/>
      <c r="M9" s="51" t="inlineStr">
        <is>
          <t>지급 방법</t>
        </is>
      </c>
    </row>
    <row r="10" ht="29.2" customHeight="1">
      <c r="B10" s="53">
        <f>IF('입력'!$C$100="","","하도급")</f>
        <v/>
      </c>
      <c r="C10" s="42">
        <f>'입력'!$C$100&amp;""</f>
        <v/>
      </c>
      <c r="D10" s="40" t="n"/>
      <c r="E10" s="52">
        <f>IF('입력'!$C$108="","",'입력'!$C$108)</f>
        <v/>
      </c>
      <c r="F10" s="40" t="n"/>
      <c r="G10" s="52" t="n"/>
      <c r="H10" s="40" t="n"/>
      <c r="I10" s="52" t="n"/>
      <c r="J10" s="40" t="n"/>
      <c r="K10" s="42" t="n"/>
      <c r="L10" s="40" t="n"/>
      <c r="M10" s="53" t="n"/>
    </row>
    <row r="11" ht="29.2" customHeight="1">
      <c r="B11" s="53" t="n"/>
      <c r="C11" s="42" t="n"/>
      <c r="D11" s="40" t="n"/>
      <c r="E11" s="52" t="n"/>
      <c r="F11" s="40" t="n"/>
      <c r="G11" s="52" t="n"/>
      <c r="H11" s="40" t="n"/>
      <c r="I11" s="52" t="n"/>
      <c r="J11" s="40" t="n"/>
      <c r="K11" s="42" t="n"/>
      <c r="L11" s="40" t="n"/>
      <c r="M11" s="53" t="n"/>
    </row>
    <row r="12" ht="29.2" customHeight="1">
      <c r="B12" s="53" t="n"/>
      <c r="C12" s="42" t="n"/>
      <c r="D12" s="40" t="n"/>
      <c r="E12" s="52" t="n"/>
      <c r="F12" s="40" t="n"/>
      <c r="G12" s="52" t="n"/>
      <c r="H12" s="40" t="n"/>
      <c r="I12" s="52" t="n"/>
      <c r="J12" s="40" t="n"/>
      <c r="K12" s="42" t="n"/>
      <c r="L12" s="40" t="n"/>
      <c r="M12" s="53" t="n"/>
    </row>
    <row r="13" ht="29.2" customHeight="1">
      <c r="B13" s="53" t="n"/>
      <c r="C13" s="42" t="n"/>
      <c r="D13" s="40" t="n"/>
      <c r="E13" s="52" t="n"/>
      <c r="F13" s="40" t="n"/>
      <c r="G13" s="52" t="n"/>
      <c r="H13" s="40" t="n"/>
      <c r="I13" s="52" t="n"/>
      <c r="J13" s="40" t="n"/>
      <c r="K13" s="42" t="n"/>
      <c r="L13" s="40" t="n"/>
      <c r="M13" s="53" t="n"/>
    </row>
    <row r="14" ht="29.2" customHeight="1">
      <c r="B14" s="53" t="n"/>
      <c r="C14" s="42" t="n"/>
      <c r="D14" s="40" t="n"/>
      <c r="E14" s="52" t="n"/>
      <c r="F14" s="40" t="n"/>
      <c r="G14" s="52" t="n"/>
      <c r="H14" s="40" t="n"/>
      <c r="I14" s="52" t="n"/>
      <c r="J14" s="40" t="n"/>
      <c r="K14" s="42" t="n"/>
      <c r="L14" s="40" t="n"/>
      <c r="M14" s="53" t="n"/>
    </row>
    <row r="15" ht="29.2" customHeight="1">
      <c r="B15" s="53" t="n"/>
      <c r="C15" s="42" t="n"/>
      <c r="D15" s="40" t="n"/>
      <c r="E15" s="52" t="n"/>
      <c r="F15" s="40" t="n"/>
      <c r="G15" s="52" t="n"/>
      <c r="H15" s="40" t="n"/>
      <c r="I15" s="52" t="n"/>
      <c r="J15" s="40" t="n"/>
      <c r="K15" s="42" t="n"/>
      <c r="L15" s="40" t="n"/>
      <c r="M15" s="53" t="n"/>
    </row>
    <row r="16" ht="29.2" customHeight="1">
      <c r="B16" s="53" t="n"/>
      <c r="C16" s="42" t="n"/>
      <c r="D16" s="40" t="n"/>
      <c r="E16" s="52" t="n"/>
      <c r="F16" s="40" t="n"/>
      <c r="G16" s="52" t="n"/>
      <c r="H16" s="40" t="n"/>
      <c r="I16" s="52" t="n"/>
      <c r="J16" s="40" t="n"/>
      <c r="K16" s="42" t="n"/>
      <c r="L16" s="40" t="n"/>
      <c r="M16" s="53" t="n"/>
    </row>
    <row r="17" ht="29.2" customHeight="1">
      <c r="B17" s="53" t="n"/>
      <c r="C17" s="42" t="n"/>
      <c r="D17" s="40" t="n"/>
      <c r="E17" s="52" t="n"/>
      <c r="F17" s="40" t="n"/>
      <c r="G17" s="52" t="n"/>
      <c r="H17" s="40" t="n"/>
      <c r="I17" s="52" t="n"/>
      <c r="J17" s="40" t="n"/>
      <c r="K17" s="42" t="n"/>
      <c r="L17" s="40" t="n"/>
      <c r="M17" s="53" t="n"/>
    </row>
    <row r="18" ht="29.2" customHeight="1">
      <c r="B18" s="56" t="inlineStr">
        <is>
          <t>합  계</t>
        </is>
      </c>
      <c r="C18" s="54" t="n"/>
      <c r="D18" s="40" t="n"/>
      <c r="E18" s="55">
        <f>IF(SUM(E10:E17)=0,"",SUM(E10:E17))</f>
        <v/>
      </c>
      <c r="F18" s="40" t="n"/>
      <c r="G18" s="55">
        <f>IF(SUM(G10:G17)=0,"",SUM(G10:G17))</f>
        <v/>
      </c>
      <c r="H18" s="40" t="n"/>
      <c r="I18" s="55">
        <f>IF(SUM(I10:I17)=0,"",SUM(I10:I17))</f>
        <v/>
      </c>
      <c r="J18" s="40" t="n"/>
      <c r="K18" s="54" t="n"/>
      <c r="L18" s="40" t="n"/>
      <c r="M18" s="56" t="n"/>
    </row>
    <row r="19" ht="8" customHeight="1"/>
    <row r="20" ht="22.725" customHeight="1">
      <c r="B20" s="50" t="inlineStr">
        <is>
          <t>※ 구분: 하도급 / 자재 / 장비. 첫 줄은 «12. 하도급» 입력에서 채워집니다.</t>
        </is>
      </c>
    </row>
    <row r="21" ht="25.05" customHeight="1">
      <c r="B21" s="43" t="inlineStr">
        <is>
          <t>위와 같이 지급하였음을 확인합니다.</t>
        </is>
      </c>
    </row>
    <row r="22" ht="8" customHeight="1"/>
    <row r="23" ht="30" customHeight="1">
      <c r="B23" s="44">
        <f>IF('입력'!$C$137="","          년      월      일",YEAR('입력'!$C$137)&amp;"년  "&amp;MONTH('입력'!$C$137)&amp;"월  "&amp;DAY('입력'!$C$137)&amp;"일")</f>
        <v/>
      </c>
    </row>
    <row r="24" ht="6" customHeight="1"/>
    <row r="25" ht="24" customHeight="1">
      <c r="B25" s="45" t="inlineStr">
        <is>
          <t>계약상대자</t>
        </is>
      </c>
      <c r="G25" s="46" t="inlineStr">
        <is>
          <t>상    호</t>
        </is>
      </c>
      <c r="I25" s="47" t="inlineStr">
        <is>
          <t>:</t>
        </is>
      </c>
      <c r="J25" s="48">
        <f>'입력'!$C$27&amp;""</f>
        <v/>
      </c>
    </row>
    <row r="26" ht="24" customHeight="1">
      <c r="G26" s="46" t="inlineStr">
        <is>
          <t>주    소</t>
        </is>
      </c>
      <c r="I26" s="47" t="inlineStr">
        <is>
          <t>:</t>
        </is>
      </c>
      <c r="J26" s="48">
        <f>'입력'!$C$30&amp;""</f>
        <v/>
      </c>
    </row>
    <row r="27" ht="24" customHeight="1">
      <c r="G27" s="46" t="inlineStr">
        <is>
          <t>대 표 자</t>
        </is>
      </c>
      <c r="I27" s="47" t="inlineStr">
        <is>
          <t>:</t>
        </is>
      </c>
      <c r="J27" s="48">
        <f>'입력'!$C$28&amp;"          (인)"</f>
        <v/>
      </c>
    </row>
    <row r="28" ht="8" customHeight="1"/>
    <row r="29" ht="8" customHeight="1"/>
    <row r="30" ht="30" customHeight="1">
      <c r="B30" s="49">
        <f>IF('입력'!$C$18="","                  귀하",'입력'!$C$18&amp;"  귀하")</f>
        <v/>
      </c>
    </row>
  </sheetData>
  <mergeCells count="70">
    <mergeCell ref="K16:L16"/>
    <mergeCell ref="E12:F12"/>
    <mergeCell ref="B2:M2"/>
    <mergeCell ref="G12:H12"/>
    <mergeCell ref="C15:D15"/>
    <mergeCell ref="I15:J15"/>
    <mergeCell ref="G11:H11"/>
    <mergeCell ref="K15:L15"/>
    <mergeCell ref="B23:M23"/>
    <mergeCell ref="K9:L9"/>
    <mergeCell ref="I11:J11"/>
    <mergeCell ref="C14:D14"/>
    <mergeCell ref="G27:H27"/>
    <mergeCell ref="E14:F14"/>
    <mergeCell ref="E17:F17"/>
    <mergeCell ref="G17:H17"/>
    <mergeCell ref="E6:M6"/>
    <mergeCell ref="K11:L11"/>
    <mergeCell ref="C10:D10"/>
    <mergeCell ref="C16:D16"/>
    <mergeCell ref="I16:J16"/>
    <mergeCell ref="E10:F10"/>
    <mergeCell ref="B21:M21"/>
    <mergeCell ref="G10:H10"/>
    <mergeCell ref="K13:L13"/>
    <mergeCell ref="B25:E25"/>
    <mergeCell ref="E13:F13"/>
    <mergeCell ref="C9:D9"/>
    <mergeCell ref="G13:H13"/>
    <mergeCell ref="G18:H18"/>
    <mergeCell ref="E9:F9"/>
    <mergeCell ref="B6:D6"/>
    <mergeCell ref="I18:J18"/>
    <mergeCell ref="B30:M30"/>
    <mergeCell ref="E4:M4"/>
    <mergeCell ref="C12:D12"/>
    <mergeCell ref="E7:M7"/>
    <mergeCell ref="B5:D5"/>
    <mergeCell ref="I12:J12"/>
    <mergeCell ref="K12:L12"/>
    <mergeCell ref="E15:F15"/>
    <mergeCell ref="B20:M20"/>
    <mergeCell ref="C11:D11"/>
    <mergeCell ref="G15:H15"/>
    <mergeCell ref="B4:D4"/>
    <mergeCell ref="E11:F11"/>
    <mergeCell ref="J25:M25"/>
    <mergeCell ref="G14:H14"/>
    <mergeCell ref="I14:J14"/>
    <mergeCell ref="B7:D7"/>
    <mergeCell ref="K14:L14"/>
    <mergeCell ref="C17:D17"/>
    <mergeCell ref="I17:J17"/>
    <mergeCell ref="G26:H26"/>
    <mergeCell ref="K17:L17"/>
    <mergeCell ref="J27:M27"/>
    <mergeCell ref="E16:F16"/>
    <mergeCell ref="G16:H16"/>
    <mergeCell ref="J26:M26"/>
    <mergeCell ref="E5:M5"/>
    <mergeCell ref="I10:J10"/>
    <mergeCell ref="G25:H25"/>
    <mergeCell ref="K10:L10"/>
    <mergeCell ref="C13:D13"/>
    <mergeCell ref="I13:J13"/>
    <mergeCell ref="C18:D18"/>
    <mergeCell ref="G9:H9"/>
    <mergeCell ref="E18:F18"/>
    <mergeCell ref="K18:L18"/>
    <mergeCell ref="I9:J9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5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공 기 연 장 신 청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계약 금액</t>
        </is>
      </c>
      <c r="C6" s="36" t="n"/>
      <c r="D6" s="37" t="n"/>
      <c r="E6" s="38">
        <f>IF('입력'!$C$14="","",'계산'!$J$3&amp;"원정 (₩"&amp;FIXED('입력'!$C$14,0)&amp;")")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당초 공사기간</t>
        </is>
      </c>
      <c r="C7" s="36" t="n"/>
      <c r="D7" s="37" t="n"/>
      <c r="E7" s="38">
        <f>IF(OR('입력'!$C$12="",'입력'!$C$13=""),"",IF('입력'!$C$12="","",YEAR('입력'!$C$12)&amp;". "&amp;MONTH('입력'!$C$12)&amp;". "&amp;DAY('입력'!$C$12)&amp;".")&amp;" ~ "&amp;IF('입력'!$C$13="","",YEAR('입력'!$C$13)&amp;". "&amp;MONTH('입력'!$C$13)&amp;". "&amp;DAY('입력'!$C$13)&amp;".")&amp;" ("&amp;('입력'!$C$13-'입력'!$C$12+1)&amp;"일)")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3.8" customHeight="1">
      <c r="B8" s="35" t="inlineStr">
        <is>
          <t>연장 요청 기한</t>
        </is>
      </c>
      <c r="C8" s="36" t="n"/>
      <c r="D8" s="37" t="n"/>
      <c r="E8" s="38">
        <f>IF('입력'!$C$64="","",YEAR('입력'!$C$64)&amp;". "&amp;MONTH('입력'!$C$64)&amp;". "&amp;DAY('입력'!$C$64)&amp;".")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8" customHeight="1">
      <c r="B9" s="35" t="inlineStr">
        <is>
          <t>연장 일수</t>
        </is>
      </c>
      <c r="C9" s="36" t="n"/>
      <c r="D9" s="37" t="n"/>
      <c r="E9" s="38">
        <f>IF('입력'!$C$140="","",'입력'!$C$140&amp;"일")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78" customHeight="1">
      <c r="B10" s="35" t="inlineStr">
        <is>
          <t>연장 사유</t>
        </is>
      </c>
      <c r="C10" s="36" t="n"/>
      <c r="D10" s="37" t="n"/>
      <c r="E10" s="38">
        <f>'입력'!$C$65&amp;""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8" customHeight="1"/>
    <row r="12" ht="25.05" customHeight="1">
      <c r="B12" s="43" t="inlineStr">
        <is>
          <t>위와 같은 사유로 계약 기간 안에 공사를 마칠 수 없어 계약 기간의 연장을 신청합니다.</t>
        </is>
      </c>
    </row>
    <row r="13" ht="24" customHeight="1">
      <c r="B13" s="35" t="inlineStr">
        <is>
          <t>붙임 서류</t>
        </is>
      </c>
      <c r="C13" s="36" t="n"/>
      <c r="D13" s="36" t="n"/>
      <c r="E13" s="36" t="n"/>
      <c r="F13" s="36" t="n"/>
      <c r="G13" s="36" t="n"/>
      <c r="H13" s="37" t="n"/>
      <c r="I13" s="35" t="inlineStr">
        <is>
          <t>부수</t>
        </is>
      </c>
      <c r="J13" s="37" t="n"/>
      <c r="K13" s="35" t="inlineStr">
        <is>
          <t>비고</t>
        </is>
      </c>
      <c r="L13" s="36" t="n"/>
      <c r="M13" s="37" t="n"/>
    </row>
    <row r="14" ht="28.6" customHeight="1">
      <c r="B14" s="42" t="inlineStr">
        <is>
          <t>연장 사유 증빙 자료</t>
        </is>
      </c>
      <c r="C14" s="39" t="n"/>
      <c r="D14" s="39" t="n"/>
      <c r="E14" s="39" t="n"/>
      <c r="F14" s="39" t="n"/>
      <c r="G14" s="39" t="n"/>
      <c r="H14" s="40" t="n"/>
      <c r="I14" s="42" t="inlineStr">
        <is>
          <t>1부</t>
        </is>
      </c>
      <c r="J14" s="40" t="n"/>
      <c r="K14" s="42" t="n"/>
      <c r="L14" s="39" t="n"/>
      <c r="M14" s="40" t="n"/>
    </row>
    <row r="15" ht="28.6" customHeight="1">
      <c r="B15" s="42" t="inlineStr">
        <is>
          <t>변경 예정공정표</t>
        </is>
      </c>
      <c r="C15" s="39" t="n"/>
      <c r="D15" s="39" t="n"/>
      <c r="E15" s="39" t="n"/>
      <c r="F15" s="39" t="n"/>
      <c r="G15" s="39" t="n"/>
      <c r="H15" s="40" t="n"/>
      <c r="I15" s="42" t="inlineStr">
        <is>
          <t>1부</t>
        </is>
      </c>
      <c r="J15" s="40" t="n"/>
      <c r="K15" s="42" t="n"/>
      <c r="L15" s="39" t="n"/>
      <c r="M15" s="40" t="n"/>
    </row>
    <row r="16" ht="8" customHeight="1"/>
    <row r="17" ht="60.14999999999998" customHeight="1"/>
    <row r="18" ht="30" customHeight="1">
      <c r="B18" s="44">
        <f>IF('입력'!$C$63="","          년      월      일",YEAR('입력'!$C$63)&amp;"년  "&amp;MONTH('입력'!$C$63)&amp;"월  "&amp;DAY('입력'!$C$63)&amp;"일")</f>
        <v/>
      </c>
    </row>
    <row r="19" ht="6" customHeight="1"/>
    <row r="20" ht="24" customHeight="1">
      <c r="B20" s="45" t="inlineStr">
        <is>
          <t>계약상대자</t>
        </is>
      </c>
      <c r="G20" s="46" t="inlineStr">
        <is>
          <t>상    호</t>
        </is>
      </c>
      <c r="I20" s="47" t="inlineStr">
        <is>
          <t>:</t>
        </is>
      </c>
      <c r="J20" s="48">
        <f>'입력'!$C$27&amp;""</f>
        <v/>
      </c>
    </row>
    <row r="21" ht="24" customHeight="1">
      <c r="G21" s="46" t="inlineStr">
        <is>
          <t>주    소</t>
        </is>
      </c>
      <c r="I21" s="47" t="inlineStr">
        <is>
          <t>:</t>
        </is>
      </c>
      <c r="J21" s="48">
        <f>'입력'!$C$30&amp;""</f>
        <v/>
      </c>
    </row>
    <row r="22" ht="24" customHeight="1">
      <c r="G22" s="46" t="inlineStr">
        <is>
          <t>대 표 자</t>
        </is>
      </c>
      <c r="I22" s="47" t="inlineStr">
        <is>
          <t>:</t>
        </is>
      </c>
      <c r="J22" s="48">
        <f>'입력'!$C$28&amp;"          (인)"</f>
        <v/>
      </c>
    </row>
    <row r="23" ht="8" customHeight="1"/>
    <row r="24" ht="8" customHeight="1"/>
    <row r="25" ht="30" customHeight="1">
      <c r="B25" s="49">
        <f>IF('입력'!$C$18="","                  귀하",'입력'!$C$18&amp;"  귀하")</f>
        <v/>
      </c>
    </row>
  </sheetData>
  <mergeCells count="34">
    <mergeCell ref="G21:H21"/>
    <mergeCell ref="B2:M2"/>
    <mergeCell ref="J22:M22"/>
    <mergeCell ref="E10:M10"/>
    <mergeCell ref="I15:J15"/>
    <mergeCell ref="B8:D8"/>
    <mergeCell ref="E9:M9"/>
    <mergeCell ref="B15:H15"/>
    <mergeCell ref="J21:M21"/>
    <mergeCell ref="B20:E20"/>
    <mergeCell ref="E6:M6"/>
    <mergeCell ref="B10:D10"/>
    <mergeCell ref="G22:H22"/>
    <mergeCell ref="K14:M14"/>
    <mergeCell ref="B9:D9"/>
    <mergeCell ref="B6:D6"/>
    <mergeCell ref="E7:M7"/>
    <mergeCell ref="B5:D5"/>
    <mergeCell ref="K13:M13"/>
    <mergeCell ref="B4:D4"/>
    <mergeCell ref="I14:J14"/>
    <mergeCell ref="B7:D7"/>
    <mergeCell ref="K15:M15"/>
    <mergeCell ref="B14:H14"/>
    <mergeCell ref="G20:H20"/>
    <mergeCell ref="B25:M25"/>
    <mergeCell ref="B13:H13"/>
    <mergeCell ref="E5:M5"/>
    <mergeCell ref="J20:M20"/>
    <mergeCell ref="E8:M8"/>
    <mergeCell ref="I13:J13"/>
    <mergeCell ref="B18:M18"/>
    <mergeCell ref="E4:M4"/>
    <mergeCell ref="B12:M1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37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계 약 금 액 조 정 신 청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4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26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26" customHeight="1">
      <c r="B6" s="35" t="inlineStr">
        <is>
          <t>계 약 일</t>
        </is>
      </c>
      <c r="C6" s="36" t="n"/>
      <c r="D6" s="37" t="n"/>
      <c r="E6" s="38">
        <f>IF('입력'!$C$11="","",YEAR('입력'!$C$11)&amp;". "&amp;MONTH('입력'!$C$11)&amp;". "&amp;DAY('입력'!$C$11)&amp;".")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26" customHeight="1">
      <c r="B7" s="35" t="inlineStr">
        <is>
          <t>조정 구분</t>
        </is>
      </c>
      <c r="C7" s="36" t="n"/>
      <c r="D7" s="37" t="n"/>
      <c r="E7" s="38">
        <f>IF('입력'!$C$115="","[   ] 설계변경        [   ] 물가변동",'입력'!$C$115)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26" customHeight="1">
      <c r="B8" s="35" t="inlineStr">
        <is>
          <t>조정 기준일</t>
        </is>
      </c>
      <c r="C8" s="36" t="n"/>
      <c r="D8" s="37" t="n"/>
      <c r="E8" s="38">
        <f>IF('입력'!$C$117="","",YEAR('입력'!$C$117)&amp;". "&amp;MONTH('입력'!$C$117)&amp;". "&amp;DAY('입력'!$C$117)&amp;".")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4" customHeight="1">
      <c r="B9" s="35" t="inlineStr">
        <is>
          <t>조정 전 계약금액</t>
        </is>
      </c>
      <c r="C9" s="36" t="n"/>
      <c r="D9" s="37" t="n"/>
      <c r="E9" s="38">
        <f>IF('입력'!$C$14="","",'계산'!$J$3&amp;"원정 (₩"&amp;FIXED('입력'!$C$14,0)&amp;")")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26" customHeight="1">
      <c r="B10" s="35" t="inlineStr">
        <is>
          <t>조정 신청 금액</t>
        </is>
      </c>
      <c r="C10" s="36" t="n"/>
      <c r="D10" s="37" t="n"/>
      <c r="E10" s="38">
        <f>IF('입력'!$C$119="","",IF('입력'!$C$118="감액","감액 ","증액 ")&amp;FIXED('입력'!$C$119,0)&amp;"원")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34" customHeight="1">
      <c r="B11" s="35" t="inlineStr">
        <is>
          <t>조정 후 계약금액</t>
        </is>
      </c>
      <c r="C11" s="36" t="n"/>
      <c r="D11" s="37" t="n"/>
      <c r="E11" s="38">
        <f>IF('입력'!$C$145="","",'계산'!$J$13&amp;"원정 (₩"&amp;FIXED('입력'!$C$145,0)&amp;")")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44" customHeight="1">
      <c r="B12" s="35" t="inlineStr">
        <is>
          <t>조정 사유</t>
        </is>
      </c>
      <c r="C12" s="36" t="n"/>
      <c r="D12" s="37" t="n"/>
      <c r="E12" s="38">
        <f>'입력'!$C$120&amp;""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8" customHeight="1"/>
    <row r="14" ht="24" customHeight="1">
      <c r="B14" s="35" t="inlineStr">
        <is>
          <t>구  분</t>
        </is>
      </c>
      <c r="C14" s="37" t="n"/>
      <c r="D14" s="35" t="inlineStr">
        <is>
          <t>당초 금액 (원)</t>
        </is>
      </c>
      <c r="E14" s="37" t="n"/>
      <c r="F14" s="35" t="inlineStr">
        <is>
          <t>조정 금액 (원)</t>
        </is>
      </c>
      <c r="G14" s="36" t="n"/>
      <c r="H14" s="37" t="n"/>
      <c r="I14" s="35" t="inlineStr">
        <is>
          <t>증  감 (원)</t>
        </is>
      </c>
      <c r="J14" s="37" t="n"/>
      <c r="K14" s="35" t="inlineStr">
        <is>
          <t>산출 근거</t>
        </is>
      </c>
      <c r="L14" s="36" t="n"/>
      <c r="M14" s="37" t="n"/>
    </row>
    <row r="15" ht="24" customHeight="1">
      <c r="B15" s="42" t="n"/>
      <c r="C15" s="40" t="n"/>
      <c r="D15" s="52" t="n"/>
      <c r="E15" s="40" t="n"/>
      <c r="F15" s="52" t="n"/>
      <c r="G15" s="39" t="n"/>
      <c r="H15" s="40" t="n"/>
      <c r="I15" s="42" t="n"/>
      <c r="J15" s="40" t="n"/>
      <c r="K15" s="42" t="n"/>
      <c r="L15" s="39" t="n"/>
      <c r="M15" s="40" t="n"/>
    </row>
    <row r="16" ht="24" customHeight="1">
      <c r="B16" s="42" t="n"/>
      <c r="C16" s="40" t="n"/>
      <c r="D16" s="52" t="n"/>
      <c r="E16" s="40" t="n"/>
      <c r="F16" s="52" t="n"/>
      <c r="G16" s="39" t="n"/>
      <c r="H16" s="40" t="n"/>
      <c r="I16" s="42" t="n"/>
      <c r="J16" s="40" t="n"/>
      <c r="K16" s="42" t="n"/>
      <c r="L16" s="39" t="n"/>
      <c r="M16" s="40" t="n"/>
    </row>
    <row r="17" ht="24" customHeight="1">
      <c r="B17" s="42" t="n"/>
      <c r="C17" s="40" t="n"/>
      <c r="D17" s="52" t="n"/>
      <c r="E17" s="40" t="n"/>
      <c r="F17" s="52" t="n"/>
      <c r="G17" s="39" t="n"/>
      <c r="H17" s="40" t="n"/>
      <c r="I17" s="42" t="n"/>
      <c r="J17" s="40" t="n"/>
      <c r="K17" s="42" t="n"/>
      <c r="L17" s="39" t="n"/>
      <c r="M17" s="40" t="n"/>
    </row>
    <row r="18" ht="24" customHeight="1">
      <c r="B18" s="42" t="n"/>
      <c r="C18" s="40" t="n"/>
      <c r="D18" s="52" t="n"/>
      <c r="E18" s="40" t="n"/>
      <c r="F18" s="52" t="n"/>
      <c r="G18" s="39" t="n"/>
      <c r="H18" s="40" t="n"/>
      <c r="I18" s="42" t="n"/>
      <c r="J18" s="40" t="n"/>
      <c r="K18" s="42" t="n"/>
      <c r="L18" s="39" t="n"/>
      <c r="M18" s="40" t="n"/>
    </row>
    <row r="19" ht="24" customHeight="1">
      <c r="B19" s="42" t="n"/>
      <c r="C19" s="40" t="n"/>
      <c r="D19" s="52" t="n"/>
      <c r="E19" s="40" t="n"/>
      <c r="F19" s="52" t="n"/>
      <c r="G19" s="39" t="n"/>
      <c r="H19" s="40" t="n"/>
      <c r="I19" s="42" t="n"/>
      <c r="J19" s="40" t="n"/>
      <c r="K19" s="42" t="n"/>
      <c r="L19" s="39" t="n"/>
      <c r="M19" s="40" t="n"/>
    </row>
    <row r="20" ht="24" customHeight="1">
      <c r="B20" s="42" t="n"/>
      <c r="C20" s="40" t="n"/>
      <c r="D20" s="52" t="n"/>
      <c r="E20" s="40" t="n"/>
      <c r="F20" s="52" t="n"/>
      <c r="G20" s="39" t="n"/>
      <c r="H20" s="40" t="n"/>
      <c r="I20" s="42" t="n"/>
      <c r="J20" s="40" t="n"/>
      <c r="K20" s="42" t="n"/>
      <c r="L20" s="39" t="n"/>
      <c r="M20" s="40" t="n"/>
    </row>
    <row r="21" ht="24" customHeight="1">
      <c r="B21" s="54" t="inlineStr">
        <is>
          <t>합  계</t>
        </is>
      </c>
      <c r="C21" s="40" t="n"/>
      <c r="D21" s="55">
        <f>IF(SUM(D15:D20)=0,"",SUM(D15:D20))</f>
        <v/>
      </c>
      <c r="E21" s="40" t="n"/>
      <c r="F21" s="55">
        <f>IF(SUM(F15:F20)=0,"",SUM(F15:F20))</f>
        <v/>
      </c>
      <c r="G21" s="39" t="n"/>
      <c r="H21" s="40" t="n"/>
      <c r="I21" s="54">
        <f>IF(SUM(I15:I20)=0,"",SUM(I15:I20))</f>
        <v/>
      </c>
      <c r="J21" s="40" t="n"/>
      <c r="K21" s="54" t="n"/>
      <c r="L21" s="39" t="n"/>
      <c r="M21" s="40" t="n"/>
    </row>
    <row r="22" ht="8" customHeight="1"/>
    <row r="23" ht="25.05" customHeight="1">
      <c r="B23" s="43" t="inlineStr">
        <is>
          <t>위와 같이 계약금액의 조정을 신청합니다.</t>
        </is>
      </c>
    </row>
    <row r="24" ht="24" customHeight="1">
      <c r="B24" s="35" t="inlineStr">
        <is>
          <t>붙임 서류</t>
        </is>
      </c>
      <c r="C24" s="36" t="n"/>
      <c r="D24" s="36" t="n"/>
      <c r="E24" s="36" t="n"/>
      <c r="F24" s="36" t="n"/>
      <c r="G24" s="36" t="n"/>
      <c r="H24" s="37" t="n"/>
      <c r="I24" s="35" t="inlineStr">
        <is>
          <t>부수</t>
        </is>
      </c>
      <c r="J24" s="37" t="n"/>
      <c r="K24" s="35" t="inlineStr">
        <is>
          <t>비고</t>
        </is>
      </c>
      <c r="L24" s="36" t="n"/>
      <c r="M24" s="37" t="n"/>
    </row>
    <row r="25" ht="22" customHeight="1">
      <c r="B25" s="42" t="inlineStr">
        <is>
          <t>조정금액 산출서</t>
        </is>
      </c>
      <c r="C25" s="39" t="n"/>
      <c r="D25" s="39" t="n"/>
      <c r="E25" s="39" t="n"/>
      <c r="F25" s="39" t="n"/>
      <c r="G25" s="39" t="n"/>
      <c r="H25" s="40" t="n"/>
      <c r="I25" s="42" t="inlineStr">
        <is>
          <t>1부</t>
        </is>
      </c>
      <c r="J25" s="40" t="n"/>
      <c r="K25" s="42" t="n"/>
      <c r="L25" s="39" t="n"/>
      <c r="M25" s="40" t="n"/>
    </row>
    <row r="26" ht="22" customHeight="1">
      <c r="B26" s="42" t="inlineStr">
        <is>
          <t>근거 자료</t>
        </is>
      </c>
      <c r="C26" s="39" t="n"/>
      <c r="D26" s="39" t="n"/>
      <c r="E26" s="39" t="n"/>
      <c r="F26" s="39" t="n"/>
      <c r="G26" s="39" t="n"/>
      <c r="H26" s="40" t="n"/>
      <c r="I26" s="42" t="inlineStr">
        <is>
          <t>1부</t>
        </is>
      </c>
      <c r="J26" s="40" t="n"/>
      <c r="K26" s="42" t="n"/>
      <c r="L26" s="39" t="n"/>
      <c r="M26" s="40" t="n"/>
    </row>
    <row r="27" ht="8" customHeight="1"/>
    <row r="28" ht="37.45" customHeight="1">
      <c r="B28" s="50" t="inlineStr">
        <is>
          <t>※ «조정 전 계약금액» 은 «1. 공사» 의 계약 금액입니다. 산출은 🔁 설계변경 도구(k-conmap.com/change)로 할 수 있습니다.</t>
        </is>
      </c>
    </row>
    <row r="29" ht="8" customHeight="1"/>
    <row r="30" ht="30" customHeight="1">
      <c r="B30" s="44">
        <f>IF('입력'!$C$116="","          년      월      일",YEAR('입력'!$C$116)&amp;"년  "&amp;MONTH('입력'!$C$116)&amp;"월  "&amp;DAY('입력'!$C$116)&amp;"일")</f>
        <v/>
      </c>
    </row>
    <row r="31" ht="6" customHeight="1"/>
    <row r="32" ht="24" customHeight="1">
      <c r="B32" s="45" t="inlineStr">
        <is>
          <t>계약상대자</t>
        </is>
      </c>
      <c r="G32" s="46" t="inlineStr">
        <is>
          <t>상    호</t>
        </is>
      </c>
      <c r="I32" s="47" t="inlineStr">
        <is>
          <t>:</t>
        </is>
      </c>
      <c r="J32" s="48">
        <f>'입력'!$C$27&amp;""</f>
        <v/>
      </c>
    </row>
    <row r="33" ht="24" customHeight="1">
      <c r="G33" s="46" t="inlineStr">
        <is>
          <t>주    소</t>
        </is>
      </c>
      <c r="I33" s="47" t="inlineStr">
        <is>
          <t>:</t>
        </is>
      </c>
      <c r="J33" s="48">
        <f>'입력'!$C$30&amp;""</f>
        <v/>
      </c>
    </row>
    <row r="34" ht="24" customHeight="1">
      <c r="G34" s="46" t="inlineStr">
        <is>
          <t>대 표 자</t>
        </is>
      </c>
      <c r="I34" s="47" t="inlineStr">
        <is>
          <t>:</t>
        </is>
      </c>
      <c r="J34" s="48">
        <f>'입력'!$C$28&amp;"          (인)"</f>
        <v/>
      </c>
    </row>
    <row r="35" ht="8" customHeight="1"/>
    <row r="36" ht="8" customHeight="1"/>
    <row r="37" ht="30" customHeight="1">
      <c r="B37" s="49">
        <f>IF('입력'!$C$18="","                  귀하",'입력'!$C$18&amp;"  귀하")</f>
        <v/>
      </c>
    </row>
  </sheetData>
  <mergeCells count="79">
    <mergeCell ref="B11:D11"/>
    <mergeCell ref="B2:M2"/>
    <mergeCell ref="D20:E20"/>
    <mergeCell ref="F18:H18"/>
    <mergeCell ref="E10:M10"/>
    <mergeCell ref="B24:H24"/>
    <mergeCell ref="F17:H17"/>
    <mergeCell ref="I26:J26"/>
    <mergeCell ref="J33:M33"/>
    <mergeCell ref="B21:C21"/>
    <mergeCell ref="B26:H26"/>
    <mergeCell ref="B28:M28"/>
    <mergeCell ref="I16:J16"/>
    <mergeCell ref="B37:M37"/>
    <mergeCell ref="I25:J25"/>
    <mergeCell ref="B14:C14"/>
    <mergeCell ref="K17:M17"/>
    <mergeCell ref="B25:H25"/>
    <mergeCell ref="B30:M30"/>
    <mergeCell ref="B6:D6"/>
    <mergeCell ref="I18:J18"/>
    <mergeCell ref="G34:H34"/>
    <mergeCell ref="F14:H14"/>
    <mergeCell ref="B4:D4"/>
    <mergeCell ref="K16:M16"/>
    <mergeCell ref="E12:M12"/>
    <mergeCell ref="K25:M25"/>
    <mergeCell ref="I20:J20"/>
    <mergeCell ref="E5:M5"/>
    <mergeCell ref="K20:M20"/>
    <mergeCell ref="F21:H21"/>
    <mergeCell ref="E4:M4"/>
    <mergeCell ref="B16:C16"/>
    <mergeCell ref="I15:J15"/>
    <mergeCell ref="D19:E19"/>
    <mergeCell ref="B8:D8"/>
    <mergeCell ref="B18:C18"/>
    <mergeCell ref="B32:E32"/>
    <mergeCell ref="B10:D10"/>
    <mergeCell ref="K14:M14"/>
    <mergeCell ref="B9:D9"/>
    <mergeCell ref="B5:D5"/>
    <mergeCell ref="I24:J24"/>
    <mergeCell ref="G33:H33"/>
    <mergeCell ref="J34:M34"/>
    <mergeCell ref="K18:M18"/>
    <mergeCell ref="I17:J17"/>
    <mergeCell ref="B15:C15"/>
    <mergeCell ref="D15:E15"/>
    <mergeCell ref="I19:J19"/>
    <mergeCell ref="F15:H15"/>
    <mergeCell ref="B23:M23"/>
    <mergeCell ref="E6:M6"/>
    <mergeCell ref="B17:C17"/>
    <mergeCell ref="D17:E17"/>
    <mergeCell ref="I21:J21"/>
    <mergeCell ref="E7:M7"/>
    <mergeCell ref="B19:C19"/>
    <mergeCell ref="K15:M15"/>
    <mergeCell ref="F16:H16"/>
    <mergeCell ref="K24:M24"/>
    <mergeCell ref="G32:H32"/>
    <mergeCell ref="B20:C20"/>
    <mergeCell ref="K21:M21"/>
    <mergeCell ref="D14:E14"/>
    <mergeCell ref="K26:M26"/>
    <mergeCell ref="B12:D12"/>
    <mergeCell ref="F20:H20"/>
    <mergeCell ref="E9:M9"/>
    <mergeCell ref="D21:E21"/>
    <mergeCell ref="E11:M11"/>
    <mergeCell ref="D16:E16"/>
    <mergeCell ref="K19:M19"/>
    <mergeCell ref="I14:J14"/>
    <mergeCell ref="D18:E18"/>
    <mergeCell ref="B7:D7"/>
    <mergeCell ref="F19:H19"/>
    <mergeCell ref="E8:M8"/>
    <mergeCell ref="J32:M3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9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준 공 신 고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0.9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1.2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0.9" customHeight="1">
      <c r="B6" s="35" t="inlineStr">
        <is>
          <t>계약 금액</t>
        </is>
      </c>
      <c r="C6" s="36" t="n"/>
      <c r="D6" s="37" t="n"/>
      <c r="E6" s="38">
        <f>IF('입력'!$C$125="","",'계산'!$J$4&amp;"원정 (₩"&amp;FIXED('입력'!$C$125,0)&amp;")")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1.2" customHeight="1">
      <c r="B7" s="35" t="inlineStr">
        <is>
          <t>공사 기간</t>
        </is>
      </c>
      <c r="C7" s="36" t="n"/>
      <c r="D7" s="37" t="n"/>
      <c r="E7" s="38">
        <f>IF(OR('입력'!$C$12="",'입력'!$C$130=""),"",IF('입력'!$C$12="","",YEAR('입력'!$C$12)&amp;". "&amp;MONTH('입력'!$C$12)&amp;". "&amp;DAY('입력'!$C$12)&amp;".")&amp;" ~ "&amp;IF('입력'!$C$130="","",YEAR('입력'!$C$130)&amp;". "&amp;MONTH('입력'!$C$130)&amp;". "&amp;DAY('입력'!$C$130)&amp;".")&amp;" ("&amp;('입력'!$C$130-'입력'!$C$12+1)&amp;"일)")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1.2" customHeight="1">
      <c r="B8" s="35" t="inlineStr">
        <is>
          <t>착 공 일</t>
        </is>
      </c>
      <c r="C8" s="36" t="n"/>
      <c r="D8" s="37" t="n"/>
      <c r="E8" s="38">
        <f>IF('입력'!$C$12="","",YEAR('입력'!$C$12)&amp;". "&amp;MONTH('입력'!$C$12)&amp;". "&amp;DAY('입력'!$C$12)&amp;".")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1.2" customHeight="1">
      <c r="B9" s="35" t="inlineStr">
        <is>
          <t>준 공 일</t>
        </is>
      </c>
      <c r="C9" s="36" t="n"/>
      <c r="D9" s="37" t="n"/>
      <c r="E9" s="38">
        <f>IF('입력'!$C$68="","",YEAR('입력'!$C$68)&amp;". "&amp;MONTH('입력'!$C$68)&amp;". "&amp;DAY('입력'!$C$68)&amp;".")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40.9" customHeight="1">
      <c r="B10" s="35" t="inlineStr">
        <is>
          <t>현장 위치</t>
        </is>
      </c>
      <c r="C10" s="36" t="n"/>
      <c r="D10" s="37" t="n"/>
      <c r="E10" s="38">
        <f>'입력'!$C$7&amp;""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31.2" customHeight="1">
      <c r="B11" s="35" t="inlineStr">
        <is>
          <t>현장대리인</t>
        </is>
      </c>
      <c r="C11" s="36" t="n"/>
      <c r="D11" s="37" t="n"/>
      <c r="E11" s="38">
        <f>'입력'!$C$38&amp;""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8" customHeight="1"/>
    <row r="13" ht="25.05" customHeight="1">
      <c r="B13" s="43" t="inlineStr">
        <is>
          <t>위 공사를 계약 조건에 따라 준공하였기에 관계 서류를 붙여 신고합니다.</t>
        </is>
      </c>
    </row>
    <row r="14" ht="24" customHeight="1">
      <c r="B14" s="35" t="inlineStr">
        <is>
          <t>붙임 서류</t>
        </is>
      </c>
      <c r="C14" s="36" t="n"/>
      <c r="D14" s="36" t="n"/>
      <c r="E14" s="36" t="n"/>
      <c r="F14" s="36" t="n"/>
      <c r="G14" s="36" t="n"/>
      <c r="H14" s="37" t="n"/>
      <c r="I14" s="35" t="inlineStr">
        <is>
          <t>부수</t>
        </is>
      </c>
      <c r="J14" s="37" t="n"/>
      <c r="K14" s="35" t="inlineStr">
        <is>
          <t>비고</t>
        </is>
      </c>
      <c r="L14" s="36" t="n"/>
      <c r="M14" s="37" t="n"/>
    </row>
    <row r="15" ht="26.4" customHeight="1">
      <c r="B15" s="42" t="inlineStr">
        <is>
          <t>준공 사진</t>
        </is>
      </c>
      <c r="C15" s="39" t="n"/>
      <c r="D15" s="39" t="n"/>
      <c r="E15" s="39" t="n"/>
      <c r="F15" s="39" t="n"/>
      <c r="G15" s="39" t="n"/>
      <c r="H15" s="40" t="n"/>
      <c r="I15" s="42" t="inlineStr">
        <is>
          <t>1부</t>
        </is>
      </c>
      <c r="J15" s="40" t="n"/>
      <c r="K15" s="42" t="n"/>
      <c r="L15" s="39" t="n"/>
      <c r="M15" s="40" t="n"/>
    </row>
    <row r="16" ht="26.4" customHeight="1">
      <c r="B16" s="42" t="inlineStr">
        <is>
          <t>준공 내역서</t>
        </is>
      </c>
      <c r="C16" s="39" t="n"/>
      <c r="D16" s="39" t="n"/>
      <c r="E16" s="39" t="n"/>
      <c r="F16" s="39" t="n"/>
      <c r="G16" s="39" t="n"/>
      <c r="H16" s="40" t="n"/>
      <c r="I16" s="42" t="inlineStr">
        <is>
          <t>1부</t>
        </is>
      </c>
      <c r="J16" s="40" t="n"/>
      <c r="K16" s="42" t="n"/>
      <c r="L16" s="39" t="n"/>
      <c r="M16" s="40" t="n"/>
    </row>
    <row r="17" ht="26.4" customHeight="1">
      <c r="B17" s="42" t="inlineStr">
        <is>
          <t>준공 도면 (해당 시)</t>
        </is>
      </c>
      <c r="C17" s="39" t="n"/>
      <c r="D17" s="39" t="n"/>
      <c r="E17" s="39" t="n"/>
      <c r="F17" s="39" t="n"/>
      <c r="G17" s="39" t="n"/>
      <c r="H17" s="40" t="n"/>
      <c r="I17" s="42" t="inlineStr">
        <is>
          <t>1부</t>
        </is>
      </c>
      <c r="J17" s="40" t="n"/>
      <c r="K17" s="42" t="n"/>
      <c r="L17" s="39" t="n"/>
      <c r="M17" s="40" t="n"/>
    </row>
    <row r="18" ht="26.4" customHeight="1">
      <c r="B18" s="42" t="inlineStr">
        <is>
          <t>품질시험 성과 (해당 시)</t>
        </is>
      </c>
      <c r="C18" s="39" t="n"/>
      <c r="D18" s="39" t="n"/>
      <c r="E18" s="39" t="n"/>
      <c r="F18" s="39" t="n"/>
      <c r="G18" s="39" t="n"/>
      <c r="H18" s="40" t="n"/>
      <c r="I18" s="42" t="inlineStr">
        <is>
          <t>1부</t>
        </is>
      </c>
      <c r="J18" s="40" t="n"/>
      <c r="K18" s="42" t="n"/>
      <c r="L18" s="39" t="n"/>
      <c r="M18" s="40" t="n"/>
    </row>
    <row r="19" ht="26.4" customHeight="1">
      <c r="B19" s="42" t="inlineStr">
        <is>
          <t>하도급대금 지급 확인서 (해당 시)</t>
        </is>
      </c>
      <c r="C19" s="39" t="n"/>
      <c r="D19" s="39" t="n"/>
      <c r="E19" s="39" t="n"/>
      <c r="F19" s="39" t="n"/>
      <c r="G19" s="39" t="n"/>
      <c r="H19" s="40" t="n"/>
      <c r="I19" s="42" t="inlineStr">
        <is>
          <t>1부</t>
        </is>
      </c>
      <c r="J19" s="40" t="n"/>
      <c r="K19" s="42" t="n"/>
      <c r="L19" s="39" t="n"/>
      <c r="M19" s="40" t="n"/>
    </row>
    <row r="20" ht="8" customHeight="1"/>
    <row r="21" ht="8.25" customHeight="1"/>
    <row r="22" ht="30" customHeight="1">
      <c r="B22" s="44">
        <f>IF('입력'!$C$68="","          년      월      일",YEAR('입력'!$C$68)&amp;"년  "&amp;MONTH('입력'!$C$68)&amp;"월  "&amp;DAY('입력'!$C$68)&amp;"일")</f>
        <v/>
      </c>
    </row>
    <row r="23" ht="6" customHeight="1"/>
    <row r="24" ht="24" customHeight="1">
      <c r="B24" s="45" t="inlineStr">
        <is>
          <t>계약상대자</t>
        </is>
      </c>
      <c r="G24" s="46" t="inlineStr">
        <is>
          <t>상    호</t>
        </is>
      </c>
      <c r="I24" s="47" t="inlineStr">
        <is>
          <t>:</t>
        </is>
      </c>
      <c r="J24" s="48">
        <f>'입력'!$C$27&amp;""</f>
        <v/>
      </c>
    </row>
    <row r="25" ht="24" customHeight="1">
      <c r="G25" s="46" t="inlineStr">
        <is>
          <t>주    소</t>
        </is>
      </c>
      <c r="I25" s="47" t="inlineStr">
        <is>
          <t>:</t>
        </is>
      </c>
      <c r="J25" s="48">
        <f>'입력'!$C$30&amp;""</f>
        <v/>
      </c>
    </row>
    <row r="26" ht="24" customHeight="1">
      <c r="G26" s="46" t="inlineStr">
        <is>
          <t>대 표 자</t>
        </is>
      </c>
      <c r="I26" s="47" t="inlineStr">
        <is>
          <t>:</t>
        </is>
      </c>
      <c r="J26" s="48">
        <f>'입력'!$C$28&amp;"          (인)"</f>
        <v/>
      </c>
    </row>
    <row r="27" ht="8" customHeight="1"/>
    <row r="28" ht="8" customHeight="1"/>
    <row r="29" ht="30" customHeight="1">
      <c r="B29" s="49">
        <f>IF('입력'!$C$18="","                  귀하",'입력'!$C$18&amp;"  귀하")</f>
        <v/>
      </c>
    </row>
  </sheetData>
  <mergeCells count="45">
    <mergeCell ref="B11:D11"/>
    <mergeCell ref="B2:M2"/>
    <mergeCell ref="E10:M10"/>
    <mergeCell ref="I15:J15"/>
    <mergeCell ref="B8:D8"/>
    <mergeCell ref="E9:M9"/>
    <mergeCell ref="B15:H15"/>
    <mergeCell ref="B24:E24"/>
    <mergeCell ref="B13:M13"/>
    <mergeCell ref="B29:M29"/>
    <mergeCell ref="E6:M6"/>
    <mergeCell ref="B10:D10"/>
    <mergeCell ref="E11:M11"/>
    <mergeCell ref="I16:J16"/>
    <mergeCell ref="K14:M14"/>
    <mergeCell ref="B9:D9"/>
    <mergeCell ref="B16:H16"/>
    <mergeCell ref="K17:M17"/>
    <mergeCell ref="B6:D6"/>
    <mergeCell ref="I18:J18"/>
    <mergeCell ref="E7:M7"/>
    <mergeCell ref="B5:D5"/>
    <mergeCell ref="K19:M19"/>
    <mergeCell ref="B18:H18"/>
    <mergeCell ref="G24:H24"/>
    <mergeCell ref="B4:D4"/>
    <mergeCell ref="J25:M25"/>
    <mergeCell ref="K18:M18"/>
    <mergeCell ref="J24:M24"/>
    <mergeCell ref="I14:J14"/>
    <mergeCell ref="B7:D7"/>
    <mergeCell ref="K16:M16"/>
    <mergeCell ref="I17:J17"/>
    <mergeCell ref="G26:H26"/>
    <mergeCell ref="K15:M15"/>
    <mergeCell ref="B14:H14"/>
    <mergeCell ref="B17:H17"/>
    <mergeCell ref="J26:M26"/>
    <mergeCell ref="E5:M5"/>
    <mergeCell ref="G25:H25"/>
    <mergeCell ref="I19:J19"/>
    <mergeCell ref="B22:M22"/>
    <mergeCell ref="E8:M8"/>
    <mergeCell ref="B19:H19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0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준 공 검 사 요 청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계약 금액</t>
        </is>
      </c>
      <c r="C6" s="36" t="n"/>
      <c r="D6" s="37" t="n"/>
      <c r="E6" s="38">
        <f>IF('입력'!$C$125="","",'계산'!$J$4&amp;"원정 (₩"&amp;FIXED('입력'!$C$125,0)&amp;")")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착 공 일</t>
        </is>
      </c>
      <c r="C7" s="36" t="n"/>
      <c r="D7" s="37" t="n"/>
      <c r="E7" s="38">
        <f>IF('입력'!$C$12="","",YEAR('입력'!$C$12)&amp;". "&amp;MONTH('입력'!$C$12)&amp;". "&amp;DAY('입력'!$C$12)&amp;".")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3.8" customHeight="1">
      <c r="B8" s="35" t="inlineStr">
        <is>
          <t>준 공 일</t>
        </is>
      </c>
      <c r="C8" s="36" t="n"/>
      <c r="D8" s="37" t="n"/>
      <c r="E8" s="38">
        <f>IF('입력'!$C$68="","",YEAR('입력'!$C$68)&amp;". "&amp;MONTH('입력'!$C$68)&amp;". "&amp;DAY('입력'!$C$68)&amp;".")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44.2" customHeight="1">
      <c r="B9" s="35" t="inlineStr">
        <is>
          <t>현장 위치</t>
        </is>
      </c>
      <c r="C9" s="36" t="n"/>
      <c r="D9" s="37" t="n"/>
      <c r="E9" s="38">
        <f>'입력'!$C$7&amp;""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8" customHeight="1"/>
    <row r="11" ht="25.05" customHeight="1">
      <c r="B11" s="43" t="inlineStr">
        <is>
          <t>위 공사를 준공하였으므로 준공검사를 하여 주시기 바랍니다.</t>
        </is>
      </c>
    </row>
    <row r="12" ht="128" customHeight="1"/>
    <row r="13" ht="30" customHeight="1">
      <c r="B13" s="44">
        <f>IF('입력'!$C$127="","          년      월      일",YEAR('입력'!$C$127)&amp;"년  "&amp;MONTH('입력'!$C$127)&amp;"월  "&amp;DAY('입력'!$C$127)&amp;"일")</f>
        <v/>
      </c>
    </row>
    <row r="14" ht="6" customHeight="1"/>
    <row r="15" ht="24" customHeight="1">
      <c r="B15" s="45" t="inlineStr">
        <is>
          <t>계약상대자</t>
        </is>
      </c>
      <c r="G15" s="46" t="inlineStr">
        <is>
          <t>상    호</t>
        </is>
      </c>
      <c r="I15" s="47" t="inlineStr">
        <is>
          <t>:</t>
        </is>
      </c>
      <c r="J15" s="48">
        <f>'입력'!$C$27&amp;""</f>
        <v/>
      </c>
    </row>
    <row r="16" ht="24" customHeight="1">
      <c r="G16" s="46" t="inlineStr">
        <is>
          <t>주    소</t>
        </is>
      </c>
      <c r="I16" s="47" t="inlineStr">
        <is>
          <t>:</t>
        </is>
      </c>
      <c r="J16" s="48">
        <f>'입력'!$C$30&amp;""</f>
        <v/>
      </c>
    </row>
    <row r="17" ht="24" customHeight="1">
      <c r="G17" s="46" t="inlineStr">
        <is>
          <t>대 표 자</t>
        </is>
      </c>
      <c r="I17" s="47" t="inlineStr">
        <is>
          <t>:</t>
        </is>
      </c>
      <c r="J17" s="48">
        <f>'입력'!$C$28&amp;"          (인)"</f>
        <v/>
      </c>
    </row>
    <row r="18" ht="8" customHeight="1"/>
    <row r="19" ht="8" customHeight="1"/>
    <row r="20" ht="30" customHeight="1">
      <c r="B20" s="49">
        <f>IF('입력'!$C$18="","                  귀하",'입력'!$C$18&amp;"  귀하")</f>
        <v/>
      </c>
    </row>
  </sheetData>
  <mergeCells count="23">
    <mergeCell ref="B2:M2"/>
    <mergeCell ref="B11:M11"/>
    <mergeCell ref="B8:D8"/>
    <mergeCell ref="B15:E15"/>
    <mergeCell ref="E9:M9"/>
    <mergeCell ref="B13:M13"/>
    <mergeCell ref="G17:H17"/>
    <mergeCell ref="E6:M6"/>
    <mergeCell ref="J17:M17"/>
    <mergeCell ref="B9:D9"/>
    <mergeCell ref="B6:D6"/>
    <mergeCell ref="E7:M7"/>
    <mergeCell ref="B5:D5"/>
    <mergeCell ref="B20:M20"/>
    <mergeCell ref="G15:H15"/>
    <mergeCell ref="B4:D4"/>
    <mergeCell ref="J15:M15"/>
    <mergeCell ref="B7:D7"/>
    <mergeCell ref="G16:H16"/>
    <mergeCell ref="E5:M5"/>
    <mergeCell ref="E8:M8"/>
    <mergeCell ref="J16:M16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8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준 공 대 가 청 구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8" customHeight="1">
      <c r="B6" s="35" t="inlineStr">
        <is>
          <t>준 공 일</t>
        </is>
      </c>
      <c r="C6" s="36" t="n"/>
      <c r="D6" s="37" t="n"/>
      <c r="E6" s="38">
        <f>IF('입력'!$C$68="","",YEAR('입력'!$C$68)&amp;". "&amp;MONTH('입력'!$C$68)&amp;". "&amp;DAY('입력'!$C$68)&amp;".")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준공검사일</t>
        </is>
      </c>
      <c r="C7" s="36" t="n"/>
      <c r="D7" s="37" t="n"/>
      <c r="E7" s="38">
        <f>IF('입력'!$C$70="","",YEAR('입력'!$C$70)&amp;". "&amp;MONTH('입력'!$C$70)&amp;". "&amp;DAY('입력'!$C$70)&amp;".")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33.8" customHeight="1">
      <c r="B9" s="35" t="inlineStr">
        <is>
          <t>최종 계약금액</t>
        </is>
      </c>
      <c r="C9" s="36" t="n"/>
      <c r="D9" s="37" t="n"/>
      <c r="E9" s="38">
        <f>IF('입력'!$C$125="","",FIXED('입력'!$C$125,0)&amp;"원")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33.8" customHeight="1">
      <c r="B10" s="35" t="inlineStr">
        <is>
          <t>기성 지급 누계 (공제)</t>
        </is>
      </c>
      <c r="C10" s="36" t="n"/>
      <c r="D10" s="37" t="n"/>
      <c r="E10" s="38">
        <f>IF('입력'!$C$74="","",FIXED('입력'!$C$74,0)&amp;"원")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33.8" customHeight="1">
      <c r="B11" s="35" t="inlineStr">
        <is>
          <t>선금 잔액 정산 (공제)</t>
        </is>
      </c>
      <c r="C11" s="36" t="n"/>
      <c r="D11" s="37" t="n"/>
      <c r="E11" s="38">
        <f>IF('입력'!$C$75="","",FIXED('입력'!$C$75,0)&amp;"원")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33.8" customHeight="1">
      <c r="B12" s="35" t="inlineStr">
        <is>
          <t>지체상금 (공제)</t>
        </is>
      </c>
      <c r="C12" s="36" t="n"/>
      <c r="D12" s="37" t="n"/>
      <c r="E12" s="38">
        <f>IF(N('입력'!$C$133)=0,"없음",FIXED('입력'!$C$133,0)&amp;"원 (지체 "&amp;'입력'!$C$131&amp;"일)")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44.2" customHeight="1">
      <c r="B13" s="35" t="inlineStr">
        <is>
          <t>청구 금액</t>
        </is>
      </c>
      <c r="C13" s="36" t="n"/>
      <c r="D13" s="37" t="n"/>
      <c r="E13" s="38">
        <f>IF('입력'!$C$138="","",'계산'!$J$8&amp;"원정 (₩"&amp;FIXED('입력'!$C$138,0)&amp;")")</f>
        <v/>
      </c>
      <c r="F13" s="39" t="n"/>
      <c r="G13" s="39" t="n"/>
      <c r="H13" s="39" t="n"/>
      <c r="I13" s="39" t="n"/>
      <c r="J13" s="39" t="n"/>
      <c r="K13" s="39" t="n"/>
      <c r="L13" s="39" t="n"/>
      <c r="M13" s="40" t="n"/>
    </row>
    <row r="14" ht="8" customHeight="1"/>
    <row r="15" ht="33.8" customHeight="1">
      <c r="B15" s="35" t="inlineStr">
        <is>
          <t>은 행 명</t>
        </is>
      </c>
      <c r="C15" s="36" t="n"/>
      <c r="D15" s="37" t="n"/>
      <c r="E15" s="38">
        <f>'입력'!$C$33&amp;""</f>
        <v/>
      </c>
      <c r="F15" s="39" t="n"/>
      <c r="G15" s="39" t="n"/>
      <c r="H15" s="39" t="n"/>
      <c r="I15" s="39" t="n"/>
      <c r="J15" s="39" t="n"/>
      <c r="K15" s="39" t="n"/>
      <c r="L15" s="39" t="n"/>
      <c r="M15" s="40" t="n"/>
    </row>
    <row r="16" ht="33.8" customHeight="1">
      <c r="B16" s="35" t="inlineStr">
        <is>
          <t>예 금 주</t>
        </is>
      </c>
      <c r="C16" s="36" t="n"/>
      <c r="D16" s="37" t="n"/>
      <c r="E16" s="38">
        <f>'입력'!$C$34&amp;""</f>
        <v/>
      </c>
      <c r="F16" s="39" t="n"/>
      <c r="G16" s="39" t="n"/>
      <c r="H16" s="39" t="n"/>
      <c r="I16" s="39" t="n"/>
      <c r="J16" s="39" t="n"/>
      <c r="K16" s="39" t="n"/>
      <c r="L16" s="39" t="n"/>
      <c r="M16" s="40" t="n"/>
    </row>
    <row r="17" ht="33.8" customHeight="1">
      <c r="B17" s="35" t="inlineStr">
        <is>
          <t>계좌 번호</t>
        </is>
      </c>
      <c r="C17" s="36" t="n"/>
      <c r="D17" s="37" t="n"/>
      <c r="E17" s="38">
        <f>'입력'!$C$35&amp;""</f>
        <v/>
      </c>
      <c r="F17" s="39" t="n"/>
      <c r="G17" s="39" t="n"/>
      <c r="H17" s="39" t="n"/>
      <c r="I17" s="39" t="n"/>
      <c r="J17" s="39" t="n"/>
      <c r="K17" s="39" t="n"/>
      <c r="L17" s="39" t="n"/>
      <c r="M17" s="40" t="n"/>
    </row>
    <row r="18" ht="8" customHeight="1"/>
    <row r="19" ht="25.05" customHeight="1">
      <c r="B19" s="43" t="inlineStr">
        <is>
          <t>위 공사의 준공 대가를 위와 같이 청구합니다.</t>
        </is>
      </c>
    </row>
    <row r="20" ht="8.550000000000068" customHeight="1"/>
    <row r="21" ht="30" customHeight="1">
      <c r="B21" s="44">
        <f>IF('입력'!$C$139="","          년      월      일",YEAR('입력'!$C$139)&amp;"년  "&amp;MONTH('입력'!$C$139)&amp;"월  "&amp;DAY('입력'!$C$139)&amp;"일")</f>
        <v/>
      </c>
    </row>
    <row r="22" ht="6" customHeight="1"/>
    <row r="23" ht="24" customHeight="1">
      <c r="B23" s="45" t="inlineStr">
        <is>
          <t>계약상대자</t>
        </is>
      </c>
      <c r="G23" s="46" t="inlineStr">
        <is>
          <t>상    호</t>
        </is>
      </c>
      <c r="I23" s="47" t="inlineStr">
        <is>
          <t>:</t>
        </is>
      </c>
      <c r="J23" s="48">
        <f>'입력'!$C$27&amp;""</f>
        <v/>
      </c>
    </row>
    <row r="24" ht="24" customHeight="1">
      <c r="G24" s="46" t="inlineStr">
        <is>
          <t>주    소</t>
        </is>
      </c>
      <c r="I24" s="47" t="inlineStr">
        <is>
          <t>:</t>
        </is>
      </c>
      <c r="J24" s="48">
        <f>'입력'!$C$30&amp;""</f>
        <v/>
      </c>
    </row>
    <row r="25" ht="24" customHeight="1">
      <c r="G25" s="46" t="inlineStr">
        <is>
          <t>대 표 자</t>
        </is>
      </c>
      <c r="I25" s="47" t="inlineStr">
        <is>
          <t>:</t>
        </is>
      </c>
      <c r="J25" s="48">
        <f>'입력'!$C$28&amp;"          (인)"</f>
        <v/>
      </c>
    </row>
    <row r="26" ht="8" customHeight="1"/>
    <row r="27" ht="8" customHeight="1"/>
    <row r="28" ht="30" customHeight="1">
      <c r="B28" s="49">
        <f>IF('입력'!$C$18="","                  귀하",'입력'!$C$18&amp;"  귀하")</f>
        <v/>
      </c>
    </row>
  </sheetData>
  <mergeCells count="35">
    <mergeCell ref="B11:D11"/>
    <mergeCell ref="B2:M2"/>
    <mergeCell ref="E10:M10"/>
    <mergeCell ref="E13:M13"/>
    <mergeCell ref="B17:D17"/>
    <mergeCell ref="B13:D13"/>
    <mergeCell ref="E9:M9"/>
    <mergeCell ref="G23:H23"/>
    <mergeCell ref="E6:M6"/>
    <mergeCell ref="B10:D10"/>
    <mergeCell ref="E15:M15"/>
    <mergeCell ref="J23:M23"/>
    <mergeCell ref="B28:M28"/>
    <mergeCell ref="E11:M11"/>
    <mergeCell ref="B19:M19"/>
    <mergeCell ref="B9:D9"/>
    <mergeCell ref="B15:D15"/>
    <mergeCell ref="B6:D6"/>
    <mergeCell ref="E16:M16"/>
    <mergeCell ref="E7:M7"/>
    <mergeCell ref="B5:D5"/>
    <mergeCell ref="G24:H24"/>
    <mergeCell ref="B4:D4"/>
    <mergeCell ref="J25:M25"/>
    <mergeCell ref="J24:M24"/>
    <mergeCell ref="B7:D7"/>
    <mergeCell ref="E12:M12"/>
    <mergeCell ref="B16:D16"/>
    <mergeCell ref="B23:E23"/>
    <mergeCell ref="E5:M5"/>
    <mergeCell ref="G25:H25"/>
    <mergeCell ref="E17:M17"/>
    <mergeCell ref="B12:D12"/>
    <mergeCell ref="B21:M21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19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준 공 정 산 동 의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당초 계약금액</t>
        </is>
      </c>
      <c r="C6" s="36" t="n"/>
      <c r="D6" s="37" t="n"/>
      <c r="E6" s="38">
        <f>IF('입력'!$C$14="","",'계산'!$J$3&amp;"원정 (₩"&amp;FIXED('입력'!$C$14,0)&amp;")")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44.2" customHeight="1">
      <c r="B7" s="35" t="inlineStr">
        <is>
          <t>정산 계약금액</t>
        </is>
      </c>
      <c r="C7" s="36" t="n"/>
      <c r="D7" s="37" t="n"/>
      <c r="E7" s="38">
        <f>IF('입력'!$C$125="","",'계산'!$J$4&amp;"원정 (₩"&amp;FIXED('입력'!$C$125,0)&amp;")")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3.8" customHeight="1">
      <c r="B8" s="35" t="inlineStr">
        <is>
          <t>증 감 액</t>
        </is>
      </c>
      <c r="C8" s="36" t="n"/>
      <c r="D8" s="37" t="n"/>
      <c r="E8" s="38">
        <f>IF('입력'!$C$141="","",IF('입력'!$C$141&lt;0,"감액 ","증액 ")&amp;FIXED(ABS('입력'!$C$141),0)&amp;"원")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8" customHeight="1"/>
    <row r="10" ht="42.1" customHeight="1">
      <c r="B10" s="43" t="inlineStr">
        <is>
          <t>우리 회사는 위 공사의 준공 정산 결과 최종 계약금액을 위와 같이 확정하는 데 동의하며, 이 금액에 대하여 앞으로 이의를 제기하지 않겠습니다.</t>
        </is>
      </c>
    </row>
    <row r="11" ht="128" customHeight="1"/>
    <row r="12" ht="30" customHeight="1">
      <c r="B12" s="44">
        <f>IF('입력'!$C$70="","          년      월      일",YEAR('입력'!$C$70)&amp;"년  "&amp;MONTH('입력'!$C$70)&amp;"월  "&amp;DAY('입력'!$C$70)&amp;"일")</f>
        <v/>
      </c>
    </row>
    <row r="13" ht="6" customHeight="1"/>
    <row r="14" ht="24" customHeight="1">
      <c r="B14" s="45" t="inlineStr">
        <is>
          <t>계약상대자</t>
        </is>
      </c>
      <c r="G14" s="46" t="inlineStr">
        <is>
          <t>상    호</t>
        </is>
      </c>
      <c r="I14" s="47" t="inlineStr">
        <is>
          <t>:</t>
        </is>
      </c>
      <c r="J14" s="48">
        <f>'입력'!$C$27&amp;""</f>
        <v/>
      </c>
    </row>
    <row r="15" ht="24" customHeight="1">
      <c r="G15" s="46" t="inlineStr">
        <is>
          <t>주    소</t>
        </is>
      </c>
      <c r="I15" s="47" t="inlineStr">
        <is>
          <t>:</t>
        </is>
      </c>
      <c r="J15" s="48">
        <f>'입력'!$C$30&amp;""</f>
        <v/>
      </c>
    </row>
    <row r="16" ht="24" customHeight="1">
      <c r="G16" s="46" t="inlineStr">
        <is>
          <t>대 표 자</t>
        </is>
      </c>
      <c r="I16" s="47" t="inlineStr">
        <is>
          <t>:</t>
        </is>
      </c>
      <c r="J16" s="48">
        <f>'입력'!$C$28&amp;"          (인)"</f>
        <v/>
      </c>
    </row>
    <row r="17" ht="8" customHeight="1"/>
    <row r="18" ht="8" customHeight="1"/>
    <row r="19" ht="30" customHeight="1">
      <c r="B19" s="49">
        <f>IF('입력'!$C$18="","                  귀하",'입력'!$C$18&amp;"  귀하")</f>
        <v/>
      </c>
    </row>
  </sheetData>
  <mergeCells count="21">
    <mergeCell ref="B2:M2"/>
    <mergeCell ref="B8:D8"/>
    <mergeCell ref="E6:M6"/>
    <mergeCell ref="B10:M10"/>
    <mergeCell ref="B19:M19"/>
    <mergeCell ref="J14:M14"/>
    <mergeCell ref="B6:D6"/>
    <mergeCell ref="E7:M7"/>
    <mergeCell ref="B5:D5"/>
    <mergeCell ref="G15:H15"/>
    <mergeCell ref="B4:D4"/>
    <mergeCell ref="G14:H14"/>
    <mergeCell ref="J15:M15"/>
    <mergeCell ref="B7:D7"/>
    <mergeCell ref="B14:E14"/>
    <mergeCell ref="G16:H16"/>
    <mergeCell ref="E5:M5"/>
    <mergeCell ref="E8:M8"/>
    <mergeCell ref="J16:M16"/>
    <mergeCell ref="E4:M4"/>
    <mergeCell ref="B12:M1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24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하 자 보 수 보 증 금 납 부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최종 계약금액</t>
        </is>
      </c>
      <c r="C6" s="36" t="n"/>
      <c r="D6" s="37" t="n"/>
      <c r="E6" s="38">
        <f>IF('입력'!$C$125="","",'계산'!$J$4&amp;"원정 (₩"&amp;FIXED('입력'!$C$125,0)&amp;")")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보증금률</t>
        </is>
      </c>
      <c r="C7" s="36" t="n"/>
      <c r="D7" s="37" t="n"/>
      <c r="E7" s="38">
        <f>IF('입력'!$C$47="","",'입력'!$C$47&amp;"%")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44.2" customHeight="1">
      <c r="B8" s="35" t="inlineStr">
        <is>
          <t>하자보수보증금</t>
        </is>
      </c>
      <c r="C8" s="36" t="n"/>
      <c r="D8" s="37" t="n"/>
      <c r="E8" s="38">
        <f>IF('입력'!$C$126="","",'계산'!$J$6&amp;"원정 (₩"&amp;FIXED('입력'!$C$126,0)&amp;")")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8" customHeight="1">
      <c r="B9" s="35" t="inlineStr">
        <is>
          <t>납부 방법</t>
        </is>
      </c>
      <c r="C9" s="36" t="n"/>
      <c r="D9" s="37" t="n"/>
      <c r="E9" s="38">
        <f>'입력'!$C$49&amp;""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44.2" customHeight="1">
      <c r="B10" s="35" t="inlineStr">
        <is>
          <t>하자담보책임기간</t>
        </is>
      </c>
      <c r="C10" s="36" t="n"/>
      <c r="D10" s="37" t="n"/>
      <c r="E10" s="38">
        <f>IF('입력'!$C$129="","",'입력'!$C$48&amp;"년 ("&amp;IF('입력'!$C$128="","",YEAR('입력'!$C$128)&amp;". "&amp;MONTH('입력'!$C$128)&amp;". "&amp;DAY('입력'!$C$128)&amp;".")&amp;" ~ "&amp;IF('입력'!$C$129="","",YEAR('입력'!$C$129)&amp;". "&amp;MONTH('입력'!$C$129)&amp;". "&amp;DAY('입력'!$C$129)&amp;".")&amp;")")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8" customHeight="1"/>
    <row r="12" ht="25.05" customHeight="1">
      <c r="B12" s="43" t="inlineStr">
        <is>
          <t>위 공사의 하자보수보증금을 위와 같이 납부합니다.</t>
        </is>
      </c>
    </row>
    <row r="13" ht="24" customHeight="1">
      <c r="B13" s="35" t="inlineStr">
        <is>
          <t>붙임 서류</t>
        </is>
      </c>
      <c r="C13" s="36" t="n"/>
      <c r="D13" s="36" t="n"/>
      <c r="E13" s="36" t="n"/>
      <c r="F13" s="36" t="n"/>
      <c r="G13" s="36" t="n"/>
      <c r="H13" s="37" t="n"/>
      <c r="I13" s="35" t="inlineStr">
        <is>
          <t>부수</t>
        </is>
      </c>
      <c r="J13" s="37" t="n"/>
      <c r="K13" s="35" t="inlineStr">
        <is>
          <t>비고</t>
        </is>
      </c>
      <c r="L13" s="36" t="n"/>
      <c r="M13" s="37" t="n"/>
    </row>
    <row r="14" ht="28.6" customHeight="1">
      <c r="B14" s="42" t="inlineStr">
        <is>
          <t>하자보수보증서(보증증권) — 현금이면 납부 영수증</t>
        </is>
      </c>
      <c r="C14" s="39" t="n"/>
      <c r="D14" s="39" t="n"/>
      <c r="E14" s="39" t="n"/>
      <c r="F14" s="39" t="n"/>
      <c r="G14" s="39" t="n"/>
      <c r="H14" s="40" t="n"/>
      <c r="I14" s="42" t="inlineStr">
        <is>
          <t>1부</t>
        </is>
      </c>
      <c r="J14" s="40" t="n"/>
      <c r="K14" s="42" t="n"/>
      <c r="L14" s="39" t="n"/>
      <c r="M14" s="40" t="n"/>
    </row>
    <row r="15" ht="8" customHeight="1"/>
    <row r="16" ht="112.15" customHeight="1"/>
    <row r="17" ht="30" customHeight="1">
      <c r="B17" s="44">
        <f>IF('입력'!$C$70="","          년      월      일",YEAR('입력'!$C$70)&amp;"년  "&amp;MONTH('입력'!$C$70)&amp;"월  "&amp;DAY('입력'!$C$70)&amp;"일")</f>
        <v/>
      </c>
    </row>
    <row r="18" ht="6" customHeight="1"/>
    <row r="19" ht="24" customHeight="1">
      <c r="B19" s="45" t="inlineStr">
        <is>
          <t>계약상대자</t>
        </is>
      </c>
      <c r="G19" s="46" t="inlineStr">
        <is>
          <t>상    호</t>
        </is>
      </c>
      <c r="I19" s="47" t="inlineStr">
        <is>
          <t>:</t>
        </is>
      </c>
      <c r="J19" s="48">
        <f>'입력'!$C$27&amp;""</f>
        <v/>
      </c>
    </row>
    <row r="20" ht="24" customHeight="1">
      <c r="G20" s="46" t="inlineStr">
        <is>
          <t>주    소</t>
        </is>
      </c>
      <c r="I20" s="47" t="inlineStr">
        <is>
          <t>:</t>
        </is>
      </c>
      <c r="J20" s="48">
        <f>'입력'!$C$30&amp;""</f>
        <v/>
      </c>
    </row>
    <row r="21" ht="24" customHeight="1">
      <c r="G21" s="46" t="inlineStr">
        <is>
          <t>대 표 자</t>
        </is>
      </c>
      <c r="I21" s="47" t="inlineStr">
        <is>
          <t>:</t>
        </is>
      </c>
      <c r="J21" s="48">
        <f>'입력'!$C$28&amp;"          (인)"</f>
        <v/>
      </c>
    </row>
    <row r="22" ht="8" customHeight="1"/>
    <row r="23" ht="8" customHeight="1"/>
    <row r="24" ht="30" customHeight="1">
      <c r="B24" s="49">
        <f>IF('입력'!$C$18="","                  귀하",'입력'!$C$18&amp;"  귀하")</f>
        <v/>
      </c>
    </row>
  </sheetData>
  <mergeCells count="31">
    <mergeCell ref="G21:H21"/>
    <mergeCell ref="B2:M2"/>
    <mergeCell ref="E10:M10"/>
    <mergeCell ref="B8:D8"/>
    <mergeCell ref="E9:M9"/>
    <mergeCell ref="B17:M17"/>
    <mergeCell ref="J21:M21"/>
    <mergeCell ref="E6:M6"/>
    <mergeCell ref="B10:D10"/>
    <mergeCell ref="K14:M14"/>
    <mergeCell ref="G19:H19"/>
    <mergeCell ref="B9:D9"/>
    <mergeCell ref="B6:D6"/>
    <mergeCell ref="J19:M19"/>
    <mergeCell ref="B24:M24"/>
    <mergeCell ref="E7:M7"/>
    <mergeCell ref="B5:D5"/>
    <mergeCell ref="K13:M13"/>
    <mergeCell ref="B4:D4"/>
    <mergeCell ref="I14:J14"/>
    <mergeCell ref="B7:D7"/>
    <mergeCell ref="B14:H14"/>
    <mergeCell ref="G20:H20"/>
    <mergeCell ref="B13:H13"/>
    <mergeCell ref="E5:M5"/>
    <mergeCell ref="J20:M20"/>
    <mergeCell ref="E8:M8"/>
    <mergeCell ref="I13:J13"/>
    <mergeCell ref="B19:E19"/>
    <mergeCell ref="E4:M4"/>
    <mergeCell ref="B12:M12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2F6FB5"/>
    <outlinePr summaryBelow="1" summaryRight="1"/>
    <pageSetUpPr fitToPage="1"/>
  </sheetPr>
  <dimension ref="B2:O18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하 자 보 수 보 증 금 지 급 각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44.2" customHeight="1">
      <c r="B6" s="35" t="inlineStr">
        <is>
          <t>하자보수보증금</t>
        </is>
      </c>
      <c r="C6" s="36" t="n"/>
      <c r="D6" s="37" t="n"/>
      <c r="E6" s="38">
        <f>IF('입력'!$C$126="","",'계산'!$J$6&amp;"원정 (₩"&amp;FIXED('입력'!$C$126,0)&amp;")")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8" customHeight="1">
      <c r="B7" s="35" t="inlineStr">
        <is>
          <t>하자담보책임기간</t>
        </is>
      </c>
      <c r="C7" s="36" t="n"/>
      <c r="D7" s="37" t="n"/>
      <c r="E7" s="38">
        <f>IF('입력'!$C$129="","",IF('입력'!$C$128="","",YEAR('입력'!$C$128)&amp;". "&amp;MONTH('입력'!$C$128)&amp;". "&amp;DAY('입력'!$C$128)&amp;".")&amp;" ~ "&amp;IF('입력'!$C$129="","",YEAR('입력'!$C$129)&amp;". "&amp;MONTH('입력'!$C$129)&amp;". "&amp;DAY('입력'!$C$129)&amp;"."))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59.15000000000001" customHeight="1">
      <c r="B9" s="43" t="inlineStr">
        <is>
          <t>우리 회사는 위 공사의 하자보수보증금 납부를 면제받는 대신, 하자담보책임기간 안에 하자보수 의무를 이행하지 아니하여 하자보수보증금이 발주기관에 귀속되는 사유가 생긴 때에는 위 금액을 발주기관의 청구에 따라 즉시 현금으로 납부할 것을 각서합니다.</t>
        </is>
      </c>
    </row>
    <row r="10" ht="128" customHeight="1"/>
    <row r="11" ht="30" customHeight="1">
      <c r="B11" s="44">
        <f>IF('입력'!$C$70="","          년      월      일",YEAR('입력'!$C$70)&amp;"년  "&amp;MONTH('입력'!$C$70)&amp;"월  "&amp;DAY('입력'!$C$70)&amp;"일")</f>
        <v/>
      </c>
    </row>
    <row r="12" ht="6" customHeight="1"/>
    <row r="13" ht="24" customHeight="1">
      <c r="B13" s="45" t="inlineStr">
        <is>
          <t>계약상대자</t>
        </is>
      </c>
      <c r="G13" s="46" t="inlineStr">
        <is>
          <t>상    호</t>
        </is>
      </c>
      <c r="I13" s="47" t="inlineStr">
        <is>
          <t>:</t>
        </is>
      </c>
      <c r="J13" s="48">
        <f>'입력'!$C$27&amp;""</f>
        <v/>
      </c>
    </row>
    <row r="14" ht="24" customHeight="1">
      <c r="G14" s="46" t="inlineStr">
        <is>
          <t>주    소</t>
        </is>
      </c>
      <c r="I14" s="47" t="inlineStr">
        <is>
          <t>:</t>
        </is>
      </c>
      <c r="J14" s="48">
        <f>'입력'!$C$30&amp;""</f>
        <v/>
      </c>
    </row>
    <row r="15" ht="24" customHeight="1">
      <c r="G15" s="46" t="inlineStr">
        <is>
          <t>대 표 자</t>
        </is>
      </c>
      <c r="I15" s="47" t="inlineStr">
        <is>
          <t>:</t>
        </is>
      </c>
      <c r="J15" s="48">
        <f>'입력'!$C$28&amp;"          (인)"</f>
        <v/>
      </c>
    </row>
    <row r="16" ht="8" customHeight="1"/>
    <row r="17" ht="8" customHeight="1"/>
    <row r="18" ht="30" customHeight="1">
      <c r="B18" s="49">
        <f>IF('입력'!$C$18="","                  귀하",'입력'!$C$18&amp;"  귀하")</f>
        <v/>
      </c>
    </row>
  </sheetData>
  <mergeCells count="19">
    <mergeCell ref="B2:M2"/>
    <mergeCell ref="B11:M11"/>
    <mergeCell ref="E6:M6"/>
    <mergeCell ref="B9:M9"/>
    <mergeCell ref="J14:M14"/>
    <mergeCell ref="G13:H13"/>
    <mergeCell ref="B6:D6"/>
    <mergeCell ref="E7:M7"/>
    <mergeCell ref="B5:D5"/>
    <mergeCell ref="J13:M13"/>
    <mergeCell ref="G15:H15"/>
    <mergeCell ref="B4:D4"/>
    <mergeCell ref="G14:H14"/>
    <mergeCell ref="J15:M15"/>
    <mergeCell ref="B7:D7"/>
    <mergeCell ref="E5:M5"/>
    <mergeCell ref="B13:E13"/>
    <mergeCell ref="B18:M18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B7802F"/>
    <outlinePr summaryBelow="1" summaryRight="1"/>
    <pageSetUpPr fitToPage="1"/>
  </sheetPr>
  <dimension ref="B2:O21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공 사 감 독 조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8" customHeight="1">
      <c r="B6" s="35" t="inlineStr">
        <is>
          <t>계약상대자</t>
        </is>
      </c>
      <c r="C6" s="36" t="n"/>
      <c r="D6" s="37" t="n"/>
      <c r="E6" s="38">
        <f>'입력'!$C$27&amp;IF('입력'!$C$28="",""," (대표 "&amp;'입력'!$C$28&amp;")")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44.2" customHeight="1">
      <c r="B7" s="35" t="inlineStr">
        <is>
          <t>계약 금액</t>
        </is>
      </c>
      <c r="C7" s="36" t="n"/>
      <c r="D7" s="37" t="n"/>
      <c r="E7" s="38">
        <f>IF('입력'!$C$125="","",'계산'!$J$4&amp;"원정 (₩"&amp;FIXED('입력'!$C$125,0)&amp;")")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3.8" customHeight="1">
      <c r="B8" s="35" t="inlineStr">
        <is>
          <t>계 약 일</t>
        </is>
      </c>
      <c r="C8" s="36" t="n"/>
      <c r="D8" s="37" t="n"/>
      <c r="E8" s="38">
        <f>IF('입력'!$C$11="","",YEAR('입력'!$C$11)&amp;". "&amp;MONTH('입력'!$C$11)&amp;". "&amp;DAY('입력'!$C$11)&amp;".")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8" customHeight="1">
      <c r="B9" s="35" t="inlineStr">
        <is>
          <t>착 공 일</t>
        </is>
      </c>
      <c r="C9" s="36" t="n"/>
      <c r="D9" s="37" t="n"/>
      <c r="E9" s="38">
        <f>IF('입력'!$C$12="","",YEAR('입력'!$C$12)&amp;". "&amp;MONTH('입력'!$C$12)&amp;". "&amp;DAY('입력'!$C$12)&amp;".")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33.8" customHeight="1">
      <c r="B10" s="35" t="inlineStr">
        <is>
          <t>준공 기한</t>
        </is>
      </c>
      <c r="C10" s="36" t="n"/>
      <c r="D10" s="37" t="n"/>
      <c r="E10" s="38">
        <f>IF('입력'!$C$130="","",YEAR('입력'!$C$130)&amp;". "&amp;MONTH('입력'!$C$130)&amp;". "&amp;DAY('입력'!$C$130)&amp;".")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33.8" customHeight="1">
      <c r="B11" s="35" t="inlineStr">
        <is>
          <t>준 공 일</t>
        </is>
      </c>
      <c r="C11" s="36" t="n"/>
      <c r="D11" s="37" t="n"/>
      <c r="E11" s="38">
        <f>IF('입력'!$C$68="","",YEAR('입력'!$C$68)&amp;". "&amp;MONTH('입력'!$C$68)&amp;". "&amp;DAY('입력'!$C$68)&amp;".")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33.8" customHeight="1">
      <c r="B12" s="35" t="inlineStr">
        <is>
          <t>지체 일수</t>
        </is>
      </c>
      <c r="C12" s="36" t="n"/>
      <c r="D12" s="37" t="n"/>
      <c r="E12" s="38">
        <f>IF('입력'!$C$131="","",IF('입력'!$C$131=0,"없음",'입력'!$C$131&amp;"일"))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8" customHeight="1"/>
    <row r="14" ht="25.05" customHeight="1">
      <c r="B14" s="43" t="inlineStr">
        <is>
          <t>위 공사를 설계서와 계약 조건에 따라 감독한 결과 위와 같이 시공되었음을 확인합니다.</t>
        </is>
      </c>
    </row>
    <row r="15" ht="128" customHeight="1"/>
    <row r="16" ht="30" customHeight="1">
      <c r="B16" s="44">
        <f>IF('입력'!$C$127="","          년      월      일",YEAR('입력'!$C$127)&amp;"년  "&amp;MONTH('입력'!$C$127)&amp;"월  "&amp;DAY('입력'!$C$127)&amp;"일")</f>
        <v/>
      </c>
    </row>
    <row r="17" ht="6" customHeight="1"/>
    <row r="18" ht="24" customHeight="1">
      <c r="B18" s="45" t="inlineStr">
        <is>
          <t>공사 감독자</t>
        </is>
      </c>
      <c r="G18" s="88" t="inlineStr">
        <is>
          <t>직·성명</t>
        </is>
      </c>
      <c r="I18" s="47" t="inlineStr">
        <is>
          <t>:</t>
        </is>
      </c>
      <c r="J18" s="48">
        <f>'입력'!$C$20&amp;"          (인)"</f>
        <v/>
      </c>
    </row>
    <row r="19" ht="8" customHeight="1"/>
    <row r="20" ht="8" customHeight="1"/>
    <row r="21" ht="30" customHeight="1">
      <c r="B21" s="49">
        <f>IF('입력'!$C$18="","                  귀하",'입력'!$C$18&amp;"  귀하")</f>
        <v/>
      </c>
    </row>
  </sheetData>
  <mergeCells count="25">
    <mergeCell ref="B11:D11"/>
    <mergeCell ref="B2:M2"/>
    <mergeCell ref="E10:M10"/>
    <mergeCell ref="B8:D8"/>
    <mergeCell ref="B14:M14"/>
    <mergeCell ref="E9:M9"/>
    <mergeCell ref="J18:M18"/>
    <mergeCell ref="E6:M6"/>
    <mergeCell ref="B10:D10"/>
    <mergeCell ref="E11:M11"/>
    <mergeCell ref="B9:D9"/>
    <mergeCell ref="G18:H18"/>
    <mergeCell ref="B6:D6"/>
    <mergeCell ref="E7:M7"/>
    <mergeCell ref="B5:D5"/>
    <mergeCell ref="B18:E18"/>
    <mergeCell ref="B4:D4"/>
    <mergeCell ref="B7:D7"/>
    <mergeCell ref="E12:M12"/>
    <mergeCell ref="B16:M16"/>
    <mergeCell ref="E5:M5"/>
    <mergeCell ref="E8:M8"/>
    <mergeCell ref="B12:D12"/>
    <mergeCell ref="B21:M21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B7802F"/>
    <outlinePr summaryBelow="1" summaryRight="1"/>
    <pageSetUpPr fitToPage="1"/>
  </sheetPr>
  <dimension ref="B2:O23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준 공 검 사 조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4.2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8" customHeight="1">
      <c r="B5" s="35" t="inlineStr">
        <is>
          <t>계약 번호</t>
        </is>
      </c>
      <c r="C5" s="36" t="n"/>
      <c r="D5" s="37" t="n"/>
      <c r="E5" s="38">
        <f>'입력'!$C$9&amp;""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8" customHeight="1">
      <c r="B6" s="35" t="inlineStr">
        <is>
          <t>계약상대자</t>
        </is>
      </c>
      <c r="C6" s="36" t="n"/>
      <c r="D6" s="37" t="n"/>
      <c r="E6" s="38">
        <f>'입력'!$C$27&amp;IF('입력'!$C$28="",""," (대표 "&amp;'입력'!$C$28&amp;")")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44.2" customHeight="1">
      <c r="B7" s="35" t="inlineStr">
        <is>
          <t>계약 금액</t>
        </is>
      </c>
      <c r="C7" s="36" t="n"/>
      <c r="D7" s="37" t="n"/>
      <c r="E7" s="38">
        <f>IF('입력'!$C$125="","",'계산'!$J$4&amp;"원정 (₩"&amp;FIXED('입력'!$C$125,0)&amp;")")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3.8" customHeight="1">
      <c r="B8" s="35" t="inlineStr">
        <is>
          <t>착 공 일</t>
        </is>
      </c>
      <c r="C8" s="36" t="n"/>
      <c r="D8" s="37" t="n"/>
      <c r="E8" s="38">
        <f>IF('입력'!$C$12="","",YEAR('입력'!$C$12)&amp;". "&amp;MONTH('입력'!$C$12)&amp;". "&amp;DAY('입력'!$C$12)&amp;".")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8" customHeight="1">
      <c r="B9" s="35" t="inlineStr">
        <is>
          <t>준 공 일</t>
        </is>
      </c>
      <c r="C9" s="36" t="n"/>
      <c r="D9" s="37" t="n"/>
      <c r="E9" s="38">
        <f>IF('입력'!$C$68="","",YEAR('입력'!$C$68)&amp;". "&amp;MONTH('입력'!$C$68)&amp;". "&amp;DAY('입력'!$C$68)&amp;".")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33.8" customHeight="1">
      <c r="B10" s="35" t="inlineStr">
        <is>
          <t>검사 요청일</t>
        </is>
      </c>
      <c r="C10" s="36" t="n"/>
      <c r="D10" s="37" t="n"/>
      <c r="E10" s="38">
        <f>IF('입력'!$C$127="","",YEAR('입력'!$C$127)&amp;". "&amp;MONTH('입력'!$C$127)&amp;". "&amp;DAY('입력'!$C$127)&amp;".")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33.8" customHeight="1">
      <c r="B11" s="35" t="inlineStr">
        <is>
          <t>준공검사일</t>
        </is>
      </c>
      <c r="C11" s="36" t="n"/>
      <c r="D11" s="37" t="n"/>
      <c r="E11" s="38">
        <f>IF('입력'!$C$70="","",YEAR('입력'!$C$70)&amp;". "&amp;MONTH('입력'!$C$70)&amp;". "&amp;DAY('입력'!$C$70)&amp;".")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33.8" customHeight="1">
      <c r="B12" s="35" t="inlineStr">
        <is>
          <t>검사 결과</t>
        </is>
      </c>
      <c r="C12" s="36" t="n"/>
      <c r="D12" s="37" t="n"/>
      <c r="E12" s="38">
        <f>IF('입력'!$C$71="","합격  /  보완 요구",'입력'!$C$71)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8" customHeight="1"/>
    <row r="14" ht="42.1" customHeight="1">
      <c r="B14" s="43" t="inlineStr">
        <is>
          <t>위 공사에 대하여 설계서·계약서와 관계 서류에 따라 준공검사를 한 결과 위와 같음을 확인합니다.</t>
        </is>
      </c>
    </row>
    <row r="15" ht="124.9" customHeight="1"/>
    <row r="16" ht="30" customHeight="1">
      <c r="B16" s="44">
        <f>IF('입력'!$C$70="","          년      월      일",YEAR('입력'!$C$70)&amp;"년  "&amp;MONTH('입력'!$C$70)&amp;"월  "&amp;DAY('입력'!$C$70)&amp;"일")</f>
        <v/>
      </c>
    </row>
    <row r="17" ht="6" customHeight="1"/>
    <row r="18" ht="24" customHeight="1">
      <c r="B18" s="45" t="inlineStr">
        <is>
          <t>검 사 자</t>
        </is>
      </c>
      <c r="G18" s="88" t="inlineStr">
        <is>
          <t>직·성명</t>
        </is>
      </c>
      <c r="I18" s="47" t="inlineStr">
        <is>
          <t>:</t>
        </is>
      </c>
      <c r="J18" s="48">
        <f>'입력'!$C$21&amp;"          (인)"</f>
        <v/>
      </c>
    </row>
    <row r="19" ht="8" customHeight="1"/>
    <row r="20" ht="24" customHeight="1">
      <c r="B20" s="45" t="inlineStr">
        <is>
          <t>입 회 자</t>
        </is>
      </c>
      <c r="G20" s="88" t="inlineStr">
        <is>
          <t>직·성명</t>
        </is>
      </c>
      <c r="I20" s="47" t="inlineStr">
        <is>
          <t>:</t>
        </is>
      </c>
      <c r="J20" s="48">
        <f>'입력'!$C$22&amp;"          (인)"</f>
        <v/>
      </c>
    </row>
    <row r="21" ht="8" customHeight="1"/>
    <row r="22" ht="8" customHeight="1"/>
    <row r="23" ht="30" customHeight="1">
      <c r="B23" s="49">
        <f>IF('입력'!$C$18="","                  귀하",'입력'!$C$18&amp;"  귀하")</f>
        <v/>
      </c>
    </row>
  </sheetData>
  <mergeCells count="28">
    <mergeCell ref="B11:D11"/>
    <mergeCell ref="B2:M2"/>
    <mergeCell ref="E10:M10"/>
    <mergeCell ref="B8:D8"/>
    <mergeCell ref="B23:M23"/>
    <mergeCell ref="B14:M14"/>
    <mergeCell ref="E9:M9"/>
    <mergeCell ref="B20:E20"/>
    <mergeCell ref="J18:M18"/>
    <mergeCell ref="E6:M6"/>
    <mergeCell ref="B10:D10"/>
    <mergeCell ref="E11:M11"/>
    <mergeCell ref="B9:D9"/>
    <mergeCell ref="G18:H18"/>
    <mergeCell ref="B6:D6"/>
    <mergeCell ref="E7:M7"/>
    <mergeCell ref="B5:D5"/>
    <mergeCell ref="B18:E18"/>
    <mergeCell ref="B4:D4"/>
    <mergeCell ref="B7:D7"/>
    <mergeCell ref="E12:M12"/>
    <mergeCell ref="B16:M16"/>
    <mergeCell ref="G20:H20"/>
    <mergeCell ref="E5:M5"/>
    <mergeCell ref="J20:M20"/>
    <mergeCell ref="E8:M8"/>
    <mergeCell ref="B12:D12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B7802F"/>
    <outlinePr summaryBelow="1" summaryRight="1"/>
    <pageSetUpPr fitToPage="1"/>
  </sheetPr>
  <dimension ref="B2:O26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공 사 대 장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35.7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5.7" customHeight="1">
      <c r="B5" s="35" t="inlineStr">
        <is>
          <t>현장 위치</t>
        </is>
      </c>
      <c r="C5" s="36" t="n"/>
      <c r="D5" s="37" t="n"/>
      <c r="E5" s="38">
        <f>'입력'!$C$7&amp;""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5.7" customHeight="1">
      <c r="B6" s="35" t="inlineStr">
        <is>
          <t>공사 개요</t>
        </is>
      </c>
      <c r="C6" s="36" t="n"/>
      <c r="D6" s="37" t="n"/>
      <c r="E6" s="38">
        <f>'입력'!$C$8&amp;""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27.3" customHeight="1">
      <c r="B7" s="35" t="inlineStr">
        <is>
          <t>계약 방법</t>
        </is>
      </c>
      <c r="C7" s="36" t="n"/>
      <c r="D7" s="37" t="n"/>
      <c r="E7" s="38">
        <f>'입력'!$C$10&amp;""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27.3" customHeight="1">
      <c r="B8" s="35" t="inlineStr">
        <is>
          <t>계약 번호</t>
        </is>
      </c>
      <c r="C8" s="36" t="n"/>
      <c r="D8" s="37" t="n"/>
      <c r="E8" s="38">
        <f>'입력'!$C$9&amp;""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27.3" customHeight="1">
      <c r="B9" s="35" t="inlineStr">
        <is>
          <t>계 약 일</t>
        </is>
      </c>
      <c r="C9" s="36" t="n"/>
      <c r="D9" s="37" t="n"/>
      <c r="E9" s="38">
        <f>IF('입력'!$C$11="","",YEAR('입력'!$C$11)&amp;". "&amp;MONTH('입력'!$C$11)&amp;". "&amp;DAY('입력'!$C$11)&amp;".")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27.3" customHeight="1">
      <c r="B10" s="35" t="inlineStr">
        <is>
          <t>당초 계약금액</t>
        </is>
      </c>
      <c r="C10" s="36" t="n"/>
      <c r="D10" s="37" t="n"/>
      <c r="E10" s="38">
        <f>IF('입력'!$C$14="","",FIXED('입력'!$C$14,0)&amp;"원")</f>
        <v/>
      </c>
      <c r="F10" s="39" t="n"/>
      <c r="G10" s="39" t="n"/>
      <c r="H10" s="39" t="n"/>
      <c r="I10" s="39" t="n"/>
      <c r="J10" s="39" t="n"/>
      <c r="K10" s="39" t="n"/>
      <c r="L10" s="39" t="n"/>
      <c r="M10" s="40" t="n"/>
    </row>
    <row r="11" ht="27.3" customHeight="1">
      <c r="B11" s="35" t="inlineStr">
        <is>
          <t>최종 계약금액</t>
        </is>
      </c>
      <c r="C11" s="36" t="n"/>
      <c r="D11" s="37" t="n"/>
      <c r="E11" s="38">
        <f>IF('입력'!$C$125="","",FIXED('입력'!$C$125,0)&amp;"원")</f>
        <v/>
      </c>
      <c r="F11" s="39" t="n"/>
      <c r="G11" s="39" t="n"/>
      <c r="H11" s="39" t="n"/>
      <c r="I11" s="39" t="n"/>
      <c r="J11" s="39" t="n"/>
      <c r="K11" s="39" t="n"/>
      <c r="L11" s="39" t="n"/>
      <c r="M11" s="40" t="n"/>
    </row>
    <row r="12" ht="27.3" customHeight="1">
      <c r="B12" s="35" t="inlineStr">
        <is>
          <t>공사 기간</t>
        </is>
      </c>
      <c r="C12" s="36" t="n"/>
      <c r="D12" s="37" t="n"/>
      <c r="E12" s="38">
        <f>IF(OR('입력'!$C$12="",'입력'!$C$130=""),"",IF('입력'!$C$12="","",YEAR('입력'!$C$12)&amp;". "&amp;MONTH('입력'!$C$12)&amp;". "&amp;DAY('입력'!$C$12)&amp;".")&amp;" ~ "&amp;IF('입력'!$C$130="","",YEAR('입력'!$C$130)&amp;". "&amp;MONTH('입력'!$C$130)&amp;". "&amp;DAY('입력'!$C$130)&amp;".")&amp;" ("&amp;('입력'!$C$130-'입력'!$C$12+1)&amp;"일)")</f>
        <v/>
      </c>
      <c r="F12" s="39" t="n"/>
      <c r="G12" s="39" t="n"/>
      <c r="H12" s="39" t="n"/>
      <c r="I12" s="39" t="n"/>
      <c r="J12" s="39" t="n"/>
      <c r="K12" s="39" t="n"/>
      <c r="L12" s="39" t="n"/>
      <c r="M12" s="40" t="n"/>
    </row>
    <row r="13" ht="27.3" customHeight="1">
      <c r="B13" s="35" t="inlineStr">
        <is>
          <t>공기 연장</t>
        </is>
      </c>
      <c r="C13" s="36" t="n"/>
      <c r="D13" s="37" t="n"/>
      <c r="E13" s="38">
        <f>IF('입력'!$C$72="","없음","당초 "&amp;IF('입력'!$C$13="","",YEAR('입력'!$C$13)&amp;". "&amp;MONTH('입력'!$C$13)&amp;". "&amp;DAY('입력'!$C$13)&amp;".")&amp;" → 변경 "&amp;IF('입력'!$C$72="","",YEAR('입력'!$C$72)&amp;". "&amp;MONTH('입력'!$C$72)&amp;". "&amp;DAY('입력'!$C$72)&amp;".")&amp;" ("&amp;('입력'!$C$72-'입력'!$C$13)&amp;"일)")</f>
        <v/>
      </c>
      <c r="F13" s="39" t="n"/>
      <c r="G13" s="39" t="n"/>
      <c r="H13" s="39" t="n"/>
      <c r="I13" s="39" t="n"/>
      <c r="J13" s="39" t="n"/>
      <c r="K13" s="39" t="n"/>
      <c r="L13" s="39" t="n"/>
      <c r="M13" s="40" t="n"/>
    </row>
    <row r="14" ht="27.3" customHeight="1">
      <c r="B14" s="35" t="inlineStr">
        <is>
          <t>준 공 일</t>
        </is>
      </c>
      <c r="C14" s="36" t="n"/>
      <c r="D14" s="37" t="n"/>
      <c r="E14" s="38">
        <f>IF('입력'!$C$68="","",YEAR('입력'!$C$68)&amp;". "&amp;MONTH('입력'!$C$68)&amp;". "&amp;DAY('입력'!$C$68)&amp;".")</f>
        <v/>
      </c>
      <c r="F14" s="39" t="n"/>
      <c r="G14" s="39" t="n"/>
      <c r="H14" s="39" t="n"/>
      <c r="I14" s="39" t="n"/>
      <c r="J14" s="39" t="n"/>
      <c r="K14" s="39" t="n"/>
      <c r="L14" s="39" t="n"/>
      <c r="M14" s="40" t="n"/>
    </row>
    <row r="15" ht="27.3" customHeight="1">
      <c r="B15" s="35" t="inlineStr">
        <is>
          <t>준공검사일</t>
        </is>
      </c>
      <c r="C15" s="36" t="n"/>
      <c r="D15" s="37" t="n"/>
      <c r="E15" s="38">
        <f>IF('입력'!$C$70="","",YEAR('입력'!$C$70)&amp;". "&amp;MONTH('입력'!$C$70)&amp;". "&amp;DAY('입력'!$C$70)&amp;".")</f>
        <v/>
      </c>
      <c r="F15" s="39" t="n"/>
      <c r="G15" s="39" t="n"/>
      <c r="H15" s="39" t="n"/>
      <c r="I15" s="39" t="n"/>
      <c r="J15" s="39" t="n"/>
      <c r="K15" s="39" t="n"/>
      <c r="L15" s="39" t="n"/>
      <c r="M15" s="40" t="n"/>
    </row>
    <row r="16" ht="35.7" customHeight="1">
      <c r="B16" s="35" t="inlineStr">
        <is>
          <t>계약상대자</t>
        </is>
      </c>
      <c r="C16" s="36" t="n"/>
      <c r="D16" s="37" t="n"/>
      <c r="E16" s="38">
        <f>'입력'!$C$27&amp;IF('입력'!$C$28="",""," / 대표 "&amp;'입력'!$C$28)&amp;IF('입력'!$C$31="",""," / "&amp;'입력'!$C$31)</f>
        <v/>
      </c>
      <c r="F16" s="39" t="n"/>
      <c r="G16" s="39" t="n"/>
      <c r="H16" s="39" t="n"/>
      <c r="I16" s="39" t="n"/>
      <c r="J16" s="39" t="n"/>
      <c r="K16" s="39" t="n"/>
      <c r="L16" s="39" t="n"/>
      <c r="M16" s="40" t="n"/>
    </row>
    <row r="17" ht="27.3" customHeight="1">
      <c r="B17" s="35" t="inlineStr">
        <is>
          <t>현장대리인</t>
        </is>
      </c>
      <c r="C17" s="36" t="n"/>
      <c r="D17" s="37" t="n"/>
      <c r="E17" s="38">
        <f>'입력'!$C$38&amp;IF('입력'!$C$42="",""," / "&amp;'입력'!$C$42)</f>
        <v/>
      </c>
      <c r="F17" s="39" t="n"/>
      <c r="G17" s="39" t="n"/>
      <c r="H17" s="39" t="n"/>
      <c r="I17" s="39" t="n"/>
      <c r="J17" s="39" t="n"/>
      <c r="K17" s="39" t="n"/>
      <c r="L17" s="39" t="n"/>
      <c r="M17" s="40" t="n"/>
    </row>
    <row r="18" ht="27.3" customHeight="1">
      <c r="B18" s="35" t="inlineStr">
        <is>
          <t>설 계 자</t>
        </is>
      </c>
      <c r="C18" s="36" t="n"/>
      <c r="D18" s="37" t="n"/>
      <c r="E18" s="38">
        <f>'입력'!$C$23&amp;""</f>
        <v/>
      </c>
      <c r="F18" s="39" t="n"/>
      <c r="G18" s="39" t="n"/>
      <c r="H18" s="39" t="n"/>
      <c r="I18" s="39" t="n"/>
      <c r="J18" s="39" t="n"/>
      <c r="K18" s="39" t="n"/>
      <c r="L18" s="39" t="n"/>
      <c r="M18" s="40" t="n"/>
    </row>
    <row r="19" ht="27.3" customHeight="1">
      <c r="B19" s="35" t="inlineStr">
        <is>
          <t>감 리 자</t>
        </is>
      </c>
      <c r="C19" s="36" t="n"/>
      <c r="D19" s="37" t="n"/>
      <c r="E19" s="38">
        <f>'입력'!$C$24&amp;""</f>
        <v/>
      </c>
      <c r="F19" s="39" t="n"/>
      <c r="G19" s="39" t="n"/>
      <c r="H19" s="39" t="n"/>
      <c r="I19" s="39" t="n"/>
      <c r="J19" s="39" t="n"/>
      <c r="K19" s="39" t="n"/>
      <c r="L19" s="39" t="n"/>
      <c r="M19" s="40" t="n"/>
    </row>
    <row r="20" ht="27.3" customHeight="1">
      <c r="B20" s="35" t="inlineStr">
        <is>
          <t>공사 감독자</t>
        </is>
      </c>
      <c r="C20" s="36" t="n"/>
      <c r="D20" s="37" t="n"/>
      <c r="E20" s="38">
        <f>'입력'!$C$20&amp;""</f>
        <v/>
      </c>
      <c r="F20" s="39" t="n"/>
      <c r="G20" s="39" t="n"/>
      <c r="H20" s="39" t="n"/>
      <c r="I20" s="39" t="n"/>
      <c r="J20" s="39" t="n"/>
      <c r="K20" s="39" t="n"/>
      <c r="L20" s="39" t="n"/>
      <c r="M20" s="40" t="n"/>
    </row>
    <row r="21" ht="27.3" customHeight="1">
      <c r="B21" s="35" t="inlineStr">
        <is>
          <t>계약보증</t>
        </is>
      </c>
      <c r="C21" s="36" t="n"/>
      <c r="D21" s="37" t="n"/>
      <c r="E21" s="38">
        <f>IF('입력'!$C$124="",'입력'!$C$46&amp;"",FIXED('입력'!$C$124,0)&amp;"원 / "&amp;'입력'!$C$46)</f>
        <v/>
      </c>
      <c r="F21" s="39" t="n"/>
      <c r="G21" s="39" t="n"/>
      <c r="H21" s="39" t="n"/>
      <c r="I21" s="39" t="n"/>
      <c r="J21" s="39" t="n"/>
      <c r="K21" s="39" t="n"/>
      <c r="L21" s="39" t="n"/>
      <c r="M21" s="40" t="n"/>
    </row>
    <row r="22" ht="27.3" customHeight="1">
      <c r="B22" s="35" t="inlineStr">
        <is>
          <t>하자보수보증</t>
        </is>
      </c>
      <c r="C22" s="36" t="n"/>
      <c r="D22" s="37" t="n"/>
      <c r="E22" s="38">
        <f>IF('입력'!$C$126="",'입력'!$C$49&amp;"",FIXED('입력'!$C$126,0)&amp;"원 / "&amp;'입력'!$C$49)</f>
        <v/>
      </c>
      <c r="F22" s="39" t="n"/>
      <c r="G22" s="39" t="n"/>
      <c r="H22" s="39" t="n"/>
      <c r="I22" s="39" t="n"/>
      <c r="J22" s="39" t="n"/>
      <c r="K22" s="39" t="n"/>
      <c r="L22" s="39" t="n"/>
      <c r="M22" s="40" t="n"/>
    </row>
    <row r="23" ht="27.3" customHeight="1">
      <c r="B23" s="35" t="inlineStr">
        <is>
          <t>하자담보책임기간</t>
        </is>
      </c>
      <c r="C23" s="36" t="n"/>
      <c r="D23" s="37" t="n"/>
      <c r="E23" s="38">
        <f>IF('입력'!$C$129="","",IF('입력'!$C$128="","",YEAR('입력'!$C$128)&amp;". "&amp;MONTH('입력'!$C$128)&amp;". "&amp;DAY('입력'!$C$128)&amp;".")&amp;" ~ "&amp;IF('입력'!$C$129="","",YEAR('입력'!$C$129)&amp;". "&amp;MONTH('입력'!$C$129)&amp;". "&amp;DAY('입력'!$C$129)&amp;"."))</f>
        <v/>
      </c>
      <c r="F23" s="39" t="n"/>
      <c r="G23" s="39" t="n"/>
      <c r="H23" s="39" t="n"/>
      <c r="I23" s="39" t="n"/>
      <c r="J23" s="39" t="n"/>
      <c r="K23" s="39" t="n"/>
      <c r="L23" s="39" t="n"/>
      <c r="M23" s="40" t="n"/>
    </row>
    <row r="24" ht="27.3" customHeight="1">
      <c r="B24" s="35" t="inlineStr">
        <is>
          <t>지체 일수·상금</t>
        </is>
      </c>
      <c r="C24" s="36" t="n"/>
      <c r="D24" s="37" t="n"/>
      <c r="E24" s="38">
        <f>IF('입력'!$C$131="","",IF('입력'!$C$131=0,"없음",'입력'!$C$131&amp;"일 / "&amp;FIXED(N('입력'!$C$133),0)&amp;"원"))</f>
        <v/>
      </c>
      <c r="F24" s="39" t="n"/>
      <c r="G24" s="39" t="n"/>
      <c r="H24" s="39" t="n"/>
      <c r="I24" s="39" t="n"/>
      <c r="J24" s="39" t="n"/>
      <c r="K24" s="39" t="n"/>
      <c r="L24" s="39" t="n"/>
      <c r="M24" s="40" t="n"/>
    </row>
    <row r="25" ht="8" customHeight="1"/>
    <row r="26" ht="22.725" customHeight="1">
      <c r="B26" s="50" t="inlineStr">
        <is>
          <t>※ 공사 하나에 한 장 — 계약부터 하자까지 한눈에 보는 관리 카드입니다.</t>
        </is>
      </c>
    </row>
  </sheetData>
  <mergeCells count="44">
    <mergeCell ref="B11:D11"/>
    <mergeCell ref="B2:M2"/>
    <mergeCell ref="B14:D14"/>
    <mergeCell ref="E19:M19"/>
    <mergeCell ref="B23:D23"/>
    <mergeCell ref="E10:M10"/>
    <mergeCell ref="B8:D8"/>
    <mergeCell ref="E13:M13"/>
    <mergeCell ref="B17:D17"/>
    <mergeCell ref="B13:D13"/>
    <mergeCell ref="E9:M9"/>
    <mergeCell ref="E6:M6"/>
    <mergeCell ref="B10:D10"/>
    <mergeCell ref="E15:M15"/>
    <mergeCell ref="B19:D19"/>
    <mergeCell ref="E11:M11"/>
    <mergeCell ref="B9:D9"/>
    <mergeCell ref="B15:D15"/>
    <mergeCell ref="B6:D6"/>
    <mergeCell ref="B24:D24"/>
    <mergeCell ref="B20:D20"/>
    <mergeCell ref="E16:M16"/>
    <mergeCell ref="E7:M7"/>
    <mergeCell ref="B5:D5"/>
    <mergeCell ref="B4:D4"/>
    <mergeCell ref="E22:M22"/>
    <mergeCell ref="E18:M18"/>
    <mergeCell ref="B26:M26"/>
    <mergeCell ref="E21:M21"/>
    <mergeCell ref="B7:D7"/>
    <mergeCell ref="E12:M12"/>
    <mergeCell ref="B16:D16"/>
    <mergeCell ref="E24:M24"/>
    <mergeCell ref="E5:M5"/>
    <mergeCell ref="B22:D22"/>
    <mergeCell ref="E23:M23"/>
    <mergeCell ref="E14:M14"/>
    <mergeCell ref="B18:D18"/>
    <mergeCell ref="E17:M17"/>
    <mergeCell ref="B21:D21"/>
    <mergeCell ref="E8:M8"/>
    <mergeCell ref="B12:D12"/>
    <mergeCell ref="E4:M4"/>
    <mergeCell ref="E20:M20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B7802F"/>
    <outlinePr summaryBelow="1" summaryRight="1"/>
    <pageSetUpPr fitToPage="1"/>
  </sheetPr>
  <dimension ref="B2:O28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하 자 검 사 조 서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3.7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3.4" customHeight="1">
      <c r="B5" s="35" t="inlineStr">
        <is>
          <t>계약상대자</t>
        </is>
      </c>
      <c r="C5" s="36" t="n"/>
      <c r="D5" s="37" t="n"/>
      <c r="E5" s="38">
        <f>'입력'!$C$27&amp;IF('입력'!$C$28="",""," (대표 "&amp;'입력'!$C$28&amp;")")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3.4" customHeight="1">
      <c r="B6" s="35" t="inlineStr">
        <is>
          <t>준 공 일</t>
        </is>
      </c>
      <c r="C6" s="36" t="n"/>
      <c r="D6" s="37" t="n"/>
      <c r="E6" s="38">
        <f>IF('입력'!$C$68="","",YEAR('입력'!$C$68)&amp;". "&amp;MONTH('입력'!$C$68)&amp;". "&amp;DAY('입력'!$C$68)&amp;".")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3.4" customHeight="1">
      <c r="B7" s="35" t="inlineStr">
        <is>
          <t>하자담보책임기간</t>
        </is>
      </c>
      <c r="C7" s="36" t="n"/>
      <c r="D7" s="37" t="n"/>
      <c r="E7" s="38">
        <f>IF('입력'!$C$129="","",IF('입력'!$C$128="","",YEAR('입력'!$C$128)&amp;". "&amp;MONTH('입력'!$C$128)&amp;". "&amp;DAY('입력'!$C$128)&amp;".")&amp;" ~ "&amp;IF('입력'!$C$129="","",YEAR('입력'!$C$129)&amp;". "&amp;MONTH('입력'!$C$129)&amp;". "&amp;DAY('입력'!$C$129)&amp;"."))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33.4" customHeight="1">
      <c r="B8" s="35" t="inlineStr">
        <is>
          <t>검 사 일</t>
        </is>
      </c>
      <c r="C8" s="36" t="n"/>
      <c r="D8" s="37" t="n"/>
      <c r="E8" s="38">
        <f>IF('입력'!$C$81="","",YEAR('입력'!$C$81)&amp;". "&amp;MONTH('입력'!$C$81)&amp;". "&amp;DAY('입력'!$C$81)&amp;".")</f>
        <v/>
      </c>
      <c r="F8" s="39" t="n"/>
      <c r="G8" s="39" t="n"/>
      <c r="H8" s="39" t="n"/>
      <c r="I8" s="39" t="n"/>
      <c r="J8" s="39" t="n"/>
      <c r="K8" s="39" t="n"/>
      <c r="L8" s="39" t="n"/>
      <c r="M8" s="40" t="n"/>
    </row>
    <row r="9" ht="33.4" customHeight="1">
      <c r="B9" s="35" t="inlineStr">
        <is>
          <t>검사 결과</t>
        </is>
      </c>
      <c r="C9" s="36" t="n"/>
      <c r="D9" s="37" t="n"/>
      <c r="E9" s="38">
        <f>IF('입력'!$C$82="","하자 없음  /  하자 있음 (보수 요구)",'입력'!$C$82)</f>
        <v/>
      </c>
      <c r="F9" s="39" t="n"/>
      <c r="G9" s="39" t="n"/>
      <c r="H9" s="39" t="n"/>
      <c r="I9" s="39" t="n"/>
      <c r="J9" s="39" t="n"/>
      <c r="K9" s="39" t="n"/>
      <c r="L9" s="39" t="n"/>
      <c r="M9" s="40" t="n"/>
    </row>
    <row r="10" ht="8" customHeight="1"/>
    <row r="11" ht="24" customHeight="1">
      <c r="B11" s="35" t="inlineStr">
        <is>
          <t>위  치</t>
        </is>
      </c>
      <c r="C11" s="37" t="n"/>
      <c r="D11" s="35" t="inlineStr">
        <is>
          <t>하자 내용</t>
        </is>
      </c>
      <c r="E11" s="36" t="n"/>
      <c r="F11" s="36" t="n"/>
      <c r="G11" s="37" t="n"/>
      <c r="H11" s="35" t="inlineStr">
        <is>
          <t>보수 요구 사항</t>
        </is>
      </c>
      <c r="I11" s="36" t="n"/>
      <c r="J11" s="36" t="n"/>
      <c r="K11" s="37" t="n"/>
      <c r="L11" s="35" t="inlineStr">
        <is>
          <t>비  고</t>
        </is>
      </c>
      <c r="M11" s="37" t="n"/>
    </row>
    <row r="12" ht="36" customHeight="1">
      <c r="B12" s="42" t="n"/>
      <c r="C12" s="40" t="n"/>
      <c r="D12" s="42" t="n"/>
      <c r="E12" s="39" t="n"/>
      <c r="F12" s="39" t="n"/>
      <c r="G12" s="40" t="n"/>
      <c r="H12" s="42" t="n"/>
      <c r="I12" s="39" t="n"/>
      <c r="J12" s="39" t="n"/>
      <c r="K12" s="40" t="n"/>
      <c r="L12" s="42" t="n"/>
      <c r="M12" s="40" t="n"/>
    </row>
    <row r="13" ht="36" customHeight="1">
      <c r="B13" s="42" t="n"/>
      <c r="C13" s="40" t="n"/>
      <c r="D13" s="42" t="n"/>
      <c r="E13" s="39" t="n"/>
      <c r="F13" s="39" t="n"/>
      <c r="G13" s="40" t="n"/>
      <c r="H13" s="42" t="n"/>
      <c r="I13" s="39" t="n"/>
      <c r="J13" s="39" t="n"/>
      <c r="K13" s="40" t="n"/>
      <c r="L13" s="42" t="n"/>
      <c r="M13" s="40" t="n"/>
    </row>
    <row r="14" ht="36" customHeight="1">
      <c r="B14" s="42" t="n"/>
      <c r="C14" s="40" t="n"/>
      <c r="D14" s="42" t="n"/>
      <c r="E14" s="39" t="n"/>
      <c r="F14" s="39" t="n"/>
      <c r="G14" s="40" t="n"/>
      <c r="H14" s="42" t="n"/>
      <c r="I14" s="39" t="n"/>
      <c r="J14" s="39" t="n"/>
      <c r="K14" s="40" t="n"/>
      <c r="L14" s="42" t="n"/>
      <c r="M14" s="40" t="n"/>
    </row>
    <row r="15" ht="36" customHeight="1">
      <c r="B15" s="42" t="n"/>
      <c r="C15" s="40" t="n"/>
      <c r="D15" s="42" t="n"/>
      <c r="E15" s="39" t="n"/>
      <c r="F15" s="39" t="n"/>
      <c r="G15" s="40" t="n"/>
      <c r="H15" s="42" t="n"/>
      <c r="I15" s="39" t="n"/>
      <c r="J15" s="39" t="n"/>
      <c r="K15" s="40" t="n"/>
      <c r="L15" s="42" t="n"/>
      <c r="M15" s="40" t="n"/>
    </row>
    <row r="16" ht="36" customHeight="1">
      <c r="B16" s="42" t="n"/>
      <c r="C16" s="40" t="n"/>
      <c r="D16" s="42" t="n"/>
      <c r="E16" s="39" t="n"/>
      <c r="F16" s="39" t="n"/>
      <c r="G16" s="40" t="n"/>
      <c r="H16" s="42" t="n"/>
      <c r="I16" s="39" t="n"/>
      <c r="J16" s="39" t="n"/>
      <c r="K16" s="40" t="n"/>
      <c r="L16" s="42" t="n"/>
      <c r="M16" s="40" t="n"/>
    </row>
    <row r="17" ht="36" customHeight="1">
      <c r="B17" s="42" t="n"/>
      <c r="C17" s="40" t="n"/>
      <c r="D17" s="42" t="n"/>
      <c r="E17" s="39" t="n"/>
      <c r="F17" s="39" t="n"/>
      <c r="G17" s="40" t="n"/>
      <c r="H17" s="42" t="n"/>
      <c r="I17" s="39" t="n"/>
      <c r="J17" s="39" t="n"/>
      <c r="K17" s="40" t="n"/>
      <c r="L17" s="42" t="n"/>
      <c r="M17" s="40" t="n"/>
    </row>
    <row r="18" ht="8" customHeight="1"/>
    <row r="19" ht="25.05" customHeight="1">
      <c r="B19" s="43" t="inlineStr">
        <is>
          <t>위 공사의 하자담보책임기간 중 하자 검사를 한 결과 위와 같음을 확인합니다.</t>
        </is>
      </c>
    </row>
    <row r="20" ht="8.25" customHeight="1"/>
    <row r="21" ht="30" customHeight="1">
      <c r="B21" s="44">
        <f>IF('입력'!$C$81="","          년      월      일",YEAR('입력'!$C$81)&amp;"년  "&amp;MONTH('입력'!$C$81)&amp;"월  "&amp;DAY('입력'!$C$81)&amp;"일")</f>
        <v/>
      </c>
    </row>
    <row r="22" ht="6" customHeight="1"/>
    <row r="23" ht="24" customHeight="1">
      <c r="B23" s="45" t="inlineStr">
        <is>
          <t>검 사 자</t>
        </is>
      </c>
      <c r="G23" s="88" t="inlineStr">
        <is>
          <t>직·성명</t>
        </is>
      </c>
      <c r="I23" s="47" t="inlineStr">
        <is>
          <t>:</t>
        </is>
      </c>
      <c r="J23" s="48">
        <f>'입력'!$C$21&amp;"          (인)"</f>
        <v/>
      </c>
    </row>
    <row r="24" ht="8" customHeight="1"/>
    <row r="25" ht="24" customHeight="1">
      <c r="B25" s="45" t="inlineStr">
        <is>
          <t>입 회 자</t>
        </is>
      </c>
      <c r="G25" s="46" t="inlineStr">
        <is>
          <t>계약상대자</t>
        </is>
      </c>
      <c r="I25" s="47" t="inlineStr">
        <is>
          <t>:</t>
        </is>
      </c>
      <c r="J25" s="48">
        <f>'입력'!$C$27&amp;"          (인)"</f>
        <v/>
      </c>
    </row>
    <row r="26" ht="8" customHeight="1"/>
    <row r="27" ht="8" customHeight="1"/>
    <row r="28" ht="30" customHeight="1">
      <c r="B28" s="49">
        <f>IF('입력'!$C$18="","                  귀하",'입력'!$C$18&amp;"  귀하")</f>
        <v/>
      </c>
    </row>
  </sheetData>
  <mergeCells count="50">
    <mergeCell ref="L17:M17"/>
    <mergeCell ref="B2:M2"/>
    <mergeCell ref="B16:C16"/>
    <mergeCell ref="H13:K13"/>
    <mergeCell ref="D12:G12"/>
    <mergeCell ref="L16:M16"/>
    <mergeCell ref="B8:D8"/>
    <mergeCell ref="H12:K12"/>
    <mergeCell ref="E9:M9"/>
    <mergeCell ref="D15:G15"/>
    <mergeCell ref="G23:H23"/>
    <mergeCell ref="H15:K15"/>
    <mergeCell ref="L13:M13"/>
    <mergeCell ref="D14:G14"/>
    <mergeCell ref="E6:M6"/>
    <mergeCell ref="B12:C12"/>
    <mergeCell ref="H14:K14"/>
    <mergeCell ref="J23:M23"/>
    <mergeCell ref="L12:M12"/>
    <mergeCell ref="B28:M28"/>
    <mergeCell ref="B11:C11"/>
    <mergeCell ref="B19:M19"/>
    <mergeCell ref="L15:M15"/>
    <mergeCell ref="B9:D9"/>
    <mergeCell ref="B14:C14"/>
    <mergeCell ref="B25:E25"/>
    <mergeCell ref="B17:C17"/>
    <mergeCell ref="L14:M14"/>
    <mergeCell ref="B6:D6"/>
    <mergeCell ref="B13:C13"/>
    <mergeCell ref="E7:M7"/>
    <mergeCell ref="B5:D5"/>
    <mergeCell ref="B4:D4"/>
    <mergeCell ref="J25:M25"/>
    <mergeCell ref="D11:G11"/>
    <mergeCell ref="D13:G13"/>
    <mergeCell ref="B7:D7"/>
    <mergeCell ref="B23:E23"/>
    <mergeCell ref="D17:G17"/>
    <mergeCell ref="B15:C15"/>
    <mergeCell ref="H17:K17"/>
    <mergeCell ref="E5:M5"/>
    <mergeCell ref="H11:K11"/>
    <mergeCell ref="D16:G16"/>
    <mergeCell ref="G25:H25"/>
    <mergeCell ref="L11:M11"/>
    <mergeCell ref="H16:K16"/>
    <mergeCell ref="E8:M8"/>
    <mergeCell ref="B21:M21"/>
    <mergeCell ref="E4:M4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B7802F"/>
    <outlinePr summaryBelow="1" summaryRight="1"/>
    <pageSetUpPr fitToPage="1"/>
  </sheetPr>
  <dimension ref="B2:O23"/>
  <sheetViews>
    <sheetView showGridLines="0" tabSelected="0" workbookViewId="0">
      <selection activeCell="A1" sqref="A1"/>
    </sheetView>
  </sheetViews>
  <sheetFormatPr baseColWidth="8" defaultRowHeight="15"/>
  <cols>
    <col width="1.5" customWidth="1" min="1" max="1"/>
    <col width="6.4" customWidth="1" min="2" max="2"/>
    <col width="6.4" customWidth="1" min="3" max="3"/>
    <col width="6.4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2" customWidth="1" min="14" max="14"/>
    <col width="18" customWidth="1" min="15" max="15"/>
  </cols>
  <sheetData>
    <row r="1" ht="8" customHeight="1"/>
    <row r="2" ht="44" customHeight="1">
      <c r="B2" s="34" t="inlineStr">
        <is>
          <t>하 자 대 장</t>
        </is>
      </c>
      <c r="O2" s="17" t="inlineStr">
        <is>
          <t>← 처음(목록)으로</t>
        </is>
      </c>
    </row>
    <row r="3" ht="10" customHeight="1">
      <c r="O3" s="17" t="inlineStr">
        <is>
          <t>✎ 입력 고치기</t>
        </is>
      </c>
    </row>
    <row r="4" ht="42.7" customHeight="1">
      <c r="B4" s="35" t="inlineStr">
        <is>
          <t>공 사 명</t>
        </is>
      </c>
      <c r="C4" s="36" t="n"/>
      <c r="D4" s="37" t="n"/>
      <c r="E4" s="38">
        <f>'입력'!$C$6&amp;""</f>
        <v/>
      </c>
      <c r="F4" s="39" t="n"/>
      <c r="G4" s="39" t="n"/>
      <c r="H4" s="39" t="n"/>
      <c r="I4" s="39" t="n"/>
      <c r="J4" s="39" t="n"/>
      <c r="K4" s="39" t="n"/>
      <c r="L4" s="39" t="n"/>
      <c r="M4" s="40" t="n"/>
    </row>
    <row r="5" ht="32.7" customHeight="1">
      <c r="B5" s="35" t="inlineStr">
        <is>
          <t>계약상대자</t>
        </is>
      </c>
      <c r="C5" s="36" t="n"/>
      <c r="D5" s="37" t="n"/>
      <c r="E5" s="38">
        <f>'입력'!$C$27&amp;IF('입력'!$C$31="",""," / "&amp;'입력'!$C$31)</f>
        <v/>
      </c>
      <c r="F5" s="39" t="n"/>
      <c r="G5" s="39" t="n"/>
      <c r="H5" s="39" t="n"/>
      <c r="I5" s="39" t="n"/>
      <c r="J5" s="39" t="n"/>
      <c r="K5" s="39" t="n"/>
      <c r="L5" s="39" t="n"/>
      <c r="M5" s="40" t="n"/>
      <c r="O5" s="41" t="inlineStr">
        <is>
          <t>칸은 「입력」 시트에서 저절로 채워집니다. 여기서 직접 고쳐 써도 됩니다 (그 칸만 수식이 바뀜).</t>
        </is>
      </c>
    </row>
    <row r="6" ht="32.7" customHeight="1">
      <c r="B6" s="35" t="inlineStr">
        <is>
          <t>하자담보책임기간</t>
        </is>
      </c>
      <c r="C6" s="36" t="n"/>
      <c r="D6" s="37" t="n"/>
      <c r="E6" s="38">
        <f>IF('입력'!$C$129="","",IF('입력'!$C$128="","",YEAR('입력'!$C$128)&amp;". "&amp;MONTH('입력'!$C$128)&amp;". "&amp;DAY('입력'!$C$128)&amp;".")&amp;" ~ "&amp;IF('입력'!$C$129="","",YEAR('입력'!$C$129)&amp;". "&amp;MONTH('입력'!$C$129)&amp;". "&amp;DAY('입력'!$C$129)&amp;"."))</f>
        <v/>
      </c>
      <c r="F6" s="39" t="n"/>
      <c r="G6" s="39" t="n"/>
      <c r="H6" s="39" t="n"/>
      <c r="I6" s="39" t="n"/>
      <c r="J6" s="39" t="n"/>
      <c r="K6" s="39" t="n"/>
      <c r="L6" s="39" t="n"/>
      <c r="M6" s="40" t="n"/>
    </row>
    <row r="7" ht="32.7" customHeight="1">
      <c r="B7" s="35" t="inlineStr">
        <is>
          <t>하자보수보증</t>
        </is>
      </c>
      <c r="C7" s="36" t="n"/>
      <c r="D7" s="37" t="n"/>
      <c r="E7" s="38">
        <f>IF('입력'!$C$126="",'입력'!$C$49&amp;"",FIXED('입력'!$C$126,0)&amp;"원 / "&amp;'입력'!$C$49)</f>
        <v/>
      </c>
      <c r="F7" s="39" t="n"/>
      <c r="G7" s="39" t="n"/>
      <c r="H7" s="39" t="n"/>
      <c r="I7" s="39" t="n"/>
      <c r="J7" s="39" t="n"/>
      <c r="K7" s="39" t="n"/>
      <c r="L7" s="39" t="n"/>
      <c r="M7" s="40" t="n"/>
    </row>
    <row r="8" ht="8" customHeight="1"/>
    <row r="9" ht="24" customHeight="1">
      <c r="B9" s="51" t="inlineStr">
        <is>
          <t>번호</t>
        </is>
      </c>
      <c r="C9" s="35" t="inlineStr">
        <is>
          <t>접 수 일</t>
        </is>
      </c>
      <c r="D9" s="37" t="n"/>
      <c r="E9" s="35" t="inlineStr">
        <is>
          <t>위치 · 하자 내용</t>
        </is>
      </c>
      <c r="F9" s="36" t="n"/>
      <c r="G9" s="36" t="n"/>
      <c r="H9" s="37" t="n"/>
      <c r="I9" s="35" t="inlineStr">
        <is>
          <t>보수 요구일</t>
        </is>
      </c>
      <c r="J9" s="37" t="n"/>
      <c r="K9" s="35" t="inlineStr">
        <is>
          <t>보수 완료일</t>
        </is>
      </c>
      <c r="L9" s="37" t="n"/>
      <c r="M9" s="51" t="inlineStr">
        <is>
          <t>확 인</t>
        </is>
      </c>
    </row>
    <row r="10" ht="32.7" customHeight="1">
      <c r="B10" s="53" t="inlineStr">
        <is>
          <t>1</t>
        </is>
      </c>
      <c r="C10" s="42" t="n"/>
      <c r="D10" s="40" t="n"/>
      <c r="E10" s="42" t="n"/>
      <c r="F10" s="39" t="n"/>
      <c r="G10" s="39" t="n"/>
      <c r="H10" s="40" t="n"/>
      <c r="I10" s="42" t="n"/>
      <c r="J10" s="40" t="n"/>
      <c r="K10" s="42" t="n"/>
      <c r="L10" s="40" t="n"/>
      <c r="M10" s="53" t="n"/>
    </row>
    <row r="11" ht="32.7" customHeight="1">
      <c r="B11" s="53" t="inlineStr">
        <is>
          <t>2</t>
        </is>
      </c>
      <c r="C11" s="42" t="n"/>
      <c r="D11" s="40" t="n"/>
      <c r="E11" s="42" t="n"/>
      <c r="F11" s="39" t="n"/>
      <c r="G11" s="39" t="n"/>
      <c r="H11" s="40" t="n"/>
      <c r="I11" s="42" t="n"/>
      <c r="J11" s="40" t="n"/>
      <c r="K11" s="42" t="n"/>
      <c r="L11" s="40" t="n"/>
      <c r="M11" s="53" t="n"/>
    </row>
    <row r="12" ht="32.7" customHeight="1">
      <c r="B12" s="53" t="inlineStr">
        <is>
          <t>3</t>
        </is>
      </c>
      <c r="C12" s="42" t="n"/>
      <c r="D12" s="40" t="n"/>
      <c r="E12" s="42" t="n"/>
      <c r="F12" s="39" t="n"/>
      <c r="G12" s="39" t="n"/>
      <c r="H12" s="40" t="n"/>
      <c r="I12" s="42" t="n"/>
      <c r="J12" s="40" t="n"/>
      <c r="K12" s="42" t="n"/>
      <c r="L12" s="40" t="n"/>
      <c r="M12" s="53" t="n"/>
    </row>
    <row r="13" ht="32.7" customHeight="1">
      <c r="B13" s="53" t="inlineStr">
        <is>
          <t>4</t>
        </is>
      </c>
      <c r="C13" s="42" t="n"/>
      <c r="D13" s="40" t="n"/>
      <c r="E13" s="42" t="n"/>
      <c r="F13" s="39" t="n"/>
      <c r="G13" s="39" t="n"/>
      <c r="H13" s="40" t="n"/>
      <c r="I13" s="42" t="n"/>
      <c r="J13" s="40" t="n"/>
      <c r="K13" s="42" t="n"/>
      <c r="L13" s="40" t="n"/>
      <c r="M13" s="53" t="n"/>
    </row>
    <row r="14" ht="32.7" customHeight="1">
      <c r="B14" s="53" t="inlineStr">
        <is>
          <t>5</t>
        </is>
      </c>
      <c r="C14" s="42" t="n"/>
      <c r="D14" s="40" t="n"/>
      <c r="E14" s="42" t="n"/>
      <c r="F14" s="39" t="n"/>
      <c r="G14" s="39" t="n"/>
      <c r="H14" s="40" t="n"/>
      <c r="I14" s="42" t="n"/>
      <c r="J14" s="40" t="n"/>
      <c r="K14" s="42" t="n"/>
      <c r="L14" s="40" t="n"/>
      <c r="M14" s="53" t="n"/>
    </row>
    <row r="15" ht="32.7" customHeight="1">
      <c r="B15" s="53" t="inlineStr">
        <is>
          <t>6</t>
        </is>
      </c>
      <c r="C15" s="42" t="n"/>
      <c r="D15" s="40" t="n"/>
      <c r="E15" s="42" t="n"/>
      <c r="F15" s="39" t="n"/>
      <c r="G15" s="39" t="n"/>
      <c r="H15" s="40" t="n"/>
      <c r="I15" s="42" t="n"/>
      <c r="J15" s="40" t="n"/>
      <c r="K15" s="42" t="n"/>
      <c r="L15" s="40" t="n"/>
      <c r="M15" s="53" t="n"/>
    </row>
    <row r="16" ht="32.7" customHeight="1">
      <c r="B16" s="53" t="inlineStr">
        <is>
          <t>7</t>
        </is>
      </c>
      <c r="C16" s="42" t="n"/>
      <c r="D16" s="40" t="n"/>
      <c r="E16" s="42" t="n"/>
      <c r="F16" s="39" t="n"/>
      <c r="G16" s="39" t="n"/>
      <c r="H16" s="40" t="n"/>
      <c r="I16" s="42" t="n"/>
      <c r="J16" s="40" t="n"/>
      <c r="K16" s="42" t="n"/>
      <c r="L16" s="40" t="n"/>
      <c r="M16" s="53" t="n"/>
    </row>
    <row r="17" ht="32.7" customHeight="1">
      <c r="B17" s="53" t="inlineStr">
        <is>
          <t>8</t>
        </is>
      </c>
      <c r="C17" s="42" t="n"/>
      <c r="D17" s="40" t="n"/>
      <c r="E17" s="42" t="n"/>
      <c r="F17" s="39" t="n"/>
      <c r="G17" s="39" t="n"/>
      <c r="H17" s="40" t="n"/>
      <c r="I17" s="42" t="n"/>
      <c r="J17" s="40" t="n"/>
      <c r="K17" s="42" t="n"/>
      <c r="L17" s="40" t="n"/>
      <c r="M17" s="53" t="n"/>
    </row>
    <row r="18" ht="32.7" customHeight="1">
      <c r="B18" s="53" t="inlineStr">
        <is>
          <t>9</t>
        </is>
      </c>
      <c r="C18" s="42" t="n"/>
      <c r="D18" s="40" t="n"/>
      <c r="E18" s="42" t="n"/>
      <c r="F18" s="39" t="n"/>
      <c r="G18" s="39" t="n"/>
      <c r="H18" s="40" t="n"/>
      <c r="I18" s="42" t="n"/>
      <c r="J18" s="40" t="n"/>
      <c r="K18" s="42" t="n"/>
      <c r="L18" s="40" t="n"/>
      <c r="M18" s="53" t="n"/>
    </row>
    <row r="19" ht="32.7" customHeight="1">
      <c r="B19" s="53" t="inlineStr">
        <is>
          <t>10</t>
        </is>
      </c>
      <c r="C19" s="42" t="n"/>
      <c r="D19" s="40" t="n"/>
      <c r="E19" s="42" t="n"/>
      <c r="F19" s="39" t="n"/>
      <c r="G19" s="39" t="n"/>
      <c r="H19" s="40" t="n"/>
      <c r="I19" s="42" t="n"/>
      <c r="J19" s="40" t="n"/>
      <c r="K19" s="42" t="n"/>
      <c r="L19" s="40" t="n"/>
      <c r="M19" s="53" t="n"/>
    </row>
    <row r="20" ht="32.7" customHeight="1">
      <c r="B20" s="53" t="inlineStr">
        <is>
          <t>11</t>
        </is>
      </c>
      <c r="C20" s="42" t="n"/>
      <c r="D20" s="40" t="n"/>
      <c r="E20" s="42" t="n"/>
      <c r="F20" s="39" t="n"/>
      <c r="G20" s="39" t="n"/>
      <c r="H20" s="40" t="n"/>
      <c r="I20" s="42" t="n"/>
      <c r="J20" s="40" t="n"/>
      <c r="K20" s="42" t="n"/>
      <c r="L20" s="40" t="n"/>
      <c r="M20" s="53" t="n"/>
    </row>
    <row r="21" ht="32.7" customHeight="1">
      <c r="B21" s="53" t="inlineStr">
        <is>
          <t>12</t>
        </is>
      </c>
      <c r="C21" s="42" t="n"/>
      <c r="D21" s="40" t="n"/>
      <c r="E21" s="42" t="n"/>
      <c r="F21" s="39" t="n"/>
      <c r="G21" s="39" t="n"/>
      <c r="H21" s="40" t="n"/>
      <c r="I21" s="42" t="n"/>
      <c r="J21" s="40" t="n"/>
      <c r="K21" s="42" t="n"/>
      <c r="L21" s="40" t="n"/>
      <c r="M21" s="53" t="n"/>
    </row>
    <row r="22" ht="32.7" customHeight="1">
      <c r="B22" s="53" t="inlineStr">
        <is>
          <t>13</t>
        </is>
      </c>
      <c r="C22" s="42" t="n"/>
      <c r="D22" s="40" t="n"/>
      <c r="E22" s="42" t="n"/>
      <c r="F22" s="39" t="n"/>
      <c r="G22" s="39" t="n"/>
      <c r="H22" s="40" t="n"/>
      <c r="I22" s="42" t="n"/>
      <c r="J22" s="40" t="n"/>
      <c r="K22" s="42" t="n"/>
      <c r="L22" s="40" t="n"/>
      <c r="M22" s="53" t="n"/>
    </row>
    <row r="23" ht="32.7" customHeight="1">
      <c r="B23" s="53" t="inlineStr">
        <is>
          <t>14</t>
        </is>
      </c>
      <c r="C23" s="42" t="n"/>
      <c r="D23" s="40" t="n"/>
      <c r="E23" s="42" t="n"/>
      <c r="F23" s="39" t="n"/>
      <c r="G23" s="39" t="n"/>
      <c r="H23" s="40" t="n"/>
      <c r="I23" s="42" t="n"/>
      <c r="J23" s="40" t="n"/>
      <c r="K23" s="42" t="n"/>
      <c r="L23" s="40" t="n"/>
      <c r="M23" s="53" t="n"/>
    </row>
    <row r="24" ht="8" customHeight="1"/>
  </sheetData>
  <mergeCells count="69">
    <mergeCell ref="K16:L16"/>
    <mergeCell ref="B2:M2"/>
    <mergeCell ref="C15:D15"/>
    <mergeCell ref="I15:J15"/>
    <mergeCell ref="K15:L15"/>
    <mergeCell ref="K9:L9"/>
    <mergeCell ref="I11:J11"/>
    <mergeCell ref="C14:D14"/>
    <mergeCell ref="E16:H16"/>
    <mergeCell ref="E6:M6"/>
    <mergeCell ref="K21:L21"/>
    <mergeCell ref="E22:H22"/>
    <mergeCell ref="C20:D20"/>
    <mergeCell ref="K11:L11"/>
    <mergeCell ref="E18:H18"/>
    <mergeCell ref="C10:D10"/>
    <mergeCell ref="C16:D16"/>
    <mergeCell ref="I16:J16"/>
    <mergeCell ref="K20:L20"/>
    <mergeCell ref="E12:H12"/>
    <mergeCell ref="E21:H21"/>
    <mergeCell ref="K13:L13"/>
    <mergeCell ref="C22:D22"/>
    <mergeCell ref="I22:J22"/>
    <mergeCell ref="C9:D9"/>
    <mergeCell ref="K22:L22"/>
    <mergeCell ref="B6:D6"/>
    <mergeCell ref="I18:J18"/>
    <mergeCell ref="E4:M4"/>
    <mergeCell ref="E14:H14"/>
    <mergeCell ref="C12:D12"/>
    <mergeCell ref="E7:M7"/>
    <mergeCell ref="B5:D5"/>
    <mergeCell ref="I12:J12"/>
    <mergeCell ref="K12:L12"/>
    <mergeCell ref="E17:H17"/>
    <mergeCell ref="C21:D21"/>
    <mergeCell ref="I21:J21"/>
    <mergeCell ref="E23:H23"/>
    <mergeCell ref="C11:D11"/>
    <mergeCell ref="B4:D4"/>
    <mergeCell ref="E20:H20"/>
    <mergeCell ref="K23:L23"/>
    <mergeCell ref="I23:J23"/>
    <mergeCell ref="I14:J14"/>
    <mergeCell ref="E19:H19"/>
    <mergeCell ref="B7:D7"/>
    <mergeCell ref="K14:L14"/>
    <mergeCell ref="E10:H10"/>
    <mergeCell ref="C17:D17"/>
    <mergeCell ref="I17:J17"/>
    <mergeCell ref="K17:L17"/>
    <mergeCell ref="E13:H13"/>
    <mergeCell ref="C23:D23"/>
    <mergeCell ref="E9:H9"/>
    <mergeCell ref="I20:J20"/>
    <mergeCell ref="E5:M5"/>
    <mergeCell ref="I10:J10"/>
    <mergeCell ref="K10:L10"/>
    <mergeCell ref="C19:D19"/>
    <mergeCell ref="I19:J19"/>
    <mergeCell ref="K19:L19"/>
    <mergeCell ref="E15:H15"/>
    <mergeCell ref="C13:D13"/>
    <mergeCell ref="I13:J13"/>
    <mergeCell ref="C18:D18"/>
    <mergeCell ref="E11:H11"/>
    <mergeCell ref="K18:L18"/>
    <mergeCell ref="I9:J9"/>
  </mergeCells>
  <hyperlinks>
    <hyperlink ref="O2" location="'처음'!A1" display="← 처음(목록)으로"/>
    <hyperlink ref="O3" location="'입력'!A1" display="✎ 입력 고치기"/>
  </hyperlinks>
  <printOptions horizontalCentered="1"/>
  <pageMargins left="0.6" right="0.6" top="0.75" bottom="0.6" header="0.3" footer="0.3"/>
  <pageSetup orientation="portrait" paperSize="9" fitToHeight="1" fitToWidth="1"/>
  <headerFooter>
    <oddHeader>&amp;R&amp;"맑은 고딕,보통"&amp;8 &amp;K808080K-건설맵 · k-conmap.com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금액을 한글로 바꾸는 칸 (서류가 씁니다 — 지우지 마세요)</t>
        </is>
      </c>
    </row>
    <row r="3">
      <c r="A3" t="inlineStr">
        <is>
          <t>계약금액</t>
        </is>
      </c>
      <c r="B3">
        <f>IF('입력'!$C$14="","",ROUND(ABS('입력'!$C$14),0))</f>
        <v/>
      </c>
      <c r="C3">
        <f>IF(B3="",0,INT(B3/100000000))</f>
        <v/>
      </c>
      <c r="D3">
        <f>IF(B3="",0,MOD(INT(B3/10000),10000))</f>
        <v/>
      </c>
      <c r="E3">
        <f>IF(B3="",0,MOD(B3,10000))</f>
        <v/>
      </c>
      <c r="F3">
        <f>CHOOSE(INT(C3/1000)+1,"","일","이","삼","사","오","육","칠","팔","구")&amp;IF(INT(C3/1000)&gt;0,"천","")&amp;CHOOSE(MOD(INT(C3/100),10)+1,"","일","이","삼","사","오","육","칠","팔","구")&amp;IF(MOD(INT(C3/100),10)&gt;0,"백","")&amp;CHOOSE(MOD(INT(C3/10),10)+1,"","일","이","삼","사","오","육","칠","팔","구")&amp;IF(MOD(INT(C3/10),10)&gt;0,"십","")&amp;CHOOSE(MOD(C3,10)+1,"","일","이","삼","사","오","육","칠","팔","구")</f>
        <v/>
      </c>
      <c r="G3">
        <f>CHOOSE(INT(D3/1000)+1,"","일","이","삼","사","오","육","칠","팔","구")&amp;IF(INT(D3/1000)&gt;0,"천","")&amp;CHOOSE(MOD(INT(D3/100),10)+1,"","일","이","삼","사","오","육","칠","팔","구")&amp;IF(MOD(INT(D3/100),10)&gt;0,"백","")&amp;CHOOSE(MOD(INT(D3/10),10)+1,"","일","이","삼","사","오","육","칠","팔","구")&amp;IF(MOD(INT(D3/10),10)&gt;0,"십","")&amp;CHOOSE(MOD(D3,10)+1,"","일","이","삼","사","오","육","칠","팔","구")</f>
        <v/>
      </c>
      <c r="H3">
        <f>CHOOSE(INT(E3/1000)+1,"","일","이","삼","사","오","육","칠","팔","구")&amp;IF(INT(E3/1000)&gt;0,"천","")&amp;CHOOSE(MOD(INT(E3/100),10)+1,"","일","이","삼","사","오","육","칠","팔","구")&amp;IF(MOD(INT(E3/100),10)&gt;0,"백","")&amp;CHOOSE(MOD(INT(E3/10),10)+1,"","일","이","삼","사","오","육","칠","팔","구")&amp;IF(MOD(INT(E3/10),10)&gt;0,"십","")&amp;CHOOSE(MOD(E3,10)+1,"","일","이","삼","사","오","육","칠","팔","구")</f>
        <v/>
      </c>
      <c r="I3">
        <f>IF(B3="","",IF(B3=0,"영",IF(C3&gt;0,F3&amp;"억","")&amp;IF(D3&gt;0,G3&amp;"만","")&amp;H3))</f>
        <v/>
      </c>
      <c r="J3">
        <f>IF(B3="","","일금 "&amp;I3)</f>
        <v/>
      </c>
    </row>
    <row r="4">
      <c r="A4" t="inlineStr">
        <is>
          <t>정산액</t>
        </is>
      </c>
      <c r="B4">
        <f>IF('입력'!$C$125="","",ROUND(ABS('입력'!$C$125),0))</f>
        <v/>
      </c>
      <c r="C4">
        <f>IF(B4="",0,INT(B4/100000000))</f>
        <v/>
      </c>
      <c r="D4">
        <f>IF(B4="",0,MOD(INT(B4/10000),10000))</f>
        <v/>
      </c>
      <c r="E4">
        <f>IF(B4="",0,MOD(B4,10000))</f>
        <v/>
      </c>
      <c r="F4">
        <f>CHOOSE(INT(C4/1000)+1,"","일","이","삼","사","오","육","칠","팔","구")&amp;IF(INT(C4/1000)&gt;0,"천","")&amp;CHOOSE(MOD(INT(C4/100),10)+1,"","일","이","삼","사","오","육","칠","팔","구")&amp;IF(MOD(INT(C4/100),10)&gt;0,"백","")&amp;CHOOSE(MOD(INT(C4/10),10)+1,"","일","이","삼","사","오","육","칠","팔","구")&amp;IF(MOD(INT(C4/10),10)&gt;0,"십","")&amp;CHOOSE(MOD(C4,10)+1,"","일","이","삼","사","오","육","칠","팔","구")</f>
        <v/>
      </c>
      <c r="G4">
        <f>CHOOSE(INT(D4/1000)+1,"","일","이","삼","사","오","육","칠","팔","구")&amp;IF(INT(D4/1000)&gt;0,"천","")&amp;CHOOSE(MOD(INT(D4/100),10)+1,"","일","이","삼","사","오","육","칠","팔","구")&amp;IF(MOD(INT(D4/100),10)&gt;0,"백","")&amp;CHOOSE(MOD(INT(D4/10),10)+1,"","일","이","삼","사","오","육","칠","팔","구")&amp;IF(MOD(INT(D4/10),10)&gt;0,"십","")&amp;CHOOSE(MOD(D4,10)+1,"","일","이","삼","사","오","육","칠","팔","구")</f>
        <v/>
      </c>
      <c r="H4">
        <f>CHOOSE(INT(E4/1000)+1,"","일","이","삼","사","오","육","칠","팔","구")&amp;IF(INT(E4/1000)&gt;0,"천","")&amp;CHOOSE(MOD(INT(E4/100),10)+1,"","일","이","삼","사","오","육","칠","팔","구")&amp;IF(MOD(INT(E4/100),10)&gt;0,"백","")&amp;CHOOSE(MOD(INT(E4/10),10)+1,"","일","이","삼","사","오","육","칠","팔","구")&amp;IF(MOD(INT(E4/10),10)&gt;0,"십","")&amp;CHOOSE(MOD(E4,10)+1,"","일","이","삼","사","오","육","칠","팔","구")</f>
        <v/>
      </c>
      <c r="I4">
        <f>IF(B4="","",IF(B4=0,"영",IF(C4&gt;0,F4&amp;"억","")&amp;IF(D4&gt;0,G4&amp;"만","")&amp;H4))</f>
        <v/>
      </c>
      <c r="J4">
        <f>IF(B4="","","일금 "&amp;I4)</f>
        <v/>
      </c>
    </row>
    <row r="5">
      <c r="A5" t="inlineStr">
        <is>
          <t>계약보증금</t>
        </is>
      </c>
      <c r="B5">
        <f>IF('입력'!$C$124="","",ROUND(ABS('입력'!$C$124),0))</f>
        <v/>
      </c>
      <c r="C5">
        <f>IF(B5="",0,INT(B5/100000000))</f>
        <v/>
      </c>
      <c r="D5">
        <f>IF(B5="",0,MOD(INT(B5/10000),10000))</f>
        <v/>
      </c>
      <c r="E5">
        <f>IF(B5="",0,MOD(B5,10000))</f>
        <v/>
      </c>
      <c r="F5">
        <f>CHOOSE(INT(C5/1000)+1,"","일","이","삼","사","오","육","칠","팔","구")&amp;IF(INT(C5/1000)&gt;0,"천","")&amp;CHOOSE(MOD(INT(C5/100),10)+1,"","일","이","삼","사","오","육","칠","팔","구")&amp;IF(MOD(INT(C5/100),10)&gt;0,"백","")&amp;CHOOSE(MOD(INT(C5/10),10)+1,"","일","이","삼","사","오","육","칠","팔","구")&amp;IF(MOD(INT(C5/10),10)&gt;0,"십","")&amp;CHOOSE(MOD(C5,10)+1,"","일","이","삼","사","오","육","칠","팔","구")</f>
        <v/>
      </c>
      <c r="G5">
        <f>CHOOSE(INT(D5/1000)+1,"","일","이","삼","사","오","육","칠","팔","구")&amp;IF(INT(D5/1000)&gt;0,"천","")&amp;CHOOSE(MOD(INT(D5/100),10)+1,"","일","이","삼","사","오","육","칠","팔","구")&amp;IF(MOD(INT(D5/100),10)&gt;0,"백","")&amp;CHOOSE(MOD(INT(D5/10),10)+1,"","일","이","삼","사","오","육","칠","팔","구")&amp;IF(MOD(INT(D5/10),10)&gt;0,"십","")&amp;CHOOSE(MOD(D5,10)+1,"","일","이","삼","사","오","육","칠","팔","구")</f>
        <v/>
      </c>
      <c r="H5">
        <f>CHOOSE(INT(E5/1000)+1,"","일","이","삼","사","오","육","칠","팔","구")&amp;IF(INT(E5/1000)&gt;0,"천","")&amp;CHOOSE(MOD(INT(E5/100),10)+1,"","일","이","삼","사","오","육","칠","팔","구")&amp;IF(MOD(INT(E5/100),10)&gt;0,"백","")&amp;CHOOSE(MOD(INT(E5/10),10)+1,"","일","이","삼","사","오","육","칠","팔","구")&amp;IF(MOD(INT(E5/10),10)&gt;0,"십","")&amp;CHOOSE(MOD(E5,10)+1,"","일","이","삼","사","오","육","칠","팔","구")</f>
        <v/>
      </c>
      <c r="I5">
        <f>IF(B5="","",IF(B5=0,"영",IF(C5&gt;0,F5&amp;"억","")&amp;IF(D5&gt;0,G5&amp;"만","")&amp;H5))</f>
        <v/>
      </c>
      <c r="J5">
        <f>IF(B5="","","일금 "&amp;I5)</f>
        <v/>
      </c>
    </row>
    <row r="6">
      <c r="A6" t="inlineStr">
        <is>
          <t>하자보증금</t>
        </is>
      </c>
      <c r="B6">
        <f>IF('입력'!$C$126="","",ROUND(ABS('입력'!$C$126),0))</f>
        <v/>
      </c>
      <c r="C6">
        <f>IF(B6="",0,INT(B6/100000000))</f>
        <v/>
      </c>
      <c r="D6">
        <f>IF(B6="",0,MOD(INT(B6/10000),10000))</f>
        <v/>
      </c>
      <c r="E6">
        <f>IF(B6="",0,MOD(B6,10000))</f>
        <v/>
      </c>
      <c r="F6">
        <f>CHOOSE(INT(C6/1000)+1,"","일","이","삼","사","오","육","칠","팔","구")&amp;IF(INT(C6/1000)&gt;0,"천","")&amp;CHOOSE(MOD(INT(C6/100),10)+1,"","일","이","삼","사","오","육","칠","팔","구")&amp;IF(MOD(INT(C6/100),10)&gt;0,"백","")&amp;CHOOSE(MOD(INT(C6/10),10)+1,"","일","이","삼","사","오","육","칠","팔","구")&amp;IF(MOD(INT(C6/10),10)&gt;0,"십","")&amp;CHOOSE(MOD(C6,10)+1,"","일","이","삼","사","오","육","칠","팔","구")</f>
        <v/>
      </c>
      <c r="G6">
        <f>CHOOSE(INT(D6/1000)+1,"","일","이","삼","사","오","육","칠","팔","구")&amp;IF(INT(D6/1000)&gt;0,"천","")&amp;CHOOSE(MOD(INT(D6/100),10)+1,"","일","이","삼","사","오","육","칠","팔","구")&amp;IF(MOD(INT(D6/100),10)&gt;0,"백","")&amp;CHOOSE(MOD(INT(D6/10),10)+1,"","일","이","삼","사","오","육","칠","팔","구")&amp;IF(MOD(INT(D6/10),10)&gt;0,"십","")&amp;CHOOSE(MOD(D6,10)+1,"","일","이","삼","사","오","육","칠","팔","구")</f>
        <v/>
      </c>
      <c r="H6">
        <f>CHOOSE(INT(E6/1000)+1,"","일","이","삼","사","오","육","칠","팔","구")&amp;IF(INT(E6/1000)&gt;0,"천","")&amp;CHOOSE(MOD(INT(E6/100),10)+1,"","일","이","삼","사","오","육","칠","팔","구")&amp;IF(MOD(INT(E6/100),10)&gt;0,"백","")&amp;CHOOSE(MOD(INT(E6/10),10)+1,"","일","이","삼","사","오","육","칠","팔","구")&amp;IF(MOD(INT(E6/10),10)&gt;0,"십","")&amp;CHOOSE(MOD(E6,10)+1,"","일","이","삼","사","오","육","칠","팔","구")</f>
        <v/>
      </c>
      <c r="I6">
        <f>IF(B6="","",IF(B6=0,"영",IF(C6&gt;0,F6&amp;"억","")&amp;IF(D6&gt;0,G6&amp;"만","")&amp;H6))</f>
        <v/>
      </c>
      <c r="J6">
        <f>IF(B6="","","일금 "&amp;I6)</f>
        <v/>
      </c>
    </row>
    <row r="7">
      <c r="A7" t="inlineStr">
        <is>
          <t>기성청구액</t>
        </is>
      </c>
      <c r="B7">
        <f>IF('입력'!$C$136="","",ROUND(ABS('입력'!$C$136),0))</f>
        <v/>
      </c>
      <c r="C7">
        <f>IF(B7="",0,INT(B7/100000000))</f>
        <v/>
      </c>
      <c r="D7">
        <f>IF(B7="",0,MOD(INT(B7/10000),10000))</f>
        <v/>
      </c>
      <c r="E7">
        <f>IF(B7="",0,MOD(B7,10000))</f>
        <v/>
      </c>
      <c r="F7">
        <f>CHOOSE(INT(C7/1000)+1,"","일","이","삼","사","오","육","칠","팔","구")&amp;IF(INT(C7/1000)&gt;0,"천","")&amp;CHOOSE(MOD(INT(C7/100),10)+1,"","일","이","삼","사","오","육","칠","팔","구")&amp;IF(MOD(INT(C7/100),10)&gt;0,"백","")&amp;CHOOSE(MOD(INT(C7/10),10)+1,"","일","이","삼","사","오","육","칠","팔","구")&amp;IF(MOD(INT(C7/10),10)&gt;0,"십","")&amp;CHOOSE(MOD(C7,10)+1,"","일","이","삼","사","오","육","칠","팔","구")</f>
        <v/>
      </c>
      <c r="G7">
        <f>CHOOSE(INT(D7/1000)+1,"","일","이","삼","사","오","육","칠","팔","구")&amp;IF(INT(D7/1000)&gt;0,"천","")&amp;CHOOSE(MOD(INT(D7/100),10)+1,"","일","이","삼","사","오","육","칠","팔","구")&amp;IF(MOD(INT(D7/100),10)&gt;0,"백","")&amp;CHOOSE(MOD(INT(D7/10),10)+1,"","일","이","삼","사","오","육","칠","팔","구")&amp;IF(MOD(INT(D7/10),10)&gt;0,"십","")&amp;CHOOSE(MOD(D7,10)+1,"","일","이","삼","사","오","육","칠","팔","구")</f>
        <v/>
      </c>
      <c r="H7">
        <f>CHOOSE(INT(E7/1000)+1,"","일","이","삼","사","오","육","칠","팔","구")&amp;IF(INT(E7/1000)&gt;0,"천","")&amp;CHOOSE(MOD(INT(E7/100),10)+1,"","일","이","삼","사","오","육","칠","팔","구")&amp;IF(MOD(INT(E7/100),10)&gt;0,"백","")&amp;CHOOSE(MOD(INT(E7/10),10)+1,"","일","이","삼","사","오","육","칠","팔","구")&amp;IF(MOD(INT(E7/10),10)&gt;0,"십","")&amp;CHOOSE(MOD(E7,10)+1,"","일","이","삼","사","오","육","칠","팔","구")</f>
        <v/>
      </c>
      <c r="I7">
        <f>IF(B7="","",IF(B7=0,"영",IF(C7&gt;0,F7&amp;"억","")&amp;IF(D7&gt;0,G7&amp;"만","")&amp;H7))</f>
        <v/>
      </c>
      <c r="J7">
        <f>IF(B7="","","일금 "&amp;I7)</f>
        <v/>
      </c>
    </row>
    <row r="8">
      <c r="A8" t="inlineStr">
        <is>
          <t>준공청구액</t>
        </is>
      </c>
      <c r="B8">
        <f>IF('입력'!$C$138="","",ROUND(ABS('입력'!$C$138),0))</f>
        <v/>
      </c>
      <c r="C8">
        <f>IF(B8="",0,INT(B8/100000000))</f>
        <v/>
      </c>
      <c r="D8">
        <f>IF(B8="",0,MOD(INT(B8/10000),10000))</f>
        <v/>
      </c>
      <c r="E8">
        <f>IF(B8="",0,MOD(B8,10000))</f>
        <v/>
      </c>
      <c r="F8">
        <f>CHOOSE(INT(C8/1000)+1,"","일","이","삼","사","오","육","칠","팔","구")&amp;IF(INT(C8/1000)&gt;0,"천","")&amp;CHOOSE(MOD(INT(C8/100),10)+1,"","일","이","삼","사","오","육","칠","팔","구")&amp;IF(MOD(INT(C8/100),10)&gt;0,"백","")&amp;CHOOSE(MOD(INT(C8/10),10)+1,"","일","이","삼","사","오","육","칠","팔","구")&amp;IF(MOD(INT(C8/10),10)&gt;0,"십","")&amp;CHOOSE(MOD(C8,10)+1,"","일","이","삼","사","오","육","칠","팔","구")</f>
        <v/>
      </c>
      <c r="G8">
        <f>CHOOSE(INT(D8/1000)+1,"","일","이","삼","사","오","육","칠","팔","구")&amp;IF(INT(D8/1000)&gt;0,"천","")&amp;CHOOSE(MOD(INT(D8/100),10)+1,"","일","이","삼","사","오","육","칠","팔","구")&amp;IF(MOD(INT(D8/100),10)&gt;0,"백","")&amp;CHOOSE(MOD(INT(D8/10),10)+1,"","일","이","삼","사","오","육","칠","팔","구")&amp;IF(MOD(INT(D8/10),10)&gt;0,"십","")&amp;CHOOSE(MOD(D8,10)+1,"","일","이","삼","사","오","육","칠","팔","구")</f>
        <v/>
      </c>
      <c r="H8">
        <f>CHOOSE(INT(E8/1000)+1,"","일","이","삼","사","오","육","칠","팔","구")&amp;IF(INT(E8/1000)&gt;0,"천","")&amp;CHOOSE(MOD(INT(E8/100),10)+1,"","일","이","삼","사","오","육","칠","팔","구")&amp;IF(MOD(INT(E8/100),10)&gt;0,"백","")&amp;CHOOSE(MOD(INT(E8/10),10)+1,"","일","이","삼","사","오","육","칠","팔","구")&amp;IF(MOD(INT(E8/10),10)&gt;0,"십","")&amp;CHOOSE(MOD(E8,10)+1,"","일","이","삼","사","오","육","칠","팔","구")</f>
        <v/>
      </c>
      <c r="I8">
        <f>IF(B8="","",IF(B8=0,"영",IF(C8&gt;0,F8&amp;"억","")&amp;IF(D8&gt;0,G8&amp;"만","")&amp;H8))</f>
        <v/>
      </c>
      <c r="J8">
        <f>IF(B8="","","일금 "&amp;I8)</f>
        <v/>
      </c>
    </row>
    <row r="9">
      <c r="A9" t="inlineStr">
        <is>
          <t>금회기성</t>
        </is>
      </c>
      <c r="B9">
        <f>IF('입력'!$C$59="","",ROUND(ABS('입력'!$C$59),0))</f>
        <v/>
      </c>
      <c r="C9">
        <f>IF(B9="",0,INT(B9/100000000))</f>
        <v/>
      </c>
      <c r="D9">
        <f>IF(B9="",0,MOD(INT(B9/10000),10000))</f>
        <v/>
      </c>
      <c r="E9">
        <f>IF(B9="",0,MOD(B9,10000))</f>
        <v/>
      </c>
      <c r="F9">
        <f>CHOOSE(INT(C9/1000)+1,"","일","이","삼","사","오","육","칠","팔","구")&amp;IF(INT(C9/1000)&gt;0,"천","")&amp;CHOOSE(MOD(INT(C9/100),10)+1,"","일","이","삼","사","오","육","칠","팔","구")&amp;IF(MOD(INT(C9/100),10)&gt;0,"백","")&amp;CHOOSE(MOD(INT(C9/10),10)+1,"","일","이","삼","사","오","육","칠","팔","구")&amp;IF(MOD(INT(C9/10),10)&gt;0,"십","")&amp;CHOOSE(MOD(C9,10)+1,"","일","이","삼","사","오","육","칠","팔","구")</f>
        <v/>
      </c>
      <c r="G9">
        <f>CHOOSE(INT(D9/1000)+1,"","일","이","삼","사","오","육","칠","팔","구")&amp;IF(INT(D9/1000)&gt;0,"천","")&amp;CHOOSE(MOD(INT(D9/100),10)+1,"","일","이","삼","사","오","육","칠","팔","구")&amp;IF(MOD(INT(D9/100),10)&gt;0,"백","")&amp;CHOOSE(MOD(INT(D9/10),10)+1,"","일","이","삼","사","오","육","칠","팔","구")&amp;IF(MOD(INT(D9/10),10)&gt;0,"십","")&amp;CHOOSE(MOD(D9,10)+1,"","일","이","삼","사","오","육","칠","팔","구")</f>
        <v/>
      </c>
      <c r="H9">
        <f>CHOOSE(INT(E9/1000)+1,"","일","이","삼","사","오","육","칠","팔","구")&amp;IF(INT(E9/1000)&gt;0,"천","")&amp;CHOOSE(MOD(INT(E9/100),10)+1,"","일","이","삼","사","오","육","칠","팔","구")&amp;IF(MOD(INT(E9/100),10)&gt;0,"백","")&amp;CHOOSE(MOD(INT(E9/10),10)+1,"","일","이","삼","사","오","육","칠","팔","구")&amp;IF(MOD(INT(E9/10),10)&gt;0,"십","")&amp;CHOOSE(MOD(E9,10)+1,"","일","이","삼","사","오","육","칠","팔","구")</f>
        <v/>
      </c>
      <c r="I9">
        <f>IF(B9="","",IF(B9=0,"영",IF(C9&gt;0,F9&amp;"억","")&amp;IF(D9&gt;0,G9&amp;"만","")&amp;H9))</f>
        <v/>
      </c>
      <c r="J9">
        <f>IF(B9="","","일금 "&amp;I9)</f>
        <v/>
      </c>
    </row>
    <row r="10">
      <c r="A10" t="inlineStr">
        <is>
          <t>기성누계</t>
        </is>
      </c>
      <c r="B10">
        <f>IF('입력'!$C$134="","",ROUND(ABS('입력'!$C$134),0))</f>
        <v/>
      </c>
      <c r="C10">
        <f>IF(B10="",0,INT(B10/100000000))</f>
        <v/>
      </c>
      <c r="D10">
        <f>IF(B10="",0,MOD(INT(B10/10000),10000))</f>
        <v/>
      </c>
      <c r="E10">
        <f>IF(B10="",0,MOD(B10,10000))</f>
        <v/>
      </c>
      <c r="F10">
        <f>CHOOSE(INT(C10/1000)+1,"","일","이","삼","사","오","육","칠","팔","구")&amp;IF(INT(C10/1000)&gt;0,"천","")&amp;CHOOSE(MOD(INT(C10/100),10)+1,"","일","이","삼","사","오","육","칠","팔","구")&amp;IF(MOD(INT(C10/100),10)&gt;0,"백","")&amp;CHOOSE(MOD(INT(C10/10),10)+1,"","일","이","삼","사","오","육","칠","팔","구")&amp;IF(MOD(INT(C10/10),10)&gt;0,"십","")&amp;CHOOSE(MOD(C10,10)+1,"","일","이","삼","사","오","육","칠","팔","구")</f>
        <v/>
      </c>
      <c r="G10">
        <f>CHOOSE(INT(D10/1000)+1,"","일","이","삼","사","오","육","칠","팔","구")&amp;IF(INT(D10/1000)&gt;0,"천","")&amp;CHOOSE(MOD(INT(D10/100),10)+1,"","일","이","삼","사","오","육","칠","팔","구")&amp;IF(MOD(INT(D10/100),10)&gt;0,"백","")&amp;CHOOSE(MOD(INT(D10/10),10)+1,"","일","이","삼","사","오","육","칠","팔","구")&amp;IF(MOD(INT(D10/10),10)&gt;0,"십","")&amp;CHOOSE(MOD(D10,10)+1,"","일","이","삼","사","오","육","칠","팔","구")</f>
        <v/>
      </c>
      <c r="H10">
        <f>CHOOSE(INT(E10/1000)+1,"","일","이","삼","사","오","육","칠","팔","구")&amp;IF(INT(E10/1000)&gt;0,"천","")&amp;CHOOSE(MOD(INT(E10/100),10)+1,"","일","이","삼","사","오","육","칠","팔","구")&amp;IF(MOD(INT(E10/100),10)&gt;0,"백","")&amp;CHOOSE(MOD(INT(E10/10),10)+1,"","일","이","삼","사","오","육","칠","팔","구")&amp;IF(MOD(INT(E10/10),10)&gt;0,"십","")&amp;CHOOSE(MOD(E10,10)+1,"","일","이","삼","사","오","육","칠","팔","구")</f>
        <v/>
      </c>
      <c r="I10">
        <f>IF(B10="","",IF(B10=0,"영",IF(C10&gt;0,F10&amp;"억","")&amp;IF(D10&gt;0,G10&amp;"만","")&amp;H10))</f>
        <v/>
      </c>
      <c r="J10">
        <f>IF(B10="","","일금 "&amp;I10)</f>
        <v/>
      </c>
    </row>
    <row r="11">
      <c r="A11" t="inlineStr">
        <is>
          <t>증감액abs</t>
        </is>
      </c>
      <c r="B11">
        <f>IF(ABS(N('입력'!$C$141))="","",ROUND(ABS(ABS(N('입력'!$C$141))),0))</f>
        <v/>
      </c>
      <c r="C11">
        <f>IF(B11="",0,INT(B11/100000000))</f>
        <v/>
      </c>
      <c r="D11">
        <f>IF(B11="",0,MOD(INT(B11/10000),10000))</f>
        <v/>
      </c>
      <c r="E11">
        <f>IF(B11="",0,MOD(B11,10000))</f>
        <v/>
      </c>
      <c r="F11">
        <f>CHOOSE(INT(C11/1000)+1,"","일","이","삼","사","오","육","칠","팔","구")&amp;IF(INT(C11/1000)&gt;0,"천","")&amp;CHOOSE(MOD(INT(C11/100),10)+1,"","일","이","삼","사","오","육","칠","팔","구")&amp;IF(MOD(INT(C11/100),10)&gt;0,"백","")&amp;CHOOSE(MOD(INT(C11/10),10)+1,"","일","이","삼","사","오","육","칠","팔","구")&amp;IF(MOD(INT(C11/10),10)&gt;0,"십","")&amp;CHOOSE(MOD(C11,10)+1,"","일","이","삼","사","오","육","칠","팔","구")</f>
        <v/>
      </c>
      <c r="G11">
        <f>CHOOSE(INT(D11/1000)+1,"","일","이","삼","사","오","육","칠","팔","구")&amp;IF(INT(D11/1000)&gt;0,"천","")&amp;CHOOSE(MOD(INT(D11/100),10)+1,"","일","이","삼","사","오","육","칠","팔","구")&amp;IF(MOD(INT(D11/100),10)&gt;0,"백","")&amp;CHOOSE(MOD(INT(D11/10),10)+1,"","일","이","삼","사","오","육","칠","팔","구")&amp;IF(MOD(INT(D11/10),10)&gt;0,"십","")&amp;CHOOSE(MOD(D11,10)+1,"","일","이","삼","사","오","육","칠","팔","구")</f>
        <v/>
      </c>
      <c r="H11">
        <f>CHOOSE(INT(E11/1000)+1,"","일","이","삼","사","오","육","칠","팔","구")&amp;IF(INT(E11/1000)&gt;0,"천","")&amp;CHOOSE(MOD(INT(E11/100),10)+1,"","일","이","삼","사","오","육","칠","팔","구")&amp;IF(MOD(INT(E11/100),10)&gt;0,"백","")&amp;CHOOSE(MOD(INT(E11/10),10)+1,"","일","이","삼","사","오","육","칠","팔","구")&amp;IF(MOD(INT(E11/10),10)&gt;0,"십","")&amp;CHOOSE(MOD(E11,10)+1,"","일","이","삼","사","오","육","칠","팔","구")</f>
        <v/>
      </c>
      <c r="I11">
        <f>IF(B11="","",IF(B11=0,"영",IF(C11&gt;0,F11&amp;"억","")&amp;IF(D11&gt;0,G11&amp;"만","")&amp;H11))</f>
        <v/>
      </c>
      <c r="J11">
        <f>IF(B11="","","일금 "&amp;I11)</f>
        <v/>
      </c>
    </row>
    <row r="12">
      <c r="A12" t="inlineStr">
        <is>
          <t>선금eff</t>
        </is>
      </c>
      <c r="B12">
        <f>IF('입력'!$C$142="","",ROUND(ABS('입력'!$C$142),0))</f>
        <v/>
      </c>
      <c r="C12">
        <f>IF(B12="",0,INT(B12/100000000))</f>
        <v/>
      </c>
      <c r="D12">
        <f>IF(B12="",0,MOD(INT(B12/10000),10000))</f>
        <v/>
      </c>
      <c r="E12">
        <f>IF(B12="",0,MOD(B12,10000))</f>
        <v/>
      </c>
      <c r="F12">
        <f>CHOOSE(INT(C12/1000)+1,"","일","이","삼","사","오","육","칠","팔","구")&amp;IF(INT(C12/1000)&gt;0,"천","")&amp;CHOOSE(MOD(INT(C12/100),10)+1,"","일","이","삼","사","오","육","칠","팔","구")&amp;IF(MOD(INT(C12/100),10)&gt;0,"백","")&amp;CHOOSE(MOD(INT(C12/10),10)+1,"","일","이","삼","사","오","육","칠","팔","구")&amp;IF(MOD(INT(C12/10),10)&gt;0,"십","")&amp;CHOOSE(MOD(C12,10)+1,"","일","이","삼","사","오","육","칠","팔","구")</f>
        <v/>
      </c>
      <c r="G12">
        <f>CHOOSE(INT(D12/1000)+1,"","일","이","삼","사","오","육","칠","팔","구")&amp;IF(INT(D12/1000)&gt;0,"천","")&amp;CHOOSE(MOD(INT(D12/100),10)+1,"","일","이","삼","사","오","육","칠","팔","구")&amp;IF(MOD(INT(D12/100),10)&gt;0,"백","")&amp;CHOOSE(MOD(INT(D12/10),10)+1,"","일","이","삼","사","오","육","칠","팔","구")&amp;IF(MOD(INT(D12/10),10)&gt;0,"십","")&amp;CHOOSE(MOD(D12,10)+1,"","일","이","삼","사","오","육","칠","팔","구")</f>
        <v/>
      </c>
      <c r="H12">
        <f>CHOOSE(INT(E12/1000)+1,"","일","이","삼","사","오","육","칠","팔","구")&amp;IF(INT(E12/1000)&gt;0,"천","")&amp;CHOOSE(MOD(INT(E12/100),10)+1,"","일","이","삼","사","오","육","칠","팔","구")&amp;IF(MOD(INT(E12/100),10)&gt;0,"백","")&amp;CHOOSE(MOD(INT(E12/10),10)+1,"","일","이","삼","사","오","육","칠","팔","구")&amp;IF(MOD(INT(E12/10),10)&gt;0,"십","")&amp;CHOOSE(MOD(E12,10)+1,"","일","이","삼","사","오","육","칠","팔","구")</f>
        <v/>
      </c>
      <c r="I12">
        <f>IF(B12="","",IF(B12=0,"영",IF(C12&gt;0,F12&amp;"억","")&amp;IF(D12&gt;0,G12&amp;"만","")&amp;H12))</f>
        <v/>
      </c>
      <c r="J12">
        <f>IF(B12="","","일금 "&amp;I12)</f>
        <v/>
      </c>
    </row>
    <row r="13">
      <c r="A13" t="inlineStr">
        <is>
          <t>조정후금액</t>
        </is>
      </c>
      <c r="B13">
        <f>IF('입력'!$C$145="","",ROUND(ABS('입력'!$C$145),0))</f>
        <v/>
      </c>
      <c r="C13">
        <f>IF(B13="",0,INT(B13/100000000))</f>
        <v/>
      </c>
      <c r="D13">
        <f>IF(B13="",0,MOD(INT(B13/10000),10000))</f>
        <v/>
      </c>
      <c r="E13">
        <f>IF(B13="",0,MOD(B13,10000))</f>
        <v/>
      </c>
      <c r="F13">
        <f>CHOOSE(INT(C13/1000)+1,"","일","이","삼","사","오","육","칠","팔","구")&amp;IF(INT(C13/1000)&gt;0,"천","")&amp;CHOOSE(MOD(INT(C13/100),10)+1,"","일","이","삼","사","오","육","칠","팔","구")&amp;IF(MOD(INT(C13/100),10)&gt;0,"백","")&amp;CHOOSE(MOD(INT(C13/10),10)+1,"","일","이","삼","사","오","육","칠","팔","구")&amp;IF(MOD(INT(C13/10),10)&gt;0,"십","")&amp;CHOOSE(MOD(C13,10)+1,"","일","이","삼","사","오","육","칠","팔","구")</f>
        <v/>
      </c>
      <c r="G13">
        <f>CHOOSE(INT(D13/1000)+1,"","일","이","삼","사","오","육","칠","팔","구")&amp;IF(INT(D13/1000)&gt;0,"천","")&amp;CHOOSE(MOD(INT(D13/100),10)+1,"","일","이","삼","사","오","육","칠","팔","구")&amp;IF(MOD(INT(D13/100),10)&gt;0,"백","")&amp;CHOOSE(MOD(INT(D13/10),10)+1,"","일","이","삼","사","오","육","칠","팔","구")&amp;IF(MOD(INT(D13/10),10)&gt;0,"십","")&amp;CHOOSE(MOD(D13,10)+1,"","일","이","삼","사","오","육","칠","팔","구")</f>
        <v/>
      </c>
      <c r="H13">
        <f>CHOOSE(INT(E13/1000)+1,"","일","이","삼","사","오","육","칠","팔","구")&amp;IF(INT(E13/1000)&gt;0,"천","")&amp;CHOOSE(MOD(INT(E13/100),10)+1,"","일","이","삼","사","오","육","칠","팔","구")&amp;IF(MOD(INT(E13/100),10)&gt;0,"백","")&amp;CHOOSE(MOD(INT(E13/10),10)+1,"","일","이","삼","사","오","육","칠","팔","구")&amp;IF(MOD(INT(E13/10),10)&gt;0,"십","")&amp;CHOOSE(MOD(E13,10)+1,"","일","이","삼","사","오","육","칠","팔","구")</f>
        <v/>
      </c>
      <c r="I13">
        <f>IF(B13="","",IF(B13=0,"영",IF(C13&gt;0,F13&amp;"억","")&amp;IF(D13&gt;0,G13&amp;"만","")&amp;H13))</f>
        <v/>
      </c>
      <c r="J13">
        <f>IF(B13="","","일금 "&amp;I13)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</dc:creator>
  <dc:title xmlns:dc="http://purl.org/dc/elements/1.1/">K-건설맵 공사서류 원클릭</dc:title>
  <dcterms:created xmlns:dcterms="http://purl.org/dc/terms/" xmlns:xsi="http://www.w3.org/2001/XMLSchema-instance" xsi:type="dcterms:W3CDTF">2026-10-21T21:56:12Z</dcterms:created>
  <dcterms:modified xmlns:dcterms="http://purl.org/dc/terms/" xmlns:xsi="http://www.w3.org/2001/XMLSchema-instance" xsi:type="dcterms:W3CDTF">2026-10-21T21:56:12Z</dcterms:modified>
</cp:coreProperties>
</file>