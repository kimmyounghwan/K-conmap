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처음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01 사용인감계" sheetId="3" state="visible" r:id="rId3"/>
    <sheet xmlns:r="http://schemas.openxmlformats.org/officeDocument/2006/relationships" name="02 계약보증금 납부서" sheetId="4" state="visible" r:id="rId4"/>
    <sheet xmlns:r="http://schemas.openxmlformats.org/officeDocument/2006/relationships" name="03 계약보증금 지급각서" sheetId="5" state="visible" r:id="rId5"/>
    <sheet xmlns:r="http://schemas.openxmlformats.org/officeDocument/2006/relationships" name="04 청렴계약 이행서약서" sheetId="6" state="visible" r:id="rId6"/>
    <sheet xmlns:r="http://schemas.openxmlformats.org/officeDocument/2006/relationships" name="05 수의계약 각서" sheetId="7" state="visible" r:id="rId7"/>
    <sheet xmlns:r="http://schemas.openxmlformats.org/officeDocument/2006/relationships" name="06 착공신고서" sheetId="8" state="visible" r:id="rId8"/>
    <sheet xmlns:r="http://schemas.openxmlformats.org/officeDocument/2006/relationships" name="07 현장대리인계" sheetId="9" state="visible" r:id="rId9"/>
    <sheet xmlns:r="http://schemas.openxmlformats.org/officeDocument/2006/relationships" name="08 예정공정표" sheetId="10" state="visible" r:id="rId10"/>
    <sheet xmlns:r="http://schemas.openxmlformats.org/officeDocument/2006/relationships" name="09 직접시공계획서" sheetId="11" state="visible" r:id="rId11"/>
    <sheet xmlns:r="http://schemas.openxmlformats.org/officeDocument/2006/relationships" name="10 수도전기료 납부각서" sheetId="12" state="visible" r:id="rId12"/>
    <sheet xmlns:r="http://schemas.openxmlformats.org/officeDocument/2006/relationships" name="11 기성검사 요청서" sheetId="13" state="visible" r:id="rId13"/>
    <sheet xmlns:r="http://schemas.openxmlformats.org/officeDocument/2006/relationships" name="12 기성대가 청구서" sheetId="14" state="visible" r:id="rId14"/>
    <sheet xmlns:r="http://schemas.openxmlformats.org/officeDocument/2006/relationships" name="13 공기연장 신청서" sheetId="15" state="visible" r:id="rId15"/>
    <sheet xmlns:r="http://schemas.openxmlformats.org/officeDocument/2006/relationships" name="14 준공신고서" sheetId="16" state="visible" r:id="rId16"/>
    <sheet xmlns:r="http://schemas.openxmlformats.org/officeDocument/2006/relationships" name="15 준공검사 요청서" sheetId="17" state="visible" r:id="rId17"/>
    <sheet xmlns:r="http://schemas.openxmlformats.org/officeDocument/2006/relationships" name="16 준공대가 청구서" sheetId="18" state="visible" r:id="rId18"/>
    <sheet xmlns:r="http://schemas.openxmlformats.org/officeDocument/2006/relationships" name="17 준공정산 동의서" sheetId="19" state="visible" r:id="rId19"/>
    <sheet xmlns:r="http://schemas.openxmlformats.org/officeDocument/2006/relationships" name="18 하자보수보증금 납부서" sheetId="20" state="visible" r:id="rId20"/>
    <sheet xmlns:r="http://schemas.openxmlformats.org/officeDocument/2006/relationships" name="19 하자보수보증금 지급각서" sheetId="21" state="visible" r:id="rId21"/>
    <sheet xmlns:r="http://schemas.openxmlformats.org/officeDocument/2006/relationships" name="20 공사감독조서" sheetId="22" state="visible" r:id="rId22"/>
    <sheet xmlns:r="http://schemas.openxmlformats.org/officeDocument/2006/relationships" name="21 준공검사조서" sheetId="23" state="visible" r:id="rId23"/>
    <sheet xmlns:r="http://schemas.openxmlformats.org/officeDocument/2006/relationships" name="22 공사대장" sheetId="24" state="visible" r:id="rId24"/>
    <sheet xmlns:r="http://schemas.openxmlformats.org/officeDocument/2006/relationships" name="23 하자검사조서" sheetId="25" state="visible" r:id="rId25"/>
    <sheet xmlns:r="http://schemas.openxmlformats.org/officeDocument/2006/relationships" name="24 하자대장" sheetId="26" state="visible" r:id="rId26"/>
    <sheet xmlns:r="http://schemas.openxmlformats.org/officeDocument/2006/relationships" name="계산" sheetId="27" state="hidden" r:id="rId27"/>
  </sheets>
  <definedNames>
    <definedName name="_xlnm.Print_Area" localSheetId="0">'처음'!$A$1:$G$42</definedName>
    <definedName name="_xlnm.Print_Area" localSheetId="1">'입력'!$A$1:$D$104</definedName>
    <definedName name="_xlnm.Print_Area" localSheetId="2">'01 사용인감계'!$A$1:$M$25</definedName>
    <definedName name="_xlnm.Print_Area" localSheetId="3">'02 계약보증금 납부서'!$A$1:$M$25</definedName>
    <definedName name="_xlnm.Print_Area" localSheetId="4">'03 계약보증금 지급각서'!$A$1:$M$18</definedName>
    <definedName name="_xlnm.Print_Area" localSheetId="5">'04 청렴계약 이행서약서'!$A$1:$M$22</definedName>
    <definedName name="_xlnm.Print_Area" localSheetId="6">'05 수의계약 각서'!$A$1:$M$21</definedName>
    <definedName name="_xlnm.Print_Area" localSheetId="7">'06 착공신고서'!$A$1:$M$31</definedName>
    <definedName name="_xlnm.Print_Area" localSheetId="8">'07 현장대리인계'!$A$1:$M$30</definedName>
    <definedName name="_xlnm.Print_Area" localSheetId="9">'08 예정공정표'!$A$1:$M$32</definedName>
    <definedName name="_xlnm.Print_Area" localSheetId="10">'09 직접시공계획서'!$A$1:$M$30</definedName>
    <definedName name="_xlnm.Print_Area" localSheetId="11">'10 수도전기료 납부각서'!$A$1:$M$22</definedName>
    <definedName name="_xlnm.Print_Area" localSheetId="12">'11 기성검사 요청서'!$A$1:$M$31</definedName>
    <definedName name="_xlnm.Print_Area" localSheetId="13">'12 기성대가 청구서'!$A$1:$M$27</definedName>
    <definedName name="_xlnm.Print_Area" localSheetId="14">'13 공기연장 신청서'!$A$1:$M$25</definedName>
    <definedName name="_xlnm.Print_Area" localSheetId="15">'14 준공신고서'!$A$1:$M$29</definedName>
    <definedName name="_xlnm.Print_Area" localSheetId="16">'15 준공검사 요청서'!$A$1:$M$20</definedName>
    <definedName name="_xlnm.Print_Area" localSheetId="17">'16 준공대가 청구서'!$A$1:$M$28</definedName>
    <definedName name="_xlnm.Print_Area" localSheetId="18">'17 준공정산 동의서'!$A$1:$M$19</definedName>
    <definedName name="_xlnm.Print_Area" localSheetId="19">'18 하자보수보증금 납부서'!$A$1:$M$24</definedName>
    <definedName name="_xlnm.Print_Area" localSheetId="20">'19 하자보수보증금 지급각서'!$A$1:$M$18</definedName>
    <definedName name="_xlnm.Print_Area" localSheetId="21">'20 공사감독조서'!$A$1:$M$21</definedName>
    <definedName name="_xlnm.Print_Area" localSheetId="22">'21 준공검사조서'!$A$1:$M$23</definedName>
    <definedName name="_xlnm.Print_Area" localSheetId="23">'22 공사대장'!$A$1:$M$25</definedName>
    <definedName name="_xlnm.Print_Area" localSheetId="24">'23 하자검사조서'!$A$1:$M$28</definedName>
    <definedName name="_xlnm.Print_Area" localSheetId="25">'24 하자대장'!$A$1:$M$24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&quot;일&quot;"/>
    <numFmt numFmtId="166" formatCode="#,##0;[Red]-#,##0"/>
    <numFmt numFmtId="167" formatCode="0.0%"/>
  </numFmts>
  <fonts count="26">
    <font>
      <name val="맑은 고딕"/>
      <sz val="11"/>
    </font>
    <font>
      <name val="맑은 고딕"/>
      <sz val="11"/>
    </font>
    <font>
      <name val="맑은 고딕"/>
      <b val="1"/>
      <color rgb="00000000"/>
      <sz val="18"/>
    </font>
    <font>
      <name val="맑은 고딕"/>
      <color rgb="00333333"/>
      <sz val="10.5"/>
    </font>
    <font>
      <name val="맑은 고딕"/>
      <color rgb="001F5FBF"/>
      <sz val="10"/>
      <u val="single"/>
    </font>
    <font>
      <name val="맑은 고딕"/>
      <b val="1"/>
      <color rgb="00FFFFFF"/>
      <sz val="12"/>
    </font>
    <font>
      <name val="맑은 고딕"/>
      <b val="1"/>
      <color rgb="00000000"/>
      <sz val="10.5"/>
    </font>
    <font>
      <name val="맑은 고딕"/>
      <color rgb="00000000"/>
      <sz val="11"/>
    </font>
    <font>
      <name val="맑은 고딕"/>
      <color rgb="00666666"/>
      <sz val="9.5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color rgb="00000000"/>
      <sz val="12"/>
    </font>
    <font>
      <name val="맑은 고딕"/>
      <b val="1"/>
      <color rgb="00000000"/>
      <sz val="11"/>
    </font>
    <font>
      <name val="맑은 고딕"/>
      <b val="1"/>
      <color rgb="00000000"/>
      <sz val="15"/>
    </font>
    <font>
      <name val="맑은 고딕"/>
      <color rgb="00777777"/>
      <sz val="9"/>
    </font>
    <font>
      <name val="맑은 고딕"/>
      <color rgb="00555555"/>
      <sz val="9.5"/>
    </font>
    <font>
      <name val="맑은 고딕"/>
      <b val="1"/>
      <color rgb="001F3A5F"/>
      <sz val="22"/>
    </font>
    <font>
      <name val="맑은 고딕"/>
      <b val="1"/>
      <color rgb="001F5FBF"/>
      <sz val="13"/>
    </font>
    <font>
      <name val="맑은 고딕"/>
      <b val="1"/>
      <color rgb="001F5FBF"/>
      <sz val="11"/>
      <u val="single"/>
    </font>
    <font>
      <name val="맑은 고딕"/>
      <b val="1"/>
      <color rgb="00B25A00"/>
      <sz val="11"/>
    </font>
    <font>
      <name val="맑은 고딕"/>
      <b val="1"/>
      <color rgb="00FFFFFF"/>
      <sz val="10.5"/>
    </font>
    <font>
      <name val="맑은 고딕"/>
      <color rgb="002F6FB5"/>
      <sz val="10.5"/>
    </font>
    <font>
      <name val="맑은 고딕"/>
      <color rgb="00777777"/>
      <sz val="10"/>
    </font>
    <font>
      <name val="맑은 고딕"/>
      <color rgb="00444444"/>
      <sz val="9.5"/>
    </font>
    <font>
      <name val="맑은 고딕"/>
      <color rgb="00B7802F"/>
      <sz val="10.5"/>
    </font>
    <font>
      <name val="맑은 고딕"/>
      <color rgb="00444444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FFF7D6"/>
      </patternFill>
    </fill>
    <fill>
      <patternFill patternType="solid">
        <fgColor rgb="005A6B80"/>
      </patternFill>
    </fill>
    <fill>
      <patternFill patternType="solid">
        <fgColor rgb="00EEF2F7"/>
      </patternFill>
    </fill>
    <fill>
      <patternFill patternType="solid">
        <fgColor rgb="00FFF4E5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top style="thin">
        <color rgb="00808080"/>
      </top>
      <bottom style="thin">
        <color rgb="00808080"/>
      </bottom>
    </border>
    <border>
      <top style="thin">
        <color rgb="00808080"/>
      </top>
      <bottom style="thin">
        <color rgb="00808080"/>
      </bottom>
    </border>
    <border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1" fillId="0" borderId="0"/>
  </cellStyleXfs>
  <cellXfs count="61">
    <xf numFmtId="0" fontId="0" fillId="0" borderId="0" pivotButton="0" quotePrefix="0" xfId="0"/>
    <xf numFmtId="0" fontId="1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vertical="center"/>
    </xf>
    <xf numFmtId="0" fontId="19" fillId="7" borderId="0" applyAlignment="1" pivotButton="0" quotePrefix="0" xfId="0">
      <alignment vertical="center" indent="1"/>
    </xf>
    <xf numFmtId="0" fontId="0" fillId="7" borderId="0" pivotButton="0" quotePrefix="0" xfId="0"/>
    <xf numFmtId="0" fontId="20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indent="1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 wrapText="1" indent="1"/>
    </xf>
    <xf numFmtId="0" fontId="24" fillId="0" borderId="1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2" borderId="0" applyAlignment="1" pivotButton="0" quotePrefix="0" xfId="0">
      <alignment vertical="center" indent="1"/>
    </xf>
    <xf numFmtId="0" fontId="0" fillId="2" borderId="0" pivotButton="0" quotePrefix="0" xfId="0"/>
    <xf numFmtId="0" fontId="6" fillId="3" borderId="1" applyAlignment="1" pivotButton="0" quotePrefix="0" xfId="0">
      <alignment vertical="center" wrapText="1" indent="1"/>
    </xf>
    <xf numFmtId="0" fontId="7" fillId="4" borderId="1" applyAlignment="1" applyProtection="1" pivotButton="0" quotePrefix="0" xfId="0">
      <alignment vertical="center" wrapText="1" indent="1"/>
      <protection locked="0" hidden="0"/>
    </xf>
    <xf numFmtId="0" fontId="8" fillId="0" borderId="0" applyAlignment="1" pivotButton="0" quotePrefix="0" xfId="0">
      <alignment vertical="center" wrapText="1" indent="1"/>
    </xf>
    <xf numFmtId="164" fontId="7" fillId="4" borderId="1" applyAlignment="1" applyProtection="1" pivotButton="0" quotePrefix="0" xfId="0">
      <alignment horizontal="left" vertical="center" indent="1"/>
      <protection locked="0" hidden="0"/>
    </xf>
    <xf numFmtId="3" fontId="7" fillId="4" borderId="1" applyAlignment="1" applyProtection="1" pivotButton="0" quotePrefix="0" xfId="0">
      <alignment horizontal="right" vertical="center" indent="1"/>
      <protection locked="0" hidden="0"/>
    </xf>
    <xf numFmtId="0" fontId="7" fillId="4" borderId="1" applyAlignment="1" applyProtection="1" pivotButton="0" quotePrefix="0" xfId="0">
      <alignment horizontal="right" vertical="center" indent="1"/>
      <protection locked="0" hidden="0"/>
    </xf>
    <xf numFmtId="0" fontId="5" fillId="5" borderId="0" applyAlignment="1" pivotButton="0" quotePrefix="0" xfId="0">
      <alignment vertical="center" indent="1"/>
    </xf>
    <xf numFmtId="0" fontId="0" fillId="5" borderId="0" pivotButton="0" quotePrefix="0" xfId="0"/>
    <xf numFmtId="0" fontId="9" fillId="6" borderId="1" applyAlignment="1" pivotButton="0" quotePrefix="0" xfId="0">
      <alignment vertical="center" indent="1"/>
    </xf>
    <xf numFmtId="165" fontId="7" fillId="6" borderId="1" applyAlignment="1" pivotButton="0" quotePrefix="0" xfId="0">
      <alignment horizontal="right" vertical="center" indent="1"/>
    </xf>
    <xf numFmtId="3" fontId="7" fillId="6" borderId="1" applyAlignment="1" pivotButton="0" quotePrefix="0" xfId="0">
      <alignment horizontal="right" vertical="center" indent="1"/>
    </xf>
    <xf numFmtId="164" fontId="7" fillId="6" borderId="1" applyAlignment="1" pivotButton="0" quotePrefix="0" xfId="0">
      <alignment horizontal="right" vertical="center" indent="1"/>
    </xf>
    <xf numFmtId="10" fontId="7" fillId="6" borderId="1" applyAlignment="1" pivotButton="0" quotePrefix="0" xfId="0">
      <alignment horizontal="right" vertical="center" indent="1"/>
    </xf>
    <xf numFmtId="166" fontId="7" fillId="6" borderId="1" applyAlignment="1" pivotButton="0" quotePrefix="0" xfId="0">
      <alignment horizontal="right" vertical="center" indent="1"/>
    </xf>
    <xf numFmtId="0" fontId="10" fillId="0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0" fillId="3" borderId="3" pivotButton="0" quotePrefix="0" xfId="0"/>
    <xf numFmtId="0" fontId="0" fillId="3" borderId="4" pivotButton="0" quotePrefix="0" xfId="0"/>
    <xf numFmtId="0" fontId="7" fillId="0" borderId="2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14" fillId="0" borderId="0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distributed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shrinkToFit="1"/>
    </xf>
    <xf numFmtId="0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9" fillId="0" borderId="2" applyAlignment="1" pivotButton="0" quotePrefix="0" xfId="0">
      <alignment horizontal="right" vertical="center" indent="1"/>
    </xf>
    <xf numFmtId="167" fontId="9" fillId="0" borderId="1" applyAlignment="1" pivotButton="0" quotePrefix="0" xfId="0">
      <alignment horizontal="center" vertical="center" wrapText="1"/>
    </xf>
    <xf numFmtId="3" fontId="6" fillId="0" borderId="2" applyAlignment="1" pivotButton="0" quotePrefix="0" xfId="0">
      <alignment horizontal="right" vertical="center" indent="1"/>
    </xf>
    <xf numFmtId="167" fontId="6" fillId="0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G41"/>
  <sheetViews>
    <sheetView showGridLines="0" tabSelected="1" workbookViewId="0">
      <selection activeCell="A1" sqref="A1"/>
    </sheetView>
  </sheetViews>
  <sheetFormatPr baseColWidth="8" defaultRowHeight="15"/>
  <cols>
    <col width="1.5" customWidth="1" min="1" max="1"/>
    <col width="6" customWidth="1" min="2" max="2"/>
    <col width="34" customWidth="1" min="3" max="3"/>
    <col width="12" customWidth="1" min="4" max="4"/>
    <col width="10" customWidth="1" min="5" max="5"/>
    <col width="10" customWidth="1" min="6" max="6"/>
    <col width="44" customWidth="1" min="7" max="7"/>
  </cols>
  <sheetData>
    <row r="1" ht="46" customHeight="1">
      <c r="B1" s="1" t="inlineStr">
        <is>
          <t>K-건설맵 공사서류 원클릭</t>
        </is>
      </c>
    </row>
    <row r="2" ht="34" customHeight="1">
      <c r="B2" s="2" t="inlineStr">
        <is>
          <t>한 번 입력하면 착공부터 준공·하자까지 서류 24가지가 채워집니다. 매크로 없이 수식만 써서 엑셀·한셀·구글 시트 어디서나 열립니다. 모든 공사 현장(관급·민간)에 쓸 수 있습니다.</t>
        </is>
      </c>
    </row>
    <row r="4" ht="24" customHeight="1">
      <c r="B4" s="3" t="inlineStr">
        <is>
          <t>①</t>
        </is>
      </c>
      <c r="C4" s="4" t="inlineStr">
        <is>
          <t>「입력」 시트의 노란 칸을 채웁니다.</t>
        </is>
      </c>
      <c r="G4" s="5" t="inlineStr">
        <is>
          <t>입력 하러 가기 →</t>
        </is>
      </c>
    </row>
    <row r="5" ht="24" customHeight="1">
      <c r="B5" s="3" t="inlineStr">
        <is>
          <t>②</t>
        </is>
      </c>
      <c r="C5" s="4" t="inlineStr">
        <is>
          <t>아래 목록에서 서류 이름을 누르면 그 서류로 갑니다. 서류 칸은 입력에서 저절로 채워집니다.</t>
        </is>
      </c>
    </row>
    <row r="6" ht="24" customHeight="1">
      <c r="B6" s="3" t="inlineStr">
        <is>
          <t>③</t>
        </is>
      </c>
      <c r="C6" s="4" t="inlineStr">
        <is>
          <t>인쇄하거나 PDF로 저장합니다 (한 서류가 A4 한 장).</t>
        </is>
      </c>
    </row>
    <row r="8" ht="26" customHeight="1">
      <c r="B8" s="6">
        <f>IF(('입력'!$C$6="")+('입력'!$C$7="")+('입력'!$C$11="")+('입력'!$C$12="")+('입력'!$C$13="")+('입력'!$C$14="")+('입력'!$C$17="")+('입력'!$C$18="")+('입력'!$C$27="")+('입력'!$C$28="")+('입력'!$C$30="")+('입력'!$C$38="")=0,"✔ 꼭 필요한 칸은 다 채웠습니다.","⚠ 꼭 필요한 칸 중 "&amp;(('입력'!$C$6="")+('입력'!$C$7="")+('입력'!$C$11="")+('입력'!$C$12="")+('입력'!$C$13="")+('입력'!$C$14="")+('입력'!$C$17="")+('입력'!$C$18="")+('입력'!$C$27="")+('입력'!$C$28="")+('입력'!$C$30="")+('입력'!$C$38=""))&amp;"개가 비어 있습니다 — 입력 시트를 확인하세요.")</f>
        <v/>
      </c>
      <c r="C8" s="7" t="n"/>
      <c r="D8" s="7" t="n"/>
      <c r="E8" s="7" t="n"/>
      <c r="F8" s="7" t="n"/>
      <c r="G8" s="7" t="n"/>
    </row>
    <row r="10" ht="24" customHeight="1">
      <c r="B10" s="8" t="inlineStr">
        <is>
          <t>번호</t>
        </is>
      </c>
      <c r="C10" s="8" t="inlineStr">
        <is>
          <t>서  류</t>
        </is>
      </c>
      <c r="D10" s="8" t="inlineStr">
        <is>
          <t>누가 내나</t>
        </is>
      </c>
      <c r="E10" s="8" t="inlineStr">
        <is>
          <t>언  제</t>
        </is>
      </c>
      <c r="F10" s="8" t="inlineStr">
        <is>
          <t>관급</t>
        </is>
      </c>
      <c r="G10" s="8" t="inlineStr">
        <is>
          <t>무엇인가</t>
        </is>
      </c>
    </row>
    <row r="11" ht="30" customHeight="1">
      <c r="B11" s="9" t="n">
        <v>1</v>
      </c>
      <c r="C11" s="10" t="inlineStr">
        <is>
          <t>사용인감계</t>
        </is>
      </c>
      <c r="D11" s="11" t="inlineStr">
        <is>
          <t>업체</t>
        </is>
      </c>
      <c r="E11" s="9" t="inlineStr">
        <is>
          <t>계약</t>
        </is>
      </c>
      <c r="F11" s="12" t="n"/>
      <c r="G11" s="13" t="inlineStr">
        <is>
          <t>법인 인감 대신 쓸 도장을 신고하는 서류.</t>
        </is>
      </c>
    </row>
    <row r="12" ht="30" customHeight="1">
      <c r="B12" s="9" t="n">
        <v>2</v>
      </c>
      <c r="C12" s="10" t="inlineStr">
        <is>
          <t>계약보증금 납부서</t>
        </is>
      </c>
      <c r="D12" s="11" t="inlineStr">
        <is>
          <t>업체</t>
        </is>
      </c>
      <c r="E12" s="9" t="inlineStr">
        <is>
          <t>계약</t>
        </is>
      </c>
      <c r="F12" s="12" t="inlineStr">
        <is>
          <t>관급</t>
        </is>
      </c>
      <c r="G12" s="13" t="inlineStr">
        <is>
          <t>계약보증금(보증서·현금)을 내는 서류. 금액은 요율로 자동 계산.</t>
        </is>
      </c>
    </row>
    <row r="13" ht="30" customHeight="1">
      <c r="B13" s="9" t="n">
        <v>3</v>
      </c>
      <c r="C13" s="10" t="inlineStr">
        <is>
          <t>계약보증금 지급각서</t>
        </is>
      </c>
      <c r="D13" s="11" t="inlineStr">
        <is>
          <t>업체</t>
        </is>
      </c>
      <c r="E13" s="9" t="inlineStr">
        <is>
          <t>계약</t>
        </is>
      </c>
      <c r="F13" s="12" t="inlineStr">
        <is>
          <t>관급</t>
        </is>
      </c>
      <c r="G13" s="13" t="inlineStr">
        <is>
          <t>계약보증금 대신 내는 지급각서 (면제 대상일 때).</t>
        </is>
      </c>
    </row>
    <row r="14" ht="30" customHeight="1">
      <c r="B14" s="9" t="n">
        <v>4</v>
      </c>
      <c r="C14" s="10" t="inlineStr">
        <is>
          <t>청렴계약 이행서약서</t>
        </is>
      </c>
      <c r="D14" s="11" t="inlineStr">
        <is>
          <t>업체</t>
        </is>
      </c>
      <c r="E14" s="9" t="inlineStr">
        <is>
          <t>계약</t>
        </is>
      </c>
      <c r="F14" s="12" t="inlineStr">
        <is>
          <t>관급</t>
        </is>
      </c>
      <c r="G14" s="13" t="inlineStr">
        <is>
          <t>금품·담합을 하지 않겠다는 서약서.</t>
        </is>
      </c>
    </row>
    <row r="15" ht="30" customHeight="1">
      <c r="B15" s="9" t="n">
        <v>5</v>
      </c>
      <c r="C15" s="10" t="inlineStr">
        <is>
          <t>수의계약 각서</t>
        </is>
      </c>
      <c r="D15" s="11" t="inlineStr">
        <is>
          <t>업체</t>
        </is>
      </c>
      <c r="E15" s="9" t="inlineStr">
        <is>
          <t>계약</t>
        </is>
      </c>
      <c r="F15" s="12" t="inlineStr">
        <is>
          <t>관급</t>
        </is>
      </c>
      <c r="G15" s="13" t="inlineStr">
        <is>
          <t>수의계약일 때 내는 각서.</t>
        </is>
      </c>
    </row>
    <row r="16" ht="30" customHeight="1">
      <c r="B16" s="9" t="n">
        <v>6</v>
      </c>
      <c r="C16" s="10" t="inlineStr">
        <is>
          <t>착공신고서</t>
        </is>
      </c>
      <c r="D16" s="11" t="inlineStr">
        <is>
          <t>업체</t>
        </is>
      </c>
      <c r="E16" s="9" t="inlineStr">
        <is>
          <t>착공</t>
        </is>
      </c>
      <c r="F16" s="12" t="n"/>
      <c r="G16" s="13" t="inlineStr">
        <is>
          <t>공사를 시작했다고 알리는 서류. 공사명·계약금액·공사기간이 입력에서 채워집니다.</t>
        </is>
      </c>
    </row>
    <row r="17" ht="30" customHeight="1">
      <c r="B17" s="9" t="n">
        <v>7</v>
      </c>
      <c r="C17" s="10" t="inlineStr">
        <is>
          <t>현장대리인계</t>
        </is>
      </c>
      <c r="D17" s="11" t="inlineStr">
        <is>
          <t>업체</t>
        </is>
      </c>
      <c r="E17" s="9" t="inlineStr">
        <is>
          <t>착공</t>
        </is>
      </c>
      <c r="F17" s="12" t="n"/>
      <c r="G17" s="13" t="inlineStr">
        <is>
          <t>현장대리인의 자격·연락처를 알리는 서류.</t>
        </is>
      </c>
    </row>
    <row r="18" ht="30" customHeight="1">
      <c r="B18" s="9" t="n">
        <v>8</v>
      </c>
      <c r="C18" s="10" t="inlineStr">
        <is>
          <t>예정공정표</t>
        </is>
      </c>
      <c r="D18" s="11" t="inlineStr">
        <is>
          <t>업체</t>
        </is>
      </c>
      <c r="E18" s="9" t="inlineStr">
        <is>
          <t>착공</t>
        </is>
      </c>
      <c r="F18" s="12" t="n"/>
      <c r="G18" s="13" t="inlineStr">
        <is>
          <t>공종별 공사 일정을 달 단위로 적는 표.</t>
        </is>
      </c>
    </row>
    <row r="19" ht="30" customHeight="1">
      <c r="B19" s="9" t="n">
        <v>9</v>
      </c>
      <c r="C19" s="10" t="inlineStr">
        <is>
          <t>직접시공계획서</t>
        </is>
      </c>
      <c r="D19" s="11" t="inlineStr">
        <is>
          <t>업체</t>
        </is>
      </c>
      <c r="E19" s="9" t="inlineStr">
        <is>
          <t>착공</t>
        </is>
      </c>
      <c r="F19" s="12" t="n"/>
      <c r="G19" s="13" t="inlineStr">
        <is>
          <t>우리 회사가 직접 시공할 공종·금액을 알리는 계획서.</t>
        </is>
      </c>
    </row>
    <row r="20" ht="30" customHeight="1">
      <c r="B20" s="9" t="n">
        <v>10</v>
      </c>
      <c r="C20" s="10" t="inlineStr">
        <is>
          <t>수도전기료 납부각서</t>
        </is>
      </c>
      <c r="D20" s="11" t="inlineStr">
        <is>
          <t>업체</t>
        </is>
      </c>
      <c r="E20" s="9" t="inlineStr">
        <is>
          <t>착공</t>
        </is>
      </c>
      <c r="F20" s="12" t="n"/>
      <c r="G20" s="13" t="inlineStr">
        <is>
          <t>기존 시설 안에서 공사할 때 — 수도·전기 요금 정산 각서.</t>
        </is>
      </c>
    </row>
    <row r="21" ht="30" customHeight="1">
      <c r="B21" s="9" t="n">
        <v>11</v>
      </c>
      <c r="C21" s="10" t="inlineStr">
        <is>
          <t>기성검사 요청서</t>
        </is>
      </c>
      <c r="D21" s="11" t="inlineStr">
        <is>
          <t>업체</t>
        </is>
      </c>
      <c r="E21" s="9" t="inlineStr">
        <is>
          <t>공사 중</t>
        </is>
      </c>
      <c r="F21" s="12" t="n"/>
      <c r="G21" s="13" t="inlineStr">
        <is>
          <t>기성 부분 검사를 요청하는 서류. 누계·기성률 자동.</t>
        </is>
      </c>
    </row>
    <row r="22" ht="30" customHeight="1">
      <c r="B22" s="9" t="n">
        <v>12</v>
      </c>
      <c r="C22" s="10" t="inlineStr">
        <is>
          <t>기성대가 청구서</t>
        </is>
      </c>
      <c r="D22" s="11" t="inlineStr">
        <is>
          <t>업체</t>
        </is>
      </c>
      <c r="E22" s="9" t="inlineStr">
        <is>
          <t>공사 중</t>
        </is>
      </c>
      <c r="F22" s="12" t="n"/>
      <c r="G22" s="13" t="inlineStr">
        <is>
          <t>기성금을 청구하는 서류. 선금 정산을 빼고 계산.</t>
        </is>
      </c>
    </row>
    <row r="23" ht="30" customHeight="1">
      <c r="B23" s="9" t="n">
        <v>13</v>
      </c>
      <c r="C23" s="10" t="inlineStr">
        <is>
          <t>공기연장 신청서</t>
        </is>
      </c>
      <c r="D23" s="11" t="inlineStr">
        <is>
          <t>업체</t>
        </is>
      </c>
      <c r="E23" s="9" t="inlineStr">
        <is>
          <t>공사 중</t>
        </is>
      </c>
      <c r="F23" s="12" t="n"/>
      <c r="G23" s="13" t="inlineStr">
        <is>
          <t>준공기한을 늘려 달라는 신청서. 연장 일수 자동.</t>
        </is>
      </c>
    </row>
    <row r="24" ht="30" customHeight="1">
      <c r="B24" s="9" t="n">
        <v>14</v>
      </c>
      <c r="C24" s="10" t="inlineStr">
        <is>
          <t>준공신고서</t>
        </is>
      </c>
      <c r="D24" s="11" t="inlineStr">
        <is>
          <t>업체</t>
        </is>
      </c>
      <c r="E24" s="9" t="inlineStr">
        <is>
          <t>준공</t>
        </is>
      </c>
      <c r="F24" s="12" t="n"/>
      <c r="G24" s="13" t="inlineStr">
        <is>
          <t>공사를 마쳤다고 알리는 서류(준공계).</t>
        </is>
      </c>
    </row>
    <row r="25" ht="30" customHeight="1">
      <c r="B25" s="9" t="n">
        <v>15</v>
      </c>
      <c r="C25" s="10" t="inlineStr">
        <is>
          <t>준공검사 요청서</t>
        </is>
      </c>
      <c r="D25" s="11" t="inlineStr">
        <is>
          <t>업체</t>
        </is>
      </c>
      <c r="E25" s="9" t="inlineStr">
        <is>
          <t>준공</t>
        </is>
      </c>
      <c r="F25" s="12" t="n"/>
      <c r="G25" s="13" t="inlineStr">
        <is>
          <t>준공검사를 해 달라는 요청서(준공검사원).</t>
        </is>
      </c>
    </row>
    <row r="26" ht="30" customHeight="1">
      <c r="B26" s="9" t="n">
        <v>16</v>
      </c>
      <c r="C26" s="10" t="inlineStr">
        <is>
          <t>준공대가 청구서</t>
        </is>
      </c>
      <c r="D26" s="11" t="inlineStr">
        <is>
          <t>업체</t>
        </is>
      </c>
      <c r="E26" s="9" t="inlineStr">
        <is>
          <t>준공</t>
        </is>
      </c>
      <c r="F26" s="12" t="n"/>
      <c r="G26" s="13" t="inlineStr">
        <is>
          <t>준공금을 청구하는 서류. 기성·선금·지체상금 공제 자동.</t>
        </is>
      </c>
    </row>
    <row r="27" ht="30" customHeight="1">
      <c r="B27" s="9" t="n">
        <v>17</v>
      </c>
      <c r="C27" s="10" t="inlineStr">
        <is>
          <t>준공정산 동의서</t>
        </is>
      </c>
      <c r="D27" s="11" t="inlineStr">
        <is>
          <t>업체</t>
        </is>
      </c>
      <c r="E27" s="9" t="inlineStr">
        <is>
          <t>준공</t>
        </is>
      </c>
      <c r="F27" s="12" t="n"/>
      <c r="G27" s="13" t="inlineStr">
        <is>
          <t>정산된 최종 금액에 동의하는 서류.</t>
        </is>
      </c>
    </row>
    <row r="28" ht="30" customHeight="1">
      <c r="B28" s="9" t="n">
        <v>18</v>
      </c>
      <c r="C28" s="10" t="inlineStr">
        <is>
          <t>하자보수보증금 납부서</t>
        </is>
      </c>
      <c r="D28" s="11" t="inlineStr">
        <is>
          <t>업체</t>
        </is>
      </c>
      <c r="E28" s="9" t="inlineStr">
        <is>
          <t>준공</t>
        </is>
      </c>
      <c r="F28" s="12" t="n"/>
      <c r="G28" s="13" t="inlineStr">
        <is>
          <t>하자보수보증금을 내는 서류. 금액·기간 자동.</t>
        </is>
      </c>
    </row>
    <row r="29" ht="30" customHeight="1">
      <c r="B29" s="9" t="n">
        <v>19</v>
      </c>
      <c r="C29" s="10" t="inlineStr">
        <is>
          <t>하자보수보증금 지급각서</t>
        </is>
      </c>
      <c r="D29" s="11" t="inlineStr">
        <is>
          <t>업체</t>
        </is>
      </c>
      <c r="E29" s="9" t="inlineStr">
        <is>
          <t>준공</t>
        </is>
      </c>
      <c r="F29" s="12" t="inlineStr">
        <is>
          <t>관급</t>
        </is>
      </c>
      <c r="G29" s="13" t="inlineStr">
        <is>
          <t>하자보수보증금 대신 내는 지급각서.</t>
        </is>
      </c>
    </row>
    <row r="30" ht="30" customHeight="1">
      <c r="B30" s="9" t="n">
        <v>20</v>
      </c>
      <c r="C30" s="10" t="inlineStr">
        <is>
          <t>공사감독조서</t>
        </is>
      </c>
      <c r="D30" s="14" t="inlineStr">
        <is>
          <t>발주기관</t>
        </is>
      </c>
      <c r="E30" s="9" t="inlineStr">
        <is>
          <t>준공</t>
        </is>
      </c>
      <c r="F30" s="12" t="n"/>
      <c r="G30" s="13" t="inlineStr">
        <is>
          <t>감독자가 쓰는 감독 결과 조서.</t>
        </is>
      </c>
    </row>
    <row r="31" ht="30" customHeight="1">
      <c r="B31" s="9" t="n">
        <v>21</v>
      </c>
      <c r="C31" s="10" t="inlineStr">
        <is>
          <t>준공검사조서</t>
        </is>
      </c>
      <c r="D31" s="14" t="inlineStr">
        <is>
          <t>발주기관</t>
        </is>
      </c>
      <c r="E31" s="9" t="inlineStr">
        <is>
          <t>준공</t>
        </is>
      </c>
      <c r="F31" s="12" t="n"/>
      <c r="G31" s="13" t="inlineStr">
        <is>
          <t>검사자가 쓰는 준공검사 조서.</t>
        </is>
      </c>
    </row>
    <row r="32" ht="30" customHeight="1">
      <c r="B32" s="9" t="n">
        <v>22</v>
      </c>
      <c r="C32" s="10" t="inlineStr">
        <is>
          <t>공사대장</t>
        </is>
      </c>
      <c r="D32" s="14" t="inlineStr">
        <is>
          <t>발주기관</t>
        </is>
      </c>
      <c r="E32" s="9" t="inlineStr">
        <is>
          <t>관리</t>
        </is>
      </c>
      <c r="F32" s="12" t="n"/>
      <c r="G32" s="13" t="inlineStr">
        <is>
          <t>공사 하나를 한 장으로 정리한 관리 카드.</t>
        </is>
      </c>
    </row>
    <row r="33" ht="30" customHeight="1">
      <c r="B33" s="9" t="n">
        <v>23</v>
      </c>
      <c r="C33" s="10" t="inlineStr">
        <is>
          <t>하자검사조서</t>
        </is>
      </c>
      <c r="D33" s="14" t="inlineStr">
        <is>
          <t>발주기관</t>
        </is>
      </c>
      <c r="E33" s="9" t="inlineStr">
        <is>
          <t>하자</t>
        </is>
      </c>
      <c r="F33" s="12" t="n"/>
      <c r="G33" s="13" t="inlineStr">
        <is>
          <t>하자 검사 결과를 적는 조서.</t>
        </is>
      </c>
    </row>
    <row r="34" ht="30" customHeight="1">
      <c r="B34" s="9" t="n">
        <v>24</v>
      </c>
      <c r="C34" s="10" t="inlineStr">
        <is>
          <t>하자대장</t>
        </is>
      </c>
      <c r="D34" s="14" t="inlineStr">
        <is>
          <t>발주기관</t>
        </is>
      </c>
      <c r="E34" s="9" t="inlineStr">
        <is>
          <t>하자</t>
        </is>
      </c>
      <c r="F34" s="12" t="n"/>
      <c r="G34" s="13" t="inlineStr">
        <is>
          <t>하자 접수부터 보수 완료까지 적는 대장.</t>
        </is>
      </c>
    </row>
    <row r="36" ht="20" customHeight="1">
      <c r="B36" s="15" t="inlineStr">
        <is>
          <t>• 보증금률·지체상금률·하자담보책임기간은 계약서(공고서)에 적힌 값을 넣으세요. 공종·계약마다 다릅니다.</t>
        </is>
      </c>
    </row>
    <row r="37" ht="30" customHeight="1">
      <c r="B37" s="15" t="inlineStr">
        <is>
          <t>• 발주기관이 정한 서식이 있으면 그 서식을 씁니다. 이 파일은 정해진 서식이 없을 때 쓰는 기본 양식입니다.</t>
        </is>
      </c>
    </row>
    <row r="38" ht="20" customHeight="1">
      <c r="B38" s="15" t="inlineStr">
        <is>
          <t>• 「관급」 표시는 관공서 발주 공사에서 주로 내는 서류입니다. 민간 공사는 필요한 것만 쓰세요.</t>
        </is>
      </c>
    </row>
    <row r="39" ht="30" customHeight="1">
      <c r="B39" s="15" t="inlineStr">
        <is>
          <t>• 입력 시트는 수식이 지워지지 않게 보호해 두었습니다(암호 없음). 칸 모양을 바꾸려면 검토 → 시트 보호 해제.</t>
        </is>
      </c>
    </row>
    <row r="40" ht="30" customHeight="1">
      <c r="B40" s="15" t="inlineStr">
        <is>
          <t>• 인쇄하면 머리글 오른쪽에 작은 K-건설맵 표시가 나옵니다. 지우려면 페이지 레이아웃 → 페이지 설정 → 머리글/바닥글에서 «(없음)».</t>
        </is>
      </c>
    </row>
    <row r="41" ht="30" customHeight="1">
      <c r="B41" s="15" t="inlineStr">
        <is>
          <t>• 사이트(k-conmap.com/tools/wonclick)에서 칸을 채우고 받으면, 입력이 채워진 파일을 바로 받을 수 있습니다.</t>
        </is>
      </c>
    </row>
  </sheetData>
  <mergeCells count="12">
    <mergeCell ref="B38:G38"/>
    <mergeCell ref="B2:G2"/>
    <mergeCell ref="B36:G36"/>
    <mergeCell ref="B37:G37"/>
    <mergeCell ref="C4:F4"/>
    <mergeCell ref="B41:G41"/>
    <mergeCell ref="B1:G1"/>
    <mergeCell ref="C6:F6"/>
    <mergeCell ref="B8:G8"/>
    <mergeCell ref="B40:G40"/>
    <mergeCell ref="C5:F5"/>
    <mergeCell ref="B39:G39"/>
  </mergeCells>
  <hyperlinks>
    <hyperlink ref="G4" location="'입력'!A1" display="입력 하러 가기 →"/>
    <hyperlink ref="C11" location="'01 사용인감계'!A1" display="사용인감계"/>
    <hyperlink ref="C12" location="'02 계약보증금 납부서'!A1" display="계약보증금 납부서"/>
    <hyperlink ref="C13" location="'03 계약보증금 지급각서'!A1" display="계약보증금 지급각서"/>
    <hyperlink ref="C14" location="'04 청렴계약 이행서약서'!A1" display="청렴계약 이행서약서"/>
    <hyperlink ref="C15" location="'05 수의계약 각서'!A1" display="수의계약 각서"/>
    <hyperlink ref="C16" location="'06 착공신고서'!A1" display="착공신고서"/>
    <hyperlink ref="C17" location="'07 현장대리인계'!A1" display="현장대리인계"/>
    <hyperlink ref="C18" location="'08 예정공정표'!A1" display="예정공정표"/>
    <hyperlink ref="C19" location="'09 직접시공계획서'!A1" display="직접시공계획서"/>
    <hyperlink ref="C20" location="'10 수도전기료 납부각서'!A1" display="수도전기료 납부각서"/>
    <hyperlink ref="C21" location="'11 기성검사 요청서'!A1" display="기성검사 요청서"/>
    <hyperlink ref="C22" location="'12 기성대가 청구서'!A1" display="기성대가 청구서"/>
    <hyperlink ref="C23" location="'13 공기연장 신청서'!A1" display="공기연장 신청서"/>
    <hyperlink ref="C24" location="'14 준공신고서'!A1" display="준공신고서"/>
    <hyperlink ref="C25" location="'15 준공검사 요청서'!A1" display="준공검사 요청서"/>
    <hyperlink ref="C26" location="'16 준공대가 청구서'!A1" display="준공대가 청구서"/>
    <hyperlink ref="C27" location="'17 준공정산 동의서'!A1" display="준공정산 동의서"/>
    <hyperlink ref="C28" location="'18 하자보수보증금 납부서'!A1" display="하자보수보증금 납부서"/>
    <hyperlink ref="C29" location="'19 하자보수보증금 지급각서'!A1" display="하자보수보증금 지급각서"/>
    <hyperlink ref="C30" location="'20 공사감독조서'!A1" display="공사감독조서"/>
    <hyperlink ref="C31" location="'21 준공검사조서'!A1" display="준공검사조서"/>
    <hyperlink ref="C32" location="'22 공사대장'!A1" display="공사대장"/>
    <hyperlink ref="C33" location="'23 하자검사조서'!A1" display="하자검사조서"/>
    <hyperlink ref="C34" location="'24 하자대장'!A1" display="하자대장"/>
  </hyperlinks>
  <printOptions horizontalCentered="1"/>
  <pageMargins left="0.6" right="0.6" top="0.75" bottom="0.6" header="0.3" footer="0.3"/>
  <pageSetup orientation="portrait" paperSize="9" fitToHeight="0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A800"/>
    <outlinePr summaryBelow="1" summaryRight="1"/>
    <pageSetUpPr fitToPage="1"/>
  </sheetPr>
  <dimension ref="B1:D10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.5" customWidth="1" min="1" max="1"/>
    <col width="30" customWidth="1" min="2" max="2"/>
    <col width="42" customWidth="1" min="3" max="3"/>
    <col width="60" customWidth="1" min="4" max="4"/>
  </cols>
  <sheetData>
    <row r="1" ht="36" customHeight="1">
      <c r="B1" s="16" t="inlineStr">
        <is>
          <t>공사서류 원클릭 — 입력</t>
        </is>
      </c>
    </row>
    <row r="2" ht="30" customHeight="1">
      <c r="B2" s="2" t="inlineStr">
        <is>
          <t>노란 칸만 채우면 서류 24가지에 저절로 들어갑니다. 모르는 칸은 비워 두세요 — 서류에서 그 자리만 빈칸으로 나옵니다.</t>
        </is>
      </c>
    </row>
    <row r="3">
      <c r="B3" s="17" t="inlineStr">
        <is>
          <t>← 처음(목록)으로</t>
        </is>
      </c>
    </row>
    <row r="5" ht="24" customHeight="1">
      <c r="B5" s="18" t="inlineStr">
        <is>
          <t>1. 공사</t>
        </is>
      </c>
      <c r="C5" s="19" t="n"/>
      <c r="D5" s="19" t="n"/>
    </row>
    <row r="6" ht="30" customHeight="1">
      <c r="B6" s="20" t="inlineStr">
        <is>
          <t>공 사 명</t>
        </is>
      </c>
      <c r="C6" s="21" t="n"/>
      <c r="D6" s="22" t="inlineStr">
        <is>
          <t>계약서에 적힌 이름 그대로</t>
        </is>
      </c>
    </row>
    <row r="7" ht="30" customHeight="1">
      <c r="B7" s="20" t="inlineStr">
        <is>
          <t>현장 위치</t>
        </is>
      </c>
      <c r="C7" s="21" t="n"/>
      <c r="D7" s="22" t="inlineStr">
        <is>
          <t>공사 현장 주소</t>
        </is>
      </c>
    </row>
    <row r="8" ht="30" customHeight="1">
      <c r="B8" s="20" t="inlineStr">
        <is>
          <t>공사 개요</t>
        </is>
      </c>
      <c r="C8" s="21" t="n"/>
      <c r="D8" s="22" t="inlineStr">
        <is>
          <t>주요 공사 내용 한 줄 (공사대장에 들어갑니다)</t>
        </is>
      </c>
    </row>
    <row r="9" ht="22" customHeight="1">
      <c r="B9" s="20" t="inlineStr">
        <is>
          <t>계약 번호</t>
        </is>
      </c>
      <c r="C9" s="21" t="n"/>
      <c r="D9" s="22" t="inlineStr">
        <is>
          <t>없으면 비워 두세요</t>
        </is>
      </c>
    </row>
    <row r="10" ht="22" customHeight="1">
      <c r="B10" s="20" t="inlineStr">
        <is>
          <t>계약 방법</t>
        </is>
      </c>
      <c r="C10" s="21" t="n"/>
      <c r="D10" s="22" t="inlineStr">
        <is>
          <t>고르세요</t>
        </is>
      </c>
    </row>
    <row r="11" ht="22" customHeight="1">
      <c r="B11" s="20" t="inlineStr">
        <is>
          <t>계 약 일</t>
        </is>
      </c>
      <c r="C11" s="23" t="n"/>
      <c r="D11" s="22" t="inlineStr">
        <is>
          <t>예: 2026-03-02</t>
        </is>
      </c>
    </row>
    <row r="12" ht="22" customHeight="1">
      <c r="B12" s="20" t="inlineStr">
        <is>
          <t>착 공 일</t>
        </is>
      </c>
      <c r="C12" s="23" t="n"/>
      <c r="D12" s="22" t="n"/>
    </row>
    <row r="13" ht="22" customHeight="1">
      <c r="B13" s="20" t="inlineStr">
        <is>
          <t>준공 기한 (계약상)</t>
        </is>
      </c>
      <c r="C13" s="23" t="n"/>
      <c r="D13" s="22" t="inlineStr">
        <is>
          <t>계약서의 준공 예정일</t>
        </is>
      </c>
    </row>
    <row r="14" ht="22" customHeight="1">
      <c r="B14" s="20" t="inlineStr">
        <is>
          <t>계약 금액 (원, 부가세 포함)</t>
        </is>
      </c>
      <c r="C14" s="24" t="n"/>
      <c r="D14" s="22" t="inlineStr">
        <is>
          <t>숫자만 — 예: 123456000</t>
        </is>
      </c>
    </row>
    <row r="16" ht="24" customHeight="1">
      <c r="B16" s="18" t="inlineStr">
        <is>
          <t>2. 발주기관 (발주자)</t>
        </is>
      </c>
      <c r="C16" s="19" t="n"/>
      <c r="D16" s="19" t="n"/>
    </row>
    <row r="17" ht="22" customHeight="1">
      <c r="B17" s="20" t="inlineStr">
        <is>
          <t>발주기관 이름</t>
        </is>
      </c>
      <c r="C17" s="21" t="n"/>
      <c r="D17" s="22" t="inlineStr">
        <is>
          <t>민간 공사면 건축주·회사 이름</t>
        </is>
      </c>
    </row>
    <row r="18" ht="22" customHeight="1">
      <c r="B18" s="20" t="inlineStr">
        <is>
          <t>서류 받는 사람 (귀하 앞)</t>
        </is>
      </c>
      <c r="C18" s="21" t="n"/>
      <c r="D18" s="22" t="inlineStr">
        <is>
          <t>서류 끝 「○○○ 귀하」 에 들어갈 이름·직함</t>
        </is>
      </c>
    </row>
    <row r="19" ht="22" customHeight="1">
      <c r="B19" s="20" t="inlineStr">
        <is>
          <t>발주기관 주소</t>
        </is>
      </c>
      <c r="C19" s="21" t="n"/>
      <c r="D19" s="22" t="n"/>
    </row>
    <row r="20" ht="22" customHeight="1">
      <c r="B20" s="20" t="inlineStr">
        <is>
          <t>공사 감독자 (직·성명)</t>
        </is>
      </c>
      <c r="C20" s="21" t="n"/>
      <c r="D20" s="22" t="inlineStr">
        <is>
          <t>예: 시설팀장 ○○○</t>
        </is>
      </c>
    </row>
    <row r="21" ht="22" customHeight="1">
      <c r="B21" s="20" t="inlineStr">
        <is>
          <t>준공 검사자 (직·성명)</t>
        </is>
      </c>
      <c r="C21" s="21" t="n"/>
      <c r="D21" s="22" t="n"/>
    </row>
    <row r="22" ht="22" customHeight="1">
      <c r="B22" s="20" t="inlineStr">
        <is>
          <t>검사 입회자 (직·성명)</t>
        </is>
      </c>
      <c r="C22" s="21" t="n"/>
      <c r="D22" s="22" t="n"/>
    </row>
    <row r="23" ht="22" customHeight="1">
      <c r="B23" s="20" t="inlineStr">
        <is>
          <t>설계자</t>
        </is>
      </c>
      <c r="C23" s="21" t="n"/>
      <c r="D23" s="22" t="inlineStr">
        <is>
          <t>설계사무소 (공사대장용, 없으면 비움)</t>
        </is>
      </c>
    </row>
    <row r="24" ht="22" customHeight="1">
      <c r="B24" s="20" t="inlineStr">
        <is>
          <t>감리자</t>
        </is>
      </c>
      <c r="C24" s="21" t="n"/>
      <c r="D24" s="22" t="inlineStr">
        <is>
          <t>감리단 (없으면 비움)</t>
        </is>
      </c>
    </row>
    <row r="26" ht="24" customHeight="1">
      <c r="B26" s="18" t="inlineStr">
        <is>
          <t>3. 계약상대자 (우리 회사)</t>
        </is>
      </c>
      <c r="C26" s="19" t="n"/>
      <c r="D26" s="19" t="n"/>
    </row>
    <row r="27" ht="22" customHeight="1">
      <c r="B27" s="20" t="inlineStr">
        <is>
          <t>상    호</t>
        </is>
      </c>
      <c r="C27" s="21" t="n"/>
      <c r="D27" s="22" t="n"/>
    </row>
    <row r="28" ht="22" customHeight="1">
      <c r="B28" s="20" t="inlineStr">
        <is>
          <t>대 표 자</t>
        </is>
      </c>
      <c r="C28" s="21" t="n"/>
      <c r="D28" s="22" t="n"/>
    </row>
    <row r="29" ht="22" customHeight="1">
      <c r="B29" s="20" t="inlineStr">
        <is>
          <t>사업자등록번호</t>
        </is>
      </c>
      <c r="C29" s="21" t="n"/>
      <c r="D29" s="22" t="inlineStr">
        <is>
          <t>000-00-00000</t>
        </is>
      </c>
    </row>
    <row r="30" ht="30" customHeight="1">
      <c r="B30" s="20" t="inlineStr">
        <is>
          <t>주    소</t>
        </is>
      </c>
      <c r="C30" s="21" t="n"/>
      <c r="D30" s="22" t="n"/>
    </row>
    <row r="31" ht="22" customHeight="1">
      <c r="B31" s="20" t="inlineStr">
        <is>
          <t>전화번호</t>
        </is>
      </c>
      <c r="C31" s="21" t="n"/>
      <c r="D31" s="22" t="n"/>
    </row>
    <row r="32" ht="22" customHeight="1">
      <c r="B32" s="20" t="inlineStr">
        <is>
          <t>업종 (면허)</t>
        </is>
      </c>
      <c r="C32" s="21" t="n"/>
      <c r="D32" s="22" t="inlineStr">
        <is>
          <t>예: 실내건축공사업</t>
        </is>
      </c>
    </row>
    <row r="33" ht="22" customHeight="1">
      <c r="B33" s="20" t="inlineStr">
        <is>
          <t>은 행 명</t>
        </is>
      </c>
      <c r="C33" s="21" t="n"/>
      <c r="D33" s="22" t="inlineStr">
        <is>
          <t>대금 받을 계좌 (계약 때 등록한 계좌)</t>
        </is>
      </c>
    </row>
    <row r="34" ht="22" customHeight="1">
      <c r="B34" s="20" t="inlineStr">
        <is>
          <t>예 금 주</t>
        </is>
      </c>
      <c r="C34" s="21" t="n"/>
      <c r="D34" s="22" t="n"/>
    </row>
    <row r="35" ht="22" customHeight="1">
      <c r="B35" s="20" t="inlineStr">
        <is>
          <t>계좌번호</t>
        </is>
      </c>
      <c r="C35" s="21" t="n"/>
      <c r="D35" s="22" t="n"/>
    </row>
    <row r="37" ht="24" customHeight="1">
      <c r="B37" s="18" t="inlineStr">
        <is>
          <t>4. 현장대리인</t>
        </is>
      </c>
      <c r="C37" s="19" t="n"/>
      <c r="D37" s="19" t="n"/>
    </row>
    <row r="38" ht="22" customHeight="1">
      <c r="B38" s="20" t="inlineStr">
        <is>
          <t>성    명</t>
        </is>
      </c>
      <c r="C38" s="21" t="n"/>
      <c r="D38" s="22" t="n"/>
    </row>
    <row r="39" ht="22" customHeight="1">
      <c r="B39" s="20" t="inlineStr">
        <is>
          <t>생년월일</t>
        </is>
      </c>
      <c r="C39" s="21" t="n"/>
      <c r="D39" s="22" t="inlineStr">
        <is>
          <t>예: 1980. 1. 1.</t>
        </is>
      </c>
    </row>
    <row r="40" ht="22" customHeight="1">
      <c r="B40" s="20" t="inlineStr">
        <is>
          <t>자격 종목·등급</t>
        </is>
      </c>
      <c r="C40" s="21" t="n"/>
      <c r="D40" s="22" t="inlineStr">
        <is>
          <t>예: 건축기사 / 건설기술인 중급</t>
        </is>
      </c>
    </row>
    <row r="41" ht="22" customHeight="1">
      <c r="B41" s="20" t="inlineStr">
        <is>
          <t>자격(등록) 번호</t>
        </is>
      </c>
      <c r="C41" s="21" t="n"/>
      <c r="D41" s="22" t="n"/>
    </row>
    <row r="42" ht="22" customHeight="1">
      <c r="B42" s="20" t="inlineStr">
        <is>
          <t>연 락 처</t>
        </is>
      </c>
      <c r="C42" s="21" t="n"/>
      <c r="D42" s="22" t="n"/>
    </row>
    <row r="44" ht="24" customHeight="1">
      <c r="B44" s="18" t="inlineStr">
        <is>
          <t>5. 보증·요율 — 계약서에 적힌 값을 넣으세요</t>
        </is>
      </c>
      <c r="C44" s="19" t="n"/>
      <c r="D44" s="19" t="n"/>
    </row>
    <row r="45" ht="22" customHeight="1">
      <c r="B45" s="20" t="inlineStr">
        <is>
          <t>계약보증금률 (%)</t>
        </is>
      </c>
      <c r="C45" s="25" t="n"/>
      <c r="D45" s="22" t="inlineStr">
        <is>
          <t>예: 10 → 10% (공고서·계약서 확인)</t>
        </is>
      </c>
    </row>
    <row r="46" ht="22" customHeight="1">
      <c r="B46" s="20" t="inlineStr">
        <is>
          <t>계약보증 방법</t>
        </is>
      </c>
      <c r="C46" s="21" t="n"/>
      <c r="D46" s="22" t="n"/>
    </row>
    <row r="47" ht="22" customHeight="1">
      <c r="B47" s="20" t="inlineStr">
        <is>
          <t>하자보수보증금률 (%)</t>
        </is>
      </c>
      <c r="C47" s="25" t="n"/>
      <c r="D47" s="22" t="inlineStr">
        <is>
          <t>계약서 확인 (공종마다 다름)</t>
        </is>
      </c>
    </row>
    <row r="48" ht="22" customHeight="1">
      <c r="B48" s="20" t="inlineStr">
        <is>
          <t>하자담보책임기간 (년)</t>
        </is>
      </c>
      <c r="C48" s="25" t="n"/>
      <c r="D48" s="22" t="inlineStr">
        <is>
          <t>계약서 확인 (공종마다 다름)</t>
        </is>
      </c>
    </row>
    <row r="49" ht="22" customHeight="1">
      <c r="B49" s="20" t="inlineStr">
        <is>
          <t>하자보수보증 방법</t>
        </is>
      </c>
      <c r="C49" s="21" t="n"/>
      <c r="D49" s="22" t="n"/>
    </row>
    <row r="50" ht="22" customHeight="1">
      <c r="B50" s="20" t="inlineStr">
        <is>
          <t>지체상금률 (1,000분의)</t>
        </is>
      </c>
      <c r="C50" s="25" t="n"/>
      <c r="D50" s="22" t="inlineStr">
        <is>
          <t>예: 0.5 → 1,000분의 0.5 (계약서 확인)</t>
        </is>
      </c>
    </row>
    <row r="52" ht="24" customHeight="1">
      <c r="B52" s="18" t="inlineStr">
        <is>
          <t>6. 기성 (이번 회차)</t>
        </is>
      </c>
      <c r="C52" s="19" t="n"/>
      <c r="D52" s="19" t="n"/>
    </row>
    <row r="53" ht="22" customHeight="1">
      <c r="B53" s="20" t="inlineStr">
        <is>
          <t>기성 회차</t>
        </is>
      </c>
      <c r="C53" s="25" t="n"/>
      <c r="D53" s="22" t="inlineStr">
        <is>
          <t>예: 1</t>
        </is>
      </c>
    </row>
    <row r="54" ht="22" customHeight="1">
      <c r="B54" s="20" t="inlineStr">
        <is>
          <t>기성 대상 기간 — 시작</t>
        </is>
      </c>
      <c r="C54" s="23" t="n"/>
      <c r="D54" s="22" t="n"/>
    </row>
    <row r="55" ht="22" customHeight="1">
      <c r="B55" s="20" t="inlineStr">
        <is>
          <t>기성 대상 기간 — 끝</t>
        </is>
      </c>
      <c r="C55" s="23" t="n"/>
      <c r="D55" s="22" t="n"/>
    </row>
    <row r="56" ht="22" customHeight="1">
      <c r="B56" s="20" t="inlineStr">
        <is>
          <t>기성검사 요청일</t>
        </is>
      </c>
      <c r="C56" s="23" t="n"/>
      <c r="D56" s="22" t="n"/>
    </row>
    <row r="57" ht="22" customHeight="1">
      <c r="B57" s="20" t="inlineStr">
        <is>
          <t>기성금 청구일</t>
        </is>
      </c>
      <c r="C57" s="23" t="n"/>
      <c r="D57" s="22" t="inlineStr">
        <is>
          <t>비우면 기성검사 요청일</t>
        </is>
      </c>
    </row>
    <row r="58" ht="22" customHeight="1">
      <c r="B58" s="20" t="inlineStr">
        <is>
          <t>전회까지 기성 누계 (원)</t>
        </is>
      </c>
      <c r="C58" s="24" t="n"/>
      <c r="D58" s="22" t="inlineStr">
        <is>
          <t>처음이면 0</t>
        </is>
      </c>
    </row>
    <row r="59" ht="22" customHeight="1">
      <c r="B59" s="20" t="inlineStr">
        <is>
          <t>이번 회 기성금액 (원)</t>
        </is>
      </c>
      <c r="C59" s="24" t="n"/>
      <c r="D59" s="22" t="n"/>
    </row>
    <row r="60" ht="22" customHeight="1">
      <c r="B60" s="20" t="inlineStr">
        <is>
          <t>이번 회 선금 정산액 (원)</t>
        </is>
      </c>
      <c r="C60" s="24" t="n"/>
      <c r="D60" s="22" t="inlineStr">
        <is>
          <t>선금이 없으면 0</t>
        </is>
      </c>
    </row>
    <row r="62" ht="24" customHeight="1">
      <c r="B62" s="18" t="inlineStr">
        <is>
          <t>7. 공기 연장 (필요할 때만)</t>
        </is>
      </c>
      <c r="C62" s="19" t="n"/>
      <c r="D62" s="19" t="n"/>
    </row>
    <row r="63" ht="22" customHeight="1">
      <c r="B63" s="20" t="inlineStr">
        <is>
          <t>연장 신청일</t>
        </is>
      </c>
      <c r="C63" s="23" t="n"/>
      <c r="D63" s="22" t="n"/>
    </row>
    <row r="64" ht="22" customHeight="1">
      <c r="B64" s="20" t="inlineStr">
        <is>
          <t>연장 요청 준공기한</t>
        </is>
      </c>
      <c r="C64" s="23" t="n"/>
      <c r="D64" s="22" t="n"/>
    </row>
    <row r="65" ht="30" customHeight="1">
      <c r="B65" s="20" t="inlineStr">
        <is>
          <t>연장 사유</t>
        </is>
      </c>
      <c r="C65" s="21" t="n"/>
      <c r="D65" s="22" t="inlineStr">
        <is>
          <t>짧게 — 자세한 것은 붙임으로</t>
        </is>
      </c>
    </row>
    <row r="67" ht="24" customHeight="1">
      <c r="B67" s="18" t="inlineStr">
        <is>
          <t>8. 준공</t>
        </is>
      </c>
      <c r="C67" s="19" t="n"/>
      <c r="D67" s="19" t="n"/>
    </row>
    <row r="68" ht="22" customHeight="1">
      <c r="B68" s="20" t="inlineStr">
        <is>
          <t>실제 준공일</t>
        </is>
      </c>
      <c r="C68" s="23" t="n"/>
      <c r="D68" s="22" t="n"/>
    </row>
    <row r="69" ht="22" customHeight="1">
      <c r="B69" s="20" t="inlineStr">
        <is>
          <t>준공검사 요청일</t>
        </is>
      </c>
      <c r="C69" s="23" t="n"/>
      <c r="D69" s="22" t="inlineStr">
        <is>
          <t>비우면 실제 준공일</t>
        </is>
      </c>
    </row>
    <row r="70" ht="22" customHeight="1">
      <c r="B70" s="20" t="inlineStr">
        <is>
          <t>준공검사일</t>
        </is>
      </c>
      <c r="C70" s="23" t="n"/>
      <c r="D70" s="22" t="n"/>
    </row>
    <row r="71" ht="22" customHeight="1">
      <c r="B71" s="20" t="inlineStr">
        <is>
          <t>준공검사 결과</t>
        </is>
      </c>
      <c r="C71" s="21" t="n"/>
      <c r="D71" s="22" t="n"/>
    </row>
    <row r="72" ht="22" customHeight="1">
      <c r="B72" s="20" t="inlineStr">
        <is>
          <t>승인된 변경 준공기한</t>
        </is>
      </c>
      <c r="C72" s="23" t="n"/>
      <c r="D72" s="22" t="inlineStr">
        <is>
          <t>공기 연장이 승인됐을 때만 (지체일수 계산용)</t>
        </is>
      </c>
    </row>
    <row r="73" ht="22" customHeight="1">
      <c r="B73" s="20" t="inlineStr">
        <is>
          <t>최종 계약금액 (정산, 원)</t>
        </is>
      </c>
      <c r="C73" s="24" t="n"/>
      <c r="D73" s="22" t="inlineStr">
        <is>
          <t>비우면 계약 금액</t>
        </is>
      </c>
    </row>
    <row r="74" ht="22" customHeight="1">
      <c r="B74" s="20" t="inlineStr">
        <is>
          <t>기성 지급 누계 (원)</t>
        </is>
      </c>
      <c r="C74" s="24" t="n"/>
      <c r="D74" s="22" t="inlineStr">
        <is>
          <t>준공 전까지 받은 기성금 합계</t>
        </is>
      </c>
    </row>
    <row r="75" ht="22" customHeight="1">
      <c r="B75" s="20" t="inlineStr">
        <is>
          <t>선금 잔액 정산액 (원)</t>
        </is>
      </c>
      <c r="C75" s="24" t="n"/>
      <c r="D75" s="22" t="inlineStr">
        <is>
          <t>선금이 없으면 0</t>
        </is>
      </c>
    </row>
    <row r="76" ht="22" customHeight="1">
      <c r="B76" s="20" t="inlineStr">
        <is>
          <t>지체상금 (원)</t>
        </is>
      </c>
      <c r="C76" s="24" t="n"/>
      <c r="D76" s="22" t="inlineStr">
        <is>
          <t>비우면 자동 계산(최종 계약금액×요율×지체일수). 면제·감면·기성 인수분 공제가 있으면 그 금액(0 포함)을 넣으세요</t>
        </is>
      </c>
    </row>
    <row r="77" ht="22" customHeight="1">
      <c r="B77" s="20" t="inlineStr">
        <is>
          <t>준공금 청구일</t>
        </is>
      </c>
      <c r="C77" s="23" t="n"/>
      <c r="D77" s="22" t="inlineStr">
        <is>
          <t>비우면 준공검사일</t>
        </is>
      </c>
    </row>
    <row r="78" ht="22" customHeight="1">
      <c r="B78" s="20" t="inlineStr">
        <is>
          <t>하자담보 시작일</t>
        </is>
      </c>
      <c r="C78" s="23" t="n"/>
      <c r="D78" s="22" t="inlineStr">
        <is>
          <t>비우면 준공검사일</t>
        </is>
      </c>
    </row>
    <row r="80" ht="24" customHeight="1">
      <c r="B80" s="18" t="inlineStr">
        <is>
          <t>9. 하자 검사</t>
        </is>
      </c>
      <c r="C80" s="19" t="n"/>
      <c r="D80" s="19" t="n"/>
    </row>
    <row r="81" ht="22" customHeight="1">
      <c r="B81" s="20" t="inlineStr">
        <is>
          <t>하자 검사일</t>
        </is>
      </c>
      <c r="C81" s="23" t="n"/>
      <c r="D81" s="22" t="n"/>
    </row>
    <row r="82" ht="22" customHeight="1">
      <c r="B82" s="20" t="inlineStr">
        <is>
          <t>하자 검사 결과</t>
        </is>
      </c>
      <c r="C82" s="21" t="n"/>
      <c r="D82" s="22" t="n"/>
    </row>
    <row r="84" ht="24" customHeight="1">
      <c r="B84" s="26" t="inlineStr">
        <is>
          <t>자동 계산 — 고치지 마세요 (위 칸을 고치면 따라 바뀝니다)</t>
        </is>
      </c>
      <c r="C84" s="27" t="n"/>
      <c r="D84" s="27" t="n"/>
    </row>
    <row r="85" ht="20" customHeight="1">
      <c r="B85" s="28" t="inlineStr">
        <is>
          <t>공사 기간 (일)</t>
        </is>
      </c>
      <c r="C85" s="29">
        <f>IF(OR('입력'!$C$12="",'입력'!$C$13=""),"",'입력'!$C$13-'입력'!$C$12+1)</f>
        <v/>
      </c>
    </row>
    <row r="86" ht="20" customHeight="1">
      <c r="B86" s="28" t="inlineStr">
        <is>
          <t>계약보증금 (원)</t>
        </is>
      </c>
      <c r="C86" s="30">
        <f>IF(OR('입력'!$C$14="",'입력'!$C$45=""),"",ROUNDUP('입력'!$C$14*'입력'!$C$45/100,0))</f>
        <v/>
      </c>
    </row>
    <row r="87" ht="20" customHeight="1">
      <c r="B87" s="28" t="inlineStr">
        <is>
          <t>최종 계약금액 (원)</t>
        </is>
      </c>
      <c r="C87" s="30">
        <f>IF('입력'!$C$73="",'입력'!$C$14,'입력'!$C$73)</f>
        <v/>
      </c>
    </row>
    <row r="88" ht="20" customHeight="1">
      <c r="B88" s="28" t="inlineStr">
        <is>
          <t>하자보수보증금 (원)</t>
        </is>
      </c>
      <c r="C88" s="30">
        <f>IF(OR('입력'!$C$87="",'입력'!$C$47=""),"",ROUNDUP('입력'!$C$87*'입력'!$C$47/100,0))</f>
        <v/>
      </c>
    </row>
    <row r="89" ht="20" customHeight="1">
      <c r="B89" s="28" t="inlineStr">
        <is>
          <t>준공검사 요청일</t>
        </is>
      </c>
      <c r="C89" s="31">
        <f>IF('입력'!$C$69="",'입력'!$C$68,'입력'!$C$69)</f>
        <v/>
      </c>
    </row>
    <row r="90" ht="20" customHeight="1">
      <c r="B90" s="28" t="inlineStr">
        <is>
          <t>하자담보 시작일</t>
        </is>
      </c>
      <c r="C90" s="31">
        <f>IF('입력'!$C$78="",'입력'!$C$70,'입력'!$C$78)</f>
        <v/>
      </c>
    </row>
    <row r="91" ht="20" customHeight="1">
      <c r="B91" s="28" t="inlineStr">
        <is>
          <t>하자담보 끝나는 날</t>
        </is>
      </c>
      <c r="C91" s="31">
        <f>IF(OR('입력'!$C$90="",'입력'!$C$48=""),"",EDATE('입력'!$C$90,'입력'!$C$48*12)-1)</f>
        <v/>
      </c>
    </row>
    <row r="92" ht="20" customHeight="1">
      <c r="B92" s="28" t="inlineStr">
        <is>
          <t>지체 계산 기준 준공기한</t>
        </is>
      </c>
      <c r="C92" s="31">
        <f>IF('입력'!$C$72="",'입력'!$C$13,'입력'!$C$72)</f>
        <v/>
      </c>
    </row>
    <row r="93" ht="20" customHeight="1">
      <c r="B93" s="28" t="inlineStr">
        <is>
          <t>지체 일수</t>
        </is>
      </c>
      <c r="C93" s="29">
        <f>IF(OR('입력'!$C$68="",'입력'!$C$92=""),"",MAX(0,'입력'!$C$68-'입력'!$C$92))</f>
        <v/>
      </c>
    </row>
    <row r="94" ht="20" customHeight="1">
      <c r="B94" s="28" t="inlineStr">
        <is>
          <t>지체상금 (자동 계산)</t>
        </is>
      </c>
      <c r="C94" s="30">
        <f>IF(OR('입력'!$C$93="",'입력'!$C$50=""),"",ROUNDDOWN('입력'!$C$87*'입력'!$C$50/1000*'입력'!$C$93,0))</f>
        <v/>
      </c>
    </row>
    <row r="95" ht="20" customHeight="1">
      <c r="B95" s="28" t="inlineStr">
        <is>
          <t>지체상금 (서류에 쓰는 값)</t>
        </is>
      </c>
      <c r="C95" s="30">
        <f>IF('입력'!$C$76="",IF('입력'!$C$94="",0,'입력'!$C$94),'입력'!$C$76)</f>
        <v/>
      </c>
    </row>
    <row r="96" ht="20" customHeight="1">
      <c r="B96" s="28" t="inlineStr">
        <is>
          <t>이번 회까지 기성 누계 (원)</t>
        </is>
      </c>
      <c r="C96" s="30">
        <f>IF('입력'!$C$59="","",N('입력'!$C$58)+'입력'!$C$59)</f>
        <v/>
      </c>
    </row>
    <row r="97" ht="20" customHeight="1">
      <c r="B97" s="28" t="inlineStr">
        <is>
          <t>기성률 (누계 ÷ 계약 금액)</t>
        </is>
      </c>
      <c r="C97" s="32">
        <f>IF(OR('입력'!$C$96="",N('입력'!$C$14)=0),"",'입력'!$C$96/'입력'!$C$14)</f>
        <v/>
      </c>
    </row>
    <row r="98" ht="20" customHeight="1">
      <c r="B98" s="28" t="inlineStr">
        <is>
          <t>기성금 청구액 (원)</t>
        </is>
      </c>
      <c r="C98" s="30">
        <f>IF('입력'!$C$59="","",'입력'!$C$59-N('입력'!$C$60))</f>
        <v/>
      </c>
    </row>
    <row r="99" ht="20" customHeight="1">
      <c r="B99" s="28" t="inlineStr">
        <is>
          <t>기성금 청구일</t>
        </is>
      </c>
      <c r="C99" s="31">
        <f>IF('입력'!$C$57="",'입력'!$C$56,'입력'!$C$57)</f>
        <v/>
      </c>
    </row>
    <row r="100" ht="20" customHeight="1">
      <c r="B100" s="28" t="inlineStr">
        <is>
          <t>준공금 청구액 (원)</t>
        </is>
      </c>
      <c r="C100" s="30">
        <f>IF('입력'!$C$87="","",'입력'!$C$87-N('입력'!$C$74)-N('입력'!$C$75)-N('입력'!$C$95))</f>
        <v/>
      </c>
    </row>
    <row r="101" ht="20" customHeight="1">
      <c r="B101" s="28" t="inlineStr">
        <is>
          <t>준공금 청구일</t>
        </is>
      </c>
      <c r="C101" s="31">
        <f>IF('입력'!$C$77="",'입력'!$C$70,'입력'!$C$77)</f>
        <v/>
      </c>
    </row>
    <row r="102" ht="20" customHeight="1">
      <c r="B102" s="28" t="inlineStr">
        <is>
          <t>연장 요청 일수</t>
        </is>
      </c>
      <c r="C102" s="29">
        <f>IF(OR('입력'!$C$64="",'입력'!$C$13=""),"",'입력'!$C$64-'입력'!$C$13)</f>
        <v/>
      </c>
    </row>
    <row r="103" ht="20" customHeight="1">
      <c r="B103" s="28" t="inlineStr">
        <is>
          <t>정산 증감액 (원)</t>
        </is>
      </c>
      <c r="C103" s="33">
        <f>IF(OR('입력'!$C$87="",'입력'!$C$14=""),"",'입력'!$C$87-'입력'!$C$14)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2">
    <mergeCell ref="B5:D5"/>
    <mergeCell ref="B37:D37"/>
    <mergeCell ref="B67:D67"/>
    <mergeCell ref="B80:D80"/>
    <mergeCell ref="B1:D1"/>
    <mergeCell ref="B84:D84"/>
    <mergeCell ref="B26:D26"/>
    <mergeCell ref="B2:D2"/>
    <mergeCell ref="B52:D52"/>
    <mergeCell ref="B44:D44"/>
    <mergeCell ref="B62:D62"/>
    <mergeCell ref="B16:D16"/>
  </mergeCells>
  <dataValidations count="6">
    <dataValidation sqref="C10" showDropDown="0" showInputMessage="0" showErrorMessage="0" allowBlank="1" type="list">
      <formula1>"일반경쟁,제한경쟁,지명경쟁,수의계약,민간계약,기타"</formula1>
    </dataValidation>
    <dataValidation sqref="C11 C12 C13 C54 C55 C56 C57 C63 C64 C68 C69 C70 C72 C77 C78 C81" showDropDown="0" showInputMessage="0" showErrorMessage="1" allowBlank="1" errorTitle="날짜" error="날짜로 넣어 주세요. 예: 2026-03-02" type="date" operator="greaterThan">
      <formula1>1</formula1>
    </dataValidation>
    <dataValidation sqref="C14 C45 C47 C48 C50 C53 C58 C59 C60 C73 C74 C75 C76" showDropDown="0" showInputMessage="0" showErrorMessage="1" allowBlank="1" errorTitle="숫자" error="숫자만 넣어 주세요 (쉼표·원 없이)." type="decimal" operator="greaterThanOrEqual">
      <formula1>0</formula1>
    </dataValidation>
    <dataValidation sqref="C46 C49" showDropDown="0" showInputMessage="0" showErrorMessage="0" allowBlank="1" type="list">
      <formula1>"보증서(증권),현금,지급각서,면제"</formula1>
    </dataValidation>
    <dataValidation sqref="C71" showDropDown="0" showInputMessage="0" showErrorMessage="0" allowBlank="1" type="list">
      <formula1>"합격,보완 요구"</formula1>
    </dataValidation>
    <dataValidation sqref="C82" showDropDown="0" showInputMessage="0" showErrorMessage="0" allowBlank="1" type="list">
      <formula1>"하자 없음,하자 있음 (보수 요구)"</formula1>
    </dataValidation>
  </dataValidations>
  <hyperlinks>
    <hyperlink ref="B3" location="'처음'!A1" display="← 처음(목록)으로"/>
  </hyperlinks>
  <printOptions horizontalCentered="1"/>
  <pageMargins left="0.6" right="0.6" top="0.75" bottom="0.6" header="0.3" footer="0.3"/>
  <pageSetup orientation="portrait" paperSize="9" fitToHeight="0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사 용 인 감 계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2.2" customHeight="1">
      <c r="B4" s="35" t="inlineStr">
        <is>
          <t>상    호</t>
        </is>
      </c>
      <c r="C4" s="36" t="n"/>
      <c r="D4" s="37" t="n"/>
      <c r="E4" s="38">
        <f>'입력'!$C$27&amp;""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2.2" customHeight="1">
      <c r="B5" s="35" t="inlineStr">
        <is>
          <t>대 표 자</t>
        </is>
      </c>
      <c r="C5" s="36" t="n"/>
      <c r="D5" s="37" t="n"/>
      <c r="E5" s="38">
        <f>'입력'!$C$28&amp;""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2.2" customHeight="1">
      <c r="B6" s="35" t="inlineStr">
        <is>
          <t>사업자등록번호</t>
        </is>
      </c>
      <c r="C6" s="36" t="n"/>
      <c r="D6" s="37" t="n"/>
      <c r="E6" s="38">
        <f>'입력'!$C$29&amp;""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2.1" customHeight="1">
      <c r="B7" s="35" t="inlineStr">
        <is>
          <t>주    소</t>
        </is>
      </c>
      <c r="C7" s="36" t="n"/>
      <c r="D7" s="37" t="n"/>
      <c r="E7" s="38">
        <f>'입력'!$C$30&amp;""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42.1" customHeight="1">
      <c r="B9" s="35" t="inlineStr">
        <is>
          <t>대상 계약</t>
        </is>
      </c>
      <c r="C9" s="36" t="n"/>
      <c r="D9" s="37" t="n"/>
      <c r="E9" s="38">
        <f>'입력'!$C$6&amp;""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2.2" customHeight="1">
      <c r="B10" s="35" t="inlineStr">
        <is>
          <t>사용 기간</t>
        </is>
      </c>
      <c r="C10" s="36" t="n"/>
      <c r="D10" s="37" t="n"/>
      <c r="E10" s="38" t="inlineStr">
        <is>
          <t>이 계약의 체결부터 하자담보책임기간이 끝날 때까지</t>
        </is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4" customHeight="1">
      <c r="B12" s="35" t="inlineStr">
        <is>
          <t>구  분</t>
        </is>
      </c>
      <c r="C12" s="36" t="n"/>
      <c r="D12" s="37" t="n"/>
      <c r="E12" s="35" t="inlineStr">
        <is>
          <t>인  감</t>
        </is>
      </c>
      <c r="F12" s="36" t="n"/>
      <c r="G12" s="36" t="n"/>
      <c r="H12" s="36" t="n"/>
      <c r="I12" s="37" t="n"/>
      <c r="J12" s="35" t="inlineStr">
        <is>
          <t>비  고</t>
        </is>
      </c>
      <c r="K12" s="36" t="n"/>
      <c r="L12" s="36" t="n"/>
      <c r="M12" s="37" t="n"/>
    </row>
    <row r="13" ht="86.59999999999999" customHeight="1">
      <c r="B13" s="42" t="inlineStr">
        <is>
          <t>법인(개인) 인감</t>
        </is>
      </c>
      <c r="C13" s="39" t="n"/>
      <c r="D13" s="40" t="n"/>
      <c r="E13" s="42" t="n"/>
      <c r="F13" s="39" t="n"/>
      <c r="G13" s="39" t="n"/>
      <c r="H13" s="39" t="n"/>
      <c r="I13" s="40" t="n"/>
      <c r="J13" s="42" t="inlineStr">
        <is>
          <t>인감증명서 붙임</t>
        </is>
      </c>
      <c r="K13" s="39" t="n"/>
      <c r="L13" s="39" t="n"/>
      <c r="M13" s="40" t="n"/>
    </row>
    <row r="14" ht="86.59999999999999" customHeight="1">
      <c r="B14" s="42" t="inlineStr">
        <is>
          <t>사용 인감</t>
        </is>
      </c>
      <c r="C14" s="39" t="n"/>
      <c r="D14" s="40" t="n"/>
      <c r="E14" s="42" t="n"/>
      <c r="F14" s="39" t="n"/>
      <c r="G14" s="39" t="n"/>
      <c r="H14" s="39" t="n"/>
      <c r="I14" s="40" t="n"/>
      <c r="J14" s="42" t="n"/>
      <c r="K14" s="39" t="n"/>
      <c r="L14" s="39" t="n"/>
      <c r="M14" s="40" t="n"/>
    </row>
    <row r="15" ht="8" customHeight="1"/>
    <row r="16" ht="42.1" customHeight="1">
      <c r="B16" s="43" t="inlineStr">
        <is>
          <t>위 사용 인감을 이 계약과 관련된 모든 서류에 법인(개인) 인감을 대신하여 사용하고자 신고하며, 이 인감을 사용하여 생기는 모든 책임은 우리 회사가 집니다.</t>
        </is>
      </c>
    </row>
    <row r="17" ht="8" customHeight="1"/>
    <row r="18" ht="30" customHeight="1">
      <c r="B18" s="44">
        <f>IF('입력'!$C$11="","          년      월      일",YEAR('입력'!$C$11)&amp;"년  "&amp;MONTH('입력'!$C$11)&amp;"월  "&amp;DAY('입력'!$C$11)&amp;"일")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2">
    <mergeCell ref="G21:H21"/>
    <mergeCell ref="B2:M2"/>
    <mergeCell ref="J22:M22"/>
    <mergeCell ref="E12:I12"/>
    <mergeCell ref="B14:D14"/>
    <mergeCell ref="E10:M10"/>
    <mergeCell ref="J12:M12"/>
    <mergeCell ref="B13:D13"/>
    <mergeCell ref="E9:M9"/>
    <mergeCell ref="J21:M21"/>
    <mergeCell ref="B20:E20"/>
    <mergeCell ref="E14:I14"/>
    <mergeCell ref="E6:M6"/>
    <mergeCell ref="B10:D10"/>
    <mergeCell ref="B9:D9"/>
    <mergeCell ref="E13:I13"/>
    <mergeCell ref="J14:M14"/>
    <mergeCell ref="B6:D6"/>
    <mergeCell ref="E7:M7"/>
    <mergeCell ref="B5:D5"/>
    <mergeCell ref="J13:M13"/>
    <mergeCell ref="B4:D4"/>
    <mergeCell ref="B7:D7"/>
    <mergeCell ref="B16:M16"/>
    <mergeCell ref="G20:H20"/>
    <mergeCell ref="B25:M25"/>
    <mergeCell ref="E5:M5"/>
    <mergeCell ref="J20:M20"/>
    <mergeCell ref="B18:M18"/>
    <mergeCell ref="G22:H22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보 증 금 납 부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보증금률</t>
        </is>
      </c>
      <c r="C7" s="36" t="n"/>
      <c r="D7" s="37" t="n"/>
      <c r="E7" s="38">
        <f>IF('입력'!$C$45="","",'입력'!$C$45&amp;"%")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계약보증금</t>
        </is>
      </c>
      <c r="C8" s="36" t="n"/>
      <c r="D8" s="37" t="n"/>
      <c r="E8" s="38">
        <f>IF('입력'!$C$86="","",'계산'!$J$5&amp;"원정 (₩"&amp;FIXED('입력'!$C$86,0)&amp;")")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납부 방법</t>
        </is>
      </c>
      <c r="C9" s="36" t="n"/>
      <c r="D9" s="37" t="n"/>
      <c r="E9" s="38">
        <f>'입력'!$C$46&amp;""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보증 기간</t>
        </is>
      </c>
      <c r="C10" s="36" t="n"/>
      <c r="D10" s="37" t="n"/>
      <c r="E10" s="38">
        <f>IF(OR('입력'!$C$11="",'입력'!$C$13=""),"",IF('입력'!$C$11="","",YEAR('입력'!$C$11)&amp;". "&amp;MONTH('입력'!$C$11)&amp;". "&amp;DAY('입력'!$C$11)&amp;".")&amp;" ~ "&amp;IF('입력'!$C$13="","",YEAR('입력'!$C$13)&amp;". "&amp;MONTH('입력'!$C$13)&amp;". "&amp;DAY('입력'!$C$13)&amp;"."))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 계약의 계약보증금을 위와 같이 납부합니다.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계약보증서(보증증권) — 현금이면 납부 영수증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8" customHeight="1"/>
    <row r="16" ht="22.725" customHeight="1">
      <c r="B16" s="50" t="inlineStr">
        <is>
          <t>※ 보증 기간은 보증서에 적힌 기간을 확인하세요.</t>
        </is>
      </c>
    </row>
    <row r="17" ht="99.82499999999993" customHeight="1"/>
    <row r="18" ht="30" customHeight="1">
      <c r="B18" s="44">
        <f>IF('입력'!$C$11="","          년      월      일",YEAR('입력'!$C$11)&amp;"년  "&amp;MONTH('입력'!$C$11)&amp;"월  "&amp;DAY('입력'!$C$11)&amp;"일")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2">
    <mergeCell ref="G21:H21"/>
    <mergeCell ref="B2:M2"/>
    <mergeCell ref="J22:M22"/>
    <mergeCell ref="E10:M10"/>
    <mergeCell ref="B8:D8"/>
    <mergeCell ref="E9:M9"/>
    <mergeCell ref="J21:M21"/>
    <mergeCell ref="B20:E20"/>
    <mergeCell ref="E6:M6"/>
    <mergeCell ref="B10:D10"/>
    <mergeCell ref="G22:H22"/>
    <mergeCell ref="K14:M14"/>
    <mergeCell ref="B9:D9"/>
    <mergeCell ref="B6:D6"/>
    <mergeCell ref="E7:M7"/>
    <mergeCell ref="B5:D5"/>
    <mergeCell ref="K13:M13"/>
    <mergeCell ref="B4:D4"/>
    <mergeCell ref="I14:J14"/>
    <mergeCell ref="B7:D7"/>
    <mergeCell ref="B14:H14"/>
    <mergeCell ref="B16:M16"/>
    <mergeCell ref="G20:H20"/>
    <mergeCell ref="B25:M25"/>
    <mergeCell ref="B13:H13"/>
    <mergeCell ref="E5:M5"/>
    <mergeCell ref="J20:M20"/>
    <mergeCell ref="E8:M8"/>
    <mergeCell ref="I13:J13"/>
    <mergeCell ref="B18:M18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1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보 증 금 지 급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계약보증금</t>
        </is>
      </c>
      <c r="C7" s="36" t="n"/>
      <c r="D7" s="37" t="n"/>
      <c r="E7" s="38">
        <f>IF('입력'!$C$86="","",'계산'!$J$5&amp;"원정 (₩"&amp;FIXED('입력'!$C$86,0)&amp;")")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59.15000000000001" customHeight="1">
      <c r="B9" s="43" t="inlineStr">
        <is>
          <t>우리 회사는 위 계약의 계약보증금 납부를 면제받는 대신, 계약상의 의무를 이행하지 아니하여 계약보증금이 발주기관에 귀속되는 사유가 생긴 때에는 위 계약보증금에 해당하는 금액을 발주기관의 청구에 따라 즉시 현금으로 납부할 것을 각서합니다.</t>
        </is>
      </c>
    </row>
    <row r="10" ht="128" customHeight="1"/>
    <row r="11" ht="30" customHeight="1">
      <c r="B11" s="44">
        <f>IF('입력'!$C$11="","          년      월      일",YEAR('입력'!$C$11)&amp;"년  "&amp;MONTH('입력'!$C$11)&amp;"월  "&amp;DAY('입력'!$C$11)&amp;"일")</f>
        <v/>
      </c>
    </row>
    <row r="12" ht="6" customHeight="1"/>
    <row r="13" ht="24" customHeight="1">
      <c r="B13" s="45" t="inlineStr">
        <is>
          <t>계약상대자</t>
        </is>
      </c>
      <c r="G13" s="46" t="inlineStr">
        <is>
          <t>상    호</t>
        </is>
      </c>
      <c r="I13" s="47" t="inlineStr">
        <is>
          <t>:</t>
        </is>
      </c>
      <c r="J13" s="48">
        <f>'입력'!$C$27&amp;""</f>
        <v/>
      </c>
    </row>
    <row r="14" ht="24" customHeight="1">
      <c r="G14" s="46" t="inlineStr">
        <is>
          <t>주    소</t>
        </is>
      </c>
      <c r="I14" s="47" t="inlineStr">
        <is>
          <t>:</t>
        </is>
      </c>
      <c r="J14" s="48">
        <f>'입력'!$C$30&amp;""</f>
        <v/>
      </c>
    </row>
    <row r="15" ht="24" customHeight="1">
      <c r="G15" s="46" t="inlineStr">
        <is>
          <t>대 표 자</t>
        </is>
      </c>
      <c r="I15" s="47" t="inlineStr">
        <is>
          <t>:</t>
        </is>
      </c>
      <c r="J15" s="48">
        <f>'입력'!$C$28&amp;"          (인)"</f>
        <v/>
      </c>
    </row>
    <row r="16" ht="8" customHeight="1"/>
    <row r="17" ht="8" customHeight="1"/>
    <row r="18" ht="30" customHeight="1">
      <c r="B18" s="49">
        <f>IF('입력'!$C$18="","                  귀하",'입력'!$C$18&amp;"  귀하")</f>
        <v/>
      </c>
    </row>
  </sheetData>
  <mergeCells count="19">
    <mergeCell ref="B2:M2"/>
    <mergeCell ref="B11:M11"/>
    <mergeCell ref="E6:M6"/>
    <mergeCell ref="B9:M9"/>
    <mergeCell ref="J14:M14"/>
    <mergeCell ref="G13:H13"/>
    <mergeCell ref="B6:D6"/>
    <mergeCell ref="E7:M7"/>
    <mergeCell ref="B5:D5"/>
    <mergeCell ref="J13:M13"/>
    <mergeCell ref="G15:H15"/>
    <mergeCell ref="B4:D4"/>
    <mergeCell ref="G14:H14"/>
    <mergeCell ref="J15:M15"/>
    <mergeCell ref="B7:D7"/>
    <mergeCell ref="E5:M5"/>
    <mergeCell ref="B13:E13"/>
    <mergeCell ref="B18:M18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청 렴 계 약 이 행 서 약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상    호</t>
        </is>
      </c>
      <c r="C6" s="36" t="n"/>
      <c r="D6" s="37" t="n"/>
      <c r="E6" s="38">
        <f>'입력'!$C$27&amp;""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대 표 자</t>
        </is>
      </c>
      <c r="C7" s="36" t="n"/>
      <c r="D7" s="37" t="n"/>
      <c r="E7" s="38">
        <f>'입력'!$C$28&amp;""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5.05" customHeight="1">
      <c r="B9" s="43" t="inlineStr">
        <is>
          <t>우리 회사는 위 공사의 입찰·계약 체결과 이행에 관련하여 다음 사항을 지킬 것을 서약합니다.</t>
        </is>
      </c>
    </row>
    <row r="10" ht="25.05" customHeight="1">
      <c r="B10" s="43" t="inlineStr">
        <is>
          <t>1. 관계 공무원(임직원)에게 직접 또는 간접으로 금품·향응 등을 주거나 받지 않겠습니다.</t>
        </is>
      </c>
    </row>
    <row r="11" ht="25.05" customHeight="1">
      <c r="B11" s="43" t="inlineStr">
        <is>
          <t>2. 담합 등 공정한 경쟁을 방해하는 행위를 하지 않겠습니다.</t>
        </is>
      </c>
    </row>
    <row r="12" ht="25.05" customHeight="1">
      <c r="B12" s="43" t="inlineStr">
        <is>
          <t>3. 하도급·자재·장비 업체와의 거래에서도 부당한 요구를 하거나 금품을 주고받지 않겠습니다.</t>
        </is>
      </c>
    </row>
    <row r="13" ht="42.1" customHeight="1">
      <c r="B13" s="43" t="inlineStr">
        <is>
          <t>4. 위 사항을 어긴 때에는 계약 해제·해지, 입찰참가자격 제한 등 관계 법령과 계약 조건에 따른 조치를 받아들이겠습니다.</t>
        </is>
      </c>
    </row>
    <row r="14" ht="128" customHeight="1"/>
    <row r="15" ht="30" customHeight="1">
      <c r="B15" s="44">
        <f>IF('입력'!$C$11="","          년      월      일",YEAR('입력'!$C$11)&amp;"년  "&amp;MONTH('입력'!$C$11)&amp;"월  "&amp;DAY('입력'!$C$11)&amp;"일")</f>
        <v/>
      </c>
    </row>
    <row r="16" ht="6" customHeight="1"/>
    <row r="17" ht="24" customHeight="1">
      <c r="B17" s="45" t="inlineStr">
        <is>
          <t>계약상대자</t>
        </is>
      </c>
      <c r="G17" s="46" t="inlineStr">
        <is>
          <t>상    호</t>
        </is>
      </c>
      <c r="I17" s="47" t="inlineStr">
        <is>
          <t>:</t>
        </is>
      </c>
      <c r="J17" s="48">
        <f>'입력'!$C$27&amp;""</f>
        <v/>
      </c>
    </row>
    <row r="18" ht="24" customHeight="1">
      <c r="G18" s="46" t="inlineStr">
        <is>
          <t>주    소</t>
        </is>
      </c>
      <c r="I18" s="47" t="inlineStr">
        <is>
          <t>:</t>
        </is>
      </c>
      <c r="J18" s="48">
        <f>'입력'!$C$30&amp;""</f>
        <v/>
      </c>
    </row>
    <row r="19" ht="24" customHeight="1">
      <c r="G19" s="46" t="inlineStr">
        <is>
          <t>대 표 자</t>
        </is>
      </c>
      <c r="I19" s="47" t="inlineStr">
        <is>
          <t>:</t>
        </is>
      </c>
      <c r="J19" s="48">
        <f>'입력'!$C$28&amp;"          (인)"</f>
        <v/>
      </c>
    </row>
    <row r="20" ht="8" customHeight="1"/>
    <row r="21" ht="8" customHeight="1"/>
    <row r="22" ht="30" customHeight="1">
      <c r="B22" s="49">
        <f>IF('입력'!$C$18="","                  귀하",'입력'!$C$18&amp;"  귀하")</f>
        <v/>
      </c>
    </row>
  </sheetData>
  <mergeCells count="23">
    <mergeCell ref="B2:M2"/>
    <mergeCell ref="B11:M11"/>
    <mergeCell ref="B13:M13"/>
    <mergeCell ref="G17:H17"/>
    <mergeCell ref="J18:M18"/>
    <mergeCell ref="E6:M6"/>
    <mergeCell ref="B10:M10"/>
    <mergeCell ref="J17:M17"/>
    <mergeCell ref="G19:H19"/>
    <mergeCell ref="B9:M9"/>
    <mergeCell ref="G18:H18"/>
    <mergeCell ref="B6:D6"/>
    <mergeCell ref="J19:M19"/>
    <mergeCell ref="E7:M7"/>
    <mergeCell ref="B5:D5"/>
    <mergeCell ref="B15:M15"/>
    <mergeCell ref="B4:D4"/>
    <mergeCell ref="B7:D7"/>
    <mergeCell ref="B17:E17"/>
    <mergeCell ref="E5:M5"/>
    <mergeCell ref="B22:M22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수 의 계 약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44.2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 방법</t>
        </is>
      </c>
      <c r="C6" s="36" t="n"/>
      <c r="D6" s="37" t="n"/>
      <c r="E6" s="38">
        <f>'입력'!$C$10&amp;""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25.05" customHeight="1">
      <c r="B8" s="43" t="inlineStr">
        <is>
          <t>우리 회사는 위 공사를 수의계약으로 체결하면서 다음 사항을 지킬 것을 각서합니다.</t>
        </is>
      </c>
    </row>
    <row r="9" ht="25.05" customHeight="1">
      <c r="B9" s="43" t="inlineStr">
        <is>
          <t>1. 견적서 제출과 계약 체결 과정에서 다른 업체와 짜거나 부정한 방법을 쓰지 않았습니다.</t>
        </is>
      </c>
    </row>
    <row r="10" ht="25.05" customHeight="1">
      <c r="B10" s="43" t="inlineStr">
        <is>
          <t>2. 수의계약 상대자가 되는 데 결격 사유가 없으며, 제출한 서류는 사실과 다르지 않습니다.</t>
        </is>
      </c>
    </row>
    <row r="11" ht="25.05" customHeight="1">
      <c r="B11" s="43" t="inlineStr">
        <is>
          <t>3. 계약을 이행하면서 관계 법령과 계약 조건을 성실히 지키겠습니다.</t>
        </is>
      </c>
    </row>
    <row r="12" ht="42.1" customHeight="1">
      <c r="B12" s="43" t="inlineStr">
        <is>
          <t>4. 위 사항이 사실과 다르거나 이를 어긴 때에는 계약 해제·해지 등 관계 법령에 따른 조치를 받아들이겠습니다.</t>
        </is>
      </c>
    </row>
    <row r="13" ht="128" customHeight="1"/>
    <row r="14" ht="30" customHeight="1">
      <c r="B14" s="44">
        <f>IF('입력'!$C$11="","          년      월      일",YEAR('입력'!$C$11)&amp;"년  "&amp;MONTH('입력'!$C$11)&amp;"월  "&amp;DAY('입력'!$C$11)&amp;"일")</f>
        <v/>
      </c>
    </row>
    <row r="15" ht="6" customHeight="1"/>
    <row r="16" ht="24" customHeight="1">
      <c r="B16" s="45" t="inlineStr">
        <is>
          <t>계약상대자</t>
        </is>
      </c>
      <c r="G16" s="46" t="inlineStr">
        <is>
          <t>상    호</t>
        </is>
      </c>
      <c r="I16" s="47" t="inlineStr">
        <is>
          <t>:</t>
        </is>
      </c>
      <c r="J16" s="48">
        <f>'입력'!$C$27&amp;""</f>
        <v/>
      </c>
    </row>
    <row r="17" ht="24" customHeight="1">
      <c r="G17" s="46" t="inlineStr">
        <is>
          <t>주    소</t>
        </is>
      </c>
      <c r="I17" s="47" t="inlineStr">
        <is>
          <t>:</t>
        </is>
      </c>
      <c r="J17" s="48">
        <f>'입력'!$C$30&amp;""</f>
        <v/>
      </c>
    </row>
    <row r="18" ht="24" customHeight="1">
      <c r="G18" s="46" t="inlineStr">
        <is>
          <t>대 표 자</t>
        </is>
      </c>
      <c r="I18" s="47" t="inlineStr">
        <is>
          <t>:</t>
        </is>
      </c>
      <c r="J18" s="48">
        <f>'입력'!$C$28&amp;"          (인)"</f>
        <v/>
      </c>
    </row>
    <row r="19" ht="8" customHeight="1"/>
    <row r="20" ht="8" customHeight="1"/>
    <row r="21" ht="30" customHeight="1">
      <c r="B21" s="49">
        <f>IF('입력'!$C$18="","                  귀하",'입력'!$C$18&amp;"  귀하")</f>
        <v/>
      </c>
    </row>
  </sheetData>
  <mergeCells count="21">
    <mergeCell ref="B2:M2"/>
    <mergeCell ref="B11:M11"/>
    <mergeCell ref="B8:M8"/>
    <mergeCell ref="B14:M14"/>
    <mergeCell ref="G17:H17"/>
    <mergeCell ref="J18:M18"/>
    <mergeCell ref="E6:M6"/>
    <mergeCell ref="B10:M10"/>
    <mergeCell ref="J17:M17"/>
    <mergeCell ref="B16:E16"/>
    <mergeCell ref="B9:M9"/>
    <mergeCell ref="G18:H18"/>
    <mergeCell ref="B6:D6"/>
    <mergeCell ref="B5:D5"/>
    <mergeCell ref="B4:D4"/>
    <mergeCell ref="G16:H16"/>
    <mergeCell ref="E5:M5"/>
    <mergeCell ref="J16:M16"/>
    <mergeCell ref="B21:M21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착 공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5.8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7.4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7.4" customHeight="1">
      <c r="B6" s="35" t="inlineStr">
        <is>
          <t>계 약 일</t>
        </is>
      </c>
      <c r="C6" s="36" t="n"/>
      <c r="D6" s="37" t="n"/>
      <c r="E6" s="38">
        <f>IF('입력'!$C$11="","",YEAR('입력'!$C$11)&amp;". "&amp;MONTH('입력'!$C$11)&amp;". "&amp;DAY('입력'!$C$11)&amp;".")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5.8" customHeight="1">
      <c r="B7" s="35" t="inlineStr">
        <is>
          <t>계약 금액</t>
        </is>
      </c>
      <c r="C7" s="36" t="n"/>
      <c r="D7" s="37" t="n"/>
      <c r="E7" s="38">
        <f>IF('입력'!$C$14="","",'계산'!$J$3&amp;"원정 (₩"&amp;FIXED('입력'!$C$14,0)&amp;")")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7.4" customHeight="1">
      <c r="B8" s="35" t="inlineStr">
        <is>
          <t>공사 기간</t>
        </is>
      </c>
      <c r="C8" s="36" t="n"/>
      <c r="D8" s="37" t="n"/>
      <c r="E8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7.4" customHeight="1">
      <c r="B9" s="35" t="inlineStr">
        <is>
          <t>착 공 일</t>
        </is>
      </c>
      <c r="C9" s="36" t="n"/>
      <c r="D9" s="37" t="n"/>
      <c r="E9" s="38">
        <f>IF('입력'!$C$12="","",YEAR('입력'!$C$12)&amp;". "&amp;MONTH('입력'!$C$12)&amp;". "&amp;DAY('입력'!$C$12)&amp;".")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7.4" customHeight="1">
      <c r="B10" s="35" t="inlineStr">
        <is>
          <t>준공 기한</t>
        </is>
      </c>
      <c r="C10" s="36" t="n"/>
      <c r="D10" s="37" t="n"/>
      <c r="E10" s="38">
        <f>IF('입력'!$C$13="","",YEAR('입력'!$C$13)&amp;". "&amp;MONTH('입력'!$C$13)&amp;". "&amp;DAY('입력'!$C$13)&amp;".")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5.8" customHeight="1">
      <c r="B11" s="35" t="inlineStr">
        <is>
          <t>현장 위치</t>
        </is>
      </c>
      <c r="C11" s="36" t="n"/>
      <c r="D11" s="37" t="n"/>
      <c r="E11" s="38">
        <f>'입력'!$C$7&amp;""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7.4" customHeight="1">
      <c r="B12" s="35" t="inlineStr">
        <is>
          <t>현장대리인</t>
        </is>
      </c>
      <c r="C12" s="36" t="n"/>
      <c r="D12" s="37" t="n"/>
      <c r="E12" s="38">
        <f>'입력'!$C$38&amp;IF('입력'!$C$40="",""," ("&amp;'입력'!$C$40&amp;")")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5.05" customHeight="1">
      <c r="B14" s="43" t="inlineStr">
        <is>
          <t>위 공사를 계약 조건에 따라 착공하였기에 관계 서류를 붙여 신고합니다.</t>
        </is>
      </c>
    </row>
    <row r="15" ht="24" customHeight="1">
      <c r="B15" s="35" t="inlineStr">
        <is>
          <t>붙임 서류</t>
        </is>
      </c>
      <c r="C15" s="36" t="n"/>
      <c r="D15" s="36" t="n"/>
      <c r="E15" s="36" t="n"/>
      <c r="F15" s="36" t="n"/>
      <c r="G15" s="36" t="n"/>
      <c r="H15" s="37" t="n"/>
      <c r="I15" s="35" t="inlineStr">
        <is>
          <t>부수</t>
        </is>
      </c>
      <c r="J15" s="37" t="n"/>
      <c r="K15" s="35" t="inlineStr">
        <is>
          <t>비고</t>
        </is>
      </c>
      <c r="L15" s="36" t="n"/>
      <c r="M15" s="37" t="n"/>
    </row>
    <row r="16" ht="23.2" customHeight="1">
      <c r="B16" s="42" t="inlineStr">
        <is>
          <t>현장대리인 지정 신고서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3.2" customHeight="1">
      <c r="B17" s="42" t="inlineStr">
        <is>
          <t>공사 예정공정표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3.2" customHeight="1">
      <c r="B18" s="42" t="inlineStr">
        <is>
          <t>직접시공계획서 (해당 시)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23.2" customHeight="1">
      <c r="B19" s="42" t="inlineStr">
        <is>
          <t>안전·보건 관리 계획서 (해당 시)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23.2" customHeight="1">
      <c r="B20" s="42" t="inlineStr">
        <is>
          <t>착공 전 현장 사진</t>
        </is>
      </c>
      <c r="C20" s="39" t="n"/>
      <c r="D20" s="39" t="n"/>
      <c r="E20" s="39" t="n"/>
      <c r="F20" s="39" t="n"/>
      <c r="G20" s="39" t="n"/>
      <c r="H20" s="40" t="n"/>
      <c r="I20" s="42" t="inlineStr">
        <is>
          <t>1부</t>
        </is>
      </c>
      <c r="J20" s="40" t="n"/>
      <c r="K20" s="42" t="n"/>
      <c r="L20" s="39" t="n"/>
      <c r="M20" s="40" t="n"/>
    </row>
    <row r="21" ht="23.2" customHeight="1">
      <c r="B21" s="42" t="n"/>
      <c r="C21" s="39" t="n"/>
      <c r="D21" s="39" t="n"/>
      <c r="E21" s="39" t="n"/>
      <c r="F21" s="39" t="n"/>
      <c r="G21" s="39" t="n"/>
      <c r="H21" s="40" t="n"/>
      <c r="I21" s="42" t="n"/>
      <c r="J21" s="40" t="n"/>
      <c r="K21" s="42" t="n"/>
      <c r="L21" s="39" t="n"/>
      <c r="M21" s="40" t="n"/>
    </row>
    <row r="22" ht="8" customHeight="1"/>
    <row r="23" ht="8" customHeight="1"/>
    <row r="24" ht="30" customHeight="1">
      <c r="B24" s="44">
        <f>IF('입력'!$C$12="","          년      월      일",YEAR('입력'!$C$12)&amp;"년  "&amp;MONTH('입력'!$C$12)&amp;"월  "&amp;DAY('입력'!$C$12)&amp;"일")</f>
        <v/>
      </c>
    </row>
    <row r="25" ht="6" customHeight="1"/>
    <row r="26" ht="24" customHeight="1">
      <c r="B26" s="45" t="inlineStr">
        <is>
          <t>계약상대자</t>
        </is>
      </c>
      <c r="G26" s="46" t="inlineStr">
        <is>
          <t>상    호</t>
        </is>
      </c>
      <c r="I26" s="47" t="inlineStr">
        <is>
          <t>:</t>
        </is>
      </c>
      <c r="J26" s="48">
        <f>'입력'!$C$27&amp;""</f>
        <v/>
      </c>
    </row>
    <row r="27" ht="24" customHeight="1">
      <c r="G27" s="46" t="inlineStr">
        <is>
          <t>주    소</t>
        </is>
      </c>
      <c r="I27" s="47" t="inlineStr">
        <is>
          <t>:</t>
        </is>
      </c>
      <c r="J27" s="48">
        <f>'입력'!$C$30&amp;""</f>
        <v/>
      </c>
    </row>
    <row r="28" ht="24" customHeight="1">
      <c r="G28" s="46" t="inlineStr">
        <is>
          <t>대 표 자</t>
        </is>
      </c>
      <c r="I28" s="47" t="inlineStr">
        <is>
          <t>:</t>
        </is>
      </c>
      <c r="J28" s="48">
        <f>'입력'!$C$28&amp;"          (인)"</f>
        <v/>
      </c>
    </row>
    <row r="29" ht="8" customHeight="1"/>
    <row r="30" ht="8" customHeight="1"/>
    <row r="31" ht="30" customHeight="1">
      <c r="B31" s="49">
        <f>IF('입력'!$C$18="","                  귀하",'입력'!$C$18&amp;"  귀하")</f>
        <v/>
      </c>
    </row>
  </sheetData>
  <mergeCells count="50">
    <mergeCell ref="B11:D11"/>
    <mergeCell ref="B2:M2"/>
    <mergeCell ref="E10:M10"/>
    <mergeCell ref="I15:J15"/>
    <mergeCell ref="B8:D8"/>
    <mergeCell ref="G27:H27"/>
    <mergeCell ref="B14:M14"/>
    <mergeCell ref="E9:M9"/>
    <mergeCell ref="B15:H15"/>
    <mergeCell ref="B20:H20"/>
    <mergeCell ref="E6:M6"/>
    <mergeCell ref="B10:D10"/>
    <mergeCell ref="B26:E26"/>
    <mergeCell ref="E11:M11"/>
    <mergeCell ref="I16:J16"/>
    <mergeCell ref="B9:D9"/>
    <mergeCell ref="B16:H16"/>
    <mergeCell ref="G28:H28"/>
    <mergeCell ref="K17:M17"/>
    <mergeCell ref="B6:D6"/>
    <mergeCell ref="I18:J18"/>
    <mergeCell ref="I21:J21"/>
    <mergeCell ref="B24:M24"/>
    <mergeCell ref="J28:M28"/>
    <mergeCell ref="E7:M7"/>
    <mergeCell ref="B5:D5"/>
    <mergeCell ref="K19:M19"/>
    <mergeCell ref="B18:H18"/>
    <mergeCell ref="B21:H21"/>
    <mergeCell ref="B4:D4"/>
    <mergeCell ref="K18:M18"/>
    <mergeCell ref="B7:D7"/>
    <mergeCell ref="K16:M16"/>
    <mergeCell ref="E12:M12"/>
    <mergeCell ref="I17:J17"/>
    <mergeCell ref="G26:H26"/>
    <mergeCell ref="K15:M15"/>
    <mergeCell ref="J27:M27"/>
    <mergeCell ref="B17:H17"/>
    <mergeCell ref="I20:J20"/>
    <mergeCell ref="J26:M26"/>
    <mergeCell ref="E5:M5"/>
    <mergeCell ref="B31:M31"/>
    <mergeCell ref="I19:J19"/>
    <mergeCell ref="K21:M21"/>
    <mergeCell ref="E8:M8"/>
    <mergeCell ref="K20:M20"/>
    <mergeCell ref="B12:D12"/>
    <mergeCell ref="B19:H19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현 장 대 리 인 지 정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공사 기간</t>
        </is>
      </c>
      <c r="C6" s="36" t="n"/>
      <c r="D6" s="37" t="n"/>
      <c r="E6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현장 위치</t>
        </is>
      </c>
      <c r="C7" s="36" t="n"/>
      <c r="D7" s="37" t="n"/>
      <c r="E7" s="38">
        <f>'입력'!$C$7&amp;""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성  명</t>
        </is>
      </c>
      <c r="C9" s="37" t="n"/>
      <c r="D9" s="35" t="inlineStr">
        <is>
          <t>생년월일</t>
        </is>
      </c>
      <c r="E9" s="37" t="n"/>
      <c r="F9" s="35" t="inlineStr">
        <is>
          <t>자격 종목·등급</t>
        </is>
      </c>
      <c r="G9" s="36" t="n"/>
      <c r="H9" s="37" t="n"/>
      <c r="I9" s="35" t="inlineStr">
        <is>
          <t>자격(등록) 번호</t>
        </is>
      </c>
      <c r="J9" s="36" t="n"/>
      <c r="K9" s="37" t="n"/>
      <c r="L9" s="35" t="inlineStr">
        <is>
          <t>연 락 처</t>
        </is>
      </c>
      <c r="M9" s="37" t="n"/>
    </row>
    <row r="10" ht="44.2" customHeight="1">
      <c r="B10" s="42">
        <f>'입력'!$C$38&amp;""</f>
        <v/>
      </c>
      <c r="C10" s="40" t="n"/>
      <c r="D10" s="42">
        <f>'입력'!$C$39&amp;""</f>
        <v/>
      </c>
      <c r="E10" s="40" t="n"/>
      <c r="F10" s="42">
        <f>'입력'!$C$40&amp;""</f>
        <v/>
      </c>
      <c r="G10" s="39" t="n"/>
      <c r="H10" s="40" t="n"/>
      <c r="I10" s="42">
        <f>'입력'!$C$41&amp;""</f>
        <v/>
      </c>
      <c r="J10" s="39" t="n"/>
      <c r="K10" s="40" t="n"/>
      <c r="L10" s="42">
        <f>'입력'!$C$42&amp;""</f>
        <v/>
      </c>
      <c r="M10" s="40" t="n"/>
    </row>
    <row r="11" ht="8" customHeight="1"/>
    <row r="12" ht="33.8" customHeight="1">
      <c r="B12" s="35" t="inlineStr">
        <is>
          <t>배치 기간</t>
        </is>
      </c>
      <c r="C12" s="36" t="n"/>
      <c r="D12" s="37" t="n"/>
      <c r="E12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42.1" customHeight="1">
      <c r="B14" s="43" t="inlineStr">
        <is>
          <t>위 사람을 이 공사의 현장대리인으로 지정하여 배치하였기에 신고합니다. 현장대리인은 계약 조건과 관계 법령에 따라 이 공사의 현장 관리 업무를 맡습니다.</t>
        </is>
      </c>
    </row>
    <row r="15" ht="24" customHeight="1">
      <c r="B15" s="35" t="inlineStr">
        <is>
          <t>붙임 서류</t>
        </is>
      </c>
      <c r="C15" s="36" t="n"/>
      <c r="D15" s="36" t="n"/>
      <c r="E15" s="36" t="n"/>
      <c r="F15" s="36" t="n"/>
      <c r="G15" s="36" t="n"/>
      <c r="H15" s="37" t="n"/>
      <c r="I15" s="35" t="inlineStr">
        <is>
          <t>부수</t>
        </is>
      </c>
      <c r="J15" s="37" t="n"/>
      <c r="K15" s="35" t="inlineStr">
        <is>
          <t>비고</t>
        </is>
      </c>
      <c r="L15" s="36" t="n"/>
      <c r="M15" s="37" t="n"/>
    </row>
    <row r="16" ht="28.6" customHeight="1">
      <c r="B16" s="42" t="inlineStr">
        <is>
          <t>자격증(경력수첩) 사본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8.6" customHeight="1">
      <c r="B17" s="42" t="inlineStr">
        <is>
          <t>경력증명서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8.6" customHeight="1">
      <c r="B18" s="42" t="inlineStr">
        <is>
          <t>재직 증명 (4대 보험 가입 증명 등)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8" customHeight="1"/>
    <row r="20" ht="10.09999999999991" customHeight="1"/>
    <row r="21" ht="30" customHeight="1">
      <c r="B21" s="44">
        <f>IF('입력'!$C$12="","          년      월      일",YEAR('입력'!$C$12)&amp;"년  "&amp;MONTH('입력'!$C$12)&amp;"월  "&amp;DAY('입력'!$C$12)&amp;"일")</f>
        <v/>
      </c>
    </row>
    <row r="22" ht="6" customHeight="1"/>
    <row r="23" ht="24" customHeight="1">
      <c r="B23" s="45" t="inlineStr">
        <is>
          <t>현장대리인</t>
        </is>
      </c>
      <c r="G23" s="46" t="inlineStr">
        <is>
          <t>성    명</t>
        </is>
      </c>
      <c r="I23" s="47" t="inlineStr">
        <is>
          <t>:</t>
        </is>
      </c>
      <c r="J23" s="48">
        <f>'입력'!$C$38&amp;"          (인)"</f>
        <v/>
      </c>
    </row>
    <row r="24" ht="8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46">
    <mergeCell ref="B2:M2"/>
    <mergeCell ref="D10:E10"/>
    <mergeCell ref="I15:J15"/>
    <mergeCell ref="G27:H27"/>
    <mergeCell ref="B14:M14"/>
    <mergeCell ref="B15:H15"/>
    <mergeCell ref="G23:H23"/>
    <mergeCell ref="E6:M6"/>
    <mergeCell ref="J23:M23"/>
    <mergeCell ref="I16:J16"/>
    <mergeCell ref="B16:H16"/>
    <mergeCell ref="B25:E25"/>
    <mergeCell ref="F9:H9"/>
    <mergeCell ref="K17:M17"/>
    <mergeCell ref="B30:M30"/>
    <mergeCell ref="B6:D6"/>
    <mergeCell ref="I18:J18"/>
    <mergeCell ref="E7:M7"/>
    <mergeCell ref="B5:D5"/>
    <mergeCell ref="I10:K10"/>
    <mergeCell ref="B18:H18"/>
    <mergeCell ref="L10:M10"/>
    <mergeCell ref="B4:D4"/>
    <mergeCell ref="I9:K9"/>
    <mergeCell ref="B10:C10"/>
    <mergeCell ref="J25:M25"/>
    <mergeCell ref="K18:M18"/>
    <mergeCell ref="B9:C9"/>
    <mergeCell ref="B7:D7"/>
    <mergeCell ref="D9:E9"/>
    <mergeCell ref="E12:M12"/>
    <mergeCell ref="K16:M16"/>
    <mergeCell ref="I17:J17"/>
    <mergeCell ref="L9:M9"/>
    <mergeCell ref="K15:M15"/>
    <mergeCell ref="G26:H26"/>
    <mergeCell ref="J27:M27"/>
    <mergeCell ref="F10:H10"/>
    <mergeCell ref="B23:E23"/>
    <mergeCell ref="B17:H17"/>
    <mergeCell ref="J26:M26"/>
    <mergeCell ref="E5:M5"/>
    <mergeCell ref="G25:H25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예 정 공 정 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.2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8" customHeight="1"/>
    <row r="7" ht="24" customHeight="1">
      <c r="B7" s="35" t="inlineStr">
        <is>
          <t>공  종</t>
        </is>
      </c>
      <c r="C7" s="36" t="n"/>
      <c r="D7" s="37" t="n"/>
      <c r="E7" s="51" t="inlineStr">
        <is>
          <t>비중(%)</t>
        </is>
      </c>
      <c r="F7" s="51">
        <f>IF('입력'!$C$12="","",MONTH(EDATE(DATE(YEAR('입력'!$C$12),MONTH('입력'!$C$12),1),0))&amp;"월")</f>
        <v/>
      </c>
      <c r="G7" s="51">
        <f>IF('입력'!$C$12="","",MONTH(EDATE(DATE(YEAR('입력'!$C$12),MONTH('입력'!$C$12),1),1))&amp;"월")</f>
        <v/>
      </c>
      <c r="H7" s="51">
        <f>IF('입력'!$C$12="","",MONTH(EDATE(DATE(YEAR('입력'!$C$12),MONTH('입력'!$C$12),1),2))&amp;"월")</f>
        <v/>
      </c>
      <c r="I7" s="51">
        <f>IF('입력'!$C$12="","",MONTH(EDATE(DATE(YEAR('입력'!$C$12),MONTH('입력'!$C$12),1),3))&amp;"월")</f>
        <v/>
      </c>
      <c r="J7" s="51">
        <f>IF('입력'!$C$12="","",MONTH(EDATE(DATE(YEAR('입력'!$C$12),MONTH('입력'!$C$12),1),4))&amp;"월")</f>
        <v/>
      </c>
      <c r="K7" s="51">
        <f>IF('입력'!$C$12="","",MONTH(EDATE(DATE(YEAR('입력'!$C$12),MONTH('입력'!$C$12),1),5))&amp;"월")</f>
        <v/>
      </c>
      <c r="L7" s="51">
        <f>IF('입력'!$C$12="","",MONTH(EDATE(DATE(YEAR('입력'!$C$12),MONTH('입력'!$C$12),1),6))&amp;"월")</f>
        <v/>
      </c>
      <c r="M7" s="51">
        <f>IF('입력'!$C$12="","",MONTH(EDATE(DATE(YEAR('입력'!$C$12),MONTH('입력'!$C$12),1),7))&amp;"월")</f>
        <v/>
      </c>
    </row>
    <row r="8" ht="24.2" customHeight="1">
      <c r="B8" s="42" t="n"/>
      <c r="C8" s="39" t="n"/>
      <c r="D8" s="40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</row>
    <row r="9" ht="24.2" customHeight="1">
      <c r="B9" s="42" t="n"/>
      <c r="C9" s="39" t="n"/>
      <c r="D9" s="40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</row>
    <row r="10" ht="24.2" customHeight="1">
      <c r="B10" s="42" t="n"/>
      <c r="C10" s="39" t="n"/>
      <c r="D10" s="40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</row>
    <row r="11" ht="24.2" customHeight="1">
      <c r="B11" s="42" t="n"/>
      <c r="C11" s="39" t="n"/>
      <c r="D11" s="40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</row>
    <row r="12" ht="24.2" customHeight="1">
      <c r="B12" s="42" t="n"/>
      <c r="C12" s="39" t="n"/>
      <c r="D12" s="40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</row>
    <row r="13" ht="24.2" customHeight="1">
      <c r="B13" s="42" t="n"/>
      <c r="C13" s="39" t="n"/>
      <c r="D13" s="40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</row>
    <row r="14" ht="24.2" customHeight="1">
      <c r="B14" s="42" t="n"/>
      <c r="C14" s="39" t="n"/>
      <c r="D14" s="40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</row>
    <row r="15" ht="24.2" customHeight="1">
      <c r="B15" s="42" t="n"/>
      <c r="C15" s="39" t="n"/>
      <c r="D15" s="40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</row>
    <row r="16" ht="24.2" customHeight="1">
      <c r="B16" s="42" t="n"/>
      <c r="C16" s="39" t="n"/>
      <c r="D16" s="40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</row>
    <row r="17" ht="24.2" customHeight="1">
      <c r="B17" s="42" t="n"/>
      <c r="C17" s="39" t="n"/>
      <c r="D17" s="40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</row>
    <row r="18" ht="24.2" customHeight="1">
      <c r="B18" s="42" t="n"/>
      <c r="C18" s="39" t="n"/>
      <c r="D18" s="40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</row>
    <row r="19" ht="24.2" customHeight="1">
      <c r="B19" s="42" t="n"/>
      <c r="C19" s="39" t="n"/>
      <c r="D19" s="40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</row>
    <row r="20" ht="24.2" customHeight="1">
      <c r="B20" s="53" t="inlineStr">
        <is>
          <t>월별 예정공정률(%)</t>
        </is>
      </c>
      <c r="C20" s="39" t="n"/>
      <c r="D20" s="40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</row>
    <row r="21" ht="24.2" customHeight="1">
      <c r="B21" s="53" t="inlineStr">
        <is>
          <t>누계 예정공정률(%)</t>
        </is>
      </c>
      <c r="C21" s="39" t="n"/>
      <c r="D21" s="40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</row>
    <row r="22" ht="8" customHeight="1"/>
    <row r="23" ht="37.45" customHeight="1">
      <c r="B23" s="50" t="inlineStr">
        <is>
          <t>※ 공종마다 시작하는 달부터 끝나는 달까지 칸을 칠하거나 선(━)을 긋습니다. 달 이름은 착공일에 맞춰 저절로 바뀝니다.</t>
        </is>
      </c>
    </row>
    <row r="24" ht="8" customHeight="1"/>
    <row r="25" ht="30" customHeight="1">
      <c r="B25" s="44">
        <f>IF('입력'!$C$12="","          년      월      일",YEAR('입력'!$C$12)&amp;"년  "&amp;MONTH('입력'!$C$12)&amp;"월  "&amp;DAY('입력'!$C$12)&amp;"일")</f>
        <v/>
      </c>
    </row>
    <row r="26" ht="6" customHeight="1"/>
    <row r="27" ht="24" customHeight="1">
      <c r="B27" s="45" t="inlineStr">
        <is>
          <t>계약상대자</t>
        </is>
      </c>
      <c r="G27" s="46" t="inlineStr">
        <is>
          <t>상    호</t>
        </is>
      </c>
      <c r="I27" s="47" t="inlineStr">
        <is>
          <t>:</t>
        </is>
      </c>
      <c r="J27" s="48">
        <f>'입력'!$C$27&amp;""</f>
        <v/>
      </c>
    </row>
    <row r="28" ht="24" customHeight="1">
      <c r="G28" s="46" t="inlineStr">
        <is>
          <t>주    소</t>
        </is>
      </c>
      <c r="I28" s="47" t="inlineStr">
        <is>
          <t>:</t>
        </is>
      </c>
      <c r="J28" s="48">
        <f>'입력'!$C$30&amp;""</f>
        <v/>
      </c>
    </row>
    <row r="29" ht="24" customHeight="1">
      <c r="G29" s="46" t="inlineStr">
        <is>
          <t>대 표 자</t>
        </is>
      </c>
      <c r="I29" s="47" t="inlineStr">
        <is>
          <t>:</t>
        </is>
      </c>
      <c r="J29" s="48">
        <f>'입력'!$C$28&amp;"          (인)"</f>
        <v/>
      </c>
    </row>
    <row r="30" ht="8" customHeight="1"/>
    <row r="31" ht="8" customHeight="1"/>
    <row r="32" ht="30" customHeight="1">
      <c r="B32" s="49">
        <f>IF('입력'!$C$18="","                  귀하",'입력'!$C$18&amp;"  귀하")</f>
        <v/>
      </c>
    </row>
  </sheetData>
  <mergeCells count="30">
    <mergeCell ref="B11:D11"/>
    <mergeCell ref="B2:M2"/>
    <mergeCell ref="B14:D14"/>
    <mergeCell ref="B8:D8"/>
    <mergeCell ref="B23:M23"/>
    <mergeCell ref="G27:H27"/>
    <mergeCell ref="B17:D17"/>
    <mergeCell ref="B13:D13"/>
    <mergeCell ref="B10:D10"/>
    <mergeCell ref="B19:D19"/>
    <mergeCell ref="B9:D9"/>
    <mergeCell ref="G28:H28"/>
    <mergeCell ref="B15:D15"/>
    <mergeCell ref="J29:M29"/>
    <mergeCell ref="B20:D20"/>
    <mergeCell ref="J28:M28"/>
    <mergeCell ref="B27:E27"/>
    <mergeCell ref="B5:D5"/>
    <mergeCell ref="B4:D4"/>
    <mergeCell ref="B32:M32"/>
    <mergeCell ref="B7:D7"/>
    <mergeCell ref="B16:D16"/>
    <mergeCell ref="J27:M27"/>
    <mergeCell ref="G29:H29"/>
    <mergeCell ref="B25:M25"/>
    <mergeCell ref="E5:M5"/>
    <mergeCell ref="B18:D18"/>
    <mergeCell ref="B21:D21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직 접 시 공 계 획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8.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8.4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9.3" customHeight="1">
      <c r="B6" s="35" t="inlineStr">
        <is>
          <t>공사 기간</t>
        </is>
      </c>
      <c r="C6" s="36" t="n"/>
      <c r="D6" s="37" t="n"/>
      <c r="E6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8.4" customHeight="1">
      <c r="B7" s="35" t="inlineStr">
        <is>
          <t>현장 위치</t>
        </is>
      </c>
      <c r="C7" s="36" t="n"/>
      <c r="D7" s="37" t="n"/>
      <c r="E7" s="38">
        <f>'입력'!$C$7&amp;""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공  종</t>
        </is>
      </c>
      <c r="C9" s="37" t="n"/>
      <c r="D9" s="35" t="inlineStr">
        <is>
          <t>직접 시공할 내용</t>
        </is>
      </c>
      <c r="E9" s="36" t="n"/>
      <c r="F9" s="36" t="n"/>
      <c r="G9" s="37" t="n"/>
      <c r="H9" s="35" t="inlineStr">
        <is>
          <t>금액 (원)</t>
        </is>
      </c>
      <c r="I9" s="36" t="n"/>
      <c r="J9" s="37" t="n"/>
      <c r="K9" s="51" t="inlineStr">
        <is>
          <t>비율(%)</t>
        </is>
      </c>
      <c r="L9" s="35" t="inlineStr">
        <is>
          <t>비고</t>
        </is>
      </c>
      <c r="M9" s="37" t="n"/>
    </row>
    <row r="10" ht="27.1" customHeight="1">
      <c r="B10" s="42" t="n"/>
      <c r="C10" s="40" t="n"/>
      <c r="D10" s="42" t="n"/>
      <c r="E10" s="39" t="n"/>
      <c r="F10" s="39" t="n"/>
      <c r="G10" s="40" t="n"/>
      <c r="H10" s="55" t="n"/>
      <c r="I10" s="39" t="n"/>
      <c r="J10" s="40" t="n"/>
      <c r="K10" s="56" t="n"/>
      <c r="L10" s="42" t="n"/>
      <c r="M10" s="40" t="n"/>
    </row>
    <row r="11" ht="27.1" customHeight="1">
      <c r="B11" s="42" t="n"/>
      <c r="C11" s="40" t="n"/>
      <c r="D11" s="42" t="n"/>
      <c r="E11" s="39" t="n"/>
      <c r="F11" s="39" t="n"/>
      <c r="G11" s="40" t="n"/>
      <c r="H11" s="55" t="n"/>
      <c r="I11" s="39" t="n"/>
      <c r="J11" s="40" t="n"/>
      <c r="K11" s="56" t="n"/>
      <c r="L11" s="42" t="n"/>
      <c r="M11" s="40" t="n"/>
    </row>
    <row r="12" ht="27.1" customHeight="1">
      <c r="B12" s="42" t="n"/>
      <c r="C12" s="40" t="n"/>
      <c r="D12" s="42" t="n"/>
      <c r="E12" s="39" t="n"/>
      <c r="F12" s="39" t="n"/>
      <c r="G12" s="40" t="n"/>
      <c r="H12" s="55" t="n"/>
      <c r="I12" s="39" t="n"/>
      <c r="J12" s="40" t="n"/>
      <c r="K12" s="56" t="n"/>
      <c r="L12" s="42" t="n"/>
      <c r="M12" s="40" t="n"/>
    </row>
    <row r="13" ht="27.1" customHeight="1">
      <c r="B13" s="42" t="n"/>
      <c r="C13" s="40" t="n"/>
      <c r="D13" s="42" t="n"/>
      <c r="E13" s="39" t="n"/>
      <c r="F13" s="39" t="n"/>
      <c r="G13" s="40" t="n"/>
      <c r="H13" s="55" t="n"/>
      <c r="I13" s="39" t="n"/>
      <c r="J13" s="40" t="n"/>
      <c r="K13" s="56" t="n"/>
      <c r="L13" s="42" t="n"/>
      <c r="M13" s="40" t="n"/>
    </row>
    <row r="14" ht="27.1" customHeight="1">
      <c r="B14" s="42" t="n"/>
      <c r="C14" s="40" t="n"/>
      <c r="D14" s="42" t="n"/>
      <c r="E14" s="39" t="n"/>
      <c r="F14" s="39" t="n"/>
      <c r="G14" s="40" t="n"/>
      <c r="H14" s="55" t="n"/>
      <c r="I14" s="39" t="n"/>
      <c r="J14" s="40" t="n"/>
      <c r="K14" s="56" t="n"/>
      <c r="L14" s="42" t="n"/>
      <c r="M14" s="40" t="n"/>
    </row>
    <row r="15" ht="27.1" customHeight="1">
      <c r="B15" s="42" t="n"/>
      <c r="C15" s="40" t="n"/>
      <c r="D15" s="42" t="n"/>
      <c r="E15" s="39" t="n"/>
      <c r="F15" s="39" t="n"/>
      <c r="G15" s="40" t="n"/>
      <c r="H15" s="55" t="n"/>
      <c r="I15" s="39" t="n"/>
      <c r="J15" s="40" t="n"/>
      <c r="K15" s="56" t="n"/>
      <c r="L15" s="42" t="n"/>
      <c r="M15" s="40" t="n"/>
    </row>
    <row r="16" ht="27.1" customHeight="1">
      <c r="B16" s="42" t="n"/>
      <c r="C16" s="40" t="n"/>
      <c r="D16" s="42" t="n"/>
      <c r="E16" s="39" t="n"/>
      <c r="F16" s="39" t="n"/>
      <c r="G16" s="40" t="n"/>
      <c r="H16" s="55" t="n"/>
      <c r="I16" s="39" t="n"/>
      <c r="J16" s="40" t="n"/>
      <c r="K16" s="56" t="n"/>
      <c r="L16" s="42" t="n"/>
      <c r="M16" s="40" t="n"/>
    </row>
    <row r="17" ht="27.1" customHeight="1">
      <c r="B17" s="42" t="n"/>
      <c r="C17" s="40" t="n"/>
      <c r="D17" s="42" t="n"/>
      <c r="E17" s="39" t="n"/>
      <c r="F17" s="39" t="n"/>
      <c r="G17" s="40" t="n"/>
      <c r="H17" s="55" t="n"/>
      <c r="I17" s="39" t="n"/>
      <c r="J17" s="40" t="n"/>
      <c r="K17" s="56" t="n"/>
      <c r="L17" s="42" t="n"/>
      <c r="M17" s="40" t="n"/>
    </row>
    <row r="18" ht="27.1" customHeight="1">
      <c r="B18" s="53" t="inlineStr">
        <is>
          <t>합  계</t>
        </is>
      </c>
      <c r="C18" s="40" t="n"/>
      <c r="D18" s="53" t="n"/>
      <c r="E18" s="39" t="n"/>
      <c r="F18" s="39" t="n"/>
      <c r="G18" s="40" t="n"/>
      <c r="H18" s="57">
        <f>IF(SUM(H10:H17)=0,"",SUM(H10:H17))</f>
        <v/>
      </c>
      <c r="I18" s="39" t="n"/>
      <c r="J18" s="40" t="n"/>
      <c r="K18" s="58">
        <f>IF(OR(H18="",N('입력'!$C$14)=0),"",H18/'입력'!$C$14)</f>
        <v/>
      </c>
      <c r="L18" s="53" t="n"/>
      <c r="M18" s="40" t="n"/>
    </row>
    <row r="19" ht="8" customHeight="1"/>
    <row r="20" ht="25.05" customHeight="1">
      <c r="B20" s="43" t="inlineStr">
        <is>
          <t>위와 같이 이 공사를 직접 시공할 계획을 알려 드립니다.</t>
        </is>
      </c>
    </row>
    <row r="21" ht="22.725" customHeight="1">
      <c r="B21" s="50" t="inlineStr">
        <is>
          <t>※ 직접 시공 대상과 비율은 건설산업기본법(직접 시공 조항)과 계약 조건을 확인하세요.</t>
        </is>
      </c>
    </row>
    <row r="22" ht="8" customHeight="1"/>
    <row r="23" ht="30" customHeight="1">
      <c r="B23" s="44">
        <f>IF('입력'!$C$12="","          년      월      일",YEAR('입력'!$C$12)&amp;"년  "&amp;MONTH('입력'!$C$12)&amp;"월  "&amp;DAY('입력'!$C$12)&amp;"일")</f>
        <v/>
      </c>
    </row>
    <row r="24" ht="6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60">
    <mergeCell ref="L17:M17"/>
    <mergeCell ref="B2:M2"/>
    <mergeCell ref="D18:G18"/>
    <mergeCell ref="B16:C16"/>
    <mergeCell ref="D9:G9"/>
    <mergeCell ref="D12:G12"/>
    <mergeCell ref="L16:M16"/>
    <mergeCell ref="B23:M23"/>
    <mergeCell ref="G27:H27"/>
    <mergeCell ref="D15:G15"/>
    <mergeCell ref="H17:J17"/>
    <mergeCell ref="B18:C18"/>
    <mergeCell ref="H11:J11"/>
    <mergeCell ref="L13:M13"/>
    <mergeCell ref="D14:G14"/>
    <mergeCell ref="E6:M6"/>
    <mergeCell ref="B12:C12"/>
    <mergeCell ref="H16:J16"/>
    <mergeCell ref="L12:M12"/>
    <mergeCell ref="B11:C11"/>
    <mergeCell ref="H13:J13"/>
    <mergeCell ref="L15:M15"/>
    <mergeCell ref="L18:M18"/>
    <mergeCell ref="B14:C14"/>
    <mergeCell ref="B25:E25"/>
    <mergeCell ref="H12:J12"/>
    <mergeCell ref="B17:C17"/>
    <mergeCell ref="D10:G10"/>
    <mergeCell ref="L14:M14"/>
    <mergeCell ref="B30:M30"/>
    <mergeCell ref="B6:D6"/>
    <mergeCell ref="B13:C13"/>
    <mergeCell ref="H15:J15"/>
    <mergeCell ref="E7:M7"/>
    <mergeCell ref="B5:D5"/>
    <mergeCell ref="H18:J18"/>
    <mergeCell ref="H14:J14"/>
    <mergeCell ref="B20:M20"/>
    <mergeCell ref="L10:M10"/>
    <mergeCell ref="B4:D4"/>
    <mergeCell ref="B10:C10"/>
    <mergeCell ref="J25:M25"/>
    <mergeCell ref="D11:G11"/>
    <mergeCell ref="D13:G13"/>
    <mergeCell ref="B9:C9"/>
    <mergeCell ref="B7:D7"/>
    <mergeCell ref="G26:H26"/>
    <mergeCell ref="L9:M9"/>
    <mergeCell ref="J27:M27"/>
    <mergeCell ref="H10:J10"/>
    <mergeCell ref="D17:G17"/>
    <mergeCell ref="B15:C15"/>
    <mergeCell ref="J26:M26"/>
    <mergeCell ref="E5:M5"/>
    <mergeCell ref="G25:H25"/>
    <mergeCell ref="D16:G16"/>
    <mergeCell ref="L11:M11"/>
    <mergeCell ref="H9:J9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수 도 · 전 기 료 납 부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현장 위치</t>
        </is>
      </c>
      <c r="C6" s="36" t="n"/>
      <c r="D6" s="37" t="n"/>
      <c r="E6" s="38">
        <f>'입력'!$C$7&amp;""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59.15000000000001" customHeight="1">
      <c r="B8" s="43" t="inlineStr">
        <is>
          <t>우리 회사는 위 공사 기간 동안 발주기관(시설)의 수도·전기 등을 공사에 쓰는 경우, 사용량을 계량하거나 발주기관과 협의한 방법으로 산정한 요금을 발주기관이 정한 기한까지 납부할 것을 각서합니다.</t>
        </is>
      </c>
    </row>
    <row r="9" ht="24" customHeight="1">
      <c r="B9" s="35" t="inlineStr">
        <is>
          <t>구  분</t>
        </is>
      </c>
      <c r="C9" s="37" t="n"/>
      <c r="D9" s="35" t="inlineStr">
        <is>
          <t>계량 방법</t>
        </is>
      </c>
      <c r="E9" s="36" t="n"/>
      <c r="F9" s="37" t="n"/>
      <c r="G9" s="35" t="inlineStr">
        <is>
          <t>시작 지침</t>
        </is>
      </c>
      <c r="H9" s="37" t="n"/>
      <c r="I9" s="35" t="inlineStr">
        <is>
          <t>끝 지침</t>
        </is>
      </c>
      <c r="J9" s="37" t="n"/>
      <c r="K9" s="35" t="inlineStr">
        <is>
          <t>비  고</t>
        </is>
      </c>
      <c r="L9" s="36" t="n"/>
      <c r="M9" s="37" t="n"/>
    </row>
    <row r="10" ht="33.8" customHeight="1">
      <c r="B10" s="42" t="inlineStr">
        <is>
          <t>수  도</t>
        </is>
      </c>
      <c r="C10" s="40" t="n"/>
      <c r="D10" s="42" t="n"/>
      <c r="E10" s="39" t="n"/>
      <c r="F10" s="40" t="n"/>
      <c r="G10" s="42" t="n"/>
      <c r="H10" s="40" t="n"/>
      <c r="I10" s="42" t="n"/>
      <c r="J10" s="40" t="n"/>
      <c r="K10" s="42" t="n"/>
      <c r="L10" s="39" t="n"/>
      <c r="M10" s="40" t="n"/>
    </row>
    <row r="11" ht="33.8" customHeight="1">
      <c r="B11" s="42" t="inlineStr">
        <is>
          <t>전  기</t>
        </is>
      </c>
      <c r="C11" s="40" t="n"/>
      <c r="D11" s="42" t="n"/>
      <c r="E11" s="39" t="n"/>
      <c r="F11" s="40" t="n"/>
      <c r="G11" s="42" t="n"/>
      <c r="H11" s="40" t="n"/>
      <c r="I11" s="42" t="n"/>
      <c r="J11" s="40" t="n"/>
      <c r="K11" s="42" t="n"/>
      <c r="L11" s="39" t="n"/>
      <c r="M11" s="40" t="n"/>
    </row>
    <row r="12" ht="33.8" customHeight="1">
      <c r="B12" s="42" t="inlineStr">
        <is>
          <t>기  타</t>
        </is>
      </c>
      <c r="C12" s="40" t="n"/>
      <c r="D12" s="42" t="n"/>
      <c r="E12" s="39" t="n"/>
      <c r="F12" s="40" t="n"/>
      <c r="G12" s="42" t="n"/>
      <c r="H12" s="40" t="n"/>
      <c r="I12" s="42" t="n"/>
      <c r="J12" s="40" t="n"/>
      <c r="K12" s="42" t="n"/>
      <c r="L12" s="39" t="n"/>
      <c r="M12" s="40" t="n"/>
    </row>
    <row r="13" ht="8" customHeight="1"/>
    <row r="14" ht="128" customHeight="1"/>
    <row r="15" ht="30" customHeight="1">
      <c r="B15" s="44">
        <f>IF('입력'!$C$12="","          년      월      일",YEAR('입력'!$C$12)&amp;"년  "&amp;MONTH('입력'!$C$12)&amp;"월  "&amp;DAY('입력'!$C$12)&amp;"일")</f>
        <v/>
      </c>
    </row>
    <row r="16" ht="6" customHeight="1"/>
    <row r="17" ht="24" customHeight="1">
      <c r="B17" s="45" t="inlineStr">
        <is>
          <t>계약상대자</t>
        </is>
      </c>
      <c r="G17" s="46" t="inlineStr">
        <is>
          <t>상    호</t>
        </is>
      </c>
      <c r="I17" s="47" t="inlineStr">
        <is>
          <t>:</t>
        </is>
      </c>
      <c r="J17" s="48">
        <f>'입력'!$C$27&amp;""</f>
        <v/>
      </c>
    </row>
    <row r="18" ht="24" customHeight="1">
      <c r="G18" s="46" t="inlineStr">
        <is>
          <t>주    소</t>
        </is>
      </c>
      <c r="I18" s="47" t="inlineStr">
        <is>
          <t>:</t>
        </is>
      </c>
      <c r="J18" s="48">
        <f>'입력'!$C$30&amp;""</f>
        <v/>
      </c>
    </row>
    <row r="19" ht="24" customHeight="1">
      <c r="G19" s="46" t="inlineStr">
        <is>
          <t>대 표 자</t>
        </is>
      </c>
      <c r="I19" s="47" t="inlineStr">
        <is>
          <t>:</t>
        </is>
      </c>
      <c r="J19" s="48">
        <f>'입력'!$C$28&amp;"          (인)"</f>
        <v/>
      </c>
    </row>
    <row r="20" ht="8" customHeight="1"/>
    <row r="21" ht="8" customHeight="1"/>
    <row r="22" ht="30" customHeight="1">
      <c r="B22" s="49">
        <f>IF('입력'!$C$18="","                  귀하",'입력'!$C$18&amp;"  귀하")</f>
        <v/>
      </c>
    </row>
  </sheetData>
  <mergeCells count="37">
    <mergeCell ref="B2:M2"/>
    <mergeCell ref="D11:F11"/>
    <mergeCell ref="G12:H12"/>
    <mergeCell ref="G11:H11"/>
    <mergeCell ref="I11:J11"/>
    <mergeCell ref="B8:M8"/>
    <mergeCell ref="K12:M12"/>
    <mergeCell ref="G17:H17"/>
    <mergeCell ref="J18:M18"/>
    <mergeCell ref="E6:M6"/>
    <mergeCell ref="B12:C12"/>
    <mergeCell ref="B11:C11"/>
    <mergeCell ref="J17:M17"/>
    <mergeCell ref="G10:H10"/>
    <mergeCell ref="D12:F12"/>
    <mergeCell ref="G19:H19"/>
    <mergeCell ref="D9:F9"/>
    <mergeCell ref="G18:H18"/>
    <mergeCell ref="B6:D6"/>
    <mergeCell ref="J19:M19"/>
    <mergeCell ref="E4:M4"/>
    <mergeCell ref="I12:J12"/>
    <mergeCell ref="B5:D5"/>
    <mergeCell ref="B15:M15"/>
    <mergeCell ref="K10:M10"/>
    <mergeCell ref="B4:D4"/>
    <mergeCell ref="B10:C10"/>
    <mergeCell ref="B9:C9"/>
    <mergeCell ref="D10:F10"/>
    <mergeCell ref="B17:E17"/>
    <mergeCell ref="K9:M9"/>
    <mergeCell ref="E5:M5"/>
    <mergeCell ref="I10:J10"/>
    <mergeCell ref="B22:M22"/>
    <mergeCell ref="G9:H9"/>
    <mergeCell ref="I9:J9"/>
    <mergeCell ref="K11:M11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기 성 부 분 검 사 요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7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8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7.7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8.8" customHeight="1">
      <c r="B7" s="35" t="inlineStr">
        <is>
          <t>공사 기간</t>
        </is>
      </c>
      <c r="C7" s="36" t="n"/>
      <c r="D7" s="37" t="n"/>
      <c r="E7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8.8" customHeight="1">
      <c r="B8" s="35" t="inlineStr">
        <is>
          <t>기성 회차</t>
        </is>
      </c>
      <c r="C8" s="36" t="n"/>
      <c r="D8" s="37" t="n"/>
      <c r="E8" s="38">
        <f>IF('입력'!$C$53="","","제 "&amp;'입력'!$C$53&amp;" 회")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8.8" customHeight="1">
      <c r="B9" s="35" t="inlineStr">
        <is>
          <t>기성 대상기간</t>
        </is>
      </c>
      <c r="C9" s="36" t="n"/>
      <c r="D9" s="37" t="n"/>
      <c r="E9" s="38">
        <f>IF(OR('입력'!$C$54="",'입력'!$C$55=""),"",IF('입력'!$C$54="","",YEAR('입력'!$C$54)&amp;". "&amp;MONTH('입력'!$C$54)&amp;". "&amp;DAY('입력'!$C$54)&amp;".")&amp;" ~ "&amp;IF('입력'!$C$55="","",YEAR('입력'!$C$55)&amp;". "&amp;MONTH('입력'!$C$55)&amp;". "&amp;DAY('입력'!$C$55)&amp;"."))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구  분</t>
        </is>
      </c>
      <c r="C11" s="36" t="n"/>
      <c r="D11" s="36" t="n"/>
      <c r="E11" s="37" t="n"/>
      <c r="F11" s="35" t="inlineStr">
        <is>
          <t>금  액 (원)</t>
        </is>
      </c>
      <c r="G11" s="36" t="n"/>
      <c r="H11" s="36" t="n"/>
      <c r="I11" s="36" t="n"/>
      <c r="J11" s="37" t="n"/>
      <c r="K11" s="35" t="inlineStr">
        <is>
          <t>계약 금액 대비</t>
        </is>
      </c>
      <c r="L11" s="36" t="n"/>
      <c r="M11" s="37" t="n"/>
    </row>
    <row r="12" ht="28.8" customHeight="1">
      <c r="B12" s="59" t="inlineStr">
        <is>
          <t>계약 금액</t>
        </is>
      </c>
      <c r="C12" s="39" t="n"/>
      <c r="D12" s="39" t="n"/>
      <c r="E12" s="40" t="n"/>
      <c r="F12" s="55">
        <f>IF('입력'!$C$14="","",FIXED('입력'!$C$14,0)&amp;"원")</f>
        <v/>
      </c>
      <c r="G12" s="39" t="n"/>
      <c r="H12" s="39" t="n"/>
      <c r="I12" s="39" t="n"/>
      <c r="J12" s="40" t="n"/>
      <c r="K12" s="42" t="n"/>
      <c r="L12" s="39" t="n"/>
      <c r="M12" s="40" t="n"/>
    </row>
    <row r="13" ht="28.8" customHeight="1">
      <c r="B13" s="59" t="inlineStr">
        <is>
          <t>전회까지 기성 누계</t>
        </is>
      </c>
      <c r="C13" s="39" t="n"/>
      <c r="D13" s="39" t="n"/>
      <c r="E13" s="40" t="n"/>
      <c r="F13" s="55">
        <f>IF('입력'!$C$58="","",FIXED('입력'!$C$58,0)&amp;"원")</f>
        <v/>
      </c>
      <c r="G13" s="39" t="n"/>
      <c r="H13" s="39" t="n"/>
      <c r="I13" s="39" t="n"/>
      <c r="J13" s="40" t="n"/>
      <c r="K13" s="42">
        <f>IF(OR('입력'!$C$58="",N('입력'!$C$14)=0),"",TEXT('입력'!$C$58/'입력'!$C$14,"0.00%"))</f>
        <v/>
      </c>
      <c r="L13" s="39" t="n"/>
      <c r="M13" s="40" t="n"/>
    </row>
    <row r="14" ht="28.8" customHeight="1">
      <c r="B14" s="59" t="inlineStr">
        <is>
          <t>이번 회 기성</t>
        </is>
      </c>
      <c r="C14" s="39" t="n"/>
      <c r="D14" s="39" t="n"/>
      <c r="E14" s="40" t="n"/>
      <c r="F14" s="55">
        <f>IF('입력'!$C$59="","",FIXED('입력'!$C$59,0)&amp;"원")</f>
        <v/>
      </c>
      <c r="G14" s="39" t="n"/>
      <c r="H14" s="39" t="n"/>
      <c r="I14" s="39" t="n"/>
      <c r="J14" s="40" t="n"/>
      <c r="K14" s="42">
        <f>IF(OR('입력'!$C$59="",N('입력'!$C$14)=0),"",TEXT('입력'!$C$59/'입력'!$C$14,"0.00%"))</f>
        <v/>
      </c>
      <c r="L14" s="39" t="n"/>
      <c r="M14" s="40" t="n"/>
    </row>
    <row r="15" ht="28.8" customHeight="1">
      <c r="B15" s="59" t="inlineStr">
        <is>
          <t>이번 회까지 누계</t>
        </is>
      </c>
      <c r="C15" s="39" t="n"/>
      <c r="D15" s="39" t="n"/>
      <c r="E15" s="40" t="n"/>
      <c r="F15" s="55">
        <f>IF('입력'!$C$96="","",FIXED('입력'!$C$96,0)&amp;"원")</f>
        <v/>
      </c>
      <c r="G15" s="39" t="n"/>
      <c r="H15" s="39" t="n"/>
      <c r="I15" s="39" t="n"/>
      <c r="J15" s="40" t="n"/>
      <c r="K15" s="42">
        <f>IF('입력'!$C$97="","",TEXT('입력'!$C$97,"0.00%"))</f>
        <v/>
      </c>
      <c r="L15" s="39" t="n"/>
      <c r="M15" s="40" t="n"/>
    </row>
    <row r="16" ht="8" customHeight="1"/>
    <row r="17" ht="25.05" customHeight="1">
      <c r="B17" s="43" t="inlineStr">
        <is>
          <t>위 공사의 기성 부분에 대하여 검사를 요청합니다.</t>
        </is>
      </c>
    </row>
    <row r="18" ht="24" customHeight="1">
      <c r="B18" s="35" t="inlineStr">
        <is>
          <t>붙임 서류</t>
        </is>
      </c>
      <c r="C18" s="36" t="n"/>
      <c r="D18" s="36" t="n"/>
      <c r="E18" s="36" t="n"/>
      <c r="F18" s="36" t="n"/>
      <c r="G18" s="36" t="n"/>
      <c r="H18" s="37" t="n"/>
      <c r="I18" s="35" t="inlineStr">
        <is>
          <t>부수</t>
        </is>
      </c>
      <c r="J18" s="37" t="n"/>
      <c r="K18" s="35" t="inlineStr">
        <is>
          <t>비고</t>
        </is>
      </c>
      <c r="L18" s="36" t="n"/>
      <c r="M18" s="37" t="n"/>
    </row>
    <row r="19" ht="24.4" customHeight="1">
      <c r="B19" s="42" t="inlineStr">
        <is>
          <t>기성 내역서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24.4" customHeight="1">
      <c r="B20" s="42" t="inlineStr">
        <is>
          <t>기성 부분 사진</t>
        </is>
      </c>
      <c r="C20" s="39" t="n"/>
      <c r="D20" s="39" t="n"/>
      <c r="E20" s="39" t="n"/>
      <c r="F20" s="39" t="n"/>
      <c r="G20" s="39" t="n"/>
      <c r="H20" s="40" t="n"/>
      <c r="I20" s="42" t="inlineStr">
        <is>
          <t>1부</t>
        </is>
      </c>
      <c r="J20" s="40" t="n"/>
      <c r="K20" s="42" t="n"/>
      <c r="L20" s="39" t="n"/>
      <c r="M20" s="40" t="n"/>
    </row>
    <row r="21" ht="24.4" customHeight="1">
      <c r="B21" s="42" t="inlineStr">
        <is>
          <t>품질시험 성과 (해당 시)</t>
        </is>
      </c>
      <c r="C21" s="39" t="n"/>
      <c r="D21" s="39" t="n"/>
      <c r="E21" s="39" t="n"/>
      <c r="F21" s="39" t="n"/>
      <c r="G21" s="39" t="n"/>
      <c r="H21" s="40" t="n"/>
      <c r="I21" s="42" t="inlineStr">
        <is>
          <t>1부</t>
        </is>
      </c>
      <c r="J21" s="40" t="n"/>
      <c r="K21" s="42" t="n"/>
      <c r="L21" s="39" t="n"/>
      <c r="M21" s="40" t="n"/>
    </row>
    <row r="22" ht="8" customHeight="1"/>
    <row r="23" ht="8" customHeight="1"/>
    <row r="24" ht="30" customHeight="1">
      <c r="B24" s="44">
        <f>IF('입력'!$C$56="","          년      월      일",YEAR('입력'!$C$56)&amp;"년  "&amp;MONTH('입력'!$C$56)&amp;"월  "&amp;DAY('입력'!$C$56)&amp;"일")</f>
        <v/>
      </c>
    </row>
    <row r="25" ht="6" customHeight="1"/>
    <row r="26" ht="24" customHeight="1">
      <c r="B26" s="45" t="inlineStr">
        <is>
          <t>계약상대자</t>
        </is>
      </c>
      <c r="G26" s="46" t="inlineStr">
        <is>
          <t>상    호</t>
        </is>
      </c>
      <c r="I26" s="47" t="inlineStr">
        <is>
          <t>:</t>
        </is>
      </c>
      <c r="J26" s="48">
        <f>'입력'!$C$27&amp;""</f>
        <v/>
      </c>
    </row>
    <row r="27" ht="24" customHeight="1">
      <c r="G27" s="46" t="inlineStr">
        <is>
          <t>주    소</t>
        </is>
      </c>
      <c r="I27" s="47" t="inlineStr">
        <is>
          <t>:</t>
        </is>
      </c>
      <c r="J27" s="48">
        <f>'입력'!$C$30&amp;""</f>
        <v/>
      </c>
    </row>
    <row r="28" ht="24" customHeight="1">
      <c r="G28" s="46" t="inlineStr">
        <is>
          <t>대 표 자</t>
        </is>
      </c>
      <c r="I28" s="47" t="inlineStr">
        <is>
          <t>:</t>
        </is>
      </c>
      <c r="J28" s="48">
        <f>'입력'!$C$28&amp;"          (인)"</f>
        <v/>
      </c>
    </row>
    <row r="29" ht="8" customHeight="1"/>
    <row r="30" ht="8" customHeight="1"/>
    <row r="31" ht="30" customHeight="1">
      <c r="B31" s="49">
        <f>IF('입력'!$C$18="","                  귀하",'입력'!$C$18&amp;"  귀하")</f>
        <v/>
      </c>
    </row>
  </sheetData>
  <mergeCells count="50">
    <mergeCell ref="B2:M2"/>
    <mergeCell ref="F11:J11"/>
    <mergeCell ref="B8:D8"/>
    <mergeCell ref="G27:H27"/>
    <mergeCell ref="B15:E15"/>
    <mergeCell ref="E9:M9"/>
    <mergeCell ref="B17:M17"/>
    <mergeCell ref="K12:M12"/>
    <mergeCell ref="B20:H20"/>
    <mergeCell ref="E6:M6"/>
    <mergeCell ref="B26:E26"/>
    <mergeCell ref="F15:J15"/>
    <mergeCell ref="F12:J12"/>
    <mergeCell ref="K14:M14"/>
    <mergeCell ref="B9:D9"/>
    <mergeCell ref="G28:H28"/>
    <mergeCell ref="B6:D6"/>
    <mergeCell ref="I18:J18"/>
    <mergeCell ref="I21:J21"/>
    <mergeCell ref="B24:M24"/>
    <mergeCell ref="J28:M28"/>
    <mergeCell ref="E7:M7"/>
    <mergeCell ref="B5:D5"/>
    <mergeCell ref="K19:M19"/>
    <mergeCell ref="B18:H18"/>
    <mergeCell ref="B12:E12"/>
    <mergeCell ref="K13:M13"/>
    <mergeCell ref="B21:H21"/>
    <mergeCell ref="B4:D4"/>
    <mergeCell ref="B11:E11"/>
    <mergeCell ref="K18:M18"/>
    <mergeCell ref="B7:D7"/>
    <mergeCell ref="F13:J13"/>
    <mergeCell ref="G26:H26"/>
    <mergeCell ref="B14:E14"/>
    <mergeCell ref="K15:M15"/>
    <mergeCell ref="J27:M27"/>
    <mergeCell ref="I20:J20"/>
    <mergeCell ref="J26:M26"/>
    <mergeCell ref="E5:M5"/>
    <mergeCell ref="B13:E13"/>
    <mergeCell ref="B31:M31"/>
    <mergeCell ref="I19:J19"/>
    <mergeCell ref="K21:M21"/>
    <mergeCell ref="E8:M8"/>
    <mergeCell ref="K20:M20"/>
    <mergeCell ref="F14:J14"/>
    <mergeCell ref="B19:H19"/>
    <mergeCell ref="E4:M4"/>
    <mergeCell ref="K11:M11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7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기 성 대 가 청 구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기성 회차</t>
        </is>
      </c>
      <c r="C6" s="36" t="n"/>
      <c r="D6" s="37" t="n"/>
      <c r="E6" s="38">
        <f>IF('입력'!$C$53="","","제 "&amp;'입력'!$C$53&amp;" 회")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33.8" customHeight="1">
      <c r="B8" s="35" t="inlineStr">
        <is>
          <t>이번 회 기성금액</t>
        </is>
      </c>
      <c r="C8" s="36" t="n"/>
      <c r="D8" s="37" t="n"/>
      <c r="E8" s="38">
        <f>IF('입력'!$C$59="","",FIXED('입력'!$C$59,0)&amp;"원")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선금 정산액 (공제)</t>
        </is>
      </c>
      <c r="C9" s="36" t="n"/>
      <c r="D9" s="37" t="n"/>
      <c r="E9" s="38">
        <f>IF('입력'!$C$60="","",FIXED('입력'!$C$60,0)&amp;"원")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4.2" customHeight="1">
      <c r="B10" s="35" t="inlineStr">
        <is>
          <t>청구 금액</t>
        </is>
      </c>
      <c r="C10" s="36" t="n"/>
      <c r="D10" s="37" t="n"/>
      <c r="E10" s="38">
        <f>IF('입력'!$C$98="","",'계산'!$J$7&amp;"원정 (₩"&amp;FIXED('입력'!$C$98,0)&amp;")")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공급가액 / 부가세</t>
        </is>
      </c>
      <c r="C11" s="36" t="n"/>
      <c r="D11" s="37" t="n"/>
      <c r="E11" s="38">
        <f>IF('입력'!$C$98="","",FIXED(ROUND('입력'!$C$98/1.1,0),0)&amp;"원  /  "&amp;FIXED('입력'!$C$98-ROUND('입력'!$C$98/1.1,0),0)&amp;"원")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8" customHeight="1"/>
    <row r="13" ht="33.8" customHeight="1">
      <c r="B13" s="35" t="inlineStr">
        <is>
          <t>은 행 명</t>
        </is>
      </c>
      <c r="C13" s="36" t="n"/>
      <c r="D13" s="37" t="n"/>
      <c r="E13" s="38">
        <f>'입력'!$C$33&amp;""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33.8" customHeight="1">
      <c r="B14" s="35" t="inlineStr">
        <is>
          <t>예 금 주</t>
        </is>
      </c>
      <c r="C14" s="36" t="n"/>
      <c r="D14" s="37" t="n"/>
      <c r="E14" s="38">
        <f>'입력'!$C$34&amp;""</f>
        <v/>
      </c>
      <c r="F14" s="39" t="n"/>
      <c r="G14" s="39" t="n"/>
      <c r="H14" s="39" t="n"/>
      <c r="I14" s="39" t="n"/>
      <c r="J14" s="39" t="n"/>
      <c r="K14" s="39" t="n"/>
      <c r="L14" s="39" t="n"/>
      <c r="M14" s="40" t="n"/>
    </row>
    <row r="15" ht="33.8" customHeight="1">
      <c r="B15" s="35" t="inlineStr">
        <is>
          <t>계좌 번호</t>
        </is>
      </c>
      <c r="C15" s="36" t="n"/>
      <c r="D15" s="37" t="n"/>
      <c r="E15" s="38">
        <f>'입력'!$C$35&amp;""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8" customHeight="1"/>
    <row r="17" ht="25.05" customHeight="1">
      <c r="B17" s="43" t="inlineStr">
        <is>
          <t>위 공사의 기성 대가를 위와 같이 청구합니다.</t>
        </is>
      </c>
    </row>
    <row r="18" ht="22.725" customHeight="1">
      <c r="B18" s="50" t="inlineStr">
        <is>
          <t>※ 공급가액·부가세는 청구 금액을 1.1로 나눠 계산한 값입니다. 세금계산서 금액과 맞는지 확인하세요.</t>
        </is>
      </c>
    </row>
    <row r="19" ht="53.42499999999995" customHeight="1"/>
    <row r="20" ht="30" customHeight="1">
      <c r="B20" s="44">
        <f>IF('입력'!$C$99="","          년      월      일",YEAR('입력'!$C$99)&amp;"년  "&amp;MONTH('입력'!$C$99)&amp;"월  "&amp;DAY('입력'!$C$99)&amp;"일")</f>
        <v/>
      </c>
    </row>
    <row r="21" ht="6" customHeight="1"/>
    <row r="22" ht="24" customHeight="1">
      <c r="B22" s="45" t="inlineStr">
        <is>
          <t>계약상대자</t>
        </is>
      </c>
      <c r="G22" s="46" t="inlineStr">
        <is>
          <t>상    호</t>
        </is>
      </c>
      <c r="I22" s="47" t="inlineStr">
        <is>
          <t>:</t>
        </is>
      </c>
      <c r="J22" s="48">
        <f>'입력'!$C$27&amp;""</f>
        <v/>
      </c>
    </row>
    <row r="23" ht="24" customHeight="1">
      <c r="G23" s="46" t="inlineStr">
        <is>
          <t>주    소</t>
        </is>
      </c>
      <c r="I23" s="47" t="inlineStr">
        <is>
          <t>:</t>
        </is>
      </c>
      <c r="J23" s="48">
        <f>'입력'!$C$30&amp;""</f>
        <v/>
      </c>
    </row>
    <row r="24" ht="24" customHeight="1">
      <c r="G24" s="46" t="inlineStr">
        <is>
          <t>대 표 자</t>
        </is>
      </c>
      <c r="I24" s="47" t="inlineStr">
        <is>
          <t>:</t>
        </is>
      </c>
      <c r="J24" s="48">
        <f>'입력'!$C$28&amp;"          (인)"</f>
        <v/>
      </c>
    </row>
    <row r="25" ht="8" customHeight="1"/>
    <row r="26" ht="8" customHeight="1"/>
    <row r="27" ht="30" customHeight="1">
      <c r="B27" s="49">
        <f>IF('입력'!$C$18="","                  귀하",'입력'!$C$18&amp;"  귀하")</f>
        <v/>
      </c>
    </row>
  </sheetData>
  <mergeCells count="32">
    <mergeCell ref="B11:D11"/>
    <mergeCell ref="B2:M2"/>
    <mergeCell ref="J22:M22"/>
    <mergeCell ref="B14:D14"/>
    <mergeCell ref="E10:M10"/>
    <mergeCell ref="B8:D8"/>
    <mergeCell ref="E13:M13"/>
    <mergeCell ref="B13:D13"/>
    <mergeCell ref="E9:M9"/>
    <mergeCell ref="B17:M17"/>
    <mergeCell ref="G23:H23"/>
    <mergeCell ref="E6:M6"/>
    <mergeCell ref="B10:D10"/>
    <mergeCell ref="E15:M15"/>
    <mergeCell ref="J23:M23"/>
    <mergeCell ref="G22:H22"/>
    <mergeCell ref="E11:M11"/>
    <mergeCell ref="B9:D9"/>
    <mergeCell ref="B15:D15"/>
    <mergeCell ref="B6:D6"/>
    <mergeCell ref="B22:E22"/>
    <mergeCell ref="B5:D5"/>
    <mergeCell ref="G24:H24"/>
    <mergeCell ref="B20:M20"/>
    <mergeCell ref="B4:D4"/>
    <mergeCell ref="J24:M24"/>
    <mergeCell ref="E5:M5"/>
    <mergeCell ref="E14:M14"/>
    <mergeCell ref="E8:M8"/>
    <mergeCell ref="B18:M18"/>
    <mergeCell ref="B27:M27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기 연 장 신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당초 공사기간</t>
        </is>
      </c>
      <c r="C7" s="36" t="n"/>
      <c r="D7" s="37" t="n"/>
      <c r="E7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연장 요청 기한</t>
        </is>
      </c>
      <c r="C8" s="36" t="n"/>
      <c r="D8" s="37" t="n"/>
      <c r="E8" s="38">
        <f>IF('입력'!$C$64="","",YEAR('입력'!$C$64)&amp;". "&amp;MONTH('입력'!$C$64)&amp;". "&amp;DAY('입력'!$C$64)&amp;".")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연장 일수</t>
        </is>
      </c>
      <c r="C9" s="36" t="n"/>
      <c r="D9" s="37" t="n"/>
      <c r="E9" s="38">
        <f>IF('입력'!$C$102="","",'입력'!$C$102&amp;"일")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78" customHeight="1">
      <c r="B10" s="35" t="inlineStr">
        <is>
          <t>연장 사유</t>
        </is>
      </c>
      <c r="C10" s="36" t="n"/>
      <c r="D10" s="37" t="n"/>
      <c r="E10" s="38">
        <f>'입력'!$C$65&amp;""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위와 같은 사유로 계약 기간 안에 공사를 마칠 수 없어 계약 기간의 연장을 신청합니다.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연장 사유 증빙 자료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28.6" customHeight="1">
      <c r="B15" s="42" t="inlineStr">
        <is>
          <t>변경 예정공정표</t>
        </is>
      </c>
      <c r="C15" s="39" t="n"/>
      <c r="D15" s="39" t="n"/>
      <c r="E15" s="39" t="n"/>
      <c r="F15" s="39" t="n"/>
      <c r="G15" s="39" t="n"/>
      <c r="H15" s="40" t="n"/>
      <c r="I15" s="42" t="inlineStr">
        <is>
          <t>1부</t>
        </is>
      </c>
      <c r="J15" s="40" t="n"/>
      <c r="K15" s="42" t="n"/>
      <c r="L15" s="39" t="n"/>
      <c r="M15" s="40" t="n"/>
    </row>
    <row r="16" ht="8" customHeight="1"/>
    <row r="17" ht="60.14999999999986" customHeight="1"/>
    <row r="18" ht="30" customHeight="1">
      <c r="B18" s="44">
        <f>IF('입력'!$C$63="","          년      월      일",YEAR('입력'!$C$63)&amp;"년  "&amp;MONTH('입력'!$C$63)&amp;"월  "&amp;DAY('입력'!$C$63)&amp;"일")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4">
    <mergeCell ref="G21:H21"/>
    <mergeCell ref="B2:M2"/>
    <mergeCell ref="J22:M22"/>
    <mergeCell ref="E10:M10"/>
    <mergeCell ref="I15:J15"/>
    <mergeCell ref="B8:D8"/>
    <mergeCell ref="E9:M9"/>
    <mergeCell ref="B15:H15"/>
    <mergeCell ref="J21:M21"/>
    <mergeCell ref="B20:E20"/>
    <mergeCell ref="E6:M6"/>
    <mergeCell ref="B10:D10"/>
    <mergeCell ref="G22:H22"/>
    <mergeCell ref="K14:M14"/>
    <mergeCell ref="B9:D9"/>
    <mergeCell ref="B6:D6"/>
    <mergeCell ref="E7:M7"/>
    <mergeCell ref="B5:D5"/>
    <mergeCell ref="K13:M13"/>
    <mergeCell ref="B4:D4"/>
    <mergeCell ref="I14:J14"/>
    <mergeCell ref="B7:D7"/>
    <mergeCell ref="K15:M15"/>
    <mergeCell ref="B14:H14"/>
    <mergeCell ref="G20:H20"/>
    <mergeCell ref="B25:M25"/>
    <mergeCell ref="B13:H13"/>
    <mergeCell ref="E5:M5"/>
    <mergeCell ref="J20:M20"/>
    <mergeCell ref="E8:M8"/>
    <mergeCell ref="I13:J13"/>
    <mergeCell ref="B18:M18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9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0.9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1.2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0.9" customHeight="1">
      <c r="B6" s="35" t="inlineStr">
        <is>
          <t>계약 금액</t>
        </is>
      </c>
      <c r="C6" s="36" t="n"/>
      <c r="D6" s="37" t="n"/>
      <c r="E6" s="38">
        <f>IF('입력'!$C$87="","",'계산'!$J$4&amp;"원정 (₩"&amp;FIXED('입력'!$C$87,0)&amp;")")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1.2" customHeight="1">
      <c r="B7" s="35" t="inlineStr">
        <is>
          <t>공사 기간</t>
        </is>
      </c>
      <c r="C7" s="36" t="n"/>
      <c r="D7" s="37" t="n"/>
      <c r="E7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1.2" customHeight="1">
      <c r="B8" s="35" t="inlineStr">
        <is>
          <t>착 공 일</t>
        </is>
      </c>
      <c r="C8" s="36" t="n"/>
      <c r="D8" s="37" t="n"/>
      <c r="E8" s="38">
        <f>IF('입력'!$C$12="","",YEAR('입력'!$C$12)&amp;". "&amp;MONTH('입력'!$C$12)&amp;". "&amp;DAY('입력'!$C$12)&amp;".")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1.2" customHeight="1">
      <c r="B9" s="35" t="inlineStr">
        <is>
          <t>준 공 일</t>
        </is>
      </c>
      <c r="C9" s="36" t="n"/>
      <c r="D9" s="37" t="n"/>
      <c r="E9" s="38">
        <f>IF('입력'!$C$68="","",YEAR('입력'!$C$68)&amp;". "&amp;MONTH('입력'!$C$68)&amp;". "&amp;DAY('입력'!$C$68)&amp;".")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0.9" customHeight="1">
      <c r="B10" s="35" t="inlineStr">
        <is>
          <t>현장 위치</t>
        </is>
      </c>
      <c r="C10" s="36" t="n"/>
      <c r="D10" s="37" t="n"/>
      <c r="E10" s="38">
        <f>'입력'!$C$7&amp;""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1.2" customHeight="1">
      <c r="B11" s="35" t="inlineStr">
        <is>
          <t>현장대리인</t>
        </is>
      </c>
      <c r="C11" s="36" t="n"/>
      <c r="D11" s="37" t="n"/>
      <c r="E11" s="38">
        <f>'입력'!$C$38&amp;""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8" customHeight="1"/>
    <row r="13" ht="25.05" customHeight="1">
      <c r="B13" s="43" t="inlineStr">
        <is>
          <t>위 공사를 계약 조건에 따라 준공하였기에 관계 서류를 붙여 신고합니다.</t>
        </is>
      </c>
    </row>
    <row r="14" ht="24" customHeight="1">
      <c r="B14" s="35" t="inlineStr">
        <is>
          <t>붙임 서류</t>
        </is>
      </c>
      <c r="C14" s="36" t="n"/>
      <c r="D14" s="36" t="n"/>
      <c r="E14" s="36" t="n"/>
      <c r="F14" s="36" t="n"/>
      <c r="G14" s="36" t="n"/>
      <c r="H14" s="37" t="n"/>
      <c r="I14" s="35" t="inlineStr">
        <is>
          <t>부수</t>
        </is>
      </c>
      <c r="J14" s="37" t="n"/>
      <c r="K14" s="35" t="inlineStr">
        <is>
          <t>비고</t>
        </is>
      </c>
      <c r="L14" s="36" t="n"/>
      <c r="M14" s="37" t="n"/>
    </row>
    <row r="15" ht="26.4" customHeight="1">
      <c r="B15" s="42" t="inlineStr">
        <is>
          <t>준공 사진</t>
        </is>
      </c>
      <c r="C15" s="39" t="n"/>
      <c r="D15" s="39" t="n"/>
      <c r="E15" s="39" t="n"/>
      <c r="F15" s="39" t="n"/>
      <c r="G15" s="39" t="n"/>
      <c r="H15" s="40" t="n"/>
      <c r="I15" s="42" t="inlineStr">
        <is>
          <t>1부</t>
        </is>
      </c>
      <c r="J15" s="40" t="n"/>
      <c r="K15" s="42" t="n"/>
      <c r="L15" s="39" t="n"/>
      <c r="M15" s="40" t="n"/>
    </row>
    <row r="16" ht="26.4" customHeight="1">
      <c r="B16" s="42" t="inlineStr">
        <is>
          <t>준공 내역서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6.4" customHeight="1">
      <c r="B17" s="42" t="inlineStr">
        <is>
          <t>준공 도면 (해당 시)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6.4" customHeight="1">
      <c r="B18" s="42" t="inlineStr">
        <is>
          <t>품질시험 성과 (해당 시)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26.4" customHeight="1">
      <c r="B19" s="42" t="inlineStr">
        <is>
          <t>하도급대금 지급 확인서 (해당 시)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8" customHeight="1"/>
    <row r="21" ht="8.250000000000114" customHeight="1"/>
    <row r="22" ht="30" customHeight="1">
      <c r="B22" s="44">
        <f>IF('입력'!$C$68="","          년      월      일",YEAR('입력'!$C$68)&amp;"년  "&amp;MONTH('입력'!$C$68)&amp;"월  "&amp;DAY('입력'!$C$68)&amp;"일")</f>
        <v/>
      </c>
    </row>
    <row r="23" ht="6" customHeight="1"/>
    <row r="24" ht="24" customHeight="1">
      <c r="B24" s="45" t="inlineStr">
        <is>
          <t>계약상대자</t>
        </is>
      </c>
      <c r="G24" s="46" t="inlineStr">
        <is>
          <t>상    호</t>
        </is>
      </c>
      <c r="I24" s="47" t="inlineStr">
        <is>
          <t>:</t>
        </is>
      </c>
      <c r="J24" s="48">
        <f>'입력'!$C$27&amp;""</f>
        <v/>
      </c>
    </row>
    <row r="25" ht="24" customHeight="1">
      <c r="G25" s="46" t="inlineStr">
        <is>
          <t>주    소</t>
        </is>
      </c>
      <c r="I25" s="47" t="inlineStr">
        <is>
          <t>:</t>
        </is>
      </c>
      <c r="J25" s="48">
        <f>'입력'!$C$30&amp;""</f>
        <v/>
      </c>
    </row>
    <row r="26" ht="24" customHeight="1">
      <c r="G26" s="46" t="inlineStr">
        <is>
          <t>대 표 자</t>
        </is>
      </c>
      <c r="I26" s="47" t="inlineStr">
        <is>
          <t>:</t>
        </is>
      </c>
      <c r="J26" s="48">
        <f>'입력'!$C$28&amp;"          (인)"</f>
        <v/>
      </c>
    </row>
    <row r="27" ht="8" customHeight="1"/>
    <row r="28" ht="8" customHeight="1"/>
    <row r="29" ht="30" customHeight="1">
      <c r="B29" s="49">
        <f>IF('입력'!$C$18="","                  귀하",'입력'!$C$18&amp;"  귀하")</f>
        <v/>
      </c>
    </row>
  </sheetData>
  <mergeCells count="45">
    <mergeCell ref="B11:D11"/>
    <mergeCell ref="B2:M2"/>
    <mergeCell ref="E10:M10"/>
    <mergeCell ref="I15:J15"/>
    <mergeCell ref="B8:D8"/>
    <mergeCell ref="E9:M9"/>
    <mergeCell ref="B15:H15"/>
    <mergeCell ref="B24:E24"/>
    <mergeCell ref="B13:M13"/>
    <mergeCell ref="B29:M29"/>
    <mergeCell ref="E6:M6"/>
    <mergeCell ref="B10:D10"/>
    <mergeCell ref="E11:M11"/>
    <mergeCell ref="I16:J16"/>
    <mergeCell ref="K14:M14"/>
    <mergeCell ref="B9:D9"/>
    <mergeCell ref="B16:H16"/>
    <mergeCell ref="K17:M17"/>
    <mergeCell ref="B6:D6"/>
    <mergeCell ref="I18:J18"/>
    <mergeCell ref="E7:M7"/>
    <mergeCell ref="B5:D5"/>
    <mergeCell ref="K19:M19"/>
    <mergeCell ref="B18:H18"/>
    <mergeCell ref="G24:H24"/>
    <mergeCell ref="B4:D4"/>
    <mergeCell ref="J25:M25"/>
    <mergeCell ref="K18:M18"/>
    <mergeCell ref="J24:M24"/>
    <mergeCell ref="I14:J14"/>
    <mergeCell ref="B7:D7"/>
    <mergeCell ref="K16:M16"/>
    <mergeCell ref="I17:J17"/>
    <mergeCell ref="G26:H26"/>
    <mergeCell ref="K15:M15"/>
    <mergeCell ref="B14:H14"/>
    <mergeCell ref="B17:H17"/>
    <mergeCell ref="J26:M26"/>
    <mergeCell ref="E5:M5"/>
    <mergeCell ref="G25:H25"/>
    <mergeCell ref="I19:J19"/>
    <mergeCell ref="B22:M22"/>
    <mergeCell ref="E8:M8"/>
    <mergeCell ref="B19:H19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검 사 요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IF('입력'!$C$87="","",'계산'!$J$4&amp;"원정 (₩"&amp;FIXED('입력'!$C$87,0)&amp;")")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착 공 일</t>
        </is>
      </c>
      <c r="C7" s="36" t="n"/>
      <c r="D7" s="37" t="n"/>
      <c r="E7" s="38">
        <f>IF('입력'!$C$12="","",YEAR('입력'!$C$12)&amp;". "&amp;MONTH('입력'!$C$12)&amp;". "&amp;DAY('입력'!$C$12)&amp;".")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준 공 일</t>
        </is>
      </c>
      <c r="C8" s="36" t="n"/>
      <c r="D8" s="37" t="n"/>
      <c r="E8" s="38">
        <f>IF('입력'!$C$68="","",YEAR('입력'!$C$68)&amp;". "&amp;MONTH('입력'!$C$68)&amp;". "&amp;DAY('입력'!$C$68)&amp;".")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44.2" customHeight="1">
      <c r="B9" s="35" t="inlineStr">
        <is>
          <t>현장 위치</t>
        </is>
      </c>
      <c r="C9" s="36" t="n"/>
      <c r="D9" s="37" t="n"/>
      <c r="E9" s="38">
        <f>'입력'!$C$7&amp;""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5.05" customHeight="1">
      <c r="B11" s="43" t="inlineStr">
        <is>
          <t>위 공사를 준공하였으므로 준공검사를 하여 주시기 바랍니다.</t>
        </is>
      </c>
    </row>
    <row r="12" ht="128" customHeight="1"/>
    <row r="13" ht="30" customHeight="1">
      <c r="B13" s="44">
        <f>IF('입력'!$C$89="","          년      월      일",YEAR('입력'!$C$89)&amp;"년  "&amp;MONTH('입력'!$C$89)&amp;"월  "&amp;DAY('입력'!$C$89)&amp;"일")</f>
        <v/>
      </c>
    </row>
    <row r="14" ht="6" customHeight="1"/>
    <row r="15" ht="24" customHeight="1">
      <c r="B15" s="45" t="inlineStr">
        <is>
          <t>계약상대자</t>
        </is>
      </c>
      <c r="G15" s="46" t="inlineStr">
        <is>
          <t>상    호</t>
        </is>
      </c>
      <c r="I15" s="47" t="inlineStr">
        <is>
          <t>:</t>
        </is>
      </c>
      <c r="J15" s="48">
        <f>'입력'!$C$27&amp;""</f>
        <v/>
      </c>
    </row>
    <row r="16" ht="24" customHeight="1">
      <c r="G16" s="46" t="inlineStr">
        <is>
          <t>주    소</t>
        </is>
      </c>
      <c r="I16" s="47" t="inlineStr">
        <is>
          <t>:</t>
        </is>
      </c>
      <c r="J16" s="48">
        <f>'입력'!$C$30&amp;""</f>
        <v/>
      </c>
    </row>
    <row r="17" ht="24" customHeight="1">
      <c r="G17" s="46" t="inlineStr">
        <is>
          <t>대 표 자</t>
        </is>
      </c>
      <c r="I17" s="47" t="inlineStr">
        <is>
          <t>:</t>
        </is>
      </c>
      <c r="J17" s="48">
        <f>'입력'!$C$28&amp;"          (인)"</f>
        <v/>
      </c>
    </row>
    <row r="18" ht="8" customHeight="1"/>
    <row r="19" ht="8" customHeight="1"/>
    <row r="20" ht="30" customHeight="1">
      <c r="B20" s="49">
        <f>IF('입력'!$C$18="","                  귀하",'입력'!$C$18&amp;"  귀하")</f>
        <v/>
      </c>
    </row>
  </sheetData>
  <mergeCells count="23">
    <mergeCell ref="B2:M2"/>
    <mergeCell ref="B11:M11"/>
    <mergeCell ref="B8:D8"/>
    <mergeCell ref="B15:E15"/>
    <mergeCell ref="E9:M9"/>
    <mergeCell ref="B13:M13"/>
    <mergeCell ref="G17:H17"/>
    <mergeCell ref="E6:M6"/>
    <mergeCell ref="J17:M17"/>
    <mergeCell ref="B9:D9"/>
    <mergeCell ref="B6:D6"/>
    <mergeCell ref="E7:M7"/>
    <mergeCell ref="B5:D5"/>
    <mergeCell ref="B20:M20"/>
    <mergeCell ref="G15:H15"/>
    <mergeCell ref="B4:D4"/>
    <mergeCell ref="J15:M15"/>
    <mergeCell ref="B7:D7"/>
    <mergeCell ref="G16:H16"/>
    <mergeCell ref="E5:M5"/>
    <mergeCell ref="E8:M8"/>
    <mergeCell ref="J16:M16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대 가 청 구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준 공 일</t>
        </is>
      </c>
      <c r="C6" s="36" t="n"/>
      <c r="D6" s="37" t="n"/>
      <c r="E6" s="38">
        <f>IF('입력'!$C$68="","",YEAR('입력'!$C$68)&amp;". "&amp;MONTH('입력'!$C$68)&amp;". "&amp;DAY('입력'!$C$68)&amp;".")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준공검사일</t>
        </is>
      </c>
      <c r="C7" s="36" t="n"/>
      <c r="D7" s="37" t="n"/>
      <c r="E7" s="38">
        <f>IF('입력'!$C$70="","",YEAR('입력'!$C$70)&amp;". "&amp;MONTH('입력'!$C$70)&amp;". "&amp;DAY('입력'!$C$70)&amp;".")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33.8" customHeight="1">
      <c r="B9" s="35" t="inlineStr">
        <is>
          <t>최종 계약금액</t>
        </is>
      </c>
      <c r="C9" s="36" t="n"/>
      <c r="D9" s="37" t="n"/>
      <c r="E9" s="38">
        <f>IF('입력'!$C$87="","",FIXED('입력'!$C$87,0)&amp;"원")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기성 지급 누계 (공제)</t>
        </is>
      </c>
      <c r="C10" s="36" t="n"/>
      <c r="D10" s="37" t="n"/>
      <c r="E10" s="38">
        <f>IF('입력'!$C$74="","",FIXED('입력'!$C$74,0)&amp;"원")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선금 잔액 정산 (공제)</t>
        </is>
      </c>
      <c r="C11" s="36" t="n"/>
      <c r="D11" s="37" t="n"/>
      <c r="E11" s="38">
        <f>IF('입력'!$C$75="","",FIXED('입력'!$C$75,0)&amp;"원")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지체상금 (공제)</t>
        </is>
      </c>
      <c r="C12" s="36" t="n"/>
      <c r="D12" s="37" t="n"/>
      <c r="E12" s="38">
        <f>IF(N('입력'!$C$95)=0,"없음",FIXED('입력'!$C$95,0)&amp;"원 (지체 "&amp;'입력'!$C$93&amp;"일)")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44.2" customHeight="1">
      <c r="B13" s="35" t="inlineStr">
        <is>
          <t>청구 금액</t>
        </is>
      </c>
      <c r="C13" s="36" t="n"/>
      <c r="D13" s="37" t="n"/>
      <c r="E13" s="38">
        <f>IF('입력'!$C$100="","",'계산'!$J$8&amp;"원정 (₩"&amp;FIXED('입력'!$C$100,0)&amp;")")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8" customHeight="1"/>
    <row r="15" ht="33.8" customHeight="1">
      <c r="B15" s="35" t="inlineStr">
        <is>
          <t>은 행 명</t>
        </is>
      </c>
      <c r="C15" s="36" t="n"/>
      <c r="D15" s="37" t="n"/>
      <c r="E15" s="38">
        <f>'입력'!$C$33&amp;""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33.8" customHeight="1">
      <c r="B16" s="35" t="inlineStr">
        <is>
          <t>예 금 주</t>
        </is>
      </c>
      <c r="C16" s="36" t="n"/>
      <c r="D16" s="37" t="n"/>
      <c r="E16" s="38">
        <f>'입력'!$C$34&amp;""</f>
        <v/>
      </c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33.8" customHeight="1">
      <c r="B17" s="35" t="inlineStr">
        <is>
          <t>계좌 번호</t>
        </is>
      </c>
      <c r="C17" s="36" t="n"/>
      <c r="D17" s="37" t="n"/>
      <c r="E17" s="38">
        <f>'입력'!$C$35&amp;""</f>
        <v/>
      </c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8" customHeight="1"/>
    <row r="19" ht="25.05" customHeight="1">
      <c r="B19" s="43" t="inlineStr">
        <is>
          <t>위 공사의 준공 대가를 위와 같이 청구합니다.</t>
        </is>
      </c>
    </row>
    <row r="20" ht="8.549999999999955" customHeight="1"/>
    <row r="21" ht="30" customHeight="1">
      <c r="B21" s="44">
        <f>IF('입력'!$C$101="","          년      월      일",YEAR('입력'!$C$101)&amp;"년  "&amp;MONTH('입력'!$C$101)&amp;"월  "&amp;DAY('입력'!$C$101)&amp;"일")</f>
        <v/>
      </c>
    </row>
    <row r="22" ht="6" customHeight="1"/>
    <row r="23" ht="24" customHeight="1">
      <c r="B23" s="45" t="inlineStr">
        <is>
          <t>계약상대자</t>
        </is>
      </c>
      <c r="G23" s="46" t="inlineStr">
        <is>
          <t>상    호</t>
        </is>
      </c>
      <c r="I23" s="47" t="inlineStr">
        <is>
          <t>:</t>
        </is>
      </c>
      <c r="J23" s="48">
        <f>'입력'!$C$27&amp;""</f>
        <v/>
      </c>
    </row>
    <row r="24" ht="24" customHeight="1">
      <c r="G24" s="46" t="inlineStr">
        <is>
          <t>주    소</t>
        </is>
      </c>
      <c r="I24" s="47" t="inlineStr">
        <is>
          <t>:</t>
        </is>
      </c>
      <c r="J24" s="48">
        <f>'입력'!$C$30&amp;""</f>
        <v/>
      </c>
    </row>
    <row r="25" ht="24" customHeight="1">
      <c r="G25" s="46" t="inlineStr">
        <is>
          <t>대 표 자</t>
        </is>
      </c>
      <c r="I25" s="47" t="inlineStr">
        <is>
          <t>:</t>
        </is>
      </c>
      <c r="J25" s="48">
        <f>'입력'!$C$28&amp;"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35">
    <mergeCell ref="B11:D11"/>
    <mergeCell ref="B2:M2"/>
    <mergeCell ref="E10:M10"/>
    <mergeCell ref="E13:M13"/>
    <mergeCell ref="B17:D17"/>
    <mergeCell ref="B13:D13"/>
    <mergeCell ref="E9:M9"/>
    <mergeCell ref="G23:H23"/>
    <mergeCell ref="E6:M6"/>
    <mergeCell ref="B10:D10"/>
    <mergeCell ref="E15:M15"/>
    <mergeCell ref="J23:M23"/>
    <mergeCell ref="B28:M28"/>
    <mergeCell ref="E11:M11"/>
    <mergeCell ref="B19:M19"/>
    <mergeCell ref="B9:D9"/>
    <mergeCell ref="B15:D15"/>
    <mergeCell ref="B6:D6"/>
    <mergeCell ref="E16:M16"/>
    <mergeCell ref="E7:M7"/>
    <mergeCell ref="B5:D5"/>
    <mergeCell ref="G24:H24"/>
    <mergeCell ref="B4:D4"/>
    <mergeCell ref="J25:M25"/>
    <mergeCell ref="J24:M24"/>
    <mergeCell ref="B7:D7"/>
    <mergeCell ref="E12:M12"/>
    <mergeCell ref="B16:D16"/>
    <mergeCell ref="B23:E23"/>
    <mergeCell ref="E5:M5"/>
    <mergeCell ref="G25:H25"/>
    <mergeCell ref="E17:M17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19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정 산 동 의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당초 계약금액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정산 계약금액</t>
        </is>
      </c>
      <c r="C7" s="36" t="n"/>
      <c r="D7" s="37" t="n"/>
      <c r="E7" s="38">
        <f>IF('입력'!$C$87="","",'계산'!$J$4&amp;"원정 (₩"&amp;FIXED('입력'!$C$87,0)&amp;")")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증 감 액</t>
        </is>
      </c>
      <c r="C8" s="36" t="n"/>
      <c r="D8" s="37" t="n"/>
      <c r="E8" s="38">
        <f>IF('입력'!$C$103="","",IF('입력'!$C$103&lt;0,"감액 ","증액 ")&amp;FIXED(ABS('입력'!$C$103),0)&amp;"원")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8" customHeight="1"/>
    <row r="10" ht="42.1" customHeight="1">
      <c r="B10" s="43" t="inlineStr">
        <is>
          <t>우리 회사는 위 공사의 준공 정산 결과 최종 계약금액을 위와 같이 확정하는 데 동의하며, 이 금액에 대하여 앞으로 이의를 제기하지 않겠습니다.</t>
        </is>
      </c>
    </row>
    <row r="11" ht="128" customHeight="1"/>
    <row r="12" ht="30" customHeight="1">
      <c r="B12" s="44">
        <f>IF('입력'!$C$70="","          년      월      일",YEAR('입력'!$C$70)&amp;"년  "&amp;MONTH('입력'!$C$70)&amp;"월  "&amp;DAY('입력'!$C$70)&amp;"일")</f>
        <v/>
      </c>
    </row>
    <row r="13" ht="6" customHeight="1"/>
    <row r="14" ht="24" customHeight="1">
      <c r="B14" s="45" t="inlineStr">
        <is>
          <t>계약상대자</t>
        </is>
      </c>
      <c r="G14" s="46" t="inlineStr">
        <is>
          <t>상    호</t>
        </is>
      </c>
      <c r="I14" s="47" t="inlineStr">
        <is>
          <t>:</t>
        </is>
      </c>
      <c r="J14" s="48">
        <f>'입력'!$C$27&amp;""</f>
        <v/>
      </c>
    </row>
    <row r="15" ht="24" customHeight="1">
      <c r="G15" s="46" t="inlineStr">
        <is>
          <t>주    소</t>
        </is>
      </c>
      <c r="I15" s="47" t="inlineStr">
        <is>
          <t>:</t>
        </is>
      </c>
      <c r="J15" s="48">
        <f>'입력'!$C$30&amp;""</f>
        <v/>
      </c>
    </row>
    <row r="16" ht="24" customHeight="1">
      <c r="G16" s="46" t="inlineStr">
        <is>
          <t>대 표 자</t>
        </is>
      </c>
      <c r="I16" s="47" t="inlineStr">
        <is>
          <t>:</t>
        </is>
      </c>
      <c r="J16" s="48">
        <f>'입력'!$C$28&amp;"          (인)"</f>
        <v/>
      </c>
    </row>
    <row r="17" ht="8" customHeight="1"/>
    <row r="18" ht="8" customHeight="1"/>
    <row r="19" ht="30" customHeight="1">
      <c r="B19" s="49">
        <f>IF('입력'!$C$18="","                  귀하",'입력'!$C$18&amp;"  귀하")</f>
        <v/>
      </c>
    </row>
  </sheetData>
  <mergeCells count="21">
    <mergeCell ref="B2:M2"/>
    <mergeCell ref="B8:D8"/>
    <mergeCell ref="E6:M6"/>
    <mergeCell ref="B10:M10"/>
    <mergeCell ref="B19:M19"/>
    <mergeCell ref="J14:M14"/>
    <mergeCell ref="B6:D6"/>
    <mergeCell ref="E7:M7"/>
    <mergeCell ref="B5:D5"/>
    <mergeCell ref="G15:H15"/>
    <mergeCell ref="B4:D4"/>
    <mergeCell ref="G14:H14"/>
    <mergeCell ref="J15:M15"/>
    <mergeCell ref="B7:D7"/>
    <mergeCell ref="B14:E14"/>
    <mergeCell ref="G16:H16"/>
    <mergeCell ref="E5:M5"/>
    <mergeCell ref="E8:M8"/>
    <mergeCell ref="J16:M16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4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보 수 보 증 금 납 부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최종 계약금액</t>
        </is>
      </c>
      <c r="C6" s="36" t="n"/>
      <c r="D6" s="37" t="n"/>
      <c r="E6" s="38">
        <f>IF('입력'!$C$87="","",'계산'!$J$4&amp;"원정 (₩"&amp;FIXED('입력'!$C$87,0)&amp;")")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보증금률</t>
        </is>
      </c>
      <c r="C7" s="36" t="n"/>
      <c r="D7" s="37" t="n"/>
      <c r="E7" s="38">
        <f>IF('입력'!$C$47="","",'입력'!$C$47&amp;"%")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하자보수보증금</t>
        </is>
      </c>
      <c r="C8" s="36" t="n"/>
      <c r="D8" s="37" t="n"/>
      <c r="E8" s="38">
        <f>IF('입력'!$C$88="","",'계산'!$J$6&amp;"원정 (₩"&amp;FIXED('입력'!$C$88,0)&amp;")")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납부 방법</t>
        </is>
      </c>
      <c r="C9" s="36" t="n"/>
      <c r="D9" s="37" t="n"/>
      <c r="E9" s="38">
        <f>'입력'!$C$49&amp;""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4.2" customHeight="1">
      <c r="B10" s="35" t="inlineStr">
        <is>
          <t>하자담보책임기간</t>
        </is>
      </c>
      <c r="C10" s="36" t="n"/>
      <c r="D10" s="37" t="n"/>
      <c r="E10" s="38">
        <f>IF('입력'!$C$91="","",'입력'!$C$48&amp;"년 ("&amp;IF('입력'!$C$90="","",YEAR('입력'!$C$90)&amp;". "&amp;MONTH('입력'!$C$90)&amp;". "&amp;DAY('입력'!$C$90)&amp;".")&amp;" ~ "&amp;IF('입력'!$C$91="","",YEAR('입력'!$C$91)&amp;". "&amp;MONTH('입력'!$C$91)&amp;". "&amp;DAY('입력'!$C$91)&amp;".")&amp;")")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 공사의 하자보수보증금을 위와 같이 납부합니다.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하자보수보증서(보증증권) — 현금이면 납부 영수증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8" customHeight="1"/>
    <row r="16" ht="112.15" customHeight="1"/>
    <row r="17" ht="30" customHeight="1">
      <c r="B17" s="44">
        <f>IF('입력'!$C$70="","          년      월      일",YEAR('입력'!$C$70)&amp;"년  "&amp;MONTH('입력'!$C$70)&amp;"월  "&amp;DAY('입력'!$C$70)&amp;"일")</f>
        <v/>
      </c>
    </row>
    <row r="18" ht="6" customHeight="1"/>
    <row r="19" ht="24" customHeight="1">
      <c r="B19" s="45" t="inlineStr">
        <is>
          <t>계약상대자</t>
        </is>
      </c>
      <c r="G19" s="46" t="inlineStr">
        <is>
          <t>상    호</t>
        </is>
      </c>
      <c r="I19" s="47" t="inlineStr">
        <is>
          <t>:</t>
        </is>
      </c>
      <c r="J19" s="48">
        <f>'입력'!$C$27&amp;""</f>
        <v/>
      </c>
    </row>
    <row r="20" ht="24" customHeight="1">
      <c r="G20" s="46" t="inlineStr">
        <is>
          <t>주    소</t>
        </is>
      </c>
      <c r="I20" s="47" t="inlineStr">
        <is>
          <t>:</t>
        </is>
      </c>
      <c r="J20" s="48">
        <f>'입력'!$C$30&amp;""</f>
        <v/>
      </c>
    </row>
    <row r="21" ht="24" customHeight="1">
      <c r="G21" s="46" t="inlineStr">
        <is>
          <t>대 표 자</t>
        </is>
      </c>
      <c r="I21" s="47" t="inlineStr">
        <is>
          <t>:</t>
        </is>
      </c>
      <c r="J21" s="48">
        <f>'입력'!$C$28&amp;"          (인)"</f>
        <v/>
      </c>
    </row>
    <row r="22" ht="8" customHeight="1"/>
    <row r="23" ht="8" customHeight="1"/>
    <row r="24" ht="30" customHeight="1">
      <c r="B24" s="49">
        <f>IF('입력'!$C$18="","                  귀하",'입력'!$C$18&amp;"  귀하")</f>
        <v/>
      </c>
    </row>
  </sheetData>
  <mergeCells count="31">
    <mergeCell ref="G21:H21"/>
    <mergeCell ref="B2:M2"/>
    <mergeCell ref="E10:M10"/>
    <mergeCell ref="B8:D8"/>
    <mergeCell ref="E9:M9"/>
    <mergeCell ref="B17:M17"/>
    <mergeCell ref="J21:M21"/>
    <mergeCell ref="E6:M6"/>
    <mergeCell ref="B10:D10"/>
    <mergeCell ref="K14:M14"/>
    <mergeCell ref="G19:H19"/>
    <mergeCell ref="B9:D9"/>
    <mergeCell ref="B6:D6"/>
    <mergeCell ref="J19:M19"/>
    <mergeCell ref="B24:M24"/>
    <mergeCell ref="E7:M7"/>
    <mergeCell ref="B5:D5"/>
    <mergeCell ref="K13:M13"/>
    <mergeCell ref="B4:D4"/>
    <mergeCell ref="I14:J14"/>
    <mergeCell ref="B7:D7"/>
    <mergeCell ref="B14:H14"/>
    <mergeCell ref="G20:H20"/>
    <mergeCell ref="B13:H13"/>
    <mergeCell ref="E5:M5"/>
    <mergeCell ref="J20:M20"/>
    <mergeCell ref="E8:M8"/>
    <mergeCell ref="I13:J13"/>
    <mergeCell ref="B19:E19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1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보 수 보 증 금 지 급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하자보수보증금</t>
        </is>
      </c>
      <c r="C6" s="36" t="n"/>
      <c r="D6" s="37" t="n"/>
      <c r="E6" s="38">
        <f>IF('입력'!$C$88="","",'계산'!$J$6&amp;"원정 (₩"&amp;FIXED('입력'!$C$88,0)&amp;")")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하자담보책임기간</t>
        </is>
      </c>
      <c r="C7" s="36" t="n"/>
      <c r="D7" s="37" t="n"/>
      <c r="E7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59.15000000000001" customHeight="1">
      <c r="B9" s="43" t="inlineStr">
        <is>
          <t>우리 회사는 위 공사의 하자보수보증금 납부를 면제받는 대신, 하자담보책임기간 안에 하자보수 의무를 이행하지 아니하여 하자보수보증금이 발주기관에 귀속되는 사유가 생긴 때에는 위 금액을 발주기관의 청구에 따라 즉시 현금으로 납부할 것을 각서합니다.</t>
        </is>
      </c>
    </row>
    <row r="10" ht="128" customHeight="1"/>
    <row r="11" ht="30" customHeight="1">
      <c r="B11" s="44">
        <f>IF('입력'!$C$70="","          년      월      일",YEAR('입력'!$C$70)&amp;"년  "&amp;MONTH('입력'!$C$70)&amp;"월  "&amp;DAY('입력'!$C$70)&amp;"일")</f>
        <v/>
      </c>
    </row>
    <row r="12" ht="6" customHeight="1"/>
    <row r="13" ht="24" customHeight="1">
      <c r="B13" s="45" t="inlineStr">
        <is>
          <t>계약상대자</t>
        </is>
      </c>
      <c r="G13" s="46" t="inlineStr">
        <is>
          <t>상    호</t>
        </is>
      </c>
      <c r="I13" s="47" t="inlineStr">
        <is>
          <t>:</t>
        </is>
      </c>
      <c r="J13" s="48">
        <f>'입력'!$C$27&amp;""</f>
        <v/>
      </c>
    </row>
    <row r="14" ht="24" customHeight="1">
      <c r="G14" s="46" t="inlineStr">
        <is>
          <t>주    소</t>
        </is>
      </c>
      <c r="I14" s="47" t="inlineStr">
        <is>
          <t>:</t>
        </is>
      </c>
      <c r="J14" s="48">
        <f>'입력'!$C$30&amp;""</f>
        <v/>
      </c>
    </row>
    <row r="15" ht="24" customHeight="1">
      <c r="G15" s="46" t="inlineStr">
        <is>
          <t>대 표 자</t>
        </is>
      </c>
      <c r="I15" s="47" t="inlineStr">
        <is>
          <t>:</t>
        </is>
      </c>
      <c r="J15" s="48">
        <f>'입력'!$C$28&amp;"          (인)"</f>
        <v/>
      </c>
    </row>
    <row r="16" ht="8" customHeight="1"/>
    <row r="17" ht="8" customHeight="1"/>
    <row r="18" ht="30" customHeight="1">
      <c r="B18" s="49">
        <f>IF('입력'!$C$18="","                  귀하",'입력'!$C$18&amp;"  귀하")</f>
        <v/>
      </c>
    </row>
  </sheetData>
  <mergeCells count="19">
    <mergeCell ref="B2:M2"/>
    <mergeCell ref="B11:M11"/>
    <mergeCell ref="E6:M6"/>
    <mergeCell ref="B9:M9"/>
    <mergeCell ref="J14:M14"/>
    <mergeCell ref="G13:H13"/>
    <mergeCell ref="B6:D6"/>
    <mergeCell ref="E7:M7"/>
    <mergeCell ref="B5:D5"/>
    <mergeCell ref="J13:M13"/>
    <mergeCell ref="G15:H15"/>
    <mergeCell ref="B4:D4"/>
    <mergeCell ref="G14:H14"/>
    <mergeCell ref="J15:M15"/>
    <mergeCell ref="B7:D7"/>
    <mergeCell ref="E5:M5"/>
    <mergeCell ref="B13:E13"/>
    <mergeCell ref="B18:M18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감 독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계약상대자</t>
        </is>
      </c>
      <c r="C6" s="36" t="n"/>
      <c r="D6" s="37" t="n"/>
      <c r="E6" s="38">
        <f>'입력'!$C$27&amp;IF('입력'!$C$28="",""," (대표 "&amp;'입력'!$C$28&amp;")")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 금액</t>
        </is>
      </c>
      <c r="C7" s="36" t="n"/>
      <c r="D7" s="37" t="n"/>
      <c r="E7" s="38">
        <f>IF('입력'!$C$87="","",'계산'!$J$4&amp;"원정 (₩"&amp;FIXED('입력'!$C$87,0)&amp;")")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계 약 일</t>
        </is>
      </c>
      <c r="C8" s="36" t="n"/>
      <c r="D8" s="37" t="n"/>
      <c r="E8" s="38">
        <f>IF('입력'!$C$11="","",YEAR('입력'!$C$11)&amp;". "&amp;MONTH('입력'!$C$11)&amp;". "&amp;DAY('입력'!$C$11)&amp;".")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착 공 일</t>
        </is>
      </c>
      <c r="C9" s="36" t="n"/>
      <c r="D9" s="37" t="n"/>
      <c r="E9" s="38">
        <f>IF('입력'!$C$12="","",YEAR('입력'!$C$12)&amp;". "&amp;MONTH('입력'!$C$12)&amp;". "&amp;DAY('입력'!$C$12)&amp;".")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준공 기한</t>
        </is>
      </c>
      <c r="C10" s="36" t="n"/>
      <c r="D10" s="37" t="n"/>
      <c r="E10" s="38">
        <f>IF('입력'!$C$92="","",YEAR('입력'!$C$92)&amp;". "&amp;MONTH('입력'!$C$92)&amp;". "&amp;DAY('입력'!$C$92)&amp;".")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준 공 일</t>
        </is>
      </c>
      <c r="C11" s="36" t="n"/>
      <c r="D11" s="37" t="n"/>
      <c r="E11" s="38">
        <f>IF('입력'!$C$68="","",YEAR('입력'!$C$68)&amp;". "&amp;MONTH('입력'!$C$68)&amp;". "&amp;DAY('입력'!$C$68)&amp;".")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지체 일수</t>
        </is>
      </c>
      <c r="C12" s="36" t="n"/>
      <c r="D12" s="37" t="n"/>
      <c r="E12" s="38">
        <f>IF('입력'!$C$93="","",IF('입력'!$C$93=0,"없음",'입력'!$C$93&amp;"일"))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5.05" customHeight="1">
      <c r="B14" s="43" t="inlineStr">
        <is>
          <t>위 공사를 설계서와 계약 조건에 따라 감독한 결과 위와 같이 시공되었음을 확인합니다.</t>
        </is>
      </c>
    </row>
    <row r="15" ht="128" customHeight="1"/>
    <row r="16" ht="30" customHeight="1">
      <c r="B16" s="44">
        <f>IF('입력'!$C$89="","          년      월      일",YEAR('입력'!$C$89)&amp;"년  "&amp;MONTH('입력'!$C$89)&amp;"월  "&amp;DAY('입력'!$C$89)&amp;"일")</f>
        <v/>
      </c>
    </row>
    <row r="17" ht="6" customHeight="1"/>
    <row r="18" ht="24" customHeight="1">
      <c r="B18" s="45" t="inlineStr">
        <is>
          <t>공사 감독자</t>
        </is>
      </c>
      <c r="G18" s="60" t="inlineStr">
        <is>
          <t>직·성명</t>
        </is>
      </c>
      <c r="I18" s="47" t="inlineStr">
        <is>
          <t>:</t>
        </is>
      </c>
      <c r="J18" s="48">
        <f>'입력'!$C$20&amp;"          (인)"</f>
        <v/>
      </c>
    </row>
    <row r="19" ht="8" customHeight="1"/>
    <row r="20" ht="8" customHeight="1"/>
    <row r="21" ht="30" customHeight="1">
      <c r="B21" s="49">
        <f>IF('입력'!$C$18="","                  귀하",'입력'!$C$18&amp;"  귀하")</f>
        <v/>
      </c>
    </row>
  </sheetData>
  <mergeCells count="25">
    <mergeCell ref="B11:D11"/>
    <mergeCell ref="B2:M2"/>
    <mergeCell ref="E10:M10"/>
    <mergeCell ref="B8:D8"/>
    <mergeCell ref="B14:M14"/>
    <mergeCell ref="E9:M9"/>
    <mergeCell ref="J18:M18"/>
    <mergeCell ref="E6:M6"/>
    <mergeCell ref="B10:D10"/>
    <mergeCell ref="E11:M11"/>
    <mergeCell ref="B9:D9"/>
    <mergeCell ref="G18:H18"/>
    <mergeCell ref="B6:D6"/>
    <mergeCell ref="E7:M7"/>
    <mergeCell ref="B5:D5"/>
    <mergeCell ref="B18:E18"/>
    <mergeCell ref="B4:D4"/>
    <mergeCell ref="B7:D7"/>
    <mergeCell ref="E12:M12"/>
    <mergeCell ref="B16:M16"/>
    <mergeCell ref="E5:M5"/>
    <mergeCell ref="E8:M8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3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검 사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계약상대자</t>
        </is>
      </c>
      <c r="C6" s="36" t="n"/>
      <c r="D6" s="37" t="n"/>
      <c r="E6" s="38">
        <f>'입력'!$C$27&amp;IF('입력'!$C$28="",""," (대표 "&amp;'입력'!$C$28&amp;")")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 금액</t>
        </is>
      </c>
      <c r="C7" s="36" t="n"/>
      <c r="D7" s="37" t="n"/>
      <c r="E7" s="38">
        <f>IF('입력'!$C$87="","",'계산'!$J$4&amp;"원정 (₩"&amp;FIXED('입력'!$C$87,0)&amp;")")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착 공 일</t>
        </is>
      </c>
      <c r="C8" s="36" t="n"/>
      <c r="D8" s="37" t="n"/>
      <c r="E8" s="38">
        <f>IF('입력'!$C$12="","",YEAR('입력'!$C$12)&amp;". "&amp;MONTH('입력'!$C$12)&amp;". "&amp;DAY('입력'!$C$12)&amp;".")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준 공 일</t>
        </is>
      </c>
      <c r="C9" s="36" t="n"/>
      <c r="D9" s="37" t="n"/>
      <c r="E9" s="38">
        <f>IF('입력'!$C$68="","",YEAR('입력'!$C$68)&amp;". "&amp;MONTH('입력'!$C$68)&amp;". "&amp;DAY('입력'!$C$68)&amp;".")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검사 요청일</t>
        </is>
      </c>
      <c r="C10" s="36" t="n"/>
      <c r="D10" s="37" t="n"/>
      <c r="E10" s="38">
        <f>IF('입력'!$C$89="","",YEAR('입력'!$C$89)&amp;". "&amp;MONTH('입력'!$C$89)&amp;". "&amp;DAY('입력'!$C$89)&amp;".")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준공검사일</t>
        </is>
      </c>
      <c r="C11" s="36" t="n"/>
      <c r="D11" s="37" t="n"/>
      <c r="E11" s="38">
        <f>IF('입력'!$C$70="","",YEAR('입력'!$C$70)&amp;". "&amp;MONTH('입력'!$C$70)&amp;". "&amp;DAY('입력'!$C$70)&amp;".")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검사 결과</t>
        </is>
      </c>
      <c r="C12" s="36" t="n"/>
      <c r="D12" s="37" t="n"/>
      <c r="E12" s="38">
        <f>IF('입력'!$C$71="","합격  /  보완 요구",'입력'!$C$71)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42.1" customHeight="1">
      <c r="B14" s="43" t="inlineStr">
        <is>
          <t>위 공사에 대하여 설계서·계약서와 관계 서류에 따라 준공검사를 한 결과 위와 같음을 확인합니다.</t>
        </is>
      </c>
    </row>
    <row r="15" ht="124.8999999999999" customHeight="1"/>
    <row r="16" ht="30" customHeight="1">
      <c r="B16" s="44">
        <f>IF('입력'!$C$70="","          년      월      일",YEAR('입력'!$C$70)&amp;"년  "&amp;MONTH('입력'!$C$70)&amp;"월  "&amp;DAY('입력'!$C$70)&amp;"일")</f>
        <v/>
      </c>
    </row>
    <row r="17" ht="6" customHeight="1"/>
    <row r="18" ht="24" customHeight="1">
      <c r="B18" s="45" t="inlineStr">
        <is>
          <t>검 사 자</t>
        </is>
      </c>
      <c r="G18" s="60" t="inlineStr">
        <is>
          <t>직·성명</t>
        </is>
      </c>
      <c r="I18" s="47" t="inlineStr">
        <is>
          <t>:</t>
        </is>
      </c>
      <c r="J18" s="48">
        <f>'입력'!$C$21&amp;"          (인)"</f>
        <v/>
      </c>
    </row>
    <row r="19" ht="8" customHeight="1"/>
    <row r="20" ht="24" customHeight="1">
      <c r="B20" s="45" t="inlineStr">
        <is>
          <t>입 회 자</t>
        </is>
      </c>
      <c r="G20" s="60" t="inlineStr">
        <is>
          <t>직·성명</t>
        </is>
      </c>
      <c r="I20" s="47" t="inlineStr">
        <is>
          <t>:</t>
        </is>
      </c>
      <c r="J20" s="48">
        <f>'입력'!$C$22&amp;"          (인)"</f>
        <v/>
      </c>
    </row>
    <row r="21" ht="8" customHeight="1"/>
    <row r="22" ht="8" customHeight="1"/>
    <row r="23" ht="30" customHeight="1">
      <c r="B23" s="49">
        <f>IF('입력'!$C$18="","                  귀하",'입력'!$C$18&amp;"  귀하")</f>
        <v/>
      </c>
    </row>
  </sheetData>
  <mergeCells count="28">
    <mergeCell ref="B11:D11"/>
    <mergeCell ref="B2:M2"/>
    <mergeCell ref="E10:M10"/>
    <mergeCell ref="B8:D8"/>
    <mergeCell ref="B23:M23"/>
    <mergeCell ref="B14:M14"/>
    <mergeCell ref="E9:M9"/>
    <mergeCell ref="B20:E20"/>
    <mergeCell ref="J18:M18"/>
    <mergeCell ref="E6:M6"/>
    <mergeCell ref="B10:D10"/>
    <mergeCell ref="E11:M11"/>
    <mergeCell ref="B9:D9"/>
    <mergeCell ref="G18:H18"/>
    <mergeCell ref="B6:D6"/>
    <mergeCell ref="E7:M7"/>
    <mergeCell ref="B5:D5"/>
    <mergeCell ref="B18:E18"/>
    <mergeCell ref="B4:D4"/>
    <mergeCell ref="B7:D7"/>
    <mergeCell ref="E12:M12"/>
    <mergeCell ref="B16:M16"/>
    <mergeCell ref="G20:H20"/>
    <mergeCell ref="E5:M5"/>
    <mergeCell ref="J20:M20"/>
    <mergeCell ref="E8:M8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대 장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7.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7.4" customHeight="1">
      <c r="B5" s="35" t="inlineStr">
        <is>
          <t>현장 위치</t>
        </is>
      </c>
      <c r="C5" s="36" t="n"/>
      <c r="D5" s="37" t="n"/>
      <c r="E5" s="38">
        <f>'입력'!$C$7&amp;""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7.4" customHeight="1">
      <c r="B6" s="35" t="inlineStr">
        <is>
          <t>공사 개요</t>
        </is>
      </c>
      <c r="C6" s="36" t="n"/>
      <c r="D6" s="37" t="n"/>
      <c r="E6" s="38">
        <f>'입력'!$C$8&amp;""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8.6" customHeight="1">
      <c r="B7" s="35" t="inlineStr">
        <is>
          <t>계약 방법</t>
        </is>
      </c>
      <c r="C7" s="36" t="n"/>
      <c r="D7" s="37" t="n"/>
      <c r="E7" s="38">
        <f>'입력'!$C$10&amp;""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8.6" customHeight="1">
      <c r="B8" s="35" t="inlineStr">
        <is>
          <t>계약 번호</t>
        </is>
      </c>
      <c r="C8" s="36" t="n"/>
      <c r="D8" s="37" t="n"/>
      <c r="E8" s="38">
        <f>'입력'!$C$9&amp;""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8.6" customHeight="1">
      <c r="B9" s="35" t="inlineStr">
        <is>
          <t>계 약 일</t>
        </is>
      </c>
      <c r="C9" s="36" t="n"/>
      <c r="D9" s="37" t="n"/>
      <c r="E9" s="38">
        <f>IF('입력'!$C$11="","",YEAR('입력'!$C$11)&amp;". "&amp;MONTH('입력'!$C$11)&amp;". "&amp;DAY('입력'!$C$11)&amp;".")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8.6" customHeight="1">
      <c r="B10" s="35" t="inlineStr">
        <is>
          <t>당초 계약금액</t>
        </is>
      </c>
      <c r="C10" s="36" t="n"/>
      <c r="D10" s="37" t="n"/>
      <c r="E10" s="38">
        <f>IF('입력'!$C$14="","",FIXED('입력'!$C$14,0)&amp;"원")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28.6" customHeight="1">
      <c r="B11" s="35" t="inlineStr">
        <is>
          <t>최종 계약금액</t>
        </is>
      </c>
      <c r="C11" s="36" t="n"/>
      <c r="D11" s="37" t="n"/>
      <c r="E11" s="38">
        <f>IF('입력'!$C$87="","",FIXED('입력'!$C$87,0)&amp;"원")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8.6" customHeight="1">
      <c r="B12" s="35" t="inlineStr">
        <is>
          <t>공사 기간</t>
        </is>
      </c>
      <c r="C12" s="36" t="n"/>
      <c r="D12" s="37" t="n"/>
      <c r="E12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28.6" customHeight="1">
      <c r="B13" s="35" t="inlineStr">
        <is>
          <t>준 공 일</t>
        </is>
      </c>
      <c r="C13" s="36" t="n"/>
      <c r="D13" s="37" t="n"/>
      <c r="E13" s="38">
        <f>IF('입력'!$C$68="","",YEAR('입력'!$C$68)&amp;". "&amp;MONTH('입력'!$C$68)&amp;". "&amp;DAY('입력'!$C$68)&amp;".")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28.6" customHeight="1">
      <c r="B14" s="35" t="inlineStr">
        <is>
          <t>준공검사일</t>
        </is>
      </c>
      <c r="C14" s="36" t="n"/>
      <c r="D14" s="37" t="n"/>
      <c r="E14" s="38">
        <f>IF('입력'!$C$70="","",YEAR('입력'!$C$70)&amp;". "&amp;MONTH('입력'!$C$70)&amp;". "&amp;DAY('입력'!$C$70)&amp;".")</f>
        <v/>
      </c>
      <c r="F14" s="39" t="n"/>
      <c r="G14" s="39" t="n"/>
      <c r="H14" s="39" t="n"/>
      <c r="I14" s="39" t="n"/>
      <c r="J14" s="39" t="n"/>
      <c r="K14" s="39" t="n"/>
      <c r="L14" s="39" t="n"/>
      <c r="M14" s="40" t="n"/>
    </row>
    <row r="15" ht="37.4" customHeight="1">
      <c r="B15" s="35" t="inlineStr">
        <is>
          <t>계약상대자</t>
        </is>
      </c>
      <c r="C15" s="36" t="n"/>
      <c r="D15" s="37" t="n"/>
      <c r="E15" s="38">
        <f>'입력'!$C$27&amp;IF('입력'!$C$28="",""," / 대표 "&amp;'입력'!$C$28)&amp;IF('입력'!$C$31="",""," / "&amp;'입력'!$C$31)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28.6" customHeight="1">
      <c r="B16" s="35" t="inlineStr">
        <is>
          <t>현장대리인</t>
        </is>
      </c>
      <c r="C16" s="36" t="n"/>
      <c r="D16" s="37" t="n"/>
      <c r="E16" s="38">
        <f>'입력'!$C$38&amp;IF('입력'!$C$42="",""," / "&amp;'입력'!$C$42)</f>
        <v/>
      </c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28.6" customHeight="1">
      <c r="B17" s="35" t="inlineStr">
        <is>
          <t>설 계 자</t>
        </is>
      </c>
      <c r="C17" s="36" t="n"/>
      <c r="D17" s="37" t="n"/>
      <c r="E17" s="38">
        <f>'입력'!$C$23&amp;""</f>
        <v/>
      </c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28.6" customHeight="1">
      <c r="B18" s="35" t="inlineStr">
        <is>
          <t>감 리 자</t>
        </is>
      </c>
      <c r="C18" s="36" t="n"/>
      <c r="D18" s="37" t="n"/>
      <c r="E18" s="38">
        <f>'입력'!$C$24&amp;""</f>
        <v/>
      </c>
      <c r="F18" s="39" t="n"/>
      <c r="G18" s="39" t="n"/>
      <c r="H18" s="39" t="n"/>
      <c r="I18" s="39" t="n"/>
      <c r="J18" s="39" t="n"/>
      <c r="K18" s="39" t="n"/>
      <c r="L18" s="39" t="n"/>
      <c r="M18" s="40" t="n"/>
    </row>
    <row r="19" ht="28.6" customHeight="1">
      <c r="B19" s="35" t="inlineStr">
        <is>
          <t>공사 감독자</t>
        </is>
      </c>
      <c r="C19" s="36" t="n"/>
      <c r="D19" s="37" t="n"/>
      <c r="E19" s="38">
        <f>'입력'!$C$20&amp;""</f>
        <v/>
      </c>
      <c r="F19" s="39" t="n"/>
      <c r="G19" s="39" t="n"/>
      <c r="H19" s="39" t="n"/>
      <c r="I19" s="39" t="n"/>
      <c r="J19" s="39" t="n"/>
      <c r="K19" s="39" t="n"/>
      <c r="L19" s="39" t="n"/>
      <c r="M19" s="40" t="n"/>
    </row>
    <row r="20" ht="28.6" customHeight="1">
      <c r="B20" s="35" t="inlineStr">
        <is>
          <t>계약보증</t>
        </is>
      </c>
      <c r="C20" s="36" t="n"/>
      <c r="D20" s="37" t="n"/>
      <c r="E20" s="38">
        <f>IF('입력'!$C$86="",'입력'!$C$46&amp;"",FIXED('입력'!$C$86,0)&amp;"원 / "&amp;'입력'!$C$46)</f>
        <v/>
      </c>
      <c r="F20" s="39" t="n"/>
      <c r="G20" s="39" t="n"/>
      <c r="H20" s="39" t="n"/>
      <c r="I20" s="39" t="n"/>
      <c r="J20" s="39" t="n"/>
      <c r="K20" s="39" t="n"/>
      <c r="L20" s="39" t="n"/>
      <c r="M20" s="40" t="n"/>
    </row>
    <row r="21" ht="28.6" customHeight="1">
      <c r="B21" s="35" t="inlineStr">
        <is>
          <t>하자보수보증</t>
        </is>
      </c>
      <c r="C21" s="36" t="n"/>
      <c r="D21" s="37" t="n"/>
      <c r="E21" s="38">
        <f>IF('입력'!$C$88="",'입력'!$C$49&amp;"",FIXED('입력'!$C$88,0)&amp;"원 / "&amp;'입력'!$C$49)</f>
        <v/>
      </c>
      <c r="F21" s="39" t="n"/>
      <c r="G21" s="39" t="n"/>
      <c r="H21" s="39" t="n"/>
      <c r="I21" s="39" t="n"/>
      <c r="J21" s="39" t="n"/>
      <c r="K21" s="39" t="n"/>
      <c r="L21" s="39" t="n"/>
      <c r="M21" s="40" t="n"/>
    </row>
    <row r="22" ht="28.6" customHeight="1">
      <c r="B22" s="35" t="inlineStr">
        <is>
          <t>하자담보책임기간</t>
        </is>
      </c>
      <c r="C22" s="36" t="n"/>
      <c r="D22" s="37" t="n"/>
      <c r="E22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22" s="39" t="n"/>
      <c r="G22" s="39" t="n"/>
      <c r="H22" s="39" t="n"/>
      <c r="I22" s="39" t="n"/>
      <c r="J22" s="39" t="n"/>
      <c r="K22" s="39" t="n"/>
      <c r="L22" s="39" t="n"/>
      <c r="M22" s="40" t="n"/>
    </row>
    <row r="23" ht="28.6" customHeight="1">
      <c r="B23" s="35" t="inlineStr">
        <is>
          <t>지체 일수·상금</t>
        </is>
      </c>
      <c r="C23" s="36" t="n"/>
      <c r="D23" s="37" t="n"/>
      <c r="E23" s="38">
        <f>IF('입력'!$C$93="","",IF('입력'!$C$93=0,"없음",'입력'!$C$93&amp;"일 / "&amp;FIXED(N('입력'!$C$95),0)&amp;"원"))</f>
        <v/>
      </c>
      <c r="F23" s="39" t="n"/>
      <c r="G23" s="39" t="n"/>
      <c r="H23" s="39" t="n"/>
      <c r="I23" s="39" t="n"/>
      <c r="J23" s="39" t="n"/>
      <c r="K23" s="39" t="n"/>
      <c r="L23" s="39" t="n"/>
      <c r="M23" s="40" t="n"/>
    </row>
    <row r="24" ht="8" customHeight="1"/>
    <row r="25" ht="22.725" customHeight="1">
      <c r="B25" s="50" t="inlineStr">
        <is>
          <t>※ 공사 하나에 한 장 — 계약부터 하자까지 한눈에 보는 관리 카드입니다.</t>
        </is>
      </c>
    </row>
  </sheetData>
  <mergeCells count="42">
    <mergeCell ref="B11:D11"/>
    <mergeCell ref="B2:M2"/>
    <mergeCell ref="B14:D14"/>
    <mergeCell ref="E19:M19"/>
    <mergeCell ref="B23:D23"/>
    <mergeCell ref="E10:M10"/>
    <mergeCell ref="B8:D8"/>
    <mergeCell ref="E13:M13"/>
    <mergeCell ref="B17:D17"/>
    <mergeCell ref="B13:D13"/>
    <mergeCell ref="E9:M9"/>
    <mergeCell ref="E6:M6"/>
    <mergeCell ref="B10:D10"/>
    <mergeCell ref="E15:M15"/>
    <mergeCell ref="B19:D19"/>
    <mergeCell ref="E11:M11"/>
    <mergeCell ref="B9:D9"/>
    <mergeCell ref="B15:D15"/>
    <mergeCell ref="B6:D6"/>
    <mergeCell ref="B20:D20"/>
    <mergeCell ref="E16:M16"/>
    <mergeCell ref="E7:M7"/>
    <mergeCell ref="B5:D5"/>
    <mergeCell ref="B4:D4"/>
    <mergeCell ref="E22:M22"/>
    <mergeCell ref="E18:M18"/>
    <mergeCell ref="E21:M21"/>
    <mergeCell ref="B7:D7"/>
    <mergeCell ref="E12:M12"/>
    <mergeCell ref="B16:D16"/>
    <mergeCell ref="B25:M25"/>
    <mergeCell ref="E5:M5"/>
    <mergeCell ref="B22:D22"/>
    <mergeCell ref="E23:M23"/>
    <mergeCell ref="E14:M14"/>
    <mergeCell ref="B18:D18"/>
    <mergeCell ref="E17:M17"/>
    <mergeCell ref="B21:D21"/>
    <mergeCell ref="E8:M8"/>
    <mergeCell ref="B12:D12"/>
    <mergeCell ref="E4:M4"/>
    <mergeCell ref="E20:M20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검 사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3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4" customHeight="1">
      <c r="B5" s="35" t="inlineStr">
        <is>
          <t>계약상대자</t>
        </is>
      </c>
      <c r="C5" s="36" t="n"/>
      <c r="D5" s="37" t="n"/>
      <c r="E5" s="38">
        <f>'입력'!$C$27&amp;IF('입력'!$C$28="",""," (대표 "&amp;'입력'!$C$28&amp;")")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4" customHeight="1">
      <c r="B6" s="35" t="inlineStr">
        <is>
          <t>준 공 일</t>
        </is>
      </c>
      <c r="C6" s="36" t="n"/>
      <c r="D6" s="37" t="n"/>
      <c r="E6" s="38">
        <f>IF('입력'!$C$68="","",YEAR('입력'!$C$68)&amp;". "&amp;MONTH('입력'!$C$68)&amp;". "&amp;DAY('입력'!$C$68)&amp;".")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4" customHeight="1">
      <c r="B7" s="35" t="inlineStr">
        <is>
          <t>하자담보책임기간</t>
        </is>
      </c>
      <c r="C7" s="36" t="n"/>
      <c r="D7" s="37" t="n"/>
      <c r="E7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4" customHeight="1">
      <c r="B8" s="35" t="inlineStr">
        <is>
          <t>검 사 일</t>
        </is>
      </c>
      <c r="C8" s="36" t="n"/>
      <c r="D8" s="37" t="n"/>
      <c r="E8" s="38">
        <f>IF('입력'!$C$81="","",YEAR('입력'!$C$81)&amp;". "&amp;MONTH('입력'!$C$81)&amp;". "&amp;DAY('입력'!$C$81)&amp;".")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4" customHeight="1">
      <c r="B9" s="35" t="inlineStr">
        <is>
          <t>검사 결과</t>
        </is>
      </c>
      <c r="C9" s="36" t="n"/>
      <c r="D9" s="37" t="n"/>
      <c r="E9" s="38">
        <f>IF('입력'!$C$82="","하자 없음  /  하자 있음 (보수 요구)",'입력'!$C$82)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위  치</t>
        </is>
      </c>
      <c r="C11" s="37" t="n"/>
      <c r="D11" s="35" t="inlineStr">
        <is>
          <t>하자 내용</t>
        </is>
      </c>
      <c r="E11" s="36" t="n"/>
      <c r="F11" s="36" t="n"/>
      <c r="G11" s="37" t="n"/>
      <c r="H11" s="35" t="inlineStr">
        <is>
          <t>보수 요구 사항</t>
        </is>
      </c>
      <c r="I11" s="36" t="n"/>
      <c r="J11" s="36" t="n"/>
      <c r="K11" s="37" t="n"/>
      <c r="L11" s="35" t="inlineStr">
        <is>
          <t>비  고</t>
        </is>
      </c>
      <c r="M11" s="37" t="n"/>
    </row>
    <row r="12" ht="36" customHeight="1">
      <c r="B12" s="42" t="n"/>
      <c r="C12" s="40" t="n"/>
      <c r="D12" s="42" t="n"/>
      <c r="E12" s="39" t="n"/>
      <c r="F12" s="39" t="n"/>
      <c r="G12" s="40" t="n"/>
      <c r="H12" s="42" t="n"/>
      <c r="I12" s="39" t="n"/>
      <c r="J12" s="39" t="n"/>
      <c r="K12" s="40" t="n"/>
      <c r="L12" s="42" t="n"/>
      <c r="M12" s="40" t="n"/>
    </row>
    <row r="13" ht="36" customHeight="1">
      <c r="B13" s="42" t="n"/>
      <c r="C13" s="40" t="n"/>
      <c r="D13" s="42" t="n"/>
      <c r="E13" s="39" t="n"/>
      <c r="F13" s="39" t="n"/>
      <c r="G13" s="40" t="n"/>
      <c r="H13" s="42" t="n"/>
      <c r="I13" s="39" t="n"/>
      <c r="J13" s="39" t="n"/>
      <c r="K13" s="40" t="n"/>
      <c r="L13" s="42" t="n"/>
      <c r="M13" s="40" t="n"/>
    </row>
    <row r="14" ht="36" customHeight="1">
      <c r="B14" s="42" t="n"/>
      <c r="C14" s="40" t="n"/>
      <c r="D14" s="42" t="n"/>
      <c r="E14" s="39" t="n"/>
      <c r="F14" s="39" t="n"/>
      <c r="G14" s="40" t="n"/>
      <c r="H14" s="42" t="n"/>
      <c r="I14" s="39" t="n"/>
      <c r="J14" s="39" t="n"/>
      <c r="K14" s="40" t="n"/>
      <c r="L14" s="42" t="n"/>
      <c r="M14" s="40" t="n"/>
    </row>
    <row r="15" ht="36" customHeight="1">
      <c r="B15" s="42" t="n"/>
      <c r="C15" s="40" t="n"/>
      <c r="D15" s="42" t="n"/>
      <c r="E15" s="39" t="n"/>
      <c r="F15" s="39" t="n"/>
      <c r="G15" s="40" t="n"/>
      <c r="H15" s="42" t="n"/>
      <c r="I15" s="39" t="n"/>
      <c r="J15" s="39" t="n"/>
      <c r="K15" s="40" t="n"/>
      <c r="L15" s="42" t="n"/>
      <c r="M15" s="40" t="n"/>
    </row>
    <row r="16" ht="36" customHeight="1">
      <c r="B16" s="42" t="n"/>
      <c r="C16" s="40" t="n"/>
      <c r="D16" s="42" t="n"/>
      <c r="E16" s="39" t="n"/>
      <c r="F16" s="39" t="n"/>
      <c r="G16" s="40" t="n"/>
      <c r="H16" s="42" t="n"/>
      <c r="I16" s="39" t="n"/>
      <c r="J16" s="39" t="n"/>
      <c r="K16" s="40" t="n"/>
      <c r="L16" s="42" t="n"/>
      <c r="M16" s="40" t="n"/>
    </row>
    <row r="17" ht="36" customHeight="1">
      <c r="B17" s="42" t="n"/>
      <c r="C17" s="40" t="n"/>
      <c r="D17" s="42" t="n"/>
      <c r="E17" s="39" t="n"/>
      <c r="F17" s="39" t="n"/>
      <c r="G17" s="40" t="n"/>
      <c r="H17" s="42" t="n"/>
      <c r="I17" s="39" t="n"/>
      <c r="J17" s="39" t="n"/>
      <c r="K17" s="40" t="n"/>
      <c r="L17" s="42" t="n"/>
      <c r="M17" s="40" t="n"/>
    </row>
    <row r="18" ht="8" customHeight="1"/>
    <row r="19" ht="25.05" customHeight="1">
      <c r="B19" s="43" t="inlineStr">
        <is>
          <t>위 공사의 하자담보책임기간 중 하자 검사를 한 결과 위와 같음을 확인합니다.</t>
        </is>
      </c>
    </row>
    <row r="20" ht="8.25" customHeight="1"/>
    <row r="21" ht="30" customHeight="1">
      <c r="B21" s="44">
        <f>IF('입력'!$C$81="","          년      월      일",YEAR('입력'!$C$81)&amp;"년  "&amp;MONTH('입력'!$C$81)&amp;"월  "&amp;DAY('입력'!$C$81)&amp;"일")</f>
        <v/>
      </c>
    </row>
    <row r="22" ht="6" customHeight="1"/>
    <row r="23" ht="24" customHeight="1">
      <c r="B23" s="45" t="inlineStr">
        <is>
          <t>검 사 자</t>
        </is>
      </c>
      <c r="G23" s="60" t="inlineStr">
        <is>
          <t>직·성명</t>
        </is>
      </c>
      <c r="I23" s="47" t="inlineStr">
        <is>
          <t>:</t>
        </is>
      </c>
      <c r="J23" s="48">
        <f>'입력'!$C$21&amp;"          (인)"</f>
        <v/>
      </c>
    </row>
    <row r="24" ht="8" customHeight="1"/>
    <row r="25" ht="24" customHeight="1">
      <c r="B25" s="45" t="inlineStr">
        <is>
          <t>입 회 자</t>
        </is>
      </c>
      <c r="G25" s="46" t="inlineStr">
        <is>
          <t>계약상대자</t>
        </is>
      </c>
      <c r="I25" s="47" t="inlineStr">
        <is>
          <t>:</t>
        </is>
      </c>
      <c r="J25" s="48">
        <f>'입력'!$C$27&amp;"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50">
    <mergeCell ref="L17:M17"/>
    <mergeCell ref="B2:M2"/>
    <mergeCell ref="B16:C16"/>
    <mergeCell ref="H13:K13"/>
    <mergeCell ref="D12:G12"/>
    <mergeCell ref="L16:M16"/>
    <mergeCell ref="B8:D8"/>
    <mergeCell ref="H12:K12"/>
    <mergeCell ref="E9:M9"/>
    <mergeCell ref="D15:G15"/>
    <mergeCell ref="G23:H23"/>
    <mergeCell ref="H15:K15"/>
    <mergeCell ref="L13:M13"/>
    <mergeCell ref="D14:G14"/>
    <mergeCell ref="E6:M6"/>
    <mergeCell ref="B12:C12"/>
    <mergeCell ref="H14:K14"/>
    <mergeCell ref="J23:M23"/>
    <mergeCell ref="L12:M12"/>
    <mergeCell ref="B28:M28"/>
    <mergeCell ref="B11:C11"/>
    <mergeCell ref="B19:M19"/>
    <mergeCell ref="L15:M15"/>
    <mergeCell ref="B9:D9"/>
    <mergeCell ref="B14:C14"/>
    <mergeCell ref="B25:E25"/>
    <mergeCell ref="B17:C17"/>
    <mergeCell ref="L14:M14"/>
    <mergeCell ref="B6:D6"/>
    <mergeCell ref="B13:C13"/>
    <mergeCell ref="E7:M7"/>
    <mergeCell ref="B5:D5"/>
    <mergeCell ref="B4:D4"/>
    <mergeCell ref="J25:M25"/>
    <mergeCell ref="D11:G11"/>
    <mergeCell ref="D13:G13"/>
    <mergeCell ref="B7:D7"/>
    <mergeCell ref="B23:E23"/>
    <mergeCell ref="D17:G17"/>
    <mergeCell ref="B15:C15"/>
    <mergeCell ref="H17:K17"/>
    <mergeCell ref="E5:M5"/>
    <mergeCell ref="H11:K11"/>
    <mergeCell ref="D16:G16"/>
    <mergeCell ref="G25:H25"/>
    <mergeCell ref="L11:M11"/>
    <mergeCell ref="H16:K16"/>
    <mergeCell ref="E8:M8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3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대 장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2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2.7" customHeight="1">
      <c r="B5" s="35" t="inlineStr">
        <is>
          <t>계약상대자</t>
        </is>
      </c>
      <c r="C5" s="36" t="n"/>
      <c r="D5" s="37" t="n"/>
      <c r="E5" s="38">
        <f>'입력'!$C$27&amp;IF('입력'!$C$31="",""," / "&amp;'입력'!$C$31)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2.7" customHeight="1">
      <c r="B6" s="35" t="inlineStr">
        <is>
          <t>하자담보책임기간</t>
        </is>
      </c>
      <c r="C6" s="36" t="n"/>
      <c r="D6" s="37" t="n"/>
      <c r="E6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2.7" customHeight="1">
      <c r="B7" s="35" t="inlineStr">
        <is>
          <t>하자보수보증</t>
        </is>
      </c>
      <c r="C7" s="36" t="n"/>
      <c r="D7" s="37" t="n"/>
      <c r="E7" s="38">
        <f>IF('입력'!$C$88="",'입력'!$C$49&amp;"",FIXED('입력'!$C$88,0)&amp;"원 / "&amp;'입력'!$C$49)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51" t="inlineStr">
        <is>
          <t>번호</t>
        </is>
      </c>
      <c r="C9" s="35" t="inlineStr">
        <is>
          <t>접 수 일</t>
        </is>
      </c>
      <c r="D9" s="37" t="n"/>
      <c r="E9" s="35" t="inlineStr">
        <is>
          <t>위치 · 하자 내용</t>
        </is>
      </c>
      <c r="F9" s="36" t="n"/>
      <c r="G9" s="36" t="n"/>
      <c r="H9" s="37" t="n"/>
      <c r="I9" s="35" t="inlineStr">
        <is>
          <t>보수 요구일</t>
        </is>
      </c>
      <c r="J9" s="37" t="n"/>
      <c r="K9" s="35" t="inlineStr">
        <is>
          <t>보수 완료일</t>
        </is>
      </c>
      <c r="L9" s="37" t="n"/>
      <c r="M9" s="51" t="inlineStr">
        <is>
          <t>확 인</t>
        </is>
      </c>
    </row>
    <row r="10" ht="32.7" customHeight="1">
      <c r="B10" s="52" t="inlineStr">
        <is>
          <t>1</t>
        </is>
      </c>
      <c r="C10" s="42" t="n"/>
      <c r="D10" s="40" t="n"/>
      <c r="E10" s="42" t="n"/>
      <c r="F10" s="39" t="n"/>
      <c r="G10" s="39" t="n"/>
      <c r="H10" s="40" t="n"/>
      <c r="I10" s="42" t="n"/>
      <c r="J10" s="40" t="n"/>
      <c r="K10" s="42" t="n"/>
      <c r="L10" s="40" t="n"/>
      <c r="M10" s="52" t="n"/>
    </row>
    <row r="11" ht="32.7" customHeight="1">
      <c r="B11" s="52" t="inlineStr">
        <is>
          <t>2</t>
        </is>
      </c>
      <c r="C11" s="42" t="n"/>
      <c r="D11" s="40" t="n"/>
      <c r="E11" s="42" t="n"/>
      <c r="F11" s="39" t="n"/>
      <c r="G11" s="39" t="n"/>
      <c r="H11" s="40" t="n"/>
      <c r="I11" s="42" t="n"/>
      <c r="J11" s="40" t="n"/>
      <c r="K11" s="42" t="n"/>
      <c r="L11" s="40" t="n"/>
      <c r="M11" s="52" t="n"/>
    </row>
    <row r="12" ht="32.7" customHeight="1">
      <c r="B12" s="52" t="inlineStr">
        <is>
          <t>3</t>
        </is>
      </c>
      <c r="C12" s="42" t="n"/>
      <c r="D12" s="40" t="n"/>
      <c r="E12" s="42" t="n"/>
      <c r="F12" s="39" t="n"/>
      <c r="G12" s="39" t="n"/>
      <c r="H12" s="40" t="n"/>
      <c r="I12" s="42" t="n"/>
      <c r="J12" s="40" t="n"/>
      <c r="K12" s="42" t="n"/>
      <c r="L12" s="40" t="n"/>
      <c r="M12" s="52" t="n"/>
    </row>
    <row r="13" ht="32.7" customHeight="1">
      <c r="B13" s="52" t="inlineStr">
        <is>
          <t>4</t>
        </is>
      </c>
      <c r="C13" s="42" t="n"/>
      <c r="D13" s="40" t="n"/>
      <c r="E13" s="42" t="n"/>
      <c r="F13" s="39" t="n"/>
      <c r="G13" s="39" t="n"/>
      <c r="H13" s="40" t="n"/>
      <c r="I13" s="42" t="n"/>
      <c r="J13" s="40" t="n"/>
      <c r="K13" s="42" t="n"/>
      <c r="L13" s="40" t="n"/>
      <c r="M13" s="52" t="n"/>
    </row>
    <row r="14" ht="32.7" customHeight="1">
      <c r="B14" s="52" t="inlineStr">
        <is>
          <t>5</t>
        </is>
      </c>
      <c r="C14" s="42" t="n"/>
      <c r="D14" s="40" t="n"/>
      <c r="E14" s="42" t="n"/>
      <c r="F14" s="39" t="n"/>
      <c r="G14" s="39" t="n"/>
      <c r="H14" s="40" t="n"/>
      <c r="I14" s="42" t="n"/>
      <c r="J14" s="40" t="n"/>
      <c r="K14" s="42" t="n"/>
      <c r="L14" s="40" t="n"/>
      <c r="M14" s="52" t="n"/>
    </row>
    <row r="15" ht="32.7" customHeight="1">
      <c r="B15" s="52" t="inlineStr">
        <is>
          <t>6</t>
        </is>
      </c>
      <c r="C15" s="42" t="n"/>
      <c r="D15" s="40" t="n"/>
      <c r="E15" s="42" t="n"/>
      <c r="F15" s="39" t="n"/>
      <c r="G15" s="39" t="n"/>
      <c r="H15" s="40" t="n"/>
      <c r="I15" s="42" t="n"/>
      <c r="J15" s="40" t="n"/>
      <c r="K15" s="42" t="n"/>
      <c r="L15" s="40" t="n"/>
      <c r="M15" s="52" t="n"/>
    </row>
    <row r="16" ht="32.7" customHeight="1">
      <c r="B16" s="52" t="inlineStr">
        <is>
          <t>7</t>
        </is>
      </c>
      <c r="C16" s="42" t="n"/>
      <c r="D16" s="40" t="n"/>
      <c r="E16" s="42" t="n"/>
      <c r="F16" s="39" t="n"/>
      <c r="G16" s="39" t="n"/>
      <c r="H16" s="40" t="n"/>
      <c r="I16" s="42" t="n"/>
      <c r="J16" s="40" t="n"/>
      <c r="K16" s="42" t="n"/>
      <c r="L16" s="40" t="n"/>
      <c r="M16" s="52" t="n"/>
    </row>
    <row r="17" ht="32.7" customHeight="1">
      <c r="B17" s="52" t="inlineStr">
        <is>
          <t>8</t>
        </is>
      </c>
      <c r="C17" s="42" t="n"/>
      <c r="D17" s="40" t="n"/>
      <c r="E17" s="42" t="n"/>
      <c r="F17" s="39" t="n"/>
      <c r="G17" s="39" t="n"/>
      <c r="H17" s="40" t="n"/>
      <c r="I17" s="42" t="n"/>
      <c r="J17" s="40" t="n"/>
      <c r="K17" s="42" t="n"/>
      <c r="L17" s="40" t="n"/>
      <c r="M17" s="52" t="n"/>
    </row>
    <row r="18" ht="32.7" customHeight="1">
      <c r="B18" s="52" t="inlineStr">
        <is>
          <t>9</t>
        </is>
      </c>
      <c r="C18" s="42" t="n"/>
      <c r="D18" s="40" t="n"/>
      <c r="E18" s="42" t="n"/>
      <c r="F18" s="39" t="n"/>
      <c r="G18" s="39" t="n"/>
      <c r="H18" s="40" t="n"/>
      <c r="I18" s="42" t="n"/>
      <c r="J18" s="40" t="n"/>
      <c r="K18" s="42" t="n"/>
      <c r="L18" s="40" t="n"/>
      <c r="M18" s="52" t="n"/>
    </row>
    <row r="19" ht="32.7" customHeight="1">
      <c r="B19" s="52" t="inlineStr">
        <is>
          <t>10</t>
        </is>
      </c>
      <c r="C19" s="42" t="n"/>
      <c r="D19" s="40" t="n"/>
      <c r="E19" s="42" t="n"/>
      <c r="F19" s="39" t="n"/>
      <c r="G19" s="39" t="n"/>
      <c r="H19" s="40" t="n"/>
      <c r="I19" s="42" t="n"/>
      <c r="J19" s="40" t="n"/>
      <c r="K19" s="42" t="n"/>
      <c r="L19" s="40" t="n"/>
      <c r="M19" s="52" t="n"/>
    </row>
    <row r="20" ht="32.7" customHeight="1">
      <c r="B20" s="52" t="inlineStr">
        <is>
          <t>11</t>
        </is>
      </c>
      <c r="C20" s="42" t="n"/>
      <c r="D20" s="40" t="n"/>
      <c r="E20" s="42" t="n"/>
      <c r="F20" s="39" t="n"/>
      <c r="G20" s="39" t="n"/>
      <c r="H20" s="40" t="n"/>
      <c r="I20" s="42" t="n"/>
      <c r="J20" s="40" t="n"/>
      <c r="K20" s="42" t="n"/>
      <c r="L20" s="40" t="n"/>
      <c r="M20" s="52" t="n"/>
    </row>
    <row r="21" ht="32.7" customHeight="1">
      <c r="B21" s="52" t="inlineStr">
        <is>
          <t>12</t>
        </is>
      </c>
      <c r="C21" s="42" t="n"/>
      <c r="D21" s="40" t="n"/>
      <c r="E21" s="42" t="n"/>
      <c r="F21" s="39" t="n"/>
      <c r="G21" s="39" t="n"/>
      <c r="H21" s="40" t="n"/>
      <c r="I21" s="42" t="n"/>
      <c r="J21" s="40" t="n"/>
      <c r="K21" s="42" t="n"/>
      <c r="L21" s="40" t="n"/>
      <c r="M21" s="52" t="n"/>
    </row>
    <row r="22" ht="32.7" customHeight="1">
      <c r="B22" s="52" t="inlineStr">
        <is>
          <t>13</t>
        </is>
      </c>
      <c r="C22" s="42" t="n"/>
      <c r="D22" s="40" t="n"/>
      <c r="E22" s="42" t="n"/>
      <c r="F22" s="39" t="n"/>
      <c r="G22" s="39" t="n"/>
      <c r="H22" s="40" t="n"/>
      <c r="I22" s="42" t="n"/>
      <c r="J22" s="40" t="n"/>
      <c r="K22" s="42" t="n"/>
      <c r="L22" s="40" t="n"/>
      <c r="M22" s="52" t="n"/>
    </row>
    <row r="23" ht="32.7" customHeight="1">
      <c r="B23" s="52" t="inlineStr">
        <is>
          <t>14</t>
        </is>
      </c>
      <c r="C23" s="42" t="n"/>
      <c r="D23" s="40" t="n"/>
      <c r="E23" s="42" t="n"/>
      <c r="F23" s="39" t="n"/>
      <c r="G23" s="39" t="n"/>
      <c r="H23" s="40" t="n"/>
      <c r="I23" s="42" t="n"/>
      <c r="J23" s="40" t="n"/>
      <c r="K23" s="42" t="n"/>
      <c r="L23" s="40" t="n"/>
      <c r="M23" s="52" t="n"/>
    </row>
    <row r="24" ht="8" customHeight="1"/>
  </sheetData>
  <mergeCells count="69">
    <mergeCell ref="K16:L16"/>
    <mergeCell ref="B2:M2"/>
    <mergeCell ref="C15:D15"/>
    <mergeCell ref="I15:J15"/>
    <mergeCell ref="K15:L15"/>
    <mergeCell ref="K9:L9"/>
    <mergeCell ref="I11:J11"/>
    <mergeCell ref="C14:D14"/>
    <mergeCell ref="E16:H16"/>
    <mergeCell ref="E6:M6"/>
    <mergeCell ref="K21:L21"/>
    <mergeCell ref="E22:H22"/>
    <mergeCell ref="C20:D20"/>
    <mergeCell ref="K11:L11"/>
    <mergeCell ref="E18:H18"/>
    <mergeCell ref="C10:D10"/>
    <mergeCell ref="C16:D16"/>
    <mergeCell ref="I16:J16"/>
    <mergeCell ref="K20:L20"/>
    <mergeCell ref="E12:H12"/>
    <mergeCell ref="E21:H21"/>
    <mergeCell ref="K13:L13"/>
    <mergeCell ref="C22:D22"/>
    <mergeCell ref="I22:J22"/>
    <mergeCell ref="C9:D9"/>
    <mergeCell ref="K22:L22"/>
    <mergeCell ref="B6:D6"/>
    <mergeCell ref="I18:J18"/>
    <mergeCell ref="E4:M4"/>
    <mergeCell ref="E14:H14"/>
    <mergeCell ref="C12:D12"/>
    <mergeCell ref="E7:M7"/>
    <mergeCell ref="B5:D5"/>
    <mergeCell ref="I12:J12"/>
    <mergeCell ref="K12:L12"/>
    <mergeCell ref="E17:H17"/>
    <mergeCell ref="C21:D21"/>
    <mergeCell ref="I21:J21"/>
    <mergeCell ref="E23:H23"/>
    <mergeCell ref="C11:D11"/>
    <mergeCell ref="B4:D4"/>
    <mergeCell ref="E20:H20"/>
    <mergeCell ref="K23:L23"/>
    <mergeCell ref="I23:J23"/>
    <mergeCell ref="I14:J14"/>
    <mergeCell ref="E19:H19"/>
    <mergeCell ref="B7:D7"/>
    <mergeCell ref="K14:L14"/>
    <mergeCell ref="E10:H10"/>
    <mergeCell ref="C17:D17"/>
    <mergeCell ref="I17:J17"/>
    <mergeCell ref="K17:L17"/>
    <mergeCell ref="E13:H13"/>
    <mergeCell ref="C23:D23"/>
    <mergeCell ref="E9:H9"/>
    <mergeCell ref="I20:J20"/>
    <mergeCell ref="E5:M5"/>
    <mergeCell ref="I10:J10"/>
    <mergeCell ref="K10:L10"/>
    <mergeCell ref="C19:D19"/>
    <mergeCell ref="I19:J19"/>
    <mergeCell ref="K19:L19"/>
    <mergeCell ref="E15:H15"/>
    <mergeCell ref="C13:D13"/>
    <mergeCell ref="I13:J13"/>
    <mergeCell ref="C18:D18"/>
    <mergeCell ref="E11:H11"/>
    <mergeCell ref="K18:L18"/>
    <mergeCell ref="I9:J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1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금액을 한글로 바꾸는 칸 (서류가 씁니다 — 지우지 마세요)</t>
        </is>
      </c>
    </row>
    <row r="3">
      <c r="A3" t="inlineStr">
        <is>
          <t>계약금액</t>
        </is>
      </c>
      <c r="B3">
        <f>IF('입력'!$C$14="","",ROUND(ABS('입력'!$C$14),0))</f>
        <v/>
      </c>
      <c r="C3">
        <f>IF(B3="",0,INT(B3/100000000))</f>
        <v/>
      </c>
      <c r="D3">
        <f>IF(B3="",0,MOD(INT(B3/10000),10000))</f>
        <v/>
      </c>
      <c r="E3">
        <f>IF(B3="",0,MOD(B3,10000))</f>
        <v/>
      </c>
      <c r="F3">
        <f>CHOOSE(INT(C3/1000)+1,"","일","이","삼","사","오","육","칠","팔","구")&amp;IF(INT(C3/1000)&gt;0,"천","")&amp;CHOOSE(MOD(INT(C3/100),10)+1,"","일","이","삼","사","오","육","칠","팔","구")&amp;IF(MOD(INT(C3/100),10)&gt;0,"백","")&amp;CHOOSE(MOD(INT(C3/10),10)+1,"","일","이","삼","사","오","육","칠","팔","구")&amp;IF(MOD(INT(C3/10),10)&gt;0,"십","")&amp;CHOOSE(MOD(C3,10)+1,"","일","이","삼","사","오","육","칠","팔","구")</f>
        <v/>
      </c>
      <c r="G3">
        <f>CHOOSE(INT(D3/1000)+1,"","일","이","삼","사","오","육","칠","팔","구")&amp;IF(INT(D3/1000)&gt;0,"천","")&amp;CHOOSE(MOD(INT(D3/100),10)+1,"","일","이","삼","사","오","육","칠","팔","구")&amp;IF(MOD(INT(D3/100),10)&gt;0,"백","")&amp;CHOOSE(MOD(INT(D3/10),10)+1,"","일","이","삼","사","오","육","칠","팔","구")&amp;IF(MOD(INT(D3/10),10)&gt;0,"십","")&amp;CHOOSE(MOD(D3,10)+1,"","일","이","삼","사","오","육","칠","팔","구")</f>
        <v/>
      </c>
      <c r="H3">
        <f>CHOOSE(INT(E3/1000)+1,"","일","이","삼","사","오","육","칠","팔","구")&amp;IF(INT(E3/1000)&gt;0,"천","")&amp;CHOOSE(MOD(INT(E3/100),10)+1,"","일","이","삼","사","오","육","칠","팔","구")&amp;IF(MOD(INT(E3/100),10)&gt;0,"백","")&amp;CHOOSE(MOD(INT(E3/10),10)+1,"","일","이","삼","사","오","육","칠","팔","구")&amp;IF(MOD(INT(E3/10),10)&gt;0,"십","")&amp;CHOOSE(MOD(E3,10)+1,"","일","이","삼","사","오","육","칠","팔","구")</f>
        <v/>
      </c>
      <c r="I3">
        <f>IF(B3="","",IF(B3=0,"영",IF(C3&gt;0,F3&amp;"억","")&amp;IF(D3&gt;0,G3&amp;"만","")&amp;H3))</f>
        <v/>
      </c>
      <c r="J3">
        <f>IF(B3="","","일금 "&amp;I3)</f>
        <v/>
      </c>
    </row>
    <row r="4">
      <c r="A4" t="inlineStr">
        <is>
          <t>정산액</t>
        </is>
      </c>
      <c r="B4">
        <f>IF('입력'!$C$87="","",ROUND(ABS('입력'!$C$87),0))</f>
        <v/>
      </c>
      <c r="C4">
        <f>IF(B4="",0,INT(B4/100000000))</f>
        <v/>
      </c>
      <c r="D4">
        <f>IF(B4="",0,MOD(INT(B4/10000),10000))</f>
        <v/>
      </c>
      <c r="E4">
        <f>IF(B4="",0,MOD(B4,10000))</f>
        <v/>
      </c>
      <c r="F4">
        <f>CHOOSE(INT(C4/1000)+1,"","일","이","삼","사","오","육","칠","팔","구")&amp;IF(INT(C4/1000)&gt;0,"천","")&amp;CHOOSE(MOD(INT(C4/100),10)+1,"","일","이","삼","사","오","육","칠","팔","구")&amp;IF(MOD(INT(C4/100),10)&gt;0,"백","")&amp;CHOOSE(MOD(INT(C4/10),10)+1,"","일","이","삼","사","오","육","칠","팔","구")&amp;IF(MOD(INT(C4/10),10)&gt;0,"십","")&amp;CHOOSE(MOD(C4,10)+1,"","일","이","삼","사","오","육","칠","팔","구")</f>
        <v/>
      </c>
      <c r="G4">
        <f>CHOOSE(INT(D4/1000)+1,"","일","이","삼","사","오","육","칠","팔","구")&amp;IF(INT(D4/1000)&gt;0,"천","")&amp;CHOOSE(MOD(INT(D4/100),10)+1,"","일","이","삼","사","오","육","칠","팔","구")&amp;IF(MOD(INT(D4/100),10)&gt;0,"백","")&amp;CHOOSE(MOD(INT(D4/10),10)+1,"","일","이","삼","사","오","육","칠","팔","구")&amp;IF(MOD(INT(D4/10),10)&gt;0,"십","")&amp;CHOOSE(MOD(D4,10)+1,"","일","이","삼","사","오","육","칠","팔","구")</f>
        <v/>
      </c>
      <c r="H4">
        <f>CHOOSE(INT(E4/1000)+1,"","일","이","삼","사","오","육","칠","팔","구")&amp;IF(INT(E4/1000)&gt;0,"천","")&amp;CHOOSE(MOD(INT(E4/100),10)+1,"","일","이","삼","사","오","육","칠","팔","구")&amp;IF(MOD(INT(E4/100),10)&gt;0,"백","")&amp;CHOOSE(MOD(INT(E4/10),10)+1,"","일","이","삼","사","오","육","칠","팔","구")&amp;IF(MOD(INT(E4/10),10)&gt;0,"십","")&amp;CHOOSE(MOD(E4,10)+1,"","일","이","삼","사","오","육","칠","팔","구")</f>
        <v/>
      </c>
      <c r="I4">
        <f>IF(B4="","",IF(B4=0,"영",IF(C4&gt;0,F4&amp;"억","")&amp;IF(D4&gt;0,G4&amp;"만","")&amp;H4))</f>
        <v/>
      </c>
      <c r="J4">
        <f>IF(B4="","","일금 "&amp;I4)</f>
        <v/>
      </c>
    </row>
    <row r="5">
      <c r="A5" t="inlineStr">
        <is>
          <t>계약보증금</t>
        </is>
      </c>
      <c r="B5">
        <f>IF('입력'!$C$86="","",ROUND(ABS('입력'!$C$86),0))</f>
        <v/>
      </c>
      <c r="C5">
        <f>IF(B5="",0,INT(B5/100000000))</f>
        <v/>
      </c>
      <c r="D5">
        <f>IF(B5="",0,MOD(INT(B5/10000),10000))</f>
        <v/>
      </c>
      <c r="E5">
        <f>IF(B5="",0,MOD(B5,10000))</f>
        <v/>
      </c>
      <c r="F5">
        <f>CHOOSE(INT(C5/1000)+1,"","일","이","삼","사","오","육","칠","팔","구")&amp;IF(INT(C5/1000)&gt;0,"천","")&amp;CHOOSE(MOD(INT(C5/100),10)+1,"","일","이","삼","사","오","육","칠","팔","구")&amp;IF(MOD(INT(C5/100),10)&gt;0,"백","")&amp;CHOOSE(MOD(INT(C5/10),10)+1,"","일","이","삼","사","오","육","칠","팔","구")&amp;IF(MOD(INT(C5/10),10)&gt;0,"십","")&amp;CHOOSE(MOD(C5,10)+1,"","일","이","삼","사","오","육","칠","팔","구")</f>
        <v/>
      </c>
      <c r="G5">
        <f>CHOOSE(INT(D5/1000)+1,"","일","이","삼","사","오","육","칠","팔","구")&amp;IF(INT(D5/1000)&gt;0,"천","")&amp;CHOOSE(MOD(INT(D5/100),10)+1,"","일","이","삼","사","오","육","칠","팔","구")&amp;IF(MOD(INT(D5/100),10)&gt;0,"백","")&amp;CHOOSE(MOD(INT(D5/10),10)+1,"","일","이","삼","사","오","육","칠","팔","구")&amp;IF(MOD(INT(D5/10),10)&gt;0,"십","")&amp;CHOOSE(MOD(D5,10)+1,"","일","이","삼","사","오","육","칠","팔","구")</f>
        <v/>
      </c>
      <c r="H5">
        <f>CHOOSE(INT(E5/1000)+1,"","일","이","삼","사","오","육","칠","팔","구")&amp;IF(INT(E5/1000)&gt;0,"천","")&amp;CHOOSE(MOD(INT(E5/100),10)+1,"","일","이","삼","사","오","육","칠","팔","구")&amp;IF(MOD(INT(E5/100),10)&gt;0,"백","")&amp;CHOOSE(MOD(INT(E5/10),10)+1,"","일","이","삼","사","오","육","칠","팔","구")&amp;IF(MOD(INT(E5/10),10)&gt;0,"십","")&amp;CHOOSE(MOD(E5,10)+1,"","일","이","삼","사","오","육","칠","팔","구")</f>
        <v/>
      </c>
      <c r="I5">
        <f>IF(B5="","",IF(B5=0,"영",IF(C5&gt;0,F5&amp;"억","")&amp;IF(D5&gt;0,G5&amp;"만","")&amp;H5))</f>
        <v/>
      </c>
      <c r="J5">
        <f>IF(B5="","","일금 "&amp;I5)</f>
        <v/>
      </c>
    </row>
    <row r="6">
      <c r="A6" t="inlineStr">
        <is>
          <t>하자보증금</t>
        </is>
      </c>
      <c r="B6">
        <f>IF('입력'!$C$88="","",ROUND(ABS('입력'!$C$88),0))</f>
        <v/>
      </c>
      <c r="C6">
        <f>IF(B6="",0,INT(B6/100000000))</f>
        <v/>
      </c>
      <c r="D6">
        <f>IF(B6="",0,MOD(INT(B6/10000),10000))</f>
        <v/>
      </c>
      <c r="E6">
        <f>IF(B6="",0,MOD(B6,10000))</f>
        <v/>
      </c>
      <c r="F6">
        <f>CHOOSE(INT(C6/1000)+1,"","일","이","삼","사","오","육","칠","팔","구")&amp;IF(INT(C6/1000)&gt;0,"천","")&amp;CHOOSE(MOD(INT(C6/100),10)+1,"","일","이","삼","사","오","육","칠","팔","구")&amp;IF(MOD(INT(C6/100),10)&gt;0,"백","")&amp;CHOOSE(MOD(INT(C6/10),10)+1,"","일","이","삼","사","오","육","칠","팔","구")&amp;IF(MOD(INT(C6/10),10)&gt;0,"십","")&amp;CHOOSE(MOD(C6,10)+1,"","일","이","삼","사","오","육","칠","팔","구")</f>
        <v/>
      </c>
      <c r="G6">
        <f>CHOOSE(INT(D6/1000)+1,"","일","이","삼","사","오","육","칠","팔","구")&amp;IF(INT(D6/1000)&gt;0,"천","")&amp;CHOOSE(MOD(INT(D6/100),10)+1,"","일","이","삼","사","오","육","칠","팔","구")&amp;IF(MOD(INT(D6/100),10)&gt;0,"백","")&amp;CHOOSE(MOD(INT(D6/10),10)+1,"","일","이","삼","사","오","육","칠","팔","구")&amp;IF(MOD(INT(D6/10),10)&gt;0,"십","")&amp;CHOOSE(MOD(D6,10)+1,"","일","이","삼","사","오","육","칠","팔","구")</f>
        <v/>
      </c>
      <c r="H6">
        <f>CHOOSE(INT(E6/1000)+1,"","일","이","삼","사","오","육","칠","팔","구")&amp;IF(INT(E6/1000)&gt;0,"천","")&amp;CHOOSE(MOD(INT(E6/100),10)+1,"","일","이","삼","사","오","육","칠","팔","구")&amp;IF(MOD(INT(E6/100),10)&gt;0,"백","")&amp;CHOOSE(MOD(INT(E6/10),10)+1,"","일","이","삼","사","오","육","칠","팔","구")&amp;IF(MOD(INT(E6/10),10)&gt;0,"십","")&amp;CHOOSE(MOD(E6,10)+1,"","일","이","삼","사","오","육","칠","팔","구")</f>
        <v/>
      </c>
      <c r="I6">
        <f>IF(B6="","",IF(B6=0,"영",IF(C6&gt;0,F6&amp;"억","")&amp;IF(D6&gt;0,G6&amp;"만","")&amp;H6))</f>
        <v/>
      </c>
      <c r="J6">
        <f>IF(B6="","","일금 "&amp;I6)</f>
        <v/>
      </c>
    </row>
    <row r="7">
      <c r="A7" t="inlineStr">
        <is>
          <t>기성청구액</t>
        </is>
      </c>
      <c r="B7">
        <f>IF('입력'!$C$98="","",ROUND(ABS('입력'!$C$98),0))</f>
        <v/>
      </c>
      <c r="C7">
        <f>IF(B7="",0,INT(B7/100000000))</f>
        <v/>
      </c>
      <c r="D7">
        <f>IF(B7="",0,MOD(INT(B7/10000),10000))</f>
        <v/>
      </c>
      <c r="E7">
        <f>IF(B7="",0,MOD(B7,10000))</f>
        <v/>
      </c>
      <c r="F7">
        <f>CHOOSE(INT(C7/1000)+1,"","일","이","삼","사","오","육","칠","팔","구")&amp;IF(INT(C7/1000)&gt;0,"천","")&amp;CHOOSE(MOD(INT(C7/100),10)+1,"","일","이","삼","사","오","육","칠","팔","구")&amp;IF(MOD(INT(C7/100),10)&gt;0,"백","")&amp;CHOOSE(MOD(INT(C7/10),10)+1,"","일","이","삼","사","오","육","칠","팔","구")&amp;IF(MOD(INT(C7/10),10)&gt;0,"십","")&amp;CHOOSE(MOD(C7,10)+1,"","일","이","삼","사","오","육","칠","팔","구")</f>
        <v/>
      </c>
      <c r="G7">
        <f>CHOOSE(INT(D7/1000)+1,"","일","이","삼","사","오","육","칠","팔","구")&amp;IF(INT(D7/1000)&gt;0,"천","")&amp;CHOOSE(MOD(INT(D7/100),10)+1,"","일","이","삼","사","오","육","칠","팔","구")&amp;IF(MOD(INT(D7/100),10)&gt;0,"백","")&amp;CHOOSE(MOD(INT(D7/10),10)+1,"","일","이","삼","사","오","육","칠","팔","구")&amp;IF(MOD(INT(D7/10),10)&gt;0,"십","")&amp;CHOOSE(MOD(D7,10)+1,"","일","이","삼","사","오","육","칠","팔","구")</f>
        <v/>
      </c>
      <c r="H7">
        <f>CHOOSE(INT(E7/1000)+1,"","일","이","삼","사","오","육","칠","팔","구")&amp;IF(INT(E7/1000)&gt;0,"천","")&amp;CHOOSE(MOD(INT(E7/100),10)+1,"","일","이","삼","사","오","육","칠","팔","구")&amp;IF(MOD(INT(E7/100),10)&gt;0,"백","")&amp;CHOOSE(MOD(INT(E7/10),10)+1,"","일","이","삼","사","오","육","칠","팔","구")&amp;IF(MOD(INT(E7/10),10)&gt;0,"십","")&amp;CHOOSE(MOD(E7,10)+1,"","일","이","삼","사","오","육","칠","팔","구")</f>
        <v/>
      </c>
      <c r="I7">
        <f>IF(B7="","",IF(B7=0,"영",IF(C7&gt;0,F7&amp;"억","")&amp;IF(D7&gt;0,G7&amp;"만","")&amp;H7))</f>
        <v/>
      </c>
      <c r="J7">
        <f>IF(B7="","","일금 "&amp;I7)</f>
        <v/>
      </c>
    </row>
    <row r="8">
      <c r="A8" t="inlineStr">
        <is>
          <t>준공청구액</t>
        </is>
      </c>
      <c r="B8">
        <f>IF('입력'!$C$100="","",ROUND(ABS('입력'!$C$100),0))</f>
        <v/>
      </c>
      <c r="C8">
        <f>IF(B8="",0,INT(B8/100000000))</f>
        <v/>
      </c>
      <c r="D8">
        <f>IF(B8="",0,MOD(INT(B8/10000),10000))</f>
        <v/>
      </c>
      <c r="E8">
        <f>IF(B8="",0,MOD(B8,10000))</f>
        <v/>
      </c>
      <c r="F8">
        <f>CHOOSE(INT(C8/1000)+1,"","일","이","삼","사","오","육","칠","팔","구")&amp;IF(INT(C8/1000)&gt;0,"천","")&amp;CHOOSE(MOD(INT(C8/100),10)+1,"","일","이","삼","사","오","육","칠","팔","구")&amp;IF(MOD(INT(C8/100),10)&gt;0,"백","")&amp;CHOOSE(MOD(INT(C8/10),10)+1,"","일","이","삼","사","오","육","칠","팔","구")&amp;IF(MOD(INT(C8/10),10)&gt;0,"십","")&amp;CHOOSE(MOD(C8,10)+1,"","일","이","삼","사","오","육","칠","팔","구")</f>
        <v/>
      </c>
      <c r="G8">
        <f>CHOOSE(INT(D8/1000)+1,"","일","이","삼","사","오","육","칠","팔","구")&amp;IF(INT(D8/1000)&gt;0,"천","")&amp;CHOOSE(MOD(INT(D8/100),10)+1,"","일","이","삼","사","오","육","칠","팔","구")&amp;IF(MOD(INT(D8/100),10)&gt;0,"백","")&amp;CHOOSE(MOD(INT(D8/10),10)+1,"","일","이","삼","사","오","육","칠","팔","구")&amp;IF(MOD(INT(D8/10),10)&gt;0,"십","")&amp;CHOOSE(MOD(D8,10)+1,"","일","이","삼","사","오","육","칠","팔","구")</f>
        <v/>
      </c>
      <c r="H8">
        <f>CHOOSE(INT(E8/1000)+1,"","일","이","삼","사","오","육","칠","팔","구")&amp;IF(INT(E8/1000)&gt;0,"천","")&amp;CHOOSE(MOD(INT(E8/100),10)+1,"","일","이","삼","사","오","육","칠","팔","구")&amp;IF(MOD(INT(E8/100),10)&gt;0,"백","")&amp;CHOOSE(MOD(INT(E8/10),10)+1,"","일","이","삼","사","오","육","칠","팔","구")&amp;IF(MOD(INT(E8/10),10)&gt;0,"십","")&amp;CHOOSE(MOD(E8,10)+1,"","일","이","삼","사","오","육","칠","팔","구")</f>
        <v/>
      </c>
      <c r="I8">
        <f>IF(B8="","",IF(B8=0,"영",IF(C8&gt;0,F8&amp;"억","")&amp;IF(D8&gt;0,G8&amp;"만","")&amp;H8))</f>
        <v/>
      </c>
      <c r="J8">
        <f>IF(B8="","","일금 "&amp;I8)</f>
        <v/>
      </c>
    </row>
    <row r="9">
      <c r="A9" t="inlineStr">
        <is>
          <t>금회기성</t>
        </is>
      </c>
      <c r="B9">
        <f>IF('입력'!$C$59="","",ROUND(ABS('입력'!$C$59),0))</f>
        <v/>
      </c>
      <c r="C9">
        <f>IF(B9="",0,INT(B9/100000000))</f>
        <v/>
      </c>
      <c r="D9">
        <f>IF(B9="",0,MOD(INT(B9/10000),10000))</f>
        <v/>
      </c>
      <c r="E9">
        <f>IF(B9="",0,MOD(B9,10000))</f>
        <v/>
      </c>
      <c r="F9">
        <f>CHOOSE(INT(C9/1000)+1,"","일","이","삼","사","오","육","칠","팔","구")&amp;IF(INT(C9/1000)&gt;0,"천","")&amp;CHOOSE(MOD(INT(C9/100),10)+1,"","일","이","삼","사","오","육","칠","팔","구")&amp;IF(MOD(INT(C9/100),10)&gt;0,"백","")&amp;CHOOSE(MOD(INT(C9/10),10)+1,"","일","이","삼","사","오","육","칠","팔","구")&amp;IF(MOD(INT(C9/10),10)&gt;0,"십","")&amp;CHOOSE(MOD(C9,10)+1,"","일","이","삼","사","오","육","칠","팔","구")</f>
        <v/>
      </c>
      <c r="G9">
        <f>CHOOSE(INT(D9/1000)+1,"","일","이","삼","사","오","육","칠","팔","구")&amp;IF(INT(D9/1000)&gt;0,"천","")&amp;CHOOSE(MOD(INT(D9/100),10)+1,"","일","이","삼","사","오","육","칠","팔","구")&amp;IF(MOD(INT(D9/100),10)&gt;0,"백","")&amp;CHOOSE(MOD(INT(D9/10),10)+1,"","일","이","삼","사","오","육","칠","팔","구")&amp;IF(MOD(INT(D9/10),10)&gt;0,"십","")&amp;CHOOSE(MOD(D9,10)+1,"","일","이","삼","사","오","육","칠","팔","구")</f>
        <v/>
      </c>
      <c r="H9">
        <f>CHOOSE(INT(E9/1000)+1,"","일","이","삼","사","오","육","칠","팔","구")&amp;IF(INT(E9/1000)&gt;0,"천","")&amp;CHOOSE(MOD(INT(E9/100),10)+1,"","일","이","삼","사","오","육","칠","팔","구")&amp;IF(MOD(INT(E9/100),10)&gt;0,"백","")&amp;CHOOSE(MOD(INT(E9/10),10)+1,"","일","이","삼","사","오","육","칠","팔","구")&amp;IF(MOD(INT(E9/10),10)&gt;0,"십","")&amp;CHOOSE(MOD(E9,10)+1,"","일","이","삼","사","오","육","칠","팔","구")</f>
        <v/>
      </c>
      <c r="I9">
        <f>IF(B9="","",IF(B9=0,"영",IF(C9&gt;0,F9&amp;"억","")&amp;IF(D9&gt;0,G9&amp;"만","")&amp;H9))</f>
        <v/>
      </c>
      <c r="J9">
        <f>IF(B9="","","일금 "&amp;I9)</f>
        <v/>
      </c>
    </row>
    <row r="10">
      <c r="A10" t="inlineStr">
        <is>
          <t>기성누계</t>
        </is>
      </c>
      <c r="B10">
        <f>IF('입력'!$C$96="","",ROUND(ABS('입력'!$C$96),0))</f>
        <v/>
      </c>
      <c r="C10">
        <f>IF(B10="",0,INT(B10/100000000))</f>
        <v/>
      </c>
      <c r="D10">
        <f>IF(B10="",0,MOD(INT(B10/10000),10000))</f>
        <v/>
      </c>
      <c r="E10">
        <f>IF(B10="",0,MOD(B10,10000))</f>
        <v/>
      </c>
      <c r="F10">
        <f>CHOOSE(INT(C10/1000)+1,"","일","이","삼","사","오","육","칠","팔","구")&amp;IF(INT(C10/1000)&gt;0,"천","")&amp;CHOOSE(MOD(INT(C10/100),10)+1,"","일","이","삼","사","오","육","칠","팔","구")&amp;IF(MOD(INT(C10/100),10)&gt;0,"백","")&amp;CHOOSE(MOD(INT(C10/10),10)+1,"","일","이","삼","사","오","육","칠","팔","구")&amp;IF(MOD(INT(C10/10),10)&gt;0,"십","")&amp;CHOOSE(MOD(C10,10)+1,"","일","이","삼","사","오","육","칠","팔","구")</f>
        <v/>
      </c>
      <c r="G10">
        <f>CHOOSE(INT(D10/1000)+1,"","일","이","삼","사","오","육","칠","팔","구")&amp;IF(INT(D10/1000)&gt;0,"천","")&amp;CHOOSE(MOD(INT(D10/100),10)+1,"","일","이","삼","사","오","육","칠","팔","구")&amp;IF(MOD(INT(D10/100),10)&gt;0,"백","")&amp;CHOOSE(MOD(INT(D10/10),10)+1,"","일","이","삼","사","오","육","칠","팔","구")&amp;IF(MOD(INT(D10/10),10)&gt;0,"십","")&amp;CHOOSE(MOD(D10,10)+1,"","일","이","삼","사","오","육","칠","팔","구")</f>
        <v/>
      </c>
      <c r="H10">
        <f>CHOOSE(INT(E10/1000)+1,"","일","이","삼","사","오","육","칠","팔","구")&amp;IF(INT(E10/1000)&gt;0,"천","")&amp;CHOOSE(MOD(INT(E10/100),10)+1,"","일","이","삼","사","오","육","칠","팔","구")&amp;IF(MOD(INT(E10/100),10)&gt;0,"백","")&amp;CHOOSE(MOD(INT(E10/10),10)+1,"","일","이","삼","사","오","육","칠","팔","구")&amp;IF(MOD(INT(E10/10),10)&gt;0,"십","")&amp;CHOOSE(MOD(E10,10)+1,"","일","이","삼","사","오","육","칠","팔","구")</f>
        <v/>
      </c>
      <c r="I10">
        <f>IF(B10="","",IF(B10=0,"영",IF(C10&gt;0,F10&amp;"억","")&amp;IF(D10&gt;0,G10&amp;"만","")&amp;H10))</f>
        <v/>
      </c>
      <c r="J10">
        <f>IF(B10="","","일금 "&amp;I10)</f>
        <v/>
      </c>
    </row>
    <row r="11">
      <c r="A11" t="inlineStr">
        <is>
          <t>증감액abs</t>
        </is>
      </c>
      <c r="B11">
        <f>IF(ABS(N('입력'!$C$103))="","",ROUND(ABS(ABS(N('입력'!$C$103))),0))</f>
        <v/>
      </c>
      <c r="C11">
        <f>IF(B11="",0,INT(B11/100000000))</f>
        <v/>
      </c>
      <c r="D11">
        <f>IF(B11="",0,MOD(INT(B11/10000),10000))</f>
        <v/>
      </c>
      <c r="E11">
        <f>IF(B11="",0,MOD(B11,10000))</f>
        <v/>
      </c>
      <c r="F11">
        <f>CHOOSE(INT(C11/1000)+1,"","일","이","삼","사","오","육","칠","팔","구")&amp;IF(INT(C11/1000)&gt;0,"천","")&amp;CHOOSE(MOD(INT(C11/100),10)+1,"","일","이","삼","사","오","육","칠","팔","구")&amp;IF(MOD(INT(C11/100),10)&gt;0,"백","")&amp;CHOOSE(MOD(INT(C11/10),10)+1,"","일","이","삼","사","오","육","칠","팔","구")&amp;IF(MOD(INT(C11/10),10)&gt;0,"십","")&amp;CHOOSE(MOD(C11,10)+1,"","일","이","삼","사","오","육","칠","팔","구")</f>
        <v/>
      </c>
      <c r="G11">
        <f>CHOOSE(INT(D11/1000)+1,"","일","이","삼","사","오","육","칠","팔","구")&amp;IF(INT(D11/1000)&gt;0,"천","")&amp;CHOOSE(MOD(INT(D11/100),10)+1,"","일","이","삼","사","오","육","칠","팔","구")&amp;IF(MOD(INT(D11/100),10)&gt;0,"백","")&amp;CHOOSE(MOD(INT(D11/10),10)+1,"","일","이","삼","사","오","육","칠","팔","구")&amp;IF(MOD(INT(D11/10),10)&gt;0,"십","")&amp;CHOOSE(MOD(D11,10)+1,"","일","이","삼","사","오","육","칠","팔","구")</f>
        <v/>
      </c>
      <c r="H11">
        <f>CHOOSE(INT(E11/1000)+1,"","일","이","삼","사","오","육","칠","팔","구")&amp;IF(INT(E11/1000)&gt;0,"천","")&amp;CHOOSE(MOD(INT(E11/100),10)+1,"","일","이","삼","사","오","육","칠","팔","구")&amp;IF(MOD(INT(E11/100),10)&gt;0,"백","")&amp;CHOOSE(MOD(INT(E11/10),10)+1,"","일","이","삼","사","오","육","칠","팔","구")&amp;IF(MOD(INT(E11/10),10)&gt;0,"십","")&amp;CHOOSE(MOD(E11,10)+1,"","일","이","삼","사","오","육","칠","팔","구")</f>
        <v/>
      </c>
      <c r="I11">
        <f>IF(B11="","",IF(B11=0,"영",IF(C11&gt;0,F11&amp;"억","")&amp;IF(D11&gt;0,G11&amp;"만","")&amp;H11))</f>
        <v/>
      </c>
      <c r="J11">
        <f>IF(B11="","","일금 "&amp;I11)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</dc:creator>
  <dc:title xmlns:dc="http://purl.org/dc/elements/1.1/">K-건설맵 공사서류 원클릭</dc:title>
  <dcterms:created xmlns:dcterms="http://purl.org/dc/terms/" xmlns:xsi="http://www.w3.org/2001/XMLSchema-instance" xsi:type="dcterms:W3CDTF">2026-09-24T06:17:17Z</dcterms:created>
  <dcterms:modified xmlns:dcterms="http://purl.org/dc/terms/" xmlns:xsi="http://www.w3.org/2001/XMLSchema-instance" xsi:type="dcterms:W3CDTF">2026-09-24T06:17:17Z</dcterms:modified>
</cp:coreProperties>
</file>